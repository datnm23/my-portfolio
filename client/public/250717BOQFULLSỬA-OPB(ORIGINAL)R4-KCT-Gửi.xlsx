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D:\Nguyễn Mạnh Đạt\L&amp;K\Báo giá\"/>
    </mc:Choice>
  </mc:AlternateContent>
  <xr:revisionPtr revIDLastSave="0" documentId="13_ncr:1_{161BC764-6FF3-4838-8143-14C453DA97F8}" xr6:coauthVersionLast="47" xr6:coauthVersionMax="47" xr10:uidLastSave="{00000000-0000-0000-0000-000000000000}"/>
  <bookViews>
    <workbookView xWindow="-120" yWindow="-120" windowWidth="20730" windowHeight="11040" tabRatio="937" xr2:uid="{00000000-000D-0000-FFFF-FFFF00000000}"/>
  </bookViews>
  <sheets>
    <sheet name="Rate_Master" sheetId="1" r:id="rId1"/>
    <sheet name="總表" sheetId="2" r:id="rId2"/>
    <sheet name="1A" sheetId="3" r:id="rId3"/>
    <sheet name="2A" sheetId="4" r:id="rId4"/>
    <sheet name="3A" sheetId="5" r:id="rId5"/>
    <sheet name="4A" sheetId="6" r:id="rId6"/>
    <sheet name="5A" sheetId="7" r:id="rId7"/>
    <sheet name="6A" sheetId="8" r:id="rId8"/>
    <sheet name="7A" sheetId="9" r:id="rId9"/>
    <sheet name="8A" sheetId="10" r:id="rId10"/>
    <sheet name="9A" sheetId="11" r:id="rId11"/>
    <sheet name="10A" sheetId="12" r:id="rId12"/>
    <sheet name="11A" sheetId="13" r:id="rId13"/>
    <sheet name="12A" sheetId="14" r:id="rId14"/>
    <sheet name="13A" sheetId="15" r:id="rId15"/>
    <sheet name="14A" sheetId="16" r:id="rId16"/>
    <sheet name="15A" sheetId="17" r:id="rId17"/>
    <sheet name="16A" sheetId="18" r:id="rId18"/>
    <sheet name="17A" sheetId="19" r:id="rId19"/>
    <sheet name="18A" sheetId="20" r:id="rId20"/>
    <sheet name="19A" sheetId="21" r:id="rId21"/>
    <sheet name="21A" sheetId="22" r:id="rId22"/>
    <sheet name="22A" sheetId="23" r:id="rId23"/>
    <sheet name="23A" sheetId="24" r:id="rId24"/>
    <sheet name="24A" sheetId="25" r:id="rId25"/>
    <sheet name="25A" sheetId="26" r:id="rId26"/>
    <sheet name="1B" sheetId="27" r:id="rId27"/>
    <sheet name="2B" sheetId="28" r:id="rId28"/>
    <sheet name="3B" sheetId="29" r:id="rId29"/>
    <sheet name="4B" sheetId="30" r:id="rId30"/>
    <sheet name="5B" sheetId="31" r:id="rId31"/>
    <sheet name="6B" sheetId="32" r:id="rId32"/>
  </sheets>
  <definedNames>
    <definedName name="_" hidden="1">#REF!</definedName>
    <definedName name="____" hidden="1">#REF!</definedName>
    <definedName name="_____" hidden="1">#REF!</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a1" hidden="1">{"'Sheet1'!$L$16"}</definedName>
    <definedName name="_________________________________PA3" hidden="1">{"'Sheet1'!$L$16"}</definedName>
    <definedName name="________________________________a1" hidden="1">{"'Sheet1'!$L$16"}</definedName>
    <definedName name="_______________________________a1" hidden="1">{"'Sheet1'!$L$16"}</definedName>
    <definedName name="_______________________________NS03"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PA3" hidden="1">{"'Sheet1'!$L$16"}</definedName>
    <definedName name="_____________________________a1" hidden="1">{"'Sheet1'!$L$16"}</definedName>
    <definedName name="_____________________________Goi8" hidden="1">{"'Sheet1'!$L$16"}</definedName>
    <definedName name="_____________________________NS03" hidden="1">{"'Sheet1'!$L$16"}</definedName>
    <definedName name="_____________________________NSO2" hidden="1">{"'Sheet1'!$L$16"}</definedName>
    <definedName name="_____________________________PA3" hidden="1">{"'Sheet1'!$L$16"}</definedName>
    <definedName name="____________________________a1" hidden="1">{"'Sheet1'!$L$16"}</definedName>
    <definedName name="____________________________Goi8" hidden="1">{"'Sheet1'!$L$16"}</definedName>
    <definedName name="____________________________ld2" hidden="1">{"'Sheet1'!$L$16"}</definedName>
    <definedName name="___________________________a1" hidden="1">{"'Sheet1'!$L$16"}</definedName>
    <definedName name="___________________________Goi8" hidden="1">{"'Sheet1'!$L$16"}</definedName>
    <definedName name="___________________________ld2" hidden="1">{"'Sheet1'!$L$16"}</definedName>
    <definedName name="___________________________NS03" hidden="1">{"'Sheet1'!$L$16"}</definedName>
    <definedName name="___________________________NSO2" hidden="1">{"'Sheet1'!$L$16"}</definedName>
    <definedName name="___________________________PA3" hidden="1">{"'Sheet1'!$L$16"}</definedName>
    <definedName name="__________________________a1" hidden="1">{"'Sheet1'!$L$16"}</definedName>
    <definedName name="__________________________ld2" hidden="1">{"'Sheet1'!$L$16"}</definedName>
    <definedName name="__________________________NS03" hidden="1">{"'Sheet1'!$L$16"}</definedName>
    <definedName name="__________________________NSO2" hidden="1">{"'Sheet1'!$L$16"}</definedName>
    <definedName name="__________________________PA3" hidden="1">{"'Sheet1'!$L$16"}</definedName>
    <definedName name="_________________________a1" hidden="1">{"'Sheet1'!$L$16"}</definedName>
    <definedName name="_________________________Goi8" hidden="1">{"'Sheet1'!$L$16"}</definedName>
    <definedName name="_________________________PA3" hidden="1">{"'Sheet1'!$L$16"}</definedName>
    <definedName name="________________________a1" hidden="1">{"'Sheet1'!$L$16"}</definedName>
    <definedName name="________________________Goi8" hidden="1">{"'Sheet1'!$L$16"}</definedName>
    <definedName name="________________________ld2" hidden="1">{"'Sheet1'!$L$16"}</definedName>
    <definedName name="________________________NS03" hidden="1">{"'Sheet1'!$L$16"}</definedName>
    <definedName name="________________________NSO2" hidden="1">{"'Sheet1'!$L$16"}</definedName>
    <definedName name="________________________PA3" hidden="1">{"'Sheet1'!$L$16"}</definedName>
    <definedName name="_______________________a1" hidden="1">{"'Sheet1'!$L$16"}</definedName>
    <definedName name="_______________________Goi8" hidden="1">{"'Sheet1'!$L$16"}</definedName>
    <definedName name="_______________________ld2" hidden="1">{"'Sheet1'!$L$16"}</definedName>
    <definedName name="_______________________NS03" hidden="1">{"'Sheet1'!$L$16"}</definedName>
    <definedName name="_______________________NSO2" hidden="1">{"'Sheet1'!$L$16"}</definedName>
    <definedName name="_______________________PA3" hidden="1">{"'Sheet1'!$L$16"}</definedName>
    <definedName name="______________________a1" hidden="1">{"'Sheet1'!$L$16"}</definedName>
    <definedName name="______________________Goi8" hidden="1">{"'Sheet1'!$L$16"}</definedName>
    <definedName name="______________________ld2" hidden="1">{"'Sheet1'!$L$16"}</definedName>
    <definedName name="______________________NS03" hidden="1">{"'Sheet1'!$L$16"}</definedName>
    <definedName name="______________________NSO2" hidden="1">{"'Sheet1'!$L$16"}</definedName>
    <definedName name="______________________P3" hidden="1">{#N/A,#N/A,FALSE,"特殊室（ＢＱ表）"}</definedName>
    <definedName name="______________________PA3" hidden="1">{"'Sheet1'!$L$16"}</definedName>
    <definedName name="_____________________a1" hidden="1">{"'Sheet1'!$L$16"}</definedName>
    <definedName name="_____________________CN1" hidden="1">{"'Sheet1'!$L$16"}</definedName>
    <definedName name="_____________________Goi8" hidden="1">{"'Sheet1'!$L$16"}</definedName>
    <definedName name="_____________________ld2" hidden="1">{"'Sheet1'!$L$16"}</definedName>
    <definedName name="_____________________NS03" hidden="1">{"'Sheet1'!$L$16"}</definedName>
    <definedName name="_____________________NSO2" hidden="1">{"'Sheet1'!$L$16"}</definedName>
    <definedName name="_____________________PA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ld2" hidden="1">{"'Sheet1'!$L$16"}</definedName>
    <definedName name="____________________NS03" hidden="1">{"'Sheet1'!$L$16"}</definedName>
    <definedName name="____________________NSO2" hidden="1">{"'Sheet1'!$L$16"}</definedName>
    <definedName name="____________________P3" hidden="1">{#N/A,#N/A,FALSE,"特殊室（ＢＱ表）"}</definedName>
    <definedName name="____________________PPP3" hidden="1">{#N/A,#N/A,FALSE,"特殊室（ＢＱ表）"}</definedName>
    <definedName name="____________________PPP33" hidden="1">{#N/A,#N/A,FALSE,"特殊室（ＢＱ表）"}</definedName>
    <definedName name="____________________ppp34" hidden="1">{#N/A,#N/A,FALSE,"特殊室（ＢＱ表）"}</definedName>
    <definedName name="____________________ppp3444" hidden="1">{#N/A,#N/A,FALSE,"特殊室（ＢＱ表）"}</definedName>
    <definedName name="____________________SCL4" hidden="1">{"'Sheet1'!$L$16"}</definedName>
    <definedName name="____________________tt3" hidden="1">{"'Sheet1'!$L$16"}</definedName>
    <definedName name="___________________a1" hidden="1">{"'Sheet1'!$L$16"}</definedName>
    <definedName name="___________________a129" hidden="1">{"Offgrid",#N/A,FALSE,"OFFGRID";"Region",#N/A,FALSE,"REGION";"Offgrid -2",#N/A,FALSE,"OFFGRID";"WTP",#N/A,FALSE,"WTP";"WTP -2",#N/A,FALSE,"WTP";"Project",#N/A,FALSE,"PROJECT";"Summary -2",#N/A,FALSE,"SUMMARY"}</definedName>
    <definedName name="___________________a130" hidden="1">{"Offgrid",#N/A,FALSE,"OFFGRID";"Region",#N/A,FALSE,"REGION";"Offgrid -2",#N/A,FALSE,"OFFGRID";"WTP",#N/A,FALSE,"WTP";"WTP -2",#N/A,FALSE,"WTP";"Project",#N/A,FALSE,"PROJECT";"Summary -2",#N/A,FALSE,"SUMMARY"}</definedName>
    <definedName name="___________________BG12" hidden="1">{"'Sheet1'!$L$16"}</definedName>
    <definedName name="___________________CN1" hidden="1">{"'Sheet1'!$L$16"}</definedName>
    <definedName name="___________________Goi8" hidden="1">{"'Sheet1'!$L$16"}</definedName>
    <definedName name="___________________ld2" hidden="1">{"'Sheet1'!$L$16"}</definedName>
    <definedName name="___________________NS03" hidden="1">{"'Sheet1'!$L$16"}</definedName>
    <definedName name="___________________NSO2" hidden="1">{"'Sheet1'!$L$16"}</definedName>
    <definedName name="___________________P3" hidden="1">{#N/A,#N/A,FALSE,"特殊室（ＢＱ表）"}</definedName>
    <definedName name="___________________PA3" hidden="1">{"'Sheet1'!$L$16"}</definedName>
    <definedName name="___________________PPP3" hidden="1">{#N/A,#N/A,FALSE,"特殊室（ＢＱ表）"}</definedName>
    <definedName name="___________________PPP33" hidden="1">{#N/A,#N/A,FALSE,"特殊室（ＢＱ表）"}</definedName>
    <definedName name="___________________ppp34" hidden="1">{#N/A,#N/A,FALSE,"特殊室（ＢＱ表）"}</definedName>
    <definedName name="___________________ppp3444" hidden="1">{#N/A,#N/A,FALSE,"特殊室（ＢＱ表）"}</definedName>
    <definedName name="___________________SCL4" hidden="1">{"'Sheet1'!$L$16"}</definedName>
    <definedName name="___________________tt3" hidden="1">{"'Sheet1'!$L$16"}</definedName>
    <definedName name="__________________a1" hidden="1">{"'Sheet1'!$L$16"}</definedName>
    <definedName name="__________________a129" hidden="1">{"Offgrid",#N/A,FALSE,"OFFGRID";"Region",#N/A,FALSE,"REGION";"Offgrid -2",#N/A,FALSE,"OFFGRID";"WTP",#N/A,FALSE,"WTP";"WTP -2",#N/A,FALSE,"WTP";"Project",#N/A,FALSE,"PROJECT";"Summary -2",#N/A,FALSE,"SUMMARY"}</definedName>
    <definedName name="__________________a130" hidden="1">{"Offgrid",#N/A,FALSE,"OFFGRID";"Region",#N/A,FALSE,"REGION";"Offgrid -2",#N/A,FALSE,"OFFGRID";"WTP",#N/A,FALSE,"WTP";"WTP -2",#N/A,FALSE,"WTP";"Project",#N/A,FALSE,"PROJECT";"Summary -2",#N/A,FALSE,"SUMMARY"}</definedName>
    <definedName name="__________________BG12" hidden="1">{"'Sheet1'!$L$16"}</definedName>
    <definedName name="__________________Goi8" hidden="1">{"'Sheet1'!$L$16"}</definedName>
    <definedName name="__________________ld2" hidden="1">{"'Sheet1'!$L$16"}</definedName>
    <definedName name="__________________NS03" hidden="1">{"'Sheet1'!$L$16"}</definedName>
    <definedName name="__________________NSO2" hidden="1">{"'Sheet1'!$L$16"}</definedName>
    <definedName name="__________________P3" hidden="1">{#N/A,#N/A,FALSE,"特殊室（ＢＱ表）"}</definedName>
    <definedName name="__________________PA3" hidden="1">{"'Sheet1'!$L$16"}</definedName>
    <definedName name="__________________PPP3" hidden="1">{#N/A,#N/A,FALSE,"特殊室（ＢＱ表）"}</definedName>
    <definedName name="__________________PPP33" hidden="1">{#N/A,#N/A,FALSE,"特殊室（ＢＱ表）"}</definedName>
    <definedName name="__________________ppp34" hidden="1">{#N/A,#N/A,FALSE,"特殊室（ＢＱ表）"}</definedName>
    <definedName name="__________________ppp3444" hidden="1">{#N/A,#N/A,FALSE,"特殊室（ＢＱ表）"}</definedName>
    <definedName name="__________________SCL4" hidden="1">{"'Sheet1'!$L$16"}</definedName>
    <definedName name="__________________tt3" hidden="1">{"'Sheet1'!$L$16"}</definedName>
    <definedName name="_________________a1" hidden="1">{"'Sheet1'!$L$16"}</definedName>
    <definedName name="_________________a129" hidden="1">{"Offgrid",#N/A,FALSE,"OFFGRID";"Region",#N/A,FALSE,"REGION";"Offgrid -2",#N/A,FALSE,"OFFGRID";"WTP",#N/A,FALSE,"WTP";"WTP -2",#N/A,FALSE,"WTP";"Project",#N/A,FALSE,"PROJECT";"Summary -2",#N/A,FALSE,"SUMMARY"}</definedName>
    <definedName name="_________________a130" hidden="1">{"Offgrid",#N/A,FALSE,"OFFGRID";"Region",#N/A,FALSE,"REGION";"Offgrid -2",#N/A,FALSE,"OFFGRID";"WTP",#N/A,FALSE,"WTP";"WTP -2",#N/A,FALSE,"WTP";"Project",#N/A,FALSE,"PROJECT";"Summary -2",#N/A,FALSE,"SUMMARY"}</definedName>
    <definedName name="_________________CN1" hidden="1">{"'Sheet1'!$L$16"}</definedName>
    <definedName name="_________________Goi8" hidden="1">{"'Sheet1'!$L$16"}</definedName>
    <definedName name="_________________ld2" hidden="1">{"'Sheet1'!$L$16"}</definedName>
    <definedName name="_________________NS03" hidden="1">{"'Sheet1'!$L$16"}</definedName>
    <definedName name="_________________NSO2" hidden="1">{"'Sheet1'!$L$16"}</definedName>
    <definedName name="_________________P3" hidden="1">{#N/A,#N/A,FALSE,"特殊室（ＢＱ表）"}</definedName>
    <definedName name="_________________PA3" hidden="1">{"'Sheet1'!$L$16"}</definedName>
    <definedName name="_________________PPP3" hidden="1">{#N/A,#N/A,FALSE,"特殊室（ＢＱ表）"}</definedName>
    <definedName name="_________________PPP33" hidden="1">{#N/A,#N/A,FALSE,"特殊室（ＢＱ表）"}</definedName>
    <definedName name="_________________ppp34" hidden="1">{#N/A,#N/A,FALSE,"特殊室（ＢＱ表）"}</definedName>
    <definedName name="_________________ppp3444" hidden="1">{#N/A,#N/A,FALSE,"特殊室（ＢＱ表）"}</definedName>
    <definedName name="_________________SCL4" hidden="1">{"'Sheet1'!$L$16"}</definedName>
    <definedName name="________________a1" hidden="1">{"'Sheet1'!$L$16"}</definedName>
    <definedName name="________________BG12" hidden="1">{"'Sheet1'!$L$16"}</definedName>
    <definedName name="________________CN1" hidden="1">{"'Sheet1'!$L$16"}</definedName>
    <definedName name="________________Goi8" hidden="1">{"'Sheet1'!$L$16"}</definedName>
    <definedName name="________________ld2" hidden="1">{"'Sheet1'!$L$16"}</definedName>
    <definedName name="________________NS03"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Goi8" hidden="1">{"'Sheet1'!$L$16"}</definedName>
    <definedName name="_______________ld2" hidden="1">{"'Sheet1'!$L$16"}</definedName>
    <definedName name="_______________NS03" hidden="1">{"'Sheet1'!$L$16"}</definedName>
    <definedName name="_______________NSO2" hidden="1">{"'Sheet1'!$L$16"}</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t3" hidden="1">{"'Sheet1'!$L$16"}</definedName>
    <definedName name="______________a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Goi8" hidden="1">{"'Sheet1'!$L$16"}</definedName>
    <definedName name="______________ld2" hidden="1">{"'Sheet1'!$L$16"}</definedName>
    <definedName name="______________NS03" hidden="1">{"'Sheet1'!$L$16"}</definedName>
    <definedName name="______________NSO2" hidden="1">{"'Sheet1'!$L$16"}</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tt3" hidden="1">{"'Sheet1'!$L$16"}</definedName>
    <definedName name="______________tu4" hidden="1">{"'Sheet1'!$L$16"}</definedName>
    <definedName name="_____________a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Goi8" hidden="1">{"'Sheet1'!$L$16"}</definedName>
    <definedName name="_____________ld2" hidden="1">{"'Sheet1'!$L$16"}</definedName>
    <definedName name="_____________NSO2" hidden="1">{"'Sheet1'!$L$16"}</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tt3" hidden="1">{"'Sheet1'!$L$16"}</definedName>
    <definedName name="_____________tu4" hidden="1">{"'Sheet1'!$L$16"}</definedName>
    <definedName name="____________a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Goi8" hidden="1">{"'Sheet1'!$L$16"}</definedName>
    <definedName name="____________ld2" hidden="1">{"'Sheet1'!$L$16"}</definedName>
    <definedName name="____________NS03" hidden="1">{"'Sheet1'!$L$16"}</definedName>
    <definedName name="____________NSO2" hidden="1">{"'Sheet1'!$L$16"}</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tt3" hidden="1">{"'Sheet1'!$L$16"}</definedName>
    <definedName name="____________tu4" hidden="1">{"'Sheet1'!$L$16"}</definedName>
    <definedName name="___________a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BG12" hidden="1">{"'Sheet1'!$L$16"}</definedName>
    <definedName name="___________CN1" hidden="1">{"'Sheet1'!$L$16"}</definedName>
    <definedName name="___________Goi8" hidden="1">{"'Sheet1'!$L$16"}</definedName>
    <definedName name="___________ld2" hidden="1">{"'Sheet1'!$L$16"}</definedName>
    <definedName name="___________NS03" hidden="1">{"'Sheet1'!$L$16"}</definedName>
    <definedName name="___________NSO2" hidden="1">{"'Sheet1'!$L$16"}</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tt3" hidden="1">{"'Sheet1'!$L$16"}</definedName>
    <definedName name="___________tu4" hidden="1">{"'Sheet1'!$L$16"}</definedName>
    <definedName name="__________a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BG12" hidden="1">{"'Sheet1'!$L$16"}</definedName>
    <definedName name="__________CN1" hidden="1">{"'Sheet1'!$L$16"}</definedName>
    <definedName name="__________Goi8" hidden="1">{"'Sheet1'!$L$16"}</definedName>
    <definedName name="__________ld2" hidden="1">{"'Sheet1'!$L$16"}</definedName>
    <definedName name="__________NS03" hidden="1">{"'Sheet1'!$L$16"}</definedName>
    <definedName name="__________NSO2" hidden="1">{"'Sheet1'!$L$16"}</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tt3" hidden="1">{"'Sheet1'!$L$16"}</definedName>
    <definedName name="__________tu4" hidden="1">{"'Sheet1'!$L$16"}</definedName>
    <definedName name="_________a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Goi8"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ld2" hidden="1">{"'Sheet1'!$L$16"}</definedName>
    <definedName name="_________NS03" hidden="1">{"'Sheet1'!$L$16"}</definedName>
    <definedName name="_________NSO2" hidden="1">{"'Sheet1'!$L$16"}</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tt3" hidden="1">{"'Sheet1'!$L$16"}</definedName>
    <definedName name="_________tu4" hidden="1">{"'Sheet1'!$L$16"}</definedName>
    <definedName name="________a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BG12" hidden="1">{"'Sheet1'!$L$16"}</definedName>
    <definedName name="________CN1" hidden="1">{"'Sheet1'!$L$16"}</definedName>
    <definedName name="________d1500" hidden="1">{"'Sheet1'!$L$16"}</definedName>
    <definedName name="__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Goi8" hidden="1">{"'Sheet1'!$L$16"}</definedName>
    <definedName name="________key1" hidden="1">#REF!</definedName>
    <definedName name="________ld2" hidden="1">{"'Sheet1'!$L$16"}</definedName>
    <definedName name="________lop111" hidden="1">{#N/A,#N/A,FALSE,"特殊室（ＢＱ表）"}</definedName>
    <definedName name="________M2" hidden="1">{"'Sheet1'!$L$16"}</definedName>
    <definedName name="________NO2" hidden="1">#REF!</definedName>
    <definedName name="________NS03" hidden="1">{"'Sheet1'!$L$16"}</definedName>
    <definedName name="________NSO2" hidden="1">{"'Sheet1'!$L$16"}</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qa1" hidden="1">#REF!</definedName>
    <definedName name="________SCL4" hidden="1">{"'Sheet1'!$L$16"}</definedName>
    <definedName name="________tt3" hidden="1">{"'Sheet1'!$L$16"}</definedName>
    <definedName name="________tu4" hidden="1">{"'Sheet1'!$L$16"}</definedName>
    <definedName name="_______a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Goi8"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key2" hidden="1">#REF!</definedName>
    <definedName name="_______ld2" hidden="1">{"'Sheet1'!$L$16"}</definedName>
    <definedName name="_______NO1" hidden="1">#REF!</definedName>
    <definedName name="_______NO2" hidden="1">#REF!</definedName>
    <definedName name="_______NS03" hidden="1">{"'Sheet1'!$L$16"}</definedName>
    <definedName name="_______NSO2" hidden="1">{"'Sheet1'!$L$16"}</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qa1" hidden="1">#REF!</definedName>
    <definedName name="_______SCL4" hidden="1">{"'Sheet1'!$L$16"}</definedName>
    <definedName name="_______tt3" hidden="1">{"'Sheet1'!$L$16"}</definedName>
    <definedName name="_______tu4" hidden="1">{"'Sheet1'!$L$16"}</definedName>
    <definedName name="______a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G12" hidden="1">{"'Sheet1'!$L$16"}</definedName>
    <definedName name="______CN1" hidden="1">{"'Sheet1'!$L$16"}</definedName>
    <definedName name="______d1500" hidden="1">{"'Sheet1'!$L$16"}</definedName>
    <definedName name="______Goi8" hidden="1">{"'Sheet1'!$L$16"}</definedName>
    <definedName name="______h1" hidden="1">{"'Sheet1'!$L$16"}</definedName>
    <definedName name="______hu1" hidden="1">{"'Sheet1'!$L$16"}</definedName>
    <definedName name="______hu2" hidden="1">{"'Sheet1'!$L$16"}</definedName>
    <definedName name="______hu5" hidden="1">{"'Sheet1'!$L$16"}</definedName>
    <definedName name="______hu6" hidden="1">{"'Sheet1'!$L$16"}</definedName>
    <definedName name="______key1" hidden="1">#REF!</definedName>
    <definedName name="______key2" hidden="1">#REF!</definedName>
    <definedName name="______ld2" hidden="1">{"'Sheet1'!$L$16"}</definedName>
    <definedName name="______lop111" hidden="1">{#N/A,#N/A,FALSE,"特殊室（ＢＱ表）"}</definedName>
    <definedName name="______M2" hidden="1">{"'Sheet1'!$L$16"}</definedName>
    <definedName name="______NO1" hidden="1">#REF!</definedName>
    <definedName name="______NO2" hidden="1">#REF!</definedName>
    <definedName name="______NS03" hidden="1">{"'Sheet1'!$L$16"}</definedName>
    <definedName name="______NSO2" hidden="1">{"'Sheet1'!$L$16"}</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R570001" hidden="1">#REF!</definedName>
    <definedName name="______SCL4" hidden="1">{"'Sheet1'!$L$16"}</definedName>
    <definedName name="______tt3" hidden="1">{"'Sheet1'!$L$16"}</definedName>
    <definedName name="______tu4" hidden="1">{"'Sheet1'!$L$16"}</definedName>
    <definedName name="______xlfn.BAHTTEXT" hidden="1">#NAME?</definedName>
    <definedName name="_____a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BG12" hidden="1">{"'Sheet1'!$L$16"}</definedName>
    <definedName name="_____CN1" hidden="1">{"'Sheet1'!$L$16"}</definedName>
    <definedName name="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Goi8" hidden="1">{"'Sheet1'!$L$16"}</definedName>
    <definedName name="_____key2" hidden="1">#REF!</definedName>
    <definedName name="_____ld2" hidden="1">{"'Sheet1'!$L$16"}</definedName>
    <definedName name="_____lop111" hidden="1">{#N/A,#N/A,FALSE,"特殊室（ＢＱ表）"}</definedName>
    <definedName name="_____MCC3" hidden="1">{#N/A,#N/A,FALSE,"CCTV"}</definedName>
    <definedName name="_____NO1" hidden="1">#REF!</definedName>
    <definedName name="_____NO2" hidden="1">#REF!</definedName>
    <definedName name="_____NS03" hidden="1">{"'Sheet1'!$L$16"}</definedName>
    <definedName name="_____NSO2" hidden="1">{"'Sheet1'!$L$16"}</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qa1" hidden="1">#REF!</definedName>
    <definedName name="_____R570001" hidden="1">#REF!</definedName>
    <definedName name="_____SCL4" hidden="1">{"'Sheet1'!$L$16"}</definedName>
    <definedName name="_____tt3" hidden="1">{"'Sheet1'!$L$16"}</definedName>
    <definedName name="_____tu4" hidden="1">{"'Sheet1'!$L$16"}</definedName>
    <definedName name="_____xlfn.BAHTTEXT" hidden="1">#NAME?</definedName>
    <definedName name="____4__123Graph_Aｸﾞﾗﾌ_2" hidden="1">#REF!</definedName>
    <definedName name="____a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G12" hidden="1">{"'Sheet1'!$L$16"}</definedName>
    <definedName name="____CN1" hidden="1">{"'Sheet1'!$L$16"}</definedName>
    <definedName name="____CT4" hidden="1">{"'Sheet1'!$L$16"}</definedName>
    <definedName name="____d1500" hidden="1">{"'Sheet1'!$L$16"}</definedName>
    <definedName name="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Goi8" hidden="1">{"'Sheet1'!$L$16"}</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key2" hidden="1">#REF!</definedName>
    <definedName name="____Lan1" hidden="1">{"'Sheet1'!$L$16"}</definedName>
    <definedName name="____ld2" hidden="1">{"'Sheet1'!$L$16"}</definedName>
    <definedName name="____lop111" hidden="1">{#N/A,#N/A,FALSE,"特殊室（ＢＱ表）"}</definedName>
    <definedName name="____M2" hidden="1">{"'Sheet1'!$L$16"}</definedName>
    <definedName name="____MCC3" hidden="1">{#N/A,#N/A,FALSE,"CCTV"}</definedName>
    <definedName name="____NO1" hidden="1">#REF!</definedName>
    <definedName name="____NO2" hidden="1">#REF!</definedName>
    <definedName name="____NS03" hidden="1">{"'Sheet1'!$L$16"}</definedName>
    <definedName name="____NSO2" hidden="1">{"'Sheet1'!$L$16"}</definedName>
    <definedName name="____P3" hidden="1">{#N/A,#N/A,FALSE,"特殊室（ＢＱ表）"}</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qa1" hidden="1">#REF!</definedName>
    <definedName name="____R570001" hidden="1">#REF!</definedName>
    <definedName name="____SCL4" hidden="1">{"'Sheet1'!$L$16"}</definedName>
    <definedName name="____T3" hidden="1">{"'Sheet1'!$L$16"}</definedName>
    <definedName name="____TM2" hidden="1">{"'Sheet1'!$L$16"}</definedName>
    <definedName name="____tt3" hidden="1">{"'Sheet1'!$L$16"}</definedName>
    <definedName name="____tu4" hidden="1">{"'Sheet1'!$L$16"}</definedName>
    <definedName name="____xlfn.BAHTTEXT" hidden="1">#NAME?</definedName>
    <definedName name="___1__123Graph_Aｸﾞﾗﾌ_1" hidden="1">#REF!</definedName>
    <definedName name="___10__123Graph_Xｸﾞﾗﾌ_3" hidden="1">#REF!</definedName>
    <definedName name="___10__123Graph_Xｸﾞﾗﾌ_5" hidden="1">#REF!</definedName>
    <definedName name="___11__123Graph_Xｸﾞﾗﾌ_1" hidden="1">#REF!</definedName>
    <definedName name="___11__123Graph_Xｸﾞﾗﾌ_4" hidden="1">#REF!</definedName>
    <definedName name="___12__123Graph_Xｸﾞﾗﾌ_2" hidden="1">#REF!</definedName>
    <definedName name="___12__123Graph_Xｸﾞﾗﾌ_5" hidden="1">#REF!</definedName>
    <definedName name="___13__123Graph_Xｸﾞﾗﾌ_3" hidden="1">#REF!</definedName>
    <definedName name="___14__123Graph_Xｸﾞﾗﾌ_4" hidden="1">#REF!</definedName>
    <definedName name="___15__123Graph_Xｸﾞﾗﾌ_5" hidden="1">#REF!</definedName>
    <definedName name="___2__123Graph_Aｸﾞﾗﾌ_1" hidden="1">#REF!</definedName>
    <definedName name="___2__123Graph_Aｸﾞﾗﾌ_2" hidden="1">#REF!</definedName>
    <definedName name="___3__123Graph_Aｸﾞﾗﾌ_1" hidden="1">#REF!</definedName>
    <definedName name="___3__123Graph_Aｸﾞﾗﾌ_2" hidden="1">#REF!</definedName>
    <definedName name="___3__123Graph_Aｸﾞﾗﾌ_3" hidden="1">#REF!</definedName>
    <definedName name="___4__123Graph_Aｸﾞﾗﾌ_2" hidden="1">#REF!</definedName>
    <definedName name="___4__123Graph_Aｸﾞﾗﾌ_3" hidden="1">#REF!</definedName>
    <definedName name="___4__123Graph_Aｸﾞﾗﾌ_4" hidden="1">#REF!</definedName>
    <definedName name="___5__123Graph_Aｸﾞﾗﾌ_3" hidden="1">#REF!</definedName>
    <definedName name="___5__123Graph_Aｸﾞﾗﾌ_4" hidden="1">#REF!</definedName>
    <definedName name="___5__123Graph_Aｸﾞﾗﾌ_5" hidden="1">#REF!</definedName>
    <definedName name="___6__123Graph_Aｸﾞﾗﾌ_4" hidden="1">#REF!</definedName>
    <definedName name="___6__123Graph_Aｸﾞﾗﾌ_5" hidden="1">#REF!</definedName>
    <definedName name="___6__123Graph_Xｸﾞﾗﾌ_1" hidden="1">#REF!</definedName>
    <definedName name="___7__123Graph_Aｸﾞﾗﾌ_5" hidden="1">#REF!</definedName>
    <definedName name="___7__123Graph_Xｸﾞﾗﾌ_2" hidden="1">#REF!</definedName>
    <definedName name="___8__123Graph_Xｸﾞﾗﾌ_1" hidden="1">#REF!</definedName>
    <definedName name="___8__123Graph_Xｸﾞﾗﾌ_3" hidden="1">#REF!</definedName>
    <definedName name="___9__123Graph_Xｸﾞﾗﾌ_2" hidden="1">#REF!</definedName>
    <definedName name="___9__123Graph_Xｸﾞﾗﾌ_4" hidden="1">#REF!</definedName>
    <definedName name="___a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BG12" hidden="1">{"'Sheet1'!$L$16"}</definedName>
    <definedName name="___CN1" hidden="1">{"'Sheet1'!$L$16"}</definedName>
    <definedName name="___CT4" hidden="1">{"'Sheet1'!$L$16"}</definedName>
    <definedName name="___Cty501" hidden="1">{"'Sheet1'!$L$16"}</definedName>
    <definedName name="___d1500" hidden="1">{"'Sheet1'!$L$16"}</definedName>
    <definedName name="___DK1" hidden="1">{"Offgrid",#N/A,FALSE,"OFFGRID";"Region",#N/A,FALSE,"REGION";"Offgrid -2",#N/A,FALSE,"OFFGRID";"WTP",#N/A,FALSE,"WTP";"WTP -2",#N/A,FALSE,"WTP";"Project",#N/A,FALSE,"PROJECT";"Summary -2",#N/A,FALSE,"SUMMARY"}</definedName>
    <definedName name="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Goi8" hidden="1">{"'Sheet1'!$L$16"}</definedName>
    <definedName name="___h1" hidden="1">{"'Sheet1'!$L$16"}</definedName>
    <definedName name="___hu1" hidden="1">{"'Sheet1'!$L$16"}</definedName>
    <definedName name="___hu2" hidden="1">{"'Sheet1'!$L$16"}</definedName>
    <definedName name="___hu5" hidden="1">{"'Sheet1'!$L$16"}</definedName>
    <definedName name="___hu6" hidden="1">{"'Sheet1'!$L$16"}</definedName>
    <definedName name="___key2" hidden="1">#REF!</definedName>
    <definedName name="___Lan1" hidden="1">{"'Sheet1'!$L$16"}</definedName>
    <definedName name="___LAN3" hidden="1">{"'Sheet1'!$L$16"}</definedName>
    <definedName name="___ld2" hidden="1">{"'Sheet1'!$L$16"}</definedName>
    <definedName name="___lop111" hidden="1">{#N/A,#N/A,FALSE,"特殊室（ＢＱ表）"}</definedName>
    <definedName name="___M36" hidden="1">{"'Sheet1'!$L$16"}</definedName>
    <definedName name="___MCC3" hidden="1">{#N/A,#N/A,FALSE,"CCTV"}</definedName>
    <definedName name="___MEP2" hidden="1">{#N/A,#N/A,FALSE,"CCTV"}</definedName>
    <definedName name="___NO1" hidden="1">#REF!</definedName>
    <definedName name="___NO2" hidden="1">#REF!</definedName>
    <definedName name="___NS03" hidden="1">{"'Sheet1'!$L$16"}</definedName>
    <definedName name="___NSO2" hidden="1">{"'Sheet1'!$L$16"}</definedName>
    <definedName name="___P3" hidden="1">{#N/A,#N/A,FALSE,"特殊室（ＢＱ表）"}</definedName>
    <definedName name="___PA3" hidden="1">{"'Sheet1'!$L$16"}</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R570001" hidden="1">#REF!</definedName>
    <definedName name="___SCL4" hidden="1">{"'Sheet1'!$L$16"}</definedName>
    <definedName name="___T3" hidden="1">{"'Sheet1'!$L$16"}</definedName>
    <definedName name="___tt3" hidden="1">{"'Sheet1'!$L$16"}</definedName>
    <definedName name="___tu4" hidden="1">{"'Sheet1'!$L$16"}</definedName>
    <definedName name="___xlfn.BAHTTEXT" hidden="1">#NAME?</definedName>
    <definedName name="__1__123Graph_ACHART_1" hidden="1">#REF!</definedName>
    <definedName name="__1__123Graph_Aｸﾞﾗﾌ_1" hidden="1">#REF!</definedName>
    <definedName name="__10__123Graph_DCHART_1" hidden="1">#REF!</definedName>
    <definedName name="__10__123Graph_Xｸﾞﾗﾌ_3" hidden="1">#REF!</definedName>
    <definedName name="__10__123Graph_Xｸﾞﾗﾌ_5" hidden="1">#REF!</definedName>
    <definedName name="__11__123Graph_Aｸﾞﾗﾌ_5" hidden="1">#REF!</definedName>
    <definedName name="__11__123Graph_Xｸﾞﾗﾌ_1" hidden="1">#REF!</definedName>
    <definedName name="__11__123Graph_Xｸﾞﾗﾌ_4" hidden="1">#REF!</definedName>
    <definedName name="__12__123Graph_Aｸﾞﾗﾌ_4" hidden="1">#REF!</definedName>
    <definedName name="__12__123Graph_Xｸﾞﾗﾌ_2" hidden="1">#REF!</definedName>
    <definedName name="__12__123Graph_Xｸﾞﾗﾌ_5"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CHART1" hidden="1">#REF!</definedName>
    <definedName name="__123Graph_APOWERSAV"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POWERSAV" hidden="1">#REF!</definedName>
    <definedName name="__123Graph_C" hidden="1">#REF!</definedName>
    <definedName name="__123Graph_D" hidden="1">#REF!</definedName>
    <definedName name="__123Graph_E" hidden="1">#REF!</definedName>
    <definedName name="__123Graph_F"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CF100"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CURRENT" hidden="1">#REF!</definedName>
    <definedName name="__123Graph_XCHART1" hidden="1">#REF!</definedName>
    <definedName name="__123Graph_XPOWERSAV" hidden="1">#REF!</definedName>
    <definedName name="__13__123Graph_Xｸﾞﾗﾌ_3" hidden="1">#REF!</definedName>
    <definedName name="__14__123Graph_Xｸﾞﾗﾌ_1" hidden="1">#REF!</definedName>
    <definedName name="__14__123Graph_Xｸﾞﾗﾌ_4" hidden="1">#REF!</definedName>
    <definedName name="__15__123Graph_Aｸﾞﾗﾌ_5" hidden="1">#REF!</definedName>
    <definedName name="__15__123Graph_Xｸﾞﾗﾌ_5" hidden="1">#REF!</definedName>
    <definedName name="__16__123Graph_Xｸﾞﾗﾌ_2" hidden="1">#REF!</definedName>
    <definedName name="__17__123Graph_Aｸﾞﾗﾌ_5" hidden="1">#REF!</definedName>
    <definedName name="__18__123Graph_Xｸﾞﾗﾌ_1" hidden="1">#REF!</definedName>
    <definedName name="__18__123Graph_Xｸﾞﾗﾌ_3" hidden="1">#REF!</definedName>
    <definedName name="__2__123Graph_ACHART_2" hidden="1">#REF!</definedName>
    <definedName name="__2__123Graph_Aｸﾞﾗﾌ_1" hidden="1">#REF!</definedName>
    <definedName name="__2__123Graph_Aｸﾞﾗﾌ_2" hidden="1">#REF!</definedName>
    <definedName name="__20__123Graph_Xｸﾞﾗﾌ_4" hidden="1">#REF!</definedName>
    <definedName name="__21__123Graph_Xｸﾞﾗﾌ_2" hidden="1">#REF!</definedName>
    <definedName name="__22__123Graph_Xｸﾞﾗﾌ_5" hidden="1">#REF!</definedName>
    <definedName name="__24__123Graph_Xｸﾞﾗﾌ_3" hidden="1">#REF!</definedName>
    <definedName name="__25__123Graph_Xｸﾞﾗﾌ_2" hidden="1">#REF!</definedName>
    <definedName name="__27__123Graph_Xｸﾞﾗﾌ_4" hidden="1">#REF!</definedName>
    <definedName name="__3__123Graph_Aｸﾞﾗﾌ_1" hidden="1">#REF!</definedName>
    <definedName name="__3__123Graph_Aｸﾞﾗﾌ_2" hidden="1">#REF!</definedName>
    <definedName name="__3__123Graph_Aｸﾞﾗﾌ_3" hidden="1">#REF!</definedName>
    <definedName name="__30__123Graph_Xｸﾞﾗﾌ_5" hidden="1">#REF!</definedName>
    <definedName name="__4__123Graph_Aｸﾞﾗﾌ_2" hidden="1">#REF!</definedName>
    <definedName name="__4__123Graph_Aｸﾞﾗﾌ_3" hidden="1">#REF!</definedName>
    <definedName name="__4__123Graph_Aｸﾞﾗﾌ_4" hidden="1">#REF!</definedName>
    <definedName name="__5__123Graph_Aｸﾞﾗﾌ_1" hidden="1">#REF!</definedName>
    <definedName name="__5__123Graph_Aｸﾞﾗﾌ_2" hidden="1">#REF!</definedName>
    <definedName name="__5__123Graph_Aｸﾞﾗﾌ_3" hidden="1">#REF!</definedName>
    <definedName name="__5__123Graph_Aｸﾞﾗﾌ_4" hidden="1">#REF!</definedName>
    <definedName name="__5__123Graph_Aｸﾞﾗﾌ_5" hidden="1">#REF!</definedName>
    <definedName name="__6__123Graph_Aｸﾞﾗﾌ_2" hidden="1">#REF!</definedName>
    <definedName name="__6__123Graph_Aｸﾞﾗﾌ_4" hidden="1">#REF!</definedName>
    <definedName name="__6__123Graph_Aｸﾞﾗﾌ_5" hidden="1">#REF!</definedName>
    <definedName name="__6__123Graph_Xｸﾞﾗﾌ_1" hidden="1">#REF!</definedName>
    <definedName name="__7__123Graph_Aｸﾞﾗﾌ_3" hidden="1">#REF!</definedName>
    <definedName name="__7__123Graph_Aｸﾞﾗﾌ_5" hidden="1">#REF!</definedName>
    <definedName name="__7__123Graph_Xｸﾞﾗﾌ_2" hidden="1">#REF!</definedName>
    <definedName name="__8__123Graph_BCHART_2" hidden="1">#REF!</definedName>
    <definedName name="__8__123Graph_Xｸﾞﾗﾌ_1" hidden="1">#REF!</definedName>
    <definedName name="__8__123Graph_Xｸﾞﾗﾌ_3" hidden="1">#REF!</definedName>
    <definedName name="__9__123Graph_Aｸﾞﾗﾌ_3" hidden="1">#REF!</definedName>
    <definedName name="__9__123Graph_Aｸﾞﾗﾌ_4" hidden="1">#REF!</definedName>
    <definedName name="__9__123Graph_CCHART_1" hidden="1">#REF!</definedName>
    <definedName name="__9__123Graph_Xｸﾞﾗﾌ_2" hidden="1">#REF!</definedName>
    <definedName name="__9__123Graph_Xｸﾞﾗﾌ_4" hidden="1">#REF!</definedName>
    <definedName name="__a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9" hidden="1">{"'Sheet1'!$L$16"}</definedName>
    <definedName name="__BG12" hidden="1">{"'Sheet1'!$L$16"}</definedName>
    <definedName name="__CN1" hidden="1">{"'Sheet1'!$L$16"}</definedName>
    <definedName name="__coc1000" hidden="1">{#N/A,#N/A,FALSE,"Chi tiÆt"}</definedName>
    <definedName name="__CT4" hidden="1">{"'Sheet1'!$L$16"}</definedName>
    <definedName name="__Cty501" hidden="1">{"'Sheet1'!$L$16"}</definedName>
    <definedName name="__d1500" hidden="1">{"'Sheet1'!$L$16"}</definedName>
    <definedName name="__DK1" hidden="1">{"Offgrid",#N/A,FALSE,"OFFGRID";"Region",#N/A,FALSE,"REGION";"Offgrid -2",#N/A,FALSE,"OFFGRID";"WTP",#N/A,FALSE,"WTP";"WTP -2",#N/A,FALSE,"WTP";"Project",#N/A,FALSE,"PROJECT";"Summary -2",#N/A,FALSE,"SUMMARY"}</definedName>
    <definedName name="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FAB4" hidden="1">#REF!</definedName>
    <definedName name="__fd2" hidden="1">{#N/A,#N/A,TRUE,"Cover Memo";"Complete Sys. Estimate",#N/A,TRUE,"Change Summary";"Complete Sys. Estimate",#N/A,TRUE,"Estimate Summary";"Complete Sys. Estimate",#N/A,TRUE,"Dept. Summary";"Complete Sys. Estimate",#N/A,TRUE,"DOW Detail"}</definedName>
    <definedName name="__gk2" hidden="1">#REF!</definedName>
    <definedName name="__Goi8" hidden="1">{"'Sheet1'!$L$16"}</definedName>
    <definedName name="__h1"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IntlFixup" hidden="1">TRUE</definedName>
    <definedName name="__key1" hidden="1">#REF!</definedName>
    <definedName name="__key2" hidden="1">#REF!</definedName>
    <definedName name="__KHM111" hidden="1">{#N/A,#N/A,FALSE,"제목"}</definedName>
    <definedName name="__KHM888" hidden="1">{#N/A,#N/A,FALSE,"제목"}</definedName>
    <definedName name="__Lan1" hidden="1">{"'Sheet1'!$L$16"}</definedName>
    <definedName name="__LAN3" hidden="1">{"'Sheet1'!$L$16"}</definedName>
    <definedName name="__ld2" hidden="1">{"'Sheet1'!$L$16"}</definedName>
    <definedName name="__lop111" hidden="1">{#N/A,#N/A,FALSE,"特殊室（ＢＱ表）"}</definedName>
    <definedName name="__M2" hidden="1">{"'Sheet1'!$L$16"}</definedName>
    <definedName name="__M36" hidden="1">{"'Sheet1'!$L$16"}</definedName>
    <definedName name="__MCC3" hidden="1">{#N/A,#N/A,FALSE,"CCTV"}</definedName>
    <definedName name="__MEP2" hidden="1">{#N/A,#N/A,FALSE,"CCTV"}</definedName>
    <definedName name="__NO1" hidden="1">#REF!</definedName>
    <definedName name="__NO2" hidden="1">#REF!</definedName>
    <definedName name="__NS03" hidden="1">{"'Sheet1'!$L$16"}</definedName>
    <definedName name="__NSO2" hidden="1">{"'Sheet1'!$L$16"}</definedName>
    <definedName name="__P3" hidden="1">{#N/A,#N/A,FALSE,"特殊室（ＢＱ表）"}</definedName>
    <definedName name="__PA3" hidden="1">{"'Sheet1'!$L$16"}</definedName>
    <definedName name="__PL7" hidden="1">{#N/A,#N/A,TRUE,"대 차 대 조 표"}</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qa1" hidden="1">#REF!</definedName>
    <definedName name="__R570001" hidden="1">#REF!</definedName>
    <definedName name="__SCL4" hidden="1">{"'Sheet1'!$L$16"}</definedName>
    <definedName name="__T1" hidden="1">{#N/A,#N/A,FALSE,"Chi tiÆt"}</definedName>
    <definedName name="__T3" hidden="1">{"'Sheet1'!$L$16"}</definedName>
    <definedName name="__TM2" hidden="1">{"'Sheet1'!$L$16"}</definedName>
    <definedName name="__tt3" hidden="1">{"'Sheet1'!$L$16"}</definedName>
    <definedName name="__tu4" hidden="1">{"'Sheet1'!$L$16"}</definedName>
    <definedName name="__xlfn.BAHTTEXT" hidden="1">#NAME?</definedName>
    <definedName name="_1____0_Dist_" hidden="1">#REF!</definedName>
    <definedName name="_1__123Graph_ACHART_1" hidden="1">#REF!</definedName>
    <definedName name="_1__123Graph_Aｸﾞﾗﾌ_1" hidden="1">#REF!</definedName>
    <definedName name="_1_0_F"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4" hidden="1">#REF!</definedName>
    <definedName name="_10__123Graph_Xｸﾞﾗﾌ_5" hidden="1">#REF!</definedName>
    <definedName name="_100__123Graph_Xｸﾞﾗﾌ_3" hidden="1">#REF!</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__123Graph_Aｸﾞﾗﾌ_1"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__123Graph_Xｸﾞﾗﾌ_5" hidden="1">#REF!</definedName>
    <definedName name="_110__123Graph_Xｸﾞﾗﾌ_5" hidden="1">#REF!</definedName>
    <definedName name="_112__123Graph_Xｸﾞﾗﾌ_5" hidden="1">#REF!</definedName>
    <definedName name="_116__123Graph_Xｸﾞﾗﾌ_1" hidden="1">#REF!</definedName>
    <definedName name="_11P3_" hidden="1">{#N/A,#N/A,FALSE,"特殊室（ＢＱ表）"}</definedName>
    <definedName name="_12__123Graph_A????_2" hidden="1">#REF!</definedName>
    <definedName name="_12__123Graph_Aｸﾞﾗﾌ_2" hidden="1">#REF!</definedName>
    <definedName name="_12__123Graph_Aｸﾞﾗﾌ_3" hidden="1">#REF!</definedName>
    <definedName name="_12__123Graph_Aｸﾞﾗﾌ_4" hidden="1">#REF!</definedName>
    <definedName name="_12__123Graph_Aｸﾞﾗﾌ_5"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Graph_F" hidden="1">#REF!</definedName>
    <definedName name="_124__123Graph_Xｸﾞﾗﾌ_2"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__123Graph_Aｸﾞﾗﾌ_2" hidden="1">#REF!</definedName>
    <definedName name="_14__123Graph_Aｸﾞﾗﾌ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__123Graph_Aｸﾞﾗﾌ_3" hidden="1">#REF!</definedName>
    <definedName name="_15__123Graph_Aｸﾞﾗﾌ_4" hidden="1">#REF!</definedName>
    <definedName name="_15__123Graph_Aｸﾞﾗﾌ_5" hidden="1">#REF!</definedName>
    <definedName name="_15__123Graph_Xｸﾞﾗﾌ_4" hidden="1">#REF!</definedName>
    <definedName name="_15__123Graph_Xｸﾞﾗﾌ_5" hidden="1">#REF!</definedName>
    <definedName name="_16__123Graph_Aｸﾞﾗﾌ_3" hidden="1">#REF!</definedName>
    <definedName name="_16__123Graph_Aｸﾞﾗﾌ_4" hidden="1">#REF!</definedName>
    <definedName name="_16__123Graph_Aｸﾞﾗﾌ_5" hidden="1">#REF!</definedName>
    <definedName name="_16__123Graph_BCHART_1" hidden="1">#REF!</definedName>
    <definedName name="_16__123Graph_XCHART_1A"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P3_" hidden="1">{#N/A,#N/A,FALSE,"特殊室（ＢＱ表）"}</definedName>
    <definedName name="_17__123Graph_A????_1" hidden="1">#REF!</definedName>
    <definedName name="_17__123Graph_A????_3" hidden="1">#REF!</definedName>
    <definedName name="_17__123Graph_Aｸﾞﾗﾌ_3" hidden="1">#REF!</definedName>
    <definedName name="_17__123Graph_Aｸﾞﾗﾌ_5" hidden="1">#REF!</definedName>
    <definedName name="_17_0_S"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__123Graph_Aｸﾞﾗﾌ_3"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0_S" hidden="1">#REF!</definedName>
    <definedName name="_19__123Graph_Aｸﾞﾗﾌ_5" hidden="1">#REF!</definedName>
    <definedName name="_19__123Graph_Xｸﾞﾗﾌ_2" hidden="1">#REF!</definedName>
    <definedName name="_19P3_" hidden="1">{#N/A,#N/A,FALSE,"特殊室（ＢＱ表）"}</definedName>
    <definedName name="_1P3_" hidden="1">{#N/A,#N/A,FALSE,"特殊室（ＢＱ表）"}</definedName>
    <definedName name="_2__123Graph_ACHART_1" hidden="1">#REF!</definedName>
    <definedName name="_2__123Graph_ACHART_2" hidden="1">#REF!</definedName>
    <definedName name="_2__123Graph_ATOTAL_PQ" hidden="1">#REF!</definedName>
    <definedName name="_2__123Graph_Aｸﾞﾗﾌ_1" hidden="1">#REF!</definedName>
    <definedName name="_2__123Graph_Aｸﾞﾗﾌ_2" hidden="1">#REF!</definedName>
    <definedName name="_2_0_0_F" hidden="1">#REF!</definedName>
    <definedName name="_2_0_S" hidden="1">#REF!</definedName>
    <definedName name="_20__123Graph_Aｸﾞﾗﾌ_4" hidden="1">#REF!</definedName>
    <definedName name="_20__123Graph_BCHART_1"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1__123Graph_A????_2" hidden="1">#REF!</definedName>
    <definedName name="_21__123Graph_Aｸﾞﾗﾌ_3" hidden="1">#REF!</definedName>
    <definedName name="_21__123Graph_Aｸﾞﾗﾌ_4" hidden="1">#REF!</definedName>
    <definedName name="_21__123Graph_BCHART_1" hidden="1">#REF!</definedName>
    <definedName name="_21__123Graph_Xｸﾞﾗﾌ_2" hidden="1">#REF!</definedName>
    <definedName name="_21__123Graph_Xｸﾞﾗﾌ_4" hidden="1">#REF!</definedName>
    <definedName name="_21_0_S" hidden="1">#REF!</definedName>
    <definedName name="_212g" hidden="1">#REF!</definedName>
    <definedName name="_21P3_" hidden="1">{#N/A,#N/A,FALSE,"特殊室（ＢＱ表）"}</definedName>
    <definedName name="_22__123Graph_A????_4" hidden="1">#REF!</definedName>
    <definedName name="_22__123Graph_Aｸﾞﾗﾌ_2" hidden="1">#REF!</definedName>
    <definedName name="_22__123Graph_Xｸﾞﾗﾌ_1" hidden="1">#REF!</definedName>
    <definedName name="_22__123Graph_Xｸﾞﾗﾌ_3" hidden="1">#REF!</definedName>
    <definedName name="_22__123Graph_Xｸﾞﾗﾌ_4" hidden="1">#REF!</definedName>
    <definedName name="_22__123Graph_Xｸﾞﾗﾌ_5" hidden="1">#REF!</definedName>
    <definedName name="_23__123Graph_A????_1" hidden="1">#REF!</definedName>
    <definedName name="_23__123Graph_Aｸﾞﾗﾌ_5" hidden="1">#REF!</definedName>
    <definedName name="_23__123Graph_Xｸﾞﾗﾌ_1" hidden="1">#REF!</definedName>
    <definedName name="_23__123Graph_Xｸﾞﾗﾌ_2" hidden="1">#REF!</definedName>
    <definedName name="_24__123Graph_Aｸﾞﾗﾌ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__123Graph_A????_3" hidden="1">#REF!</definedName>
    <definedName name="_25__123Graph_Aｸﾞﾗﾌ_5" hidden="1">#REF!</definedName>
    <definedName name="_25__123Graph_Xｸﾞﾗﾌ_1" hidden="1">#REF!</definedName>
    <definedName name="_25__123Graph_Xｸﾞﾗﾌ_2" hidden="1">#REF!</definedName>
    <definedName name="_25P3_" hidden="1">{#N/A,#N/A,FALSE,"特殊室（ＢＱ表）"}</definedName>
    <definedName name="_26__123Graph_Aｸﾞﾗﾌ_5" hidden="1">#REF!</definedName>
    <definedName name="_26__123Graph_Xｸﾞﾗﾌ_2" hidden="1">#REF!</definedName>
    <definedName name="_26__123Graph_Xｸﾞﾗﾌ_3" hidden="1">#REF!</definedName>
    <definedName name="_26__123Graph_Xｸﾞﾗﾌ_5" hidden="1">#REF!</definedName>
    <definedName name="_26a1_" hidden="1">{"'Sheet1'!$L$16"}</definedName>
    <definedName name="_27__123Graph_A????_5" hidden="1">#REF!</definedName>
    <definedName name="_27__123Graph_Xｸﾞﾗﾌ_3" hidden="1">#REF!</definedName>
    <definedName name="_27__123Graph_Xｸﾞﾗﾌ_4" hidden="1">#REF!</definedName>
    <definedName name="_28__123Graph_A????_2" hidden="1">#REF!</definedName>
    <definedName name="_28__123Graph_Aｸﾞﾗﾌ_4" hidden="1">#REF!</definedName>
    <definedName name="_28__123Graph_Xｸﾞﾗﾌ_2" hidden="1">#REF!</definedName>
    <definedName name="_28__123Graph_Xｸﾞﾗﾌ_3" hidden="1">#REF!</definedName>
    <definedName name="_28__123Graph_Xｸﾞﾗﾌ_4" hidden="1">#REF!</definedName>
    <definedName name="_29__123Graph_A????_4" hidden="1">#REF!</definedName>
    <definedName name="_29__123Graph_Xｸﾞﾗﾌ_1"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__123Graph_ACHART_1" hidden="1">#REF!</definedName>
    <definedName name="_3__123Graph_ACHART_2" hidden="1">#REF!</definedName>
    <definedName name="_3__123Graph_Aｸﾞﾗﾌ_1" hidden="1">#REF!</definedName>
    <definedName name="_3__123Graph_Aｸﾞﾗﾌ_2" hidden="1">#REF!</definedName>
    <definedName name="_3__123Graph_Aｸﾞﾗﾌ_3" hidden="1">#REF!</definedName>
    <definedName name="_3__123Graph_BTOTAL_PQ" hidden="1">#REF!</definedName>
    <definedName name="_3_2_0_Parse" hidden="1">#REF!</definedName>
    <definedName name="_30__123Graph_Aｸﾞﾗﾌ_5" hidden="1">#REF!</definedName>
    <definedName name="_30__123Graph_BCHART_1" hidden="1">#REF!</definedName>
    <definedName name="_30__123Graph_Xｸﾞﾗﾌ_1" hidden="1">#REF!</definedName>
    <definedName name="_30__123Graph_Xｸﾞﾗﾌ_4" hidden="1">#REF!</definedName>
    <definedName name="_30__123Graph_Xｸﾞﾗﾌ_5"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__123Graph_Xｸﾞﾗﾌ_1" hidden="1">#REF!</definedName>
    <definedName name="_32__123Graph_Xｸﾞﾗﾌ_5" hidden="1">#REF!</definedName>
    <definedName name="_33__123Graph_A????_3" hidden="1">#REF!</definedName>
    <definedName name="_33__123Graph_A????_5" hidden="1">#REF!</definedName>
    <definedName name="_33__123Graph_Aｸﾞﾗﾌ_1" hidden="1">#REF!</definedName>
    <definedName name="_33__123Graph_Aｸﾞﾗﾌ_3" hidden="1">#REF!</definedName>
    <definedName name="_33__123Graph_Xｸﾞﾗﾌ_3" hidden="1">#REF!</definedName>
    <definedName name="_34__123Graph_Xｸﾞﾗﾌ_1" hidden="1">#REF!</definedName>
    <definedName name="_34__123Graph_Xｸﾞﾗﾌ_4" hidden="1">#REF!</definedName>
    <definedName name="_34__123Graph_Xｸﾞﾗﾌ_5" hidden="1">#REF!</definedName>
    <definedName name="_35__123Graph_Aｸﾞﾗﾌ_5" hidden="1">#REF!</definedName>
    <definedName name="_35__123Graph_Xｸﾞﾗﾌ_4" hidden="1">#REF!</definedName>
    <definedName name="_36__123Graph_Xｸﾞﾗﾌ_1" hidden="1">#REF!</definedName>
    <definedName name="_36P3_" hidden="1">{#N/A,#N/A,FALSE,"特殊室（ＢＱ表）"}</definedName>
    <definedName name="_37__123Graph_Xｸﾞﾗﾌ_2" hidden="1">#REF!</definedName>
    <definedName name="_37__123Graph_Xｸﾞﾗﾌ_5" hidden="1">#REF!</definedName>
    <definedName name="_38__123Graph_A????_4" hidden="1">#REF!</definedName>
    <definedName name="_38__123Graph_Aｸﾞﾗﾌ_1" hidden="1">#REF!</definedName>
    <definedName name="_38__123Graph_Xｸﾞﾗﾌ_2" hidden="1">#REF!</definedName>
    <definedName name="_39__123Graph_Aｸﾞﾗﾌ_2" hidden="1">#REF!</definedName>
    <definedName name="_3a1_" hidden="1">{"'Sheet1'!$L$16"}</definedName>
    <definedName name="_4__123Graph_ACHART_1" hidden="1">#REF!</definedName>
    <definedName name="_4__123Graph_ACHART_1A"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TOTAL_PQ" hidden="1">#REF!</definedName>
    <definedName name="_40__123Graph_Xｸﾞﾗﾌ_3" hidden="1">#REF!</definedName>
    <definedName name="_42__123Graph_Xｸﾞﾗﾌ_1" hidden="1">#REF!</definedName>
    <definedName name="_42__123Graph_Xｸﾞﾗﾌ_2" hidden="1">#REF!</definedName>
    <definedName name="_42__123Graph_Xｸﾞﾗﾌ_3" hidden="1">#REF!</definedName>
    <definedName name="_43__123Graph_A????_5" hidden="1">#REF!</definedName>
    <definedName name="_43__123Graph_Aｸﾞﾗﾌ_2" hidden="1">#REF!</definedName>
    <definedName name="_43wrn.Ã¶°ñÁý°èÇ_._.5Ä­." hidden="1">{#N/A,#N/A,FALSE,"Sheet1"}</definedName>
    <definedName name="_44__123Graph_Aｸﾞﾗﾌ_4" hidden="1">#REF!</definedName>
    <definedName name="_45__123Graph_Aｸﾞﾗﾌ_3" hidden="1">#REF!</definedName>
    <definedName name="_45__123Graph_Xｸﾞﾗﾌ_4" hidden="1">#REF!</definedName>
    <definedName name="_46__123Graph_Xｸﾞﾗﾌ_4" hidden="1">#REF!</definedName>
    <definedName name="_47__123Graph_Xｸﾞﾗﾌ_4" hidden="1">#REF!</definedName>
    <definedName name="_48__123Graph_Aｸﾞﾗﾌ_3" hidden="1">#REF!</definedName>
    <definedName name="_48__123Graph_Xｸﾞﾗﾌ_3" hidden="1">#REF!</definedName>
    <definedName name="_49__123Graph_Xｸﾞﾗﾌ_2" hidden="1">#REF!</definedName>
    <definedName name="_5__123Graph_ACHART_2"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TOTAL_PQ" hidden="1">#REF!</definedName>
    <definedName name="_5_0_0_F" hidden="1">#REF!</definedName>
    <definedName name="_50__123Graph_Xｸﾞﾗﾌ_5" hidden="1">#REF!</definedName>
    <definedName name="_51__123Graph_Aｸﾞﾗﾌ_1" hidden="1">#REF!</definedName>
    <definedName name="_51__123Graph_Aｸﾞﾗﾌ_4" hidden="1">#REF!</definedName>
    <definedName name="_52__123Graph_Xｸﾞﾗﾌ_5" hidden="1">#REF!</definedName>
    <definedName name="_53__123Graph_Aｸﾞﾗﾌ_4" hidden="1">#REF!</definedName>
    <definedName name="_54__123Graph_Xｸﾞﾗﾌ_4" hidden="1">#REF!</definedName>
    <definedName name="_55__123Graph_Aｸﾞﾗﾌ_5" hidden="1">#REF!</definedName>
    <definedName name="_56__123Graph_Xｸﾞﾗﾌ_3" hidden="1">#REF!</definedName>
    <definedName name="_57__123Graph_Aｸﾞﾗﾌ_5" hidden="1">#REF!</definedName>
    <definedName name="_58_?asadas" hidden="1">#REF!</definedName>
    <definedName name="_58__123Graph_Aｸﾞﾗﾌ_5" hidden="1">#REF!</definedName>
    <definedName name="_59__123Graph_Aｸﾞﾗﾌ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TOTAL_PQ" hidden="1">#REF!</definedName>
    <definedName name="_6__123Graph_Xｸﾞﾗﾌ_1" hidden="1">#REF!</definedName>
    <definedName name="_60__123Graph_Xｸﾞﾗﾌ_5" hidden="1">#REF!</definedName>
    <definedName name="_62__123Graph_X????_1" hidden="1">#REF!</definedName>
    <definedName name="_63__123Graph_Xｸﾞﾗﾌ_4" hidden="1">#REF!</definedName>
    <definedName name="_66__123Graph_X????_2" hidden="1">#REF!</definedName>
    <definedName name="_66__123Graph_Xｸﾞﾗﾌ_1"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__123Graph_A????_1"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BCHART_1" hidden="1">#REF!</definedName>
    <definedName name="_7__123Graph_Xｸﾞﾗﾌ_1" hidden="1">#REF!</definedName>
    <definedName name="_7__123Graph_Xｸﾞﾗﾌ_2" hidden="1">#REF!</definedName>
    <definedName name="_7_0_S" hidden="1">#REF!</definedName>
    <definedName name="_70__123Graph_X????_3" hidden="1">#REF!</definedName>
    <definedName name="_70__123Graph_Xｸﾞﾗﾌ_5" hidden="1">#REF!</definedName>
    <definedName name="_72__123Graph_X????_3" hidden="1">#REF!</definedName>
    <definedName name="_74__123Graph_X????_4" hidden="1">#REF!</definedName>
    <definedName name="_75__123Graph_Aｸﾞﾗﾌ_4" hidden="1">#REF!</definedName>
    <definedName name="_77__123Graph_X????_4" hidden="1">#REF!</definedName>
    <definedName name="_77__123Graph_Xｸﾞﾗﾌ_2" hidden="1">#REF!</definedName>
    <definedName name="_78__123Graph_X????_5" hidden="1">#REF!</definedName>
    <definedName name="_8__123Graph_ACHART_1A"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A" hidden="1">#REF!</definedName>
    <definedName name="_8__123Graph_Xｸﾞﾗﾌ_1" hidden="1">#REF!</definedName>
    <definedName name="_8__123Graph_Xｸﾞﾗﾌ_2" hidden="1">#REF!</definedName>
    <definedName name="_8__123Graph_Xｸﾞﾗﾌ_3" hidden="1">#REF!</definedName>
    <definedName name="_8¤§¤_¤¡" hidden="1">{#N/A,#N/A,FALSE,"Sheet1"}</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88__123Graph_Xｸﾞﾗﾌ_3"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1" hidden="1">#REF!</definedName>
    <definedName name="_9__123Graph_CCHART_1" hidden="1">#REF!</definedName>
    <definedName name="_9__123Graph_Xｸﾞﾗﾌ_1" hidden="1">#REF!</definedName>
    <definedName name="_9__123Graph_Xｸﾞﾗﾌ_2" hidden="1">#REF!</definedName>
    <definedName name="_9__123Graph_Xｸﾞﾗﾌ_3" hidden="1">#REF!</definedName>
    <definedName name="_9__123Graph_Xｸﾞﾗﾌ_4" hidden="1">#REF!</definedName>
    <definedName name="_9_0_0_F"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99__123Graph_Xｸﾞﾗﾌ_4" hidden="1">#REF!</definedName>
    <definedName name="_a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2" hidden="1">{"'Sheet1'!$L$16"}</definedName>
    <definedName name="_BG12" hidden="1">{"'Sheet1'!$L$16"}</definedName>
    <definedName name="_bht6" hidden="1">{"'Sheet1'!$L$16"}</definedName>
    <definedName name="_Builtin155" hidden="1">#N/A</definedName>
    <definedName name="_CD2" hidden="1">{"'Sheet1'!$L$16"}</definedName>
    <definedName name="_CN1" hidden="1">{"'Sheet1'!$L$16"}</definedName>
    <definedName name="_coc1000" hidden="1">{#N/A,#N/A,FALSE,"Chi tiÆt"}</definedName>
    <definedName name="_Coc39" hidden="1">{"'Sheet1'!$L$16"}</definedName>
    <definedName name="_CT4" hidden="1">{"'Sheet1'!$L$16"}</definedName>
    <definedName name="_Cty501" hidden="1">{"'Sheet1'!$L$16"}</definedName>
    <definedName name="_d1500" hidden="1">{"'Sheet1'!$L$16"}</definedName>
    <definedName name="_d2" hidden="1">{#N/A,#N/A,FALSE,"mgtsum.XLS";#N/A,#N/A,FALSE,"CAPONE";#N/A,#N/A,FALSE,"CAPTWO";#N/A,#N/A,FALSE,"CAPTHREE"}</definedName>
    <definedName name="_Dist_Bin" hidden="1">#REF!</definedName>
    <definedName name="_Dist_Values" hidden="1">#REF!</definedName>
    <definedName name="_DK1" hidden="1">{"Offgrid",#N/A,FALSE,"OFFGRID";"Region",#N/A,FALSE,"REGION";"Offgrid -2",#N/A,FALSE,"OFFGRID";"WTP",#N/A,FALSE,"WTP";"WTP -2",#N/A,FALSE,"WTP";"Project",#N/A,FALSE,"PROJECT";"Summary -2",#N/A,FALSE,"SUMMARY"}</definedName>
    <definedName name="_dsa3" hidden="1">#REF!</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AB4" hidden="1">#REF!</definedName>
    <definedName name="_FIL" hidden="1">#REF!</definedName>
    <definedName name="_Fill" hidden="1">#REF!</definedName>
    <definedName name="_Fill.1" hidden="1">#REF!</definedName>
    <definedName name="_Fill1" hidden="1">#REF!</definedName>
    <definedName name="_Fill2" hidden="1">#REF!</definedName>
    <definedName name="_filter22" hidden="1">#REF!</definedName>
    <definedName name="_gk2" hidden="1">#REF!</definedName>
    <definedName name="_Goi8" hidden="1">{"'Sheet1'!$L$16"}</definedName>
    <definedName name="_h1"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6" hidden="1">{"'Sheet1'!$L$16"}</definedName>
    <definedName name="_hu7" hidden="1">{"'Sheet1'!$L$16"}</definedName>
    <definedName name="_K146" hidden="1">{"'Sheet1'!$L$16"}</definedName>
    <definedName name="_Key1" hidden="1">#REF!</definedName>
    <definedName name="_KEY12" hidden="1">#REF!</definedName>
    <definedName name="_Key2" hidden="1">#REF!</definedName>
    <definedName name="_key22" hidden="1">#REF!</definedName>
    <definedName name="_Key3" hidden="1">#N/A</definedName>
    <definedName name="_kfkf" hidden="1">#REF!</definedName>
    <definedName name="_KHM111" hidden="1">{#N/A,#N/A,FALSE,"제목"}</definedName>
    <definedName name="_KHM888" hidden="1">{#N/A,#N/A,FALSE,"제목"}</definedName>
    <definedName name="_Lan1" hidden="1">{"'Sheet1'!$L$16"}</definedName>
    <definedName name="_LAN3" hidden="1">{"'Sheet1'!$L$16"}</definedName>
    <definedName name="_ld2" hidden="1">{"'Sheet1'!$L$16"}</definedName>
    <definedName name="_lk2" hidden="1">{"'Sheet1'!$L$16"}</definedName>
    <definedName name="_lop111" hidden="1">{#N/A,#N/A,FALSE,"特殊室（ＢＱ表）"}</definedName>
    <definedName name="_M2" hidden="1">{"'Sheet1'!$L$16"}</definedName>
    <definedName name="_M36" hidden="1">{"'Sheet1'!$L$16"}</definedName>
    <definedName name="_MatInverse_In" hidden="1">#REF!</definedName>
    <definedName name="_MatMult_A" hidden="1">#REF!</definedName>
    <definedName name="_MatMult_AxB" hidden="1">#REF!</definedName>
    <definedName name="_MatMult_B" hidden="1">#REF!</definedName>
    <definedName name="_MCC3" hidden="1">{#N/A,#N/A,FALSE,"CCTV"}</definedName>
    <definedName name="_MEP2" hidden="1">{#N/A,#N/A,FALSE,"CCTV"}</definedName>
    <definedName name="_NK5" hidden="1">{"'Sheet1'!$L$16"}</definedName>
    <definedName name="_NO1" hidden="1">#REF!</definedName>
    <definedName name="_NO2" hidden="1">#REF!</definedName>
    <definedName name="_NS03" hidden="1">{"'Sheet1'!$L$16"}</definedName>
    <definedName name="_NSO2" hidden="1">{"'Sheet1'!$L$16"}</definedName>
    <definedName name="_Order1" hidden="1">255</definedName>
    <definedName name="_Order2" hidden="1">255</definedName>
    <definedName name="_ordr2" hidden="1">0</definedName>
    <definedName name="_ordwre2" hidden="1">0</definedName>
    <definedName name="_P3" hidden="1">{#N/A,#N/A,FALSE,"特殊室（ＢＱ表）"}</definedName>
    <definedName name="_PA3" hidden="1">{"'Sheet1'!$L$16"}</definedName>
    <definedName name="_pa4" hidden="1">{"'Sheet1'!$L$16"}</definedName>
    <definedName name="_Parse_In" hidden="1">#REF!</definedName>
    <definedName name="_Parse_Out" hidden="1">#REF!</definedName>
    <definedName name="_PL7" hidden="1">{#N/A,#N/A,TRUE,"대 차 대 조 표"}</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qa1" hidden="1">#REF!</definedName>
    <definedName name="_QLO7" hidden="1">#REF!</definedName>
    <definedName name="_R570001" hidden="1">#REF!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SCL4" hidden="1">{"'Sheet1'!$L$16"}</definedName>
    <definedName name="_Sort" hidden="1">#REF!</definedName>
    <definedName name="_sxt5" hidden="1">{"'Sheet1'!$L$16"}</definedName>
    <definedName name="_T1" hidden="1">{#N/A,#N/A,FALSE,"Chi tiÆt"}</definedName>
    <definedName name="_T10" hidden="1">{"'Sheet1'!$L$16"}</definedName>
    <definedName name="_t12" hidden="1">{#N/A,#N/A,FALSE,"Chi tiÆt"}</definedName>
    <definedName name="_T3" hidden="1">{"'Sheet1'!$L$16"}</definedName>
    <definedName name="_Table1_In1" hidden="1">#REF!</definedName>
    <definedName name="_Table1_Out" hidden="1">#REF!</definedName>
    <definedName name="_Table2_In1" hidden="1">#REF!</definedName>
    <definedName name="_Table2_Out" hidden="1">#REF!</definedName>
    <definedName name="_td1" hidden="1">{"'Sheet1'!$L$16"}</definedName>
    <definedName name="_TM2" hidden="1">{"'Sheet1'!$L$16"}</definedName>
    <definedName name="_tt3" hidden="1">{"'Sheet1'!$L$16"}</definedName>
    <definedName name="_tu4" hidden="1">{"'Sheet1'!$L$16"}</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pt5" hidden="1">{"'Sheet1'!$L$16"}</definedName>
    <definedName name="_vpt6" hidden="1">{"'Sheet1'!$L$16"}</definedName>
    <definedName name="_woogi" hidden="1">#REF!</definedName>
    <definedName name="_woogi2" hidden="1">#REF!</definedName>
    <definedName name="_woogi24" hidden="1">#REF!</definedName>
    <definedName name="_woogi3" hidden="1">#REF!</definedName>
    <definedName name="_재ㅐ햐" hidden="1">#REF!</definedName>
    <definedName name="_총괄표" hidden="1">#REF!</definedName>
    <definedName name="´cAE°eE¹" hidden="1">#REF!</definedName>
    <definedName name="¸df" hidden="1">#REF!</definedName>
    <definedName name="¸dfsad" hidden="1">#REF!</definedName>
    <definedName name="￠￥cAE¡ÆeEⓒo" hidden="1">#REF!</definedName>
    <definedName name="µgg" hidden="1">{"'Sheet1'!$L$16"}</definedName>
    <definedName name="¼QRWERQWR" hidden="1">#REF!</definedName>
    <definedName name="­234w4q324q32" hidden="1">#REF!</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moi" hidden="1">{"'Sheet1'!$L$16"}</definedName>
    <definedName name="a3e32" hidden="1">#REF!</definedName>
    <definedName name="a3rt" hidden="1">{"'Sheet1'!$L$16"}</definedName>
    <definedName name="AAA" hidden="1">#REF!</definedName>
    <definedName name="AAAA" hidden="1">#REF!</definedName>
    <definedName name="aaaaa" hidden="1">#REF!</definedName>
    <definedName name="aaaaaa" hidden="1">{"Offgrid",#N/A,FALSE,"OFFGRID";"Region",#N/A,FALSE,"REGION";"Offgrid -2",#N/A,FALSE,"OFFGRID";"WTP",#N/A,FALSE,"WTP";"WTP -2",#N/A,FALSE,"WTP";"Project",#N/A,FALSE,"PROJECT";"Summary -2",#N/A,FALSE,"SUMMARY"}</definedName>
    <definedName name="aaaaaaaaaa" hidden="1">{#N/A,#N/A,FALSE,"운반시간"}</definedName>
    <definedName name="aaaaaaaaaaaaaaaaa" hidden="1">{#N/A,#N/A,FALSE,"CCTV"}</definedName>
    <definedName name="aaag" hidden="1">{#N/A,#N/A,TRUE,"SUM";#N/A,#N/A,TRUE,"EE";#N/A,#N/A,TRUE,"AC";#N/A,#N/A,TRUE,"SN"}</definedName>
    <definedName name="aakdf" hidden="1">{#N/A,#N/A,FALSE,"mgtsum.XLS";#N/A,#N/A,FALSE,"CAPONE";#N/A,#N/A,FALSE,"CAPTWO";#N/A,#N/A,FALSE,"CAPTHREE"}</definedName>
    <definedName name="aassa" hidden="1">{"'Sheet1'!$L$16"}</definedName>
    <definedName name="aassdffgb" hidden="1">#REF!</definedName>
    <definedName name="áấd" hidden="1">#REF!</definedName>
    <definedName name="ABAB" hidden="1">{#N/A,#N/A,FALSE,"CCTV"}</definedName>
    <definedName name="abc" hidden="1">{#N/A,#N/A,TRUE,"Basic";#N/A,#N/A,TRUE,"EXT-TABLE";#N/A,#N/A,TRUE,"STEEL";#N/A,#N/A,TRUE,"INT-Table";#N/A,#N/A,TRUE,"STEEL";#N/A,#N/A,TRUE,"Door"}</definedName>
    <definedName name="ABCD" hidden="1">{"'Sheet1'!$L$16"}</definedName>
    <definedName name="ABCDE" hidden="1">{"'Sheet1'!$L$16"}</definedName>
    <definedName name="abcdefg" hidden="1">{#N/A,#N/A,FALSE,"mgtsum.XLS";#N/A,#N/A,FALSE,"CAPONE";#N/A,#N/A,FALSE,"CAPTWO";#N/A,#N/A,FALSE,"CAPTHREE"}</definedName>
    <definedName name="abcxyz" hidden="1">{#N/A,#N/A,FALSE,"mgtsum.XLS";#N/A,#N/A,FALSE,"CAPONE";#N/A,#N/A,FALSE,"CAPTWO";#N/A,#N/A,FALSE,"CAPTHREE"}</definedName>
    <definedName name="abv"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ccessDatabase" hidden="1">"C:\My Documents\HAU\Danhsach\List Cpn.mdb"</definedName>
    <definedName name="ACMV" hidden="1">{"'Sheet1'!$L$16"}</definedName>
    <definedName name="AD" hidden="1">#REF!</definedName>
    <definedName name="ADA" hidden="1">#REF!</definedName>
    <definedName name="adasasdda" hidden="1">#REF!</definedName>
    <definedName name="ADC" hidden="1">#REF!</definedName>
    <definedName name="ADCD" hidden="1">{#N/A,#N/A,FALSE,"特殊室（ＢＱ表）"}</definedName>
    <definedName name="ade" hidden="1">{#N/A,#N/A,FALSE,"Chi tiÆt"}</definedName>
    <definedName name="ÁDF" hidden="1">#REF!</definedName>
    <definedName name="adfdda" hidden="1">#REF!</definedName>
    <definedName name="adfghkk" hidden="1">#REF!</definedName>
    <definedName name="ADFV" hidden="1">{#N/A,#N/A,FALSE,"전력간선"}</definedName>
    <definedName name="ADG" hidden="1">#REF!</definedName>
    <definedName name="ÁDG" hidden="1">#REF!</definedName>
    <definedName name="ÁDGDA" hidden="1">#REF!</definedName>
    <definedName name="Adrian" hidden="1">#REF!</definedName>
    <definedName name="áds" hidden="1">{"'Sheet1'!$L$16"}</definedName>
    <definedName name="adsadsa" hidden="1">{#N/A,#N/A,TRUE,"CS&amp;SS(AG)";#N/A,#N/A,TRUE,"CS(UG)";#N/A,#N/A,TRUE,"CSCL(UG)";#N/A,#N/A,TRUE,"KYNAR";#N/A,#N/A,TRUE,"ALLOY904";#N/A,#N/A,TRUE,"TITANIUM";#N/A,#N/A,TRUE,"STMTRACE"}</definedName>
    <definedName name="ádsấ" hidden="1">{#N/A,#N/A,FALSE,"Tabelle2";#N/A,#N/A,FALSE,"Tabelle1"}</definedName>
    <definedName name="adsdghtyyuiui" hidden="1">#REF!</definedName>
    <definedName name="adsfads" hidden="1">{#N/A,#N/A,FALSE,"혼합골재"}</definedName>
    <definedName name="aesde" hidden="1">{#N/A,#N/A,FALSE,"CCTV"}</definedName>
    <definedName name="a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af" hidden="1">{"'Sheet1'!$L$16"}</definedName>
    <definedName name="afasfsagfas" hidden="1">{#N/A,#N/A,FALSE,"Chi tiÆt"}</definedName>
    <definedName name="AFDA" hidden="1">#REF!</definedName>
    <definedName name="AFDFD" hidden="1">{#N/A,#N/A,FALSE,"Chi tiÆt"}</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WRR" hidden="1">{"'Sheet1'!$L$16"}</definedName>
    <definedName name="AGA" hidden="1">#REF!</definedName>
    <definedName name="AGAG" hidden="1">#REF!</definedName>
    <definedName name="ÁGD" hidden="1">#REF!</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DFSFDG" hidden="1">{#N/A,#N/A,FALSE,"전력간선"}</definedName>
    <definedName name="aheh" hidden="1">{#N/A,#N/A,FALSE,"이태원철근"}</definedName>
    <definedName name="AHGA" hidden="1">{"'Sheet1'!$L$16"}</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 hidden="1">{#N/A,#N/A,FALSE,"이태원철근"}</definedName>
    <definedName name="ALCKDGH" hidden="1">{#N/A,#N/A,FALSE,"CCTV"}</definedName>
    <definedName name="am" hidden="1">{#N/A,#N/A,FALSE,"이태원철근"}</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 hidden="1">3</definedName>
    <definedName name="Antoan" hidden="1">{"'Sheet1'!$L$16"}</definedName>
    <definedName name="anh" hidden="1">#REF!</definedName>
    <definedName name="ao" hidden="1">{#N/A,#N/A,FALSE,"이태원철근"}</definedName>
    <definedName name="ap" hidden="1">{#N/A,#N/A,FALSE,"이태원철근"}</definedName>
    <definedName name="aq" hidden="1">{#N/A,#N/A,FALSE,"CCTV"}</definedName>
    <definedName name="AREA0002" hidden="1">#REF!</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hidden="1">#REF!</definedName>
    <definedName name="AS2DocOpenMode" hidden="1">"AS2DocumentEdit"</definedName>
    <definedName name="AS2ReportLS" hidden="1">1</definedName>
    <definedName name="AS2SyncStepLS" hidden="1">0</definedName>
    <definedName name="AS2VersionLS" hidden="1">300</definedName>
    <definedName name="asa" hidden="1">{"'Sheet1'!$L$16"}</definedName>
    <definedName name="asas" hidden="1">{#N/A,#N/A,FALSE,"Sheet2";#N/A,#N/A,FALSE,"Sheet4";#N/A,#N/A,FALSE,"Sheet6"}</definedName>
    <definedName name="asda" hidden="1">#REF!</definedName>
    <definedName name="asdada" hidden="1">{#N/A,#N/A,FALSE,"特殊室（ＢＱ表）"}</definedName>
    <definedName name="ASDAS" hidden="1">#REF!</definedName>
    <definedName name="asdasdsa" hidden="1">{#N/A,#N/A,FALSE,"조골재"}</definedName>
    <definedName name="ASDF" hidden="1">{#N/A,#N/A,FALSE,"제목"}</definedName>
    <definedName name="asdfa" hidden="1">#REF!</definedName>
    <definedName name="asdfg" hidden="1">{"'Sheet1'!$L$16"}</definedName>
    <definedName name="asdga" hidden="1">{#N/A,#N/A,FALSE,"이태원철근"}</definedName>
    <definedName name="asdsad" hidden="1">{#N/A,#N/A,FALSE,"단가표지"}</definedName>
    <definedName name="aserasdea" hidden="1">{"'Sheet1'!$L$16"}</definedName>
    <definedName name="asf" hidden="1">{"'Sheet1'!$L$16"}</definedName>
    <definedName name="asghjjjj" hidden="1">#REF!</definedName>
    <definedName name="ASS" hidden="1">{#N/A,#N/A,TRUE,"Cover Memo";"Complete Sys. Estimate",#N/A,TRUE,"Change Summary";"Complete Sys. Estimate",#N/A,TRUE,"Estimate Summary";"Complete Sys. Estimate",#N/A,TRUE,"Dept. Summary";"Complete Sys. Estimate",#N/A,TRUE,"DOW Detail"}</definedName>
    <definedName name="assss" hidden="1">#REF!</definedName>
    <definedName name="asssss" hidden="1">{"'Sheet1'!$L$16"}</definedName>
    <definedName name="AT" hidden="1">#REF!</definedName>
    <definedName name="ATGT" hidden="1">{"'Sheet1'!$L$16"}</definedName>
    <definedName name="ATW" hidden="1">#REF!</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s" hidden="1">#REF!</definedName>
    <definedName name="Â" hidden="1">{#N/A,#N/A,FALSE,"CCTV"}</definedName>
    <definedName name="ầ" hidden="1">{"'Sheet1'!$L$16"}</definedName>
    <definedName name="ầgfabg" hidden="1">#REF!</definedName>
    <definedName name="B2.Other" hidden="1">{"'Sheet1'!$L$16"}</definedName>
    <definedName name="b3a" hidden="1">#REF!</definedName>
    <definedName name="b3a1" hidden="1">#REF!</definedName>
    <definedName name="B6a" hidden="1">{"'Sheet1'!$L$16"}</definedName>
    <definedName name="banQL" hidden="1">{"'Sheet1'!$L$16"}</definedName>
    <definedName name="basin" hidden="1">{"'장비'!$A$3:$M$12"}</definedName>
    <definedName name="BB" hidden="1">{#N/A,#N/A,TRUE,"Cover Memo";"Facility Estimate",#N/A,TRUE,"Change Summary";"Facility Estimate",#N/A,TRUE,"Estimate Summary";"Facility Estimate",#N/A,TRUE,"Dept. Summary";"Facility Estimate",#N/A,TRUE,"DOW Detail"}</definedName>
    <definedName name="BBB" hidden="1">{"'Sheet1'!$L$16"}</definedName>
    <definedName name="ｂｂｂ" hidden="1">{"'Sheet1'!$L$16"}</definedName>
    <definedName name="bbbb" hidden="1">{"Offgrid",#N/A,FALSE,"OFFGRID";"Region",#N/A,FALSE,"REGION";"Offgrid -2",#N/A,FALSE,"OFFGRID";"WTP",#N/A,FALSE,"WTP";"WTP -2",#N/A,FALSE,"WTP";"Project",#N/A,FALSE,"PROJECT";"Summary -2",#N/A,FALSE,"SUMMARY"}</definedName>
    <definedName name="ｂｂｂｂ" hidden="1">{"'Sheet1'!$L$16"}</definedName>
    <definedName name="ｂｂｂｂｂ" hidden="1">{"'Sheet1'!$L$16"}</definedName>
    <definedName name="bbbbbbb" hidden="1">#REF!</definedName>
    <definedName name="BBBG" hidden="1">{"'Sheet1'!$L$16"}</definedName>
    <definedName name="bbv" hidden="1">#REF!</definedName>
    <definedName name="BC" hidden="1">{"'Sheet1'!$L$16"}</definedName>
    <definedName name="BCQT3" hidden="1">{"'Sheet1'!$L$16"}</definedName>
    <definedName name="BCTQ" hidden="1">{"'Sheet1'!$L$16"}</definedName>
    <definedName name="BEAM" hidden="1">#REF!</definedName>
    <definedName name="bg" hidden="1">{"'Sheet1'!$L$16"}</definedName>
    <definedName name="BG_Del" hidden="1">15</definedName>
    <definedName name="BG_Ins" hidden="1">4</definedName>
    <definedName name="BG_Mod" hidden="1">6</definedName>
    <definedName name="bgd" hidden="1">{#N/A,#N/A,FALSE,"CCTV"}</definedName>
    <definedName name="Bgiang" hidden="1">{"'Sheet1'!$L$16"}</definedName>
    <definedName name="bhthang6" hidden="1">{"'Sheet1'!$L$16"}</definedName>
    <definedName name="BI" hidden="1">{#N/A,#N/A,FALSE,"이태원철근"}</definedName>
    <definedName name="BIGC" hidden="1">{#N/A,#N/A,TRUE,"Str.";#N/A,#N/A,TRUE,"Steel &amp; Roof";#N/A,#N/A,TRUE,"Arc.";#N/A,#N/A,TRUE,"Preliminary";#N/A,#N/A,TRUE,"Sum_Prelim"}</definedName>
    <definedName name="Bike" hidden="1">#REF!</definedName>
    <definedName name="Binh" hidden="1">{"'Sheet1'!$L$16"}</definedName>
    <definedName name="BN" hidden="1">{"Offgrid",#N/A,FALSE,"OFFGRID";"Region",#N/A,FALSE,"REGION";"Offgrid -2",#N/A,FALSE,"OFFGRID";"WTP",#N/A,FALSE,"WTP";"WTP -2",#N/A,FALSE,"WTP";"Project",#N/A,FALSE,"PROJECT";"Summary -2",#N/A,FALSE,"SUMMARY"}</definedName>
    <definedName name="BOQA2" hidden="1">{"'Sheet1'!$L$16"}</definedName>
    <definedName name="BOQCongtruong" hidden="1">#REF!</definedName>
    <definedName name="bosung" hidden="1">{"'Sheet1'!$L$16"}</definedName>
    <definedName name="break" hidden="1">{#N/A,#N/A,TRUE,"Cover Memo";"Ride Estimate",#N/A,TRUE,"Change Summary";"Ride Estimate",#N/A,TRUE,"Estimate Summary";"Ride Estimate",#N/A,TRUE,"Dept. Summary";"Ride Estimate",#N/A,TRUE,"DOW Detail"}</definedName>
    <definedName name="BT" hidden="1">{"'Sheet1'!$L$16"}</definedName>
    <definedName name="btdc2" hidden="1">#REF!</definedName>
    <definedName name="btl" hidden="1">{"'Sheet1'!$L$16"}</definedName>
    <definedName name="bvhjggj" hidden="1">#REF!</definedName>
    <definedName name="ca" hidden="1">{"'Sheet1'!$L$16"}</definedName>
    <definedName name="caccccc" hidden="1">{"'Sheet1'!$L$16"}</definedName>
    <definedName name="CALBE" hidden="1">{"'Sheet1'!$L$16"}</definedName>
    <definedName name="cald" hidden="1">{#N/A,#N/A,FALSE,"CCTV"}</definedName>
    <definedName name="canteen" hidden="1">{"'Sheet1'!$L$16"}</definedName>
    <definedName name="CaododayGa" hidden="1">{"'Sheet1'!$L$16"}</definedName>
    <definedName name="CARL" hidden="1">{#N/A,#N/A,FALSE,"CCTV"}</definedName>
    <definedName name="CARL1" hidden="1">{#N/A,#N/A,FALSE,"CCTV"}</definedName>
    <definedName name="CARL2" hidden="1">{#N/A,#N/A,FALSE,"CCTV"}</definedName>
    <definedName name="CBWorkbookPriority" hidden="1">-1807836116</definedName>
    <definedName name="ccc" hidden="1">{"'Sheet1'!$L$16"}</definedName>
    <definedName name="cccc" hidden="1">{#N/A,#N/A,TRUE,"SUM";#N/A,#N/A,TRUE,"EE";#N/A,#N/A,TRUE,"AC";#N/A,#N/A,TRUE,"SN"}</definedName>
    <definedName name="cctv" hidden="1">#REF!</definedName>
    <definedName name="CD" hidden="1">#REF!</definedName>
    <definedName name="Çdµ" hidden="1">{"'Sheet1'!$L$16"}</definedName>
    <definedName name="cds" hidden="1">#REF!</definedName>
    <definedName name="Celling" hidden="1">{"'Sheet1'!$L$16"}</definedName>
    <definedName name="CF1_a129" hidden="1">{"Offgrid",#N/A,FALSE,"OFFGRID";"Region",#N/A,FALSE,"REGION";"Offgrid -2",#N/A,FALSE,"OFFGRID";"WTP",#N/A,FALSE,"WTP";"WTP -2",#N/A,FALSE,"WTP";"Project",#N/A,FALSE,"PROJECT";"Summary -2",#N/A,FALSE,"SUMMARY"}</definedName>
    <definedName name="CF요인" hidden="1">#REF!</definedName>
    <definedName name="civ" hidden="1">#REF!</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nltn" hidden="1">{"'신흥취수펌프 검토'!$M$2","'신흥취수펌프 검토'!$A$1:$AE$87"}</definedName>
    <definedName name="coba" hidden="1">#REF!</definedName>
    <definedName name="Coc_60" hidden="1">{"'Sheet1'!$L$16"}</definedName>
    <definedName name="coccat" hidden="1">{"'Sheet1'!$L$16"}</definedName>
    <definedName name="Code" hidden="1">#REF!</definedName>
    <definedName name="code1" hidden="1">#REF!</definedName>
    <definedName name="CO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lumn" hidden="1">#REF!</definedName>
    <definedName name="Company2013" hidden="1">#REF!</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ST" hidden="1">#REF!</definedName>
    <definedName name="COST2" hidden="1">{#N/A,#N/A,TRUE,"Basic";#N/A,#N/A,TRUE,"EXT-TABLE";#N/A,#N/A,TRUE,"STEEL";#N/A,#N/A,TRUE,"INT-Table";#N/A,#N/A,TRUE,"STEEL";#N/A,#N/A,TRUE,"Door"}</definedName>
    <definedName name="COSTT" hidden="1">#REF!</definedName>
    <definedName name="CP" hidden="1">#REF!</definedName>
    <definedName name="CPXD" hidden="1">{"'Sheet1'!$L$16"}</definedName>
    <definedName name="_xlnm.Criteria" hidden="1">{"'Sheet1'!$A$4:$M$21","'Sheet1'!$J$17:$K$19"}</definedName>
    <definedName name="csdcsdvdfvdfbdfbd" hidden="1">{#N/A,#N/A,FALSE,"Chi tiÆt"}</definedName>
    <definedName name="CSODJWO" hidden="1">{#N/A,#N/A,TRUE,"SUM";#N/A,#N/A,TRUE,"EE";#N/A,#N/A,TRUE,"AC";#N/A,#N/A,TRUE,"SN"}</definedName>
    <definedName name="ctbbt" hidden="1">{"'Sheet1'!$L$16"}</definedName>
    <definedName name="CTCT1" hidden="1">{"'Sheet1'!$L$16"}</definedName>
    <definedName name="ctieu" hidden="1">{"'Sheet1'!$L$16"}</definedName>
    <definedName name="cung" hidden="1">{"'Sheet1'!$L$16"}</definedName>
    <definedName name="cuong" hidden="1">{"'Sheet1'!$L$16"}</definedName>
    <definedName name="cxbxn" hidden="1">{"'Sheet1'!$L$16"}</definedName>
    <definedName name="chietchai2" hidden="1">{"'Sheet1'!$L$16"}</definedName>
    <definedName name="chilk" hidden="1">{"'Sheet1'!$L$16"}</definedName>
    <definedName name="Chiphi" hidden="1">{"'Sheet1'!$L$16"}</definedName>
    <definedName name="chitiet3" hidden="1">{"'Sheet1'!$L$16"}</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ngchi" hidden="1">{"'Sheet1'!$L$16"}</definedName>
    <definedName name="chuyen" hidden="1">{"'Sheet1'!$L$16"}</definedName>
    <definedName name="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Ð" hidden="1">{"'Sheet1'!$L$16"}</definedName>
    <definedName name="da" hidden="1">{"'Sheet1'!$L$16"}</definedName>
    <definedName name="dà" hidden="1">{"'Sheet1'!$L$16"}</definedName>
    <definedName name="dá" hidden="1">{"'Sheet1'!$L$16"}</definedName>
    <definedName name="daa" hidden="1">{#N/A,#N/A,FALSE,"特殊室（ＢＱ表）"}</definedName>
    <definedName name="dad" hidden="1">{#N/A,#N/A,FALSE,"特殊室（ＢＱ表）"}</definedName>
    <definedName name="dada" hidden="1">{#N/A,#N/A,FALSE,"特殊室（ＢＱ表）"}</definedName>
    <definedName name="dadasda" hidden="1">{#N/A,#N/A,FALSE,"特殊室（ＢＱ表）"}</definedName>
    <definedName name="DAGA" hidden="1">#REF!</definedName>
    <definedName name="daomuong" hidden="1">{"'Sheet1'!$L$16"}</definedName>
    <definedName name="das" hidden="1">{"'Sheet1'!$L$16"}</definedName>
    <definedName name="dase" hidden="1">{#N/A,#N/A,FALSE,"CCTV"}</definedName>
    <definedName name="DATA" hidden="1">#REF!</definedName>
    <definedName name="DATA__1" hidden="1">#REF!</definedName>
    <definedName name="DATA_1" hidden="1">#REF!</definedName>
    <definedName name="data1" hidden="1">#REF!</definedName>
    <definedName name="data2" hidden="1">#REF!</definedName>
    <definedName name="data3" hidden="1">#REF!</definedName>
    <definedName name="_xlnm.Database" hidden="1">#REF!</definedName>
    <definedName name="dataww" hidden="1">#REF!</definedName>
    <definedName name="dc" hidden="1">{"'Sheet1'!$L$16"}</definedName>
    <definedName name="DCXVCC" hidden="1">#REF!</definedName>
    <definedName name="ddång" hidden="1">{"'Sheet1'!$L$16"}</definedName>
    <definedName name="ddc" hidden="1">{"'Sheet1'!$L$16"}</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 hidden="1">{#N/A,#N/A,TRUE,"SUM";#N/A,#N/A,TRUE,"EE";#N/A,#N/A,TRUE,"AC";#N/A,#N/A,TRUE,"SN"}</definedName>
    <definedName name="dddddddddd" hidden="1">{"'Sheet1'!$L$16"}</definedName>
    <definedName name="dddddddddddddd" hidden="1">{#N/A,#N/A,TRUE,"Basic";#N/A,#N/A,TRUE,"EXT-TABLE";#N/A,#N/A,TRUE,"STEEL";#N/A,#N/A,TRUE,"INT-Table";#N/A,#N/A,TRUE,"STEEL";#N/A,#N/A,TRUE,"Door"}</definedName>
    <definedName name="ddds" hidden="1">{"'Sheet1'!$L$16"}</definedName>
    <definedName name="DDEE" hidden="1">{"'Sheet1'!$L$16"}</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gdg" hidden="1">{"Offgrid",#N/A,FALSE,"OFFGRID";"Region",#N/A,FALSE,"REGION";"Offgrid -2",#N/A,FALSE,"OFFGRID";"WTP",#N/A,FALSE,"WTP";"WTP -2",#N/A,FALSE,"WTP";"Project",#N/A,FALSE,"PROJECT";"Summary -2",#N/A,FALSE,"SUMMARY"}</definedName>
    <definedName name="de" hidden="1">{"'Sheet1'!$L$16"}</definedName>
    <definedName name="dec" hidden="1">{"Offgrid",#N/A,FALSE,"OFFGRID";"Region",#N/A,FALSE,"REGION";"Offgrid -2",#N/A,FALSE,"OFFGRID";"WTP",#N/A,FALSE,"WTP";"WTP -2",#N/A,FALSE,"WTP";"Project",#N/A,FALSE,"PROJECT";"Summary -2",#N/A,FALSE,"SUMMARY"}</definedName>
    <definedName name="dede" hidden="1">{"'Sheet1'!$L$16"}</definedName>
    <definedName name="dedewe" hidden="1">{#N/A,#N/A,FALSE,"요약";#N/A,#N/A,FALSE,"보고목차";#N/A,#N/A,FALSE,"1)서비스접수";#N/A,#N/A,FALSE,"2)상담";#N/A,#N/A,FALSE,"2.월별접수추이현황";#N/A,#N/A,FALSE,"3.상담내용";#N/A,#N/A,FALSE,"4.미처리현황"}</definedName>
    <definedName name="descrip" hidden="1">#REF!</definedName>
    <definedName name="deviation" hidden="1">{#N/A,#N/A,FALSE,"CCTV"}</definedName>
    <definedName name="DEWSLDW" hidden="1">{#N/A,#N/A,TRUE,"SUM";#N/A,#N/A,TRUE,"EE";#N/A,#N/A,TRUE,"AC";#N/A,#N/A,TRUE,"SN"}</definedName>
    <definedName name="dÊd" hidden="1">#REF!</definedName>
    <definedName name="d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BGFBFB" hidden="1">{"'Sheet1'!$L$16"}</definedName>
    <definedName name="DFDFDF" hidden="1">{#N/A,#N/A,FALSE,"特殊室（ＢＱ表）"}</definedName>
    <definedName name="DFDFDS" hidden="1">{#N/A,#N/A,TRUE,"SUM";#N/A,#N/A,TRUE,"EE";#N/A,#N/A,TRUE,"AC";#N/A,#N/A,TRUE,"SN"}</definedName>
    <definedName name="dfdffgf" hidden="1">{"'Sheet1'!$L$16"}</definedName>
    <definedName name="DFDFGE" hidden="1">{#N/A,#N/A,FALSE,"Chi tiÆt"}</definedName>
    <definedName name="DFDFSDFSD" hidden="1">{#N/A,#N/A,TRUE,"SUM";#N/A,#N/A,TRUE,"EE";#N/A,#N/A,TRUE,"AC";#N/A,#N/A,TRUE,"SN"}</definedName>
    <definedName name="DFDK" hidden="1">#REF!</definedName>
    <definedName name="DFF" hidden="1">{#N/A,#N/A,TRUE,"SUM";#N/A,#N/A,TRUE,"EE";#N/A,#N/A,TRUE,"AC";#N/A,#N/A,TRUE,"SN"}</definedName>
    <definedName name="DFFF" hidden="1">{"'Sheet1'!$L$16"}</definedName>
    <definedName name="DFG" hidden="1">{#N/A,#N/A,FALSE,"전력간선"}</definedName>
    <definedName name="DFGDFGD" hidden="1">#REF!</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h" hidden="1">{"'Sheet1'!$L$16"}</definedName>
    <definedName name="dfhf" hidden="1">{"'Sheet1'!$L$16"}</definedName>
    <definedName name="DFKKFS" hidden="1">#REF!</definedName>
    <definedName name="dfsdf" hidden="1">{#N/A,#N/A,FALSE,"CCTV"}</definedName>
    <definedName name="DFSF" hidden="1">{#N/A,#N/A,FALSE,"特殊室（ＢＱ表）"}</definedName>
    <definedName name="dfsfsd"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D" hidden="1">#REF!</definedName>
    <definedName name="dgdjdkgd" hidden="1">{#N/A,#N/A,FALSE,"CCTV"}</definedName>
    <definedName name="DGF" hidden="1">{#N/A,#N/A,FALSE,"特殊室（ＢＱ表）"}</definedName>
    <definedName name="DGFDG" hidden="1">{#N/A,#N/A,FALSE,"特殊室（ＢＱ表）"}</definedName>
    <definedName name="dgh" hidden="1">{"'Sheet1'!$L$16"}</definedName>
    <definedName name="dghjyuk" hidden="1">{"'Sheet1'!$L$16"}</definedName>
    <definedName name="DGKL" hidden="1">#REF!</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fsg" hidden="1">#REF!</definedName>
    <definedName name="dien" hidden="1">{"'Sheet1'!$L$16"}</definedName>
    <definedName name="diengiai" hidden="1">{"'Sheet1'!$L$16"}</definedName>
    <definedName name="dieùn" hidden="1">{"'Sheet1'!$L$16"}</definedName>
    <definedName name="Discount" hidden="1">#REF!</definedName>
    <definedName name="display_area_2" hidden="1">#REF!</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SFJDK" hidden="1">#REF!</definedName>
    <definedName name="dldldldll" hidden="1">#REF!</definedName>
    <definedName name="dldyddn" hidden="1">{"'별표'!$N$220"}</definedName>
    <definedName name="dlff" hidden="1">{#N/A,#N/A,FALSE,"운반시간"}</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 hidden="1">{#N/A,#N/A,FALSE,"제목"}</definedName>
    <definedName name="Domain" hidden="1">#REF!</definedName>
    <definedName name="dongianhanuoc" hidden="1">{"'Sheet1'!$L$16"}</definedName>
    <definedName name="DpFKDL" hidden="1">{#N/A,#N/A,FALSE,"이태원철근"}</definedName>
    <definedName name="DR" hidden="1">#REF!</definedName>
    <definedName name="dre" hidden="1">#REF!</definedName>
    <definedName name="DSA" hidden="1">{#N/A,#N/A,FALSE,"제목"}</definedName>
    <definedName name="dsaf" hidden="1">{#N/A,#N/A,FALSE,"조골재"}</definedName>
    <definedName name="dsasdasdasd" hidden="1">#REF!</definedName>
    <definedName name="dsds" hidden="1">{"'Sheet1'!$L$16"}</definedName>
    <definedName name="dsdsd" hidden="1">{#N/A,#N/A,FALSE,"운반시간"}</definedName>
    <definedName name="DSF" hidden="1">{#N/A,#N/A,FALSE,"골재소요량";#N/A,#N/A,FALSE,"골재소요량"}</definedName>
    <definedName name="dsfd" hidden="1">#REF!</definedName>
    <definedName name="dsfds"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gfhtyjjt" hidden="1">#REF!</definedName>
    <definedName name="DSH" hidden="1">{#N/A,#N/A,FALSE,"Chi tiÆt"}</definedName>
    <definedName name="DSJKLDE" hidden="1">{#N/A,#N/A,TRUE,"SUM";#N/A,#N/A,TRUE,"EE";#N/A,#N/A,TRUE,"AC";#N/A,#N/A,TRUE,"SN"}</definedName>
    <definedName name="dssad" hidden="1">{"'Sheet1'!$L$16"}</definedName>
    <definedName name="dt" hidden="1">#REF!</definedName>
    <definedName name="dtctnd" hidden="1">{"'Sheet1'!$L$16"}</definedName>
    <definedName name="DTKT3" hidden="1">{"'Sheet1'!$L$16"}</definedName>
    <definedName name="DTMG_vumua" hidden="1">{#N/A,#N/A,FALSE,"Chi tiÆt"}</definedName>
    <definedName name="duc" hidden="1">{"'Sheet1'!$L$16"}</definedName>
    <definedName name="DucO" hidden="1">{"'Sheet1'!$L$16"}</definedName>
    <definedName name="DUCT" hidden="1">{#N/A,#N/A,FALSE,"Sheet1"}</definedName>
    <definedName name="dumbwaiter" hidden="1">{#N/A,#N/A,FALSE,"Sheet1";#N/A,#N/A,FALSE,"Sheet3";#N/A,#N/A,FALSE,"Sheet5"}</definedName>
    <definedName name="DUNG" hidden="1">{"'Sheet1'!$L$16"}</definedName>
    <definedName name="dutruchiphi" hidden="1">{"NGUYEN QUI THIEP - Personal View",#N/A,FALSE,"XDCB.HT.FUR."}</definedName>
    <definedName name="duy" hidden="1">{"'Sheet1'!$L$16"}</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PRICE" hidden="1">#REF!</definedName>
    <definedName name="dwqwq" hidden="1">#REF!</definedName>
    <definedName name="đasadas" hidden="1">#REF!</definedName>
    <definedName name="đấ" hidden="1">{"'Sheet1'!$L$16"}</definedName>
    <definedName name="E" hidden="1">{#N/A,#N/A,FALSE,"CCTV"}</definedName>
    <definedName name="EBRS1" hidden="1">#REF!</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{#N/A,#N/A,FALSE,"부대1"}</definedName>
    <definedName name="eee.송운" hidden="1">{#N/A,#N/A,FALSE,"운반시간"}</definedName>
    <definedName name="eeee" hidden="1">{#N/A,#N/A,FALSE,"요약";#N/A,#N/A,FALSE,"보고목차";#N/A,#N/A,FALSE,"1)서비스접수";#N/A,#N/A,FALSE,"2)상담";#N/A,#N/A,FALSE,"2.월별접수추이현황";#N/A,#N/A,FALSE,"3.상담내용";#N/A,#N/A,FALSE,"4.미처리현황"}</definedName>
    <definedName name="eeeee" hidden="1">{#N/A,#N/A,TRUE,"SUM";#N/A,#N/A,TRUE,"EE";#N/A,#N/A,TRUE,"AC";#N/A,#N/A,TRUE,"SN"}</definedName>
    <definedName name="eeeeeeeeeee" hidden="1">#REF!</definedName>
    <definedName name="eeeeeeeeeeeeeee" hidden="1">{#N/A,#N/A,FALSE,"운반시간"}</definedName>
    <definedName name="eef" hidden="1">{"'Sheet1'!$L$16"}</definedName>
    <definedName name="EEFEWA" hidden="1">#REF!</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WTR" hidden="1">#REF!</definedName>
    <definedName name="EK" hidden="1">#REF!</definedName>
    <definedName name="ElectricWork" hidden="1">#REF!</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ndElectExternal" hidden="1">#REF!</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hidden="1">{#N/A,#N/A,FALSE,"特殊室（ＢＱ表）"}</definedName>
    <definedName name="ERD" hidden="1">{#N/A,#N/A,TRUE,"Basic";#N/A,#N/A,TRUE,"EXT-TABLE";#N/A,#N/A,TRUE,"STEEL";#N/A,#N/A,TRUE,"INT-Table";#N/A,#N/A,TRUE,"STEEL";#N/A,#N/A,TRUE,"Door"}</definedName>
    <definedName name="erer" hidden="1">#N/A</definedName>
    <definedName name="erewaf" hidden="1">{#N/A,#N/A,FALSE,"Chi tiÆt"}</definedName>
    <definedName name="­erewarqewrqr" hidden="1">#REF!</definedName>
    <definedName name="ERR" hidden="1">#REF!</definedName>
    <definedName name="ERT" hidden="1">{"'Sheet1'!$L$16"}</definedName>
    <definedName name="erwe" hidden="1">{#N/A,#N/A,FALSE,"Chi tiÆt"}</definedName>
    <definedName name="eryhrtgabqergerggbvrth" hidden="1">#REF!</definedName>
    <definedName name="es" hidden="1">{"'Sheet1'!$L$16"}</definedName>
    <definedName name="etuiuti" hidden="1">{"'Sheet1'!$L$16"}</definedName>
    <definedName name="ewe" hidden="1">{"'Sheet1'!$L$16"}</definedName>
    <definedName name="ewrdư" hidden="1">#REF!</definedName>
    <definedName name="ewrfqewrrefeqrftr" hidden="1">{"'Sheet1'!$L$16"}</definedName>
    <definedName name="ewrt" hidden="1">{"'Sheet1'!$L$16"}</definedName>
    <definedName name="ews" hidden="1">{0}</definedName>
    <definedName name="Excavati" hidden="1">{#N/A,#N/A,FALSE,"Chi tiÆt"}</definedName>
    <definedName name="exit" hidden="1">{#N/A,#N/A,FALSE,"변경관리예산";#N/A,#N/A,FALSE,"변경장비예산";#N/A,#N/A,FALSE,"변경준설예산";#N/A,#N/A,FALSE,"변경철구예산"}</definedName>
    <definedName name="F5TF" hidden="1">#REF!</definedName>
    <definedName name="fáaafafaf" hidden="1">{"'Sheet1'!$L$16"}</definedName>
    <definedName name="factory" hidden="1">{"'Sheet1'!$L$16"}</definedName>
    <definedName name="factory4" hidden="1">{"'Sheet1'!$L$16"}</definedName>
    <definedName name="FADHAFH" hidden="1">#REF!</definedName>
    <definedName name="FAGAG" hidden="1">#REF!</definedName>
    <definedName name="FAN견적의뢰" hidden="1">{#N/A,#N/A,FALSE,"기안지";#N/A,#N/A,FALSE,"통신지"}</definedName>
    <definedName name="FASD" hidden="1">#REF!</definedName>
    <definedName name="fasfa" hidden="1">{"'Sheet1'!$L$16"}</definedName>
    <definedName name="fasfaga" hidden="1">{"'Sheet1'!$L$16"}</definedName>
    <definedName name="fasfsdfsdfasdfsdfsd" hidden="1">{#N/A,#N/A,TRUE,"Basic";#N/A,#N/A,TRUE,"EXT-TABLE";#N/A,#N/A,TRUE,"STEEL";#N/A,#N/A,TRUE,"INT-Table";#N/A,#N/A,TRUE,"STEEL";#N/A,#N/A,TRUE,"Door"}</definedName>
    <definedName name="FASG" hidden="1">#REF!</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sfadf" hidden="1">#REF!</definedName>
    <definedName name="fdds" hidden="1">{"'Sheet1'!$L$16"}</definedName>
    <definedName name="fdf" hidden="1">{#N/A,#N/A,FALSE,"제목"}</definedName>
    <definedName name="FDFD" hidden="1">#REF!</definedName>
    <definedName name="fdfd2" hidden="1">{#N/A,#N/A,TRUE,"Cover Memo";"Complete Sys. Estimate",#N/A,TRUE,"Change Summary";"Complete Sys. Estimate",#N/A,TRUE,"Estimate Summary";"Complete Sys. Estimate",#N/A,TRUE,"Dept. Summary";"Complete Sys. Estimate",#N/A,TRUE,"DOW Detail"}</definedName>
    <definedName name="FDFDF" hidden="1">#REF!</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F" hidden="1">{#N/A,#N/A,TRUE,"SUM";#N/A,#N/A,TRUE,"EE";#N/A,#N/A,TRUE,"AC";#N/A,#N/A,TRUE,"SN"}</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{#N/A,#N/A,FALSE,"제목"}</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hevwtec" hidden="1">{#N/A,#N/A,FALSE,"구조1"}</definedName>
    <definedName name="fdhg" hidden="1">{#N/A,#N/A,FALSE,"이태원철근"}</definedName>
    <definedName name="FDS" hidden="1">{#N/A,#N/A,FALSE,"제목"}</definedName>
    <definedName name="fdsd" hidden="1">#REF!</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dy" hidden="1">#REF!</definedName>
    <definedName name="fedgre" hidden="1">{#N/A,#N/A,FALSE,"배수1"}</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 hidden="1">#REF!</definedName>
    <definedName name="FFDFG" hidden="1">#REF!</definedName>
    <definedName name="fff" hidden="1">{"'Sheet1'!$L$16"}</definedName>
    <definedName name="fffasf" hidden="1">#REF!</definedName>
    <definedName name="ffff" hidden="1">{"'Sheet1'!$L$16"}</definedName>
    <definedName name="ffffd" hidden="1">{#N/A,#N/A,TRUE,"SUM";#N/A,#N/A,TRUE,"EE";#N/A,#N/A,TRUE,"AC";#N/A,#N/A,TRUE,"SN"}</definedName>
    <definedName name="fffff" hidden="1">{#N/A,#N/A,TRUE,"Basic";#N/A,#N/A,TRUE,"EXT-TABLE";#N/A,#N/A,TRUE,"STEEL";#N/A,#N/A,TRUE,"INT-Table";#N/A,#N/A,TRUE,"STEEL";#N/A,#N/A,TRUE,"Door"}</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 hidden="1">{#N/A,#N/A,FALSE,"골재소요량";#N/A,#N/A,FALSE,"골재소요량"}</definedName>
    <definedName name="fffffffffffffff" hidden="1">{"'Sheet1'!$L$16"}</definedName>
    <definedName name="fg" hidden="1">{"'Sheet1'!$L$16"}</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f" hidden="1">{#N/A,#N/A,TRUE,"SUM";#N/A,#N/A,TRUE,"EE";#N/A,#N/A,TRUE,"AC";#N/A,#N/A,TRUE,"SN"}</definedName>
    <definedName name="fgfg" hidden="1">#REF!</definedName>
    <definedName name="fgfh" hidden="1">#REF!</definedName>
    <definedName name="fgh" hidden="1">#REF!</definedName>
    <definedName name="fghfd" hidden="1">{"Offgrid",#N/A,FALSE,"OFFGRID";"Region",#N/A,FALSE,"REGION";"Offgrid -2",#N/A,FALSE,"OFFGRID";"WTP",#N/A,FALSE,"WTP";"WTP -2",#N/A,FALSE,"WTP";"Project",#N/A,FALSE,"PROJECT";"Summary -2",#N/A,FALSE,"SUMMARY"}</definedName>
    <definedName name="fgjj" hidden="1">{"'Sheet1'!$L$16"}</definedName>
    <definedName name="fgn" hidden="1">{"'Sheet1'!$L$16"}</definedName>
    <definedName name="fgnrt" hidden="1">{#N/A,#N/A,FALSE,"단가표지"}</definedName>
    <definedName name="FGNHGFH" hidden="1">#REF!</definedName>
    <definedName name="fgsdfgh" hidden="1">{#N/A,#N/A,FALSE,"Chi tiÆt"}</definedName>
    <definedName name="FH" hidden="1">#REF!</definedName>
    <definedName name="fhf" hidden="1">{0,0,0,0}</definedName>
    <definedName name="FHFHF" hidden="1">{#N/A,#N/A,FALSE,"기안지";#N/A,#N/A,FALSE,"통신지"}</definedName>
    <definedName name="fhgfjhthtrh" hidden="1">#REF!</definedName>
    <definedName name="FiLL" hidden="1">#REF!</definedName>
    <definedName name="FILLL" hidden="1">#REF!</definedName>
    <definedName name="fldfángonh" hidden="1">{"'Sheet1'!$L$16"}</definedName>
    <definedName name="FOR" hidden="1">{#N/A,#N/A,FALSE,"CCTV"}</definedName>
    <definedName name="FORMAT" hidden="1">{#N/A,#N/A,FALSE,"CCTV"}</definedName>
    <definedName name="FQWERWE" hidden="1">#REF!</definedName>
    <definedName name="FRERTT" hidden="1">{"'Sheet1'!$L$16"}</definedName>
    <definedName name="frwrw" hidden="1">#REF!</definedName>
    <definedName name="FSD" hidden="1">{#N/A,#N/A,FALSE,"제목"}</definedName>
    <definedName name="fsda" hidden="1">{#N/A,#N/A,TRUE,"Basic";#N/A,#N/A,TRUE,"EXT-TABLE";#N/A,#N/A,TRUE,"STEEL";#N/A,#N/A,TRUE,"INT-Table";#N/A,#N/A,TRUE,"STEEL";#N/A,#N/A,TRUE,"Door"}</definedName>
    <definedName name="FSDAF" hidden="1">{#N/A,#N/A,FALSE,"제목"}</definedName>
    <definedName name="fsdafhaaaaeraw" hidden="1">{#N/A,#N/A,FALSE,"구조1"}</definedName>
    <definedName name="fsdf" hidden="1">{"'Sheet1'!$L$16"}</definedName>
    <definedName name="fsdfdsf" hidden="1">{"'Sheet1'!$L$16"}</definedName>
    <definedName name="FSDFSDF" hidden="1">{#N/A,#N/A,TRUE,"SUM";#N/A,#N/A,TRUE,"EE";#N/A,#N/A,TRUE,"AC";#N/A,#N/A,TRUE,"SN"}</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#REF!</definedName>
    <definedName name="FSFE" hidden="1">{#N/A,#N/A,TRUE,"Cover Memo";"Complete Sys. Estimate",#N/A,TRUE,"Change Summary";"Complete Sys. Estimate",#N/A,TRUE,"Estimate Summary";"Complete Sys. Estimate",#N/A,TRUE,"Dept. Summary";"Complete Sys. Estimate",#N/A,TRUE,"DOW Detail"}</definedName>
    <definedName name="fsfs" hidden="1">#REF!</definedName>
    <definedName name="ftgfg" hidden="1">{#N/A,#N/A,FALSE,"CCTV"}</definedName>
    <definedName name="FULL" hidden="1">#REF!</definedName>
    <definedName name="g" hidden="1">{#N/A,#N/A,FALSE,"CCTV"}</definedName>
    <definedName name="ga" hidden="1">{"'Sheet1'!$L$16"}</definedName>
    <definedName name="GADGAFDH" hidden="1">#REF!</definedName>
    <definedName name="GAGA" hidden="1">#REF!</definedName>
    <definedName name="GAGAGA" hidden="1">#REF!</definedName>
    <definedName name="gahahah" hidden="1">{#N/A,#N/A,FALSE,"포장1";#N/A,#N/A,FALSE,"포장1"}</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D" hidden="1">{#N/A,#N/A,FALSE,"特殊室（ＢＱ表）"}</definedName>
    <definedName name="gdf" hidden="1">#REF!</definedName>
    <definedName name="gdfgdfgdf" hidden="1">{"'Sheet1'!$L$16"}</definedName>
    <definedName name="gdfgds" hidden="1">#REF!</definedName>
    <definedName name="gdg" hidden="1">{"'Sheet1'!$L$16"}</definedName>
    <definedName name="gegE" hidden="1">#REF!</definedName>
    <definedName name="GEMCO" hidden="1">#REF!</definedName>
    <definedName name="GEMCO1" hidden="1">#REF!</definedName>
    <definedName name="GEUN" hidden="1">{#N/A,#N/A,FALSE,"제목"}</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ể4" hidden="1">#REF!</definedName>
    <definedName name="gfdg" hidden="1">{#N/A,#N/A,FALSE,"特殊室（ＢＱ表）"}</definedName>
    <definedName name="gfeg" hidden="1">{#N/A,#N/A,FALSE,"Chi tiÆt"}</definedName>
    <definedName name="GFF" hidden="1">#REF!</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#REF!</definedName>
    <definedName name="gfgf" hidden="1">#REF!</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h" hidden="1">{"ECA Qtrs C",#N/A,TRUE,"ECA_Qtrs_C";"ECA Qtrs D",#N/A,TRUE,"ECA_Qtrs_D";"ECA Qtrs F",#N/A,TRUE,"ECA_Qtrs_F";"ECA Qtrs G",#N/A,TRUE,"ECA_Qtrs_G";"ECA SisterApt",#N/A,TRUE,"ECA_SisterApt";"ECA Nurses",#N/A,TRUE,"ECA_NursesHostel"}</definedName>
    <definedName name="gfsfg" hidden="1">{#N/A,#N/A,FALSE,"이태원철근"}</definedName>
    <definedName name="gftrhgtrfhb" hidden="1">{#N/A,#N/A,FALSE,"기안지";#N/A,#N/A,FALSE,"통신지"}</definedName>
    <definedName name="GG" hidden="1">#REF!</definedName>
    <definedName name="GGBC1" hidden="1">{"'Sheet1'!$L$16"}</definedName>
    <definedName name="ggf" hidden="1">#REF!</definedName>
    <definedName name="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 hidden="1">{"'Sheet1'!$L$16"}</definedName>
    <definedName name="GGGGG" hidden="1">{#N/A,#N/A,TRUE,"SUM";#N/A,#N/A,TRUE,"EE";#N/A,#N/A,TRUE,"AC";#N/A,#N/A,TRUE,"SN"}</definedName>
    <definedName name="GGGGGG" hidden="1">#REF!</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 hidden="1">{#N/A,#N/A,FALSE,"표지목차"}</definedName>
    <definedName name="ggsf" hidden="1">#REF!</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dghdg" hidden="1">{#N/A,#N/A,FALSE,"이태원철근"}</definedName>
    <definedName name="ghf" hidden="1">{"'Sheet1'!$L$16"}</definedName>
    <definedName name="ghg" hidden="1">{"'Sheet1'!$L$16"}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dsg" hidden="1">#REF!</definedName>
    <definedName name="ghhh" hidden="1">{"'Sheet1'!$L$16"}</definedName>
    <definedName name="GHSDGTR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Î" hidden="1">#REF!</definedName>
    <definedName name="gjfge4" hidden="1">#REF!</definedName>
    <definedName name="gjfgvfh" hidden="1">{#N/A,#N/A,FALSE,"特殊室（ＢＱ表）"}</definedName>
    <definedName name="GJH" hidden="1">{#N/A,#N/A,FALSE,"제목"}</definedName>
    <definedName name="gjhhn" hidden="1">{"'Sheet1'!$L$16"}</definedName>
    <definedName name="gjkj" hidden="1">{"'Sheet1'!$L$16"}</definedName>
    <definedName name="GLASS견적의뢰용" hidden="1">#REF!</definedName>
    <definedName name="glhlhl" hidden="1">{"'Sheet1'!$L$16"}</definedName>
    <definedName name="glllhlh" hidden="1">{"'Sheet1'!$L$16"}</definedName>
    <definedName name="GMG" hidden="1">{#N/A,#N/A,FALSE,"特殊室（ＢＱ表）"}</definedName>
    <definedName name="GNFKD" hidden="1">{#N/A,#N/A,TRUE,"SUM";#N/A,#N/A,TRUE,"EE";#N/A,#N/A,TRUE,"AC";#N/A,#N/A,TRUE,"SN"}</definedName>
    <definedName name="grap_b" hidden="1">#REF!</definedName>
    <definedName name="GraphD" hidden="1">#REF!</definedName>
    <definedName name="GREG4E" hidden="1">{"'Sheet1'!$L$16"}</definedName>
    <definedName name="gresg" hidden="1">{"'Sheet1'!$L$16"}</definedName>
    <definedName name="grew" hidden="1">#REF!</definedName>
    <definedName name="grfhgdfhfd" hidden="1">#REF!</definedName>
    <definedName name="gsagsdarafds" hidden="1">{#N/A,#N/A,FALSE,"토공2"}</definedName>
    <definedName name="GTM" hidden="1">{"'Sheet1'!$L$16"}</definedName>
    <definedName name="GTOTAL" hidden="1">{"'Sheet1'!$L$16"}</definedName>
    <definedName name="guestroom" hidden="1">{#N/A,#N/A,TRUE,"Cover Memo";"Complete Sys. Estimate",#N/A,TRUE,"Change Summary";"Complete Sys. Estimate",#N/A,TRUE,"Estimate Summary";"Complete Sys. Estimate",#N/A,TRUE,"Dept. Summary";"Complete Sys. Estimate",#N/A,TRUE,"DOW Detail"}</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 hidden="1">{"'Sheet1'!$L$16"}</definedName>
    <definedName name="h_xoa" hidden="1">{"'Sheet1'!$L$16"}</definedName>
    <definedName name="h_xoa2" hidden="1">{"'Sheet1'!$L$16"}</definedName>
    <definedName name="HA" hidden="1">{"'Sheet1'!$L$16"}</definedName>
    <definedName name="hadfhafa" hidden="1">{#N/A,#N/A,FALSE,"혼합골재"}</definedName>
    <definedName name="hadfhafhad" hidden="1">{#N/A,#N/A,FALSE,"운반시간"}</definedName>
    <definedName name="hadfhata" hidden="1">{#N/A,#N/A,FALSE,"표지목차"}</definedName>
    <definedName name="hadhfaha" hidden="1">{#N/A,#N/A,FALSE,"포장2"}</definedName>
    <definedName name="hai" hidden="1">#REF!</definedName>
    <definedName name="han" hidden="1">#REF!</definedName>
    <definedName name="hanh" hidden="1">{"'Sheet1'!$L$16"}</definedName>
    <definedName name="hardwar" hidden="1">#REF!</definedName>
    <definedName name="HARDWAR1" hidden="1">#REF!</definedName>
    <definedName name="hardwar2" hidden="1">#REF!</definedName>
    <definedName name="hb" hidden="1">{"'Sheet1'!$L$16"}</definedName>
    <definedName name="HCNA" hidden="1">{"'Sheet1'!$L$16"}</definedName>
    <definedName name="hchdsvf" hidden="1">{"'Sheet1'!$L$16"}</definedName>
    <definedName name="hdfhdh" hidden="1">#REF!</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ew" hidden="1">{"'Sheet1'!$L$16"}</definedName>
    <definedName name="hergyew" hidden="1">{"'Sheet1'!$L$16"}</definedName>
    <definedName name="hethongthoatnuocngoainha" hidden="1">#REF!</definedName>
    <definedName name="HFDDDDD" hidden="1">{#N/A,#N/A,FALSE,"기안지";#N/A,#N/A,FALSE,"통신지"}</definedName>
    <definedName name="hfgh" hidden="1">{"'Sheet1'!$L$16"}</definedName>
    <definedName name="hfgk" hidden="1">{#N/A,#N/A,FALSE,"特殊室（ＢＱ表）"}</definedName>
    <definedName name="hfgsdf" hidden="1">{"'Sheet1'!$L$16"}</definedName>
    <definedName name="hfh" hidden="1">#REF!</definedName>
    <definedName name="hg" hidden="1">{"'Sheet1'!$L$16"}</definedName>
    <definedName name="hgf" hidden="1">#REF!</definedName>
    <definedName name="hgfagl" hidden="1">#REF!</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gg" hidden="1">{"'Sheet1'!$L$16"}</definedName>
    <definedName name="HGGGG" hidden="1">{#N/A,#N/A,FALSE,"제목"}</definedName>
    <definedName name="HGGGH" hidden="1">{#N/A,#N/A,FALSE,"제목"}</definedName>
    <definedName name="hgjhkh" hidden="1">{"'Sheet1'!$L$16"}</definedName>
    <definedName name="HGKUK" hidden="1">#REF!</definedName>
    <definedName name="hh" hidden="1">{"'Sheet1'!$L$16"}</definedName>
    <definedName name="hhb" hidden="1">{"'Sheet1'!$L$16"}</definedName>
    <definedName name="hhgggggg" hidden="1">{"'Sheet1'!$L$16"}</definedName>
    <definedName name="HHH" hidden="1">{#N/A,#N/A,FALSE,"CCTV"}</definedName>
    <definedName name="hhhhh" hidden="1">#REF!</definedName>
    <definedName name="hhhhhftre" hidden="1">{#N/A,#N/A,FALSE,"현장 NCR 분석";#N/A,#N/A,FALSE,"현장품질감사";#N/A,#N/A,FALSE,"현장품질감사"}</definedName>
    <definedName name="hhhhhh" hidden="1">{#N/A,#N/A,FALSE,"골재소요량";#N/A,#N/A,FALSE,"골재소요량"}</definedName>
    <definedName name="hhhhhu" hidden="1">{"'Sheet1'!$L$16"}</definedName>
    <definedName name="hhhlll" hidden="1">{"'Sheet1'!$L$16"}</definedName>
    <definedName name="hi" hidden="1">{"'Sheet1'!$L$16"}</definedName>
    <definedName name="HiddenRows" hidden="1">#REF!</definedName>
    <definedName name="HIGH" hidden="1">#REF!</definedName>
    <definedName name="HJ" hidden="1">{#N/A,#N/A,FALSE,"제목"}</definedName>
    <definedName name="hjfgh" hidden="1">{"'Sheet1'!$L$16"}</definedName>
    <definedName name="hjfhj" hidden="1">#REF!</definedName>
    <definedName name="hjh" hidden="1">{0,0,0,0}</definedName>
    <definedName name="HJHH" hidden="1">{"ECA Qtrs C",#N/A,TRUE,"ECA_Qtrs_C";"ECA Qtrs D",#N/A,TRUE,"ECA_Qtrs_D";"ECA Qtrs F",#N/A,TRUE,"ECA_Qtrs_F";"ECA Qtrs G",#N/A,TRUE,"ECA_Qtrs_G";"ECA SisterApt",#N/A,TRUE,"ECA_SisterApt";"ECA Nurses",#N/A,TRUE,"ECA_NursesHostel"}</definedName>
    <definedName name="hjhj" hidden="1">#REF!</definedName>
    <definedName name="hjhjhj" hidden="1">{#N/A,#N/A,FALSE,"기안지";#N/A,#N/A,FALSE,"통신지"}</definedName>
    <definedName name="hjjpu" hidden="1">{"'Sheet1'!$L$16"}</definedName>
    <definedName name="hjjþu" hidden="1">{"'Sheet1'!$L$16"}</definedName>
    <definedName name="HJK" hidden="1">{#N/A,#N/A,FALSE,"이태원철근"}</definedName>
    <definedName name="hjkl"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llgljl" hidden="1">{"'Sheet1'!$L$16"}</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p" hidden="1">{"'Sheet1'!$L$16"}</definedName>
    <definedName name="hrbjrjy" hidden="1">{#N/A,#N/A,FALSE,"배수2"}</definedName>
    <definedName name="hrtt" hidden="1">#REF!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xoa2" hidden="1">{"'Sheet1'!$L$16"}</definedName>
    <definedName name="HTML_Control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 hidden="1">"'[엑셀95-따라하기 문제.xls]인터넷 어시스턴트'!$A$1:$J$18"</definedName>
    <definedName name="HTML1_10" hidden="1">"Marihan@hitel.kol.co.kr"</definedName>
    <definedName name="HTML1_11" hidden="1">1</definedName>
    <definedName name="HTML1_12" hidden="1">"C:\김종완\원고\[작업중] 한빛-엑셀70\CD-ROM문제\따라하기 문제&amp;그림\MyHTML01.htm"</definedName>
    <definedName name="HTML1_2" hidden="1">1</definedName>
    <definedName name="HTML1_3" hidden="1">"엑셀 프로젝트"</definedName>
    <definedName name="HTML1_4" hidden="1">"인터넷 어시스턴트"</definedName>
    <definedName name="HTML1_5" hidden="1">"엑셀 워크시트를 HTML문서로 변환한다. 이 적업은 &lt;한빛 미디어&gt; 책에서만 가능하며, [어린왕자]만의 독특한 아이디어 이다."</definedName>
    <definedName name="HTML1_6" hidden="1">1</definedName>
    <definedName name="HTML1_7" hidden="1">1</definedName>
    <definedName name="HTML1_8" hidden="1">"97-10-09"</definedName>
    <definedName name="HTML1_9" hidden="1">"김종완/어린왕자"</definedName>
    <definedName name="html2" hidden="1">{"'Sheet1'!$L$16"}</definedName>
    <definedName name="HTMLCount" hidden="1">1</definedName>
    <definedName name="HTMLcpnmtrol" hidden="1">{"'Sheet1'!$L$16"}</definedName>
    <definedName name="hþ" hidden="1">{"'Sheet1'!$L$16"}</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þwr" hidden="1">{"'Sheet1'!$L$16"}</definedName>
    <definedName name="HTR" hidden="1">{#N/A,#N/A,FALSE,"이태원철근"}</definedName>
    <definedName name="hu"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ong" hidden="1">{"'Sheet1'!$L$16"}</definedName>
    <definedName name="huu" hidden="1">{"'Sheet1'!$L$16"}</definedName>
    <definedName name="huy" hidden="1">{"'Sheet1'!$L$16"}</definedName>
    <definedName name="huy_xoa" hidden="1">{"'Sheet1'!$L$16"}</definedName>
    <definedName name="huy_xoa2" hidden="1">{"'Sheet1'!$L$16"}</definedName>
    <definedName name="huyen" hidden="1">{"'Sheet1'!$L$16"}</definedName>
    <definedName name="huyhu" hidden="1">{"'Sheet1'!$L$16"}</definedName>
    <definedName name="huymoi" hidden="1">{"'Sheet1'!$L$16"}</definedName>
    <definedName name="HUYØ" hidden="1">{"'Sheet1'!$L$16"}</definedName>
    <definedName name="hy" hidden="1">{"'Sheet1'!$L$16"}</definedName>
    <definedName name="hy." hidden="1">{"'Sheet1'!$L$16"}</definedName>
    <definedName name="i" hidden="1">{"'Sheet1'!$L$16"}</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hgfddffth" hidden="1">{"'Sheet1'!$L$16"}</definedName>
    <definedName name="in" hidden="1">{"'Sheet1'!$L$16"}</definedName>
    <definedName name="IntroPrintArea" hidden="1">#REF!</definedName>
    <definedName name="iouo" hidden="1">{#N/A,#N/A,FALSE,"배수2"}</definedName>
    <definedName name="ioup" hidden="1">{#N/A,#N/A,FALSE,"속도"}</definedName>
    <definedName name="ITU" hidden="1">{#N/A,#N/A,FALSE,"포장단가"}</definedName>
    <definedName name="ityityit" hidden="1">{#N/A,#N/A,FALSE,"변경관리예산";#N/A,#N/A,FALSE,"변경장비예산";#N/A,#N/A,FALSE,"변경준설예산";#N/A,#N/A,FALSE,"변경철구예산"}</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liupoui" hidden="1">{"'Sheet1'!$L$16"}</definedName>
    <definedName name="iutrir" hidden="1">{#N/A,#N/A,FALSE,"부대1"}</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gjfjfj" hidden="1">#REF!</definedName>
    <definedName name="jfgsdf" hidden="1">{"'Sheet1'!$L$16"}</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gui78" hidden="1">{"'Sheet1'!$L$16"}</definedName>
    <definedName name="jghjgh" hidden="1">#REF!</definedName>
    <definedName name="JGJ" hidden="1">#REF!</definedName>
    <definedName name="JGJG" hidden="1">{#N/A,#N/A,FALSE,"Chi tiÆt"}</definedName>
    <definedName name="JGUGƯ" hidden="1">{#N/A,#N/A,FALSE,"特殊室（ＢＱ表）"}</definedName>
    <definedName name="jh" hidden="1">#REF!</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 hidden="1">#REF!</definedName>
    <definedName name="jhjh" hidden="1">{#N/A,#N/A,FALSE,"기안지";#N/A,#N/A,FALSE,"통신지"}</definedName>
    <definedName name="jii" hidden="1">{#N/A,#N/A,FALSE,"골재소요량";#N/A,#N/A,FALSE,"골재소요량"}</definedName>
    <definedName name="jjddftg" hidden="1">{#N/A,#N/A,FALSE,"현장 NCR 분석";#N/A,#N/A,FALSE,"현장품질감사";#N/A,#N/A,FALSE,"현장품질감사"}</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GHJH" hidden="1">#REF!</definedName>
    <definedName name="jjhj" hidden="1">#REF!</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{#N/A,#N/A,FALSE,"표지목차"}</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 hidden="1">{#N/A,#N/A,FALSE,"운반시간"}</definedName>
    <definedName name="jjk" hidden="1">{#N/A,#N/A,FALSE,"조골재"}</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hidden="1">{#N/A,#N/A,FALSE,"표지목차"}</definedName>
    <definedName name="JKDFSJCSDKJ" hidden="1">{#N/A,#N/A,TRUE,"SUM";#N/A,#N/A,TRUE,"EE";#N/A,#N/A,TRUE,"AC";#N/A,#N/A,TRUE,"SN"}</definedName>
    <definedName name="jkjk" hidden="1">#REF!</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o"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hidden="1">{"'Sheet1'!$L$16"}</definedName>
    <definedName name="jt" hidden="1">{"'Sheet1'!$L$16"}</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ru" hidden="1">{"'Sheet1'!$L$16"}</definedName>
    <definedName name="jytdj" hidden="1">{#N/A,#N/A,FALSE,"Chi tiÆt"}</definedName>
    <definedName name="jytrtysr" hidden="1">{#N/A,#N/A,FALSE,"조골재"}</definedName>
    <definedName name="jyuk" hidden="1">{"'Sheet1'!$L$16"}</definedName>
    <definedName name="k" hidden="1">{"Offgrid",#N/A,FALSE,"OFFGRID";"Region",#N/A,FALSE,"REGION";"Offgrid -2",#N/A,FALSE,"OFFGRID";"WTP",#N/A,FALSE,"WTP";"WTP -2",#N/A,FALSE,"WTP";"Project",#N/A,FALSE,"PROJECT";"Summary -2",#N/A,FALSE,"SUMMARY"}</definedName>
    <definedName name="K.viecBAHUNG" hidden="1">{"'Sheet1'!$L$16"}</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b" hidden="1">{"'Sheet1'!$L$16"}</definedName>
    <definedName name="KCThep" hidden="1">{"'Sheet1'!$L$16"}</definedName>
    <definedName name="kd" hidden="1">{"SUMMARY",#N/A,FALSE,"Fin_sched"}</definedName>
    <definedName name="key" hidden="1">#REF!</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iyddfdr" hidden="1">{"'Sheet1'!$L$16"}</definedName>
    <definedName name="kj" hidden="1">#REF!</definedName>
    <definedName name="kj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j" hidden="1">{#N/A,#N/A,FALSE,"조골재"}</definedName>
    <definedName name="kjjkjgg" hidden="1">{"'Sheet1'!$L$16"}</definedName>
    <definedName name="kjjlll" hidden="1">{"'Sheet1'!$L$16"}</definedName>
    <definedName name="kjoh" hidden="1">{#N/A,#N/A,FALSE,"特殊室（ＢＱ表）"}</definedName>
    <definedName name="kk" hidden="1">#N/A</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{#N/A,#N/A,FALSE,"特殊室（ＢＱ表）"}</definedName>
    <definedName name="ｋｋｋ"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KSKR" hidden="1">#REF!</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duonggiaods" hidden="1">{"'Sheet1'!$L$16"}</definedName>
    <definedName name="klkkj" hidden="1">{"'Sheet1'!$L$16"}</definedName>
    <definedName name="klkklk" hidden="1">{#N/A,#N/A,FALSE,"Sheet1";#N/A,#N/A,FALSE,"Sheet3";#N/A,#N/A,FALSE,"Sheet5"}</definedName>
    <definedName name="KLLT" hidden="1">#REF!</definedName>
    <definedName name="KNDAT_CHUA_SU_DUNG" hidden="1">#REF!</definedName>
    <definedName name="knj" hidden="1">{#N/A,#N/A,FALSE,"혼합골재"}</definedName>
    <definedName name="ks" hidden="1">{"'Sheet1'!$L$16"}</definedName>
    <definedName name="ksbn" hidden="1">{"'Sheet1'!$L$16"}</definedName>
    <definedName name="KSDA" hidden="1">{"'Sheet1'!$L$16"}</definedName>
    <definedName name="kshn" hidden="1">{"'Sheet1'!$L$16"}</definedName>
    <definedName name="ksksks" hidden="1">#REF!</definedName>
    <definedName name="kskt5" hidden="1">{"'Sheet1'!$L$16"}</definedName>
    <definedName name="ksls" hidden="1">{"'Sheet1'!$L$16"}</definedName>
    <definedName name="ktf" hidden="1">#REF!</definedName>
    <definedName name="kty" hidden="1">#REF!</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ek" hidden="1">{"'Sheet1'!$L$16"}</definedName>
    <definedName name="kuklk" hidden="1">{"'Sheet1'!$L$16"}</definedName>
    <definedName name="kutkuk" hidden="1">{"'Sheet1'!$L$16"}</definedName>
    <definedName name="kytjnjr" hidden="1">{#N/A,#N/A,FALSE,"토공2"}</definedName>
    <definedName name="KHGDFKHGFJKGF" hidden="1">#REF!</definedName>
    <definedName name="KHKN" hidden="1">{#N/A,#N/A,FALSE,"特殊室（ＢＱ表）"}</definedName>
    <definedName name="khkh" hidden="1">{"'Sheet1'!$L$16"}</definedName>
    <definedName name="khoi" hidden="1">#REF!</definedName>
    <definedName name="khoiluongducbt" hidden="1">#REF!</definedName>
    <definedName name="khongtruotgia" hidden="1">{"'Sheet1'!$L$16"}</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gson" hidden="1">{"'Sheet1'!$L$16"}</definedName>
    <definedName name="LARGE" hidden="1">{#N/A,#N/A,FALSE,"제목"}</definedName>
    <definedName name="LC산출" hidden="1">{#N/A,#N/A,FALSE,"사업총괄";#N/A,#N/A,FALSE,"장비사업";#N/A,#N/A,FALSE,"철구사업";#N/A,#N/A,FALSE,"준설사업"}</definedName>
    <definedName name="le" hidden="1">{"'Sheet1'!$L$16"}</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ijop" hidden="1">{#N/A,#N/A,FALSE,"배수1"}</definedName>
    <definedName name="limcount" hidden="1">4</definedName>
    <definedName name="list" hidden="1">{#N/A,#N/A,TRUE,"Basic";#N/A,#N/A,TRUE,"EXT-TABLE";#N/A,#N/A,TRUE,"STEEL";#N/A,#N/A,TRUE,"INT-Table";#N/A,#N/A,TRUE,"STEEL";#N/A,#N/A,TRUE,"Door"}</definedName>
    <definedName name="list01" hidden="1">{#N/A,#N/A,TRUE,"Basic";#N/A,#N/A,TRUE,"EXT-TABLE";#N/A,#N/A,TRUE,"STEEL";#N/A,#N/A,TRUE,"INT-Table";#N/A,#N/A,TRUE,"STEEL";#N/A,#N/A,TRUE,"Door"}</definedName>
    <definedName name="list02" hidden="1">{#N/A,#N/A,TRUE,"Basic";#N/A,#N/A,TRUE,"EXT-TABLE";#N/A,#N/A,TRUE,"STEEL";#N/A,#N/A,TRUE,"INT-Table";#N/A,#N/A,TRUE,"STEEL";#N/A,#N/A,TRUE,"Door"}</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 hidden="1">{#N/A,#N/A,FALSE,"Chi tiÆt"}</definedName>
    <definedName name="ljhghg" hidden="1">{"'Sheet1'!$L$16"}</definedName>
    <definedName name="ljj" hidden="1">{"'Sheet1'!$L$16"}</definedName>
    <definedName name="ljklk" hidden="1">{"'Sheet1'!$L$16"}</definedName>
    <definedName name="lk" hidden="1">{"'Sheet1'!$L$16"}</definedName>
    <definedName name="lkklll" hidden="1">{"'Sheet1'!$L$16"}</definedName>
    <definedName name="lklkhh" hidden="1">{"'Sheet1'!$L$16"}</definedName>
    <definedName name="ll"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j" hidden="1">{"'Sheet1'!$L$16"}</definedName>
    <definedName name="LLLL" hidden="1">{"'장비'!$A$3:$M$12"}</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CO" hidden="1">{"'Sheet1'!$L$16"}</definedName>
    <definedName name="LOCO2" hidden="1">{"'Sheet1'!$L$16"}</definedName>
    <definedName name="LOIOP" hidden="1">#REF!</definedName>
    <definedName name="Long" hidden="1">{"'Sheet1'!$L$16"}</definedName>
    <definedName name="lop" hidden="1">{#N/A,#N/A,FALSE,"特殊室（ＢＱ表）"}</definedName>
    <definedName name="lop." hidden="1">{#N/A,#N/A,FALSE,"特殊室（ＢＱ表）"}</definedName>
    <definedName name="lt" hidden="1">#REF!</definedName>
    <definedName name="luan" hidden="1">{"'Sheet1'!$L$16"}</definedName>
    <definedName name="luong" hidden="1">{"'Sheet1'!$L$16"}</definedName>
    <definedName name="M10." hidden="1">{"'Sheet1'!$L$16"}</definedName>
    <definedName name="Mai" hidden="1">{"'Sheet1'!$L$16"}</definedName>
    <definedName name="MAITAI.11.MARCH08" hidden="1">{"'Sheet1'!$L$16"}</definedName>
    <definedName name="mat.spare" hidden="1">{"'ELEC'!$A$2:$H$216","'ELEC'!$C$2:$D$2"}</definedName>
    <definedName name="MAU" hidden="1">{"'Sheet1'!$L$16"}</definedName>
    <definedName name="mbb" hidden="1">{"'Sheet1'!$L$16"}</definedName>
    <definedName name="MBM" hidden="1">{#N/A,#N/A,FALSE,"特殊室（ＢＱ表）"}</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CNX" hidden="1">{#N/A,#N/A,FALSE,"배수1"}</definedName>
    <definedName name="MCONSOL" hidden="1">#REF!</definedName>
    <definedName name="Mech" hidden="1">#REF!</definedName>
    <definedName name="MGB" hidden="1">{#N/A,#N/A,FALSE,"特殊室（ＢＱ表）"}</definedName>
    <definedName name="ｍｍｍ" hidden="1">{"'Sheet1'!$L$16"}</definedName>
    <definedName name="mmmm" hidden="1">{"'Sheet1'!$L$16"}</definedName>
    <definedName name="ｍｍｍｍ" hidden="1">{"'Sheet1'!$L$16"}</definedName>
    <definedName name="MNB" hidden="1">{#N/A,#N/A,FALSE,"特殊室（ＢＱ表）"}</definedName>
    <definedName name="mo" hidden="1">{"'Sheet1'!$L$16"}</definedName>
    <definedName name="model" hidden="1">#REF!</definedName>
    <definedName name="moi" hidden="1">{"'Sheet1'!$L$16"}</definedName>
    <definedName name="MV" hidden="1">{#N/A,#N/A,FALSE,"Sheet1";#N/A,#N/A,FALSE,"Sheet3";#N/A,#N/A,FALSE,"Sheet5"}</definedName>
    <definedName name="n" hidden="1">#REF!</definedName>
    <definedName name="Na" hidden="1">{"'Sheet1'!$L$16"}</definedName>
    <definedName name="nam" hidden="1">{"'Sheet1'!$L$16"}</definedName>
    <definedName name="name_one" hidden="1">#REF!</definedName>
    <definedName name="name_two" hidden="1">#REF!</definedName>
    <definedName name="name_three" hidden="1">#REF!</definedName>
    <definedName name="NB" hidden="1">#REF!</definedName>
    <definedName name="NCH" hidden="1">{#N/A,#N/A,FALSE,"기안지";#N/A,#N/A,FALSE,"통신지"}</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hidden="1">{#N/A,#N/A,FALSE,"Chi tiÆt"}</definedName>
    <definedName name="NEW" hidden="1">{#N/A,#N/A,FALSE,"Chi tiÆt"}</definedName>
    <definedName name="NEWNAME" hidden="1">{#N/A,#N/A,FALSE,"CCTV"}</definedName>
    <definedName name="nmhgnjm" hidden="1">#REF!</definedName>
    <definedName name="nnn" hidden="1">{"'Sheet1'!$L$16"}</definedName>
    <definedName name="nnnn" hidden="1">#REF!</definedName>
    <definedName name="nnnnn" hidden="1">{"'Sheet1'!$L$16"}</definedName>
    <definedName name="No.10" hidden="1">{"'Sheet1'!$L$16"}</definedName>
    <definedName name="No.9" hidden="1">{"'Sheet1'!$L$16"}</definedName>
    <definedName name="nuoc2" hidden="1">{"'Sheet1'!$L$16"}</definedName>
    <definedName name="NUOCHKHOAN" hidden="1">{"'Sheet1'!$L$16"}</definedName>
    <definedName name="NUOCHKHOANMOI" hidden="1">{"'Sheet1'!$L$16"}</definedName>
    <definedName name="nuoùc" hidden="1">{"'Sheet1'!$L$16"}</definedName>
    <definedName name="ng" hidden="1">{"'Sheet1'!$L$16"}</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hg" hidden="1">#REF!</definedName>
    <definedName name="ngljlj" hidden="1">{"'Sheet1'!$L$16"}</definedName>
    <definedName name="ngu" hidden="1">{"'Sheet1'!$L$16"}</definedName>
    <definedName name="NguyenDiep" hidden="1">{"'Sheet1'!$L$16"}</definedName>
    <definedName name="nguyennha" hidden="1">{"'Sheet1'!$L$16"}</definedName>
    <definedName name="nhanuoc" hidden="1">{"'Sheet1'!$L$16"}</definedName>
    <definedName name="nharac" hidden="1">{#N/A,#N/A,FALSE,"Chi tiÆt"}</definedName>
    <definedName name="Nhiem"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DH" hidden="1">#REF!</definedName>
    <definedName name="OFFER" hidden="1">#REF!</definedName>
    <definedName name="office" hidden="1">{"'Sheet1'!$L$16"}</definedName>
    <definedName name="oi" hidden="1">{0}</definedName>
    <definedName name="oi8uip" hidden="1">{#N/A,#N/A,FALSE,"이정표"}</definedName>
    <definedName name="oiuy" hidden="1">{#N/A,#N/A,FALSE,"Chi tiÆt"}</definedName>
    <definedName name="oiuyo" hidden="1">{#N/A,#N/A,FALSE,"부대1"}</definedName>
    <definedName name="ok" hidden="1">{#N/A,#N/A,FALSE,"2~8번"}</definedName>
    <definedName name="okay" hidden="1">{#N/A,#N/A,FALSE,"mgtsum.XLS";#N/A,#N/A,FALSE,"CAPONE";#N/A,#N/A,FALSE,"CAPTWO";#N/A,#N/A,FALSE,"CAPTHREE"}</definedName>
    <definedName name="olk" hidden="1">{#N/A,#N/A,FALSE,"特殊室（ＢＱ表）"}</definedName>
    <definedName name="OMA" hidden="1">#REF!</definedName>
    <definedName name="ONP" hidden="1">#REF!</definedName>
    <definedName name="ong" hidden="1">#REF!</definedName>
    <definedName name="OO" hidden="1">#REF!</definedName>
    <definedName name="opo" hidden="1">{#N/A,#N/A,FALSE,"지침";#N/A,#N/A,FALSE,"환경분석";#N/A,#N/A,FALSE,"Sheet16"}</definedName>
    <definedName name="Option" hidden="1">{"'Sheet1'!$L$16"}</definedName>
    <definedName name="order2" hidden="1">0</definedName>
    <definedName name="OrderTable" hidden="1">#REF!</definedName>
    <definedName name="ouio" hidden="1">{#N/A,#N/A,FALSE,"부대2"}</definedName>
    <definedName name="ouioyoigoigyiyugi" hidden="1">#REF!</definedName>
    <definedName name="ôclsaclnmc" hidden="1">{"'Sheet1'!$L$16"}</definedName>
    <definedName name="p" hidden="1">{"'Sheet1'!$L$16"}</definedName>
    <definedName name="PAIII_" hidden="1">{"'Sheet1'!$L$16"}</definedName>
    <definedName name="PAK" hidden="1">{#N/A,#N/A,FALSE,"제목"}</definedName>
    <definedName name="Panel" hidden="1">{#N/A,#N/A,TRUE,"SUM";#N/A,#N/A,TRUE,"EE";#N/A,#N/A,TRUE,"AC";#N/A,#N/A,TRUE,"SN"}</definedName>
    <definedName name="park" hidden="1">{#N/A,#N/A,FALSE,"제목"}</definedName>
    <definedName name="PARKIN" hidden="1">{#N/A,#N/A,FALSE,"제목"}</definedName>
    <definedName name="pẻgtmaegnahr" hidden="1">{"'Sheet1'!$L$16"}</definedName>
    <definedName name="pig" hidden="1">{#N/A,#N/A,FALSE,"제목"}</definedName>
    <definedName name="Pipe" hidden="1">{#N/A,#N/A,FALSE,"CCTV"}</definedName>
    <definedName name="pjkljlkjkl" hidden="1">#REF!</definedName>
    <definedName name="PKTN." hidden="1">{"'Sheet1'!$L$16"}</definedName>
    <definedName name="PL" hidden="1">{"'Sheet1'!$L$16"}</definedName>
    <definedName name="PlucBcaoTD" hidden="1">{"'Sheet1'!$L$16"}</definedName>
    <definedName name="PMS" hidden="1">{"'Sheet1'!$L$16"}</definedName>
    <definedName name="po" hidden="1">{"'Sheet1'!$L$16"}</definedName>
    <definedName name="POI" hidden="1">#REF!</definedName>
    <definedName name="Port1" hidden="1">{#N/A,#N/A,FALSE,"特殊室（ＢＱ表）"}</definedName>
    <definedName name="port11" hidden="1">{#N/A,#N/A,FALSE,"特殊室（ＢＱ表）"}</definedName>
    <definedName name="port2" hidden="1">{#N/A,#N/A,FALSE,"特殊室（ＢＱ表）"}</definedName>
    <definedName name="pp" hidden="1">{#N/A,#N/A,FALSE,"OUTPUT SHEET "}</definedName>
    <definedName name="PPP" hidden="1">{"'장비'!$A$3:$M$12"}</definedName>
    <definedName name="ｐｐｐｐ" hidden="1">{"'Sheet1'!$L$16"}</definedName>
    <definedName name="pri" hidden="1">{#N/A,#N/A,TRUE,"Str.";#N/A,#N/A,TRUE,"Steel &amp; Roof";#N/A,#N/A,TRUE,"Arc.";#N/A,#N/A,TRUE,"Preliminary";#N/A,#N/A,TRUE,"Sum_Prelim"}</definedName>
    <definedName name="_xlnm.Print_Area" localSheetId="11">'10A'!$A$1:$L$165</definedName>
    <definedName name="_xlnm.Print_Area" localSheetId="12">'11A'!$A$1:$L$166</definedName>
    <definedName name="_xlnm.Print_Area" localSheetId="13">'12A'!$A$1:$L$163</definedName>
    <definedName name="_xlnm.Print_Area" localSheetId="14">'13A'!$A$1:$L$183</definedName>
    <definedName name="_xlnm.Print_Area" localSheetId="15">'14A'!$A$1:$L$177</definedName>
    <definedName name="_xlnm.Print_Area" localSheetId="16">'15A'!$A$1:$L$161</definedName>
    <definedName name="_xlnm.Print_Area" localSheetId="17">'16A'!$A$1:$J$164</definedName>
    <definedName name="_xlnm.Print_Area" localSheetId="18">'17A'!$A$1:$J$163</definedName>
    <definedName name="_xlnm.Print_Area" localSheetId="19">'18A'!$A$1:$J$110</definedName>
    <definedName name="_xlnm.Print_Area" localSheetId="20">'19A'!$A$1:$J$111</definedName>
    <definedName name="_xlnm.Print_Area" localSheetId="2">'1A'!$A$1:$L$173</definedName>
    <definedName name="_xlnm.Print_Area" localSheetId="26">'1B'!$A$1:$J$12</definedName>
    <definedName name="_xlnm.Print_Area" localSheetId="21">'21A'!$A$1:$L$164</definedName>
    <definedName name="_xlnm.Print_Area" localSheetId="22">'22A'!$A$1:$L$41</definedName>
    <definedName name="_xlnm.Print_Area" localSheetId="23">'23A'!$A$1:$J$66</definedName>
    <definedName name="_xlnm.Print_Area" localSheetId="24">'24A'!$A$1:$J$66</definedName>
    <definedName name="_xlnm.Print_Area" localSheetId="25">'25A'!$A$1:$J$30</definedName>
    <definedName name="_xlnm.Print_Area" localSheetId="3">'2A'!$A$1:$L$169</definedName>
    <definedName name="_xlnm.Print_Area" localSheetId="27">'2B'!$A$1:$J$37</definedName>
    <definedName name="_xlnm.Print_Area" localSheetId="4">'3A'!$A$1:$L$182</definedName>
    <definedName name="_xlnm.Print_Area" localSheetId="28">'3B'!$A$1:$J$52</definedName>
    <definedName name="_xlnm.Print_Area" localSheetId="5">'4A'!$A$1:$M$176</definedName>
    <definedName name="_xlnm.Print_Area" localSheetId="29">'4B'!$A$1:$J$26</definedName>
    <definedName name="_xlnm.Print_Area" localSheetId="6">'5A'!$A$1:$M$168</definedName>
    <definedName name="_xlnm.Print_Area" localSheetId="30">'5B'!$A$1:$J$112</definedName>
    <definedName name="_xlnm.Print_Area" localSheetId="7">'6A'!$A$1:$L$168</definedName>
    <definedName name="_xlnm.Print_Area" localSheetId="31">'6B'!$A$1:$J$16</definedName>
    <definedName name="_xlnm.Print_Area" localSheetId="8">'7A'!$A$1:$L$167</definedName>
    <definedName name="_xlnm.Print_Area" localSheetId="9">'8A'!$A$1:$L$173</definedName>
    <definedName name="_xlnm.Print_Area" localSheetId="10">'9A'!$A$1:$L$162</definedName>
    <definedName name="ProdForm" hidden="1">#REF!</definedName>
    <definedName name="Product" hidden="1">#REF!</definedName>
    <definedName name="PRODUCTION" hidden="1">{"'Sheet1'!$L$16"}</definedName>
    <definedName name="pst" hidden="1">{"'Sheet1'!$L$16"}</definedName>
    <definedName name="ptich3" hidden="1">{"'Sheet1'!$L$16"}</definedName>
    <definedName name="PUBLIC" hidden="1">{"'Sheet1'!$L$16"}</definedName>
    <definedName name="pump" hidden="1">{"'장비'!$A$3:$M$12"}</definedName>
    <definedName name="PVC" hidden="1">{"'Sheet1'!$L$16"}</definedName>
    <definedName name="ph" hidden="1">{"'Sheet1'!$L$16"}</definedName>
    <definedName name="phai" hidden="1">{"'Sheet1'!$L$16"}</definedName>
    <definedName name="phantich3" hidden="1">{"'Sheet1'!$L$16"}</definedName>
    <definedName name="PHOTO" hidden="1">#REF!</definedName>
    <definedName name="Phuong" hidden="1">{"'Sheet1'!$L$16"}</definedName>
    <definedName name="Q"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3WEE" hidden="1">{#N/A,#N/A,FALSE,"조골재"}</definedName>
    <definedName name="QA" hidden="1">{"'Sheet1'!$L$16"}</definedName>
    <definedName name="QANG" hidden="1">{"'Sheet1'!$L$16"}</definedName>
    <definedName name="qd10_gt" hidden="1">{"'Sheet1'!$L$16"}</definedName>
    <definedName name="qd10_gt1" hidden="1">{"'Sheet1'!$L$16"}</definedName>
    <definedName name="qdwfwdfwfwe" hidden="1">#REF!</definedName>
    <definedName name="q­eqw" hidden="1">#REF!</definedName>
    <definedName name="QLSU" hidden="1">{#N/A,#N/A,FALSE,"제목"}</definedName>
    <definedName name="qncjstkdehdwhrud" hidden="1">{#N/A,#N/A,TRUE,"1";#N/A,#N/A,TRUE,"2";#N/A,#N/A,TRUE,"3";#N/A,#N/A,TRUE,"4";#N/A,#N/A,TRUE,"5";#N/A,#N/A,TRUE,"6";#N/A,#N/A,TRUE,"7"}</definedName>
    <definedName name="qöeqwerqwereq" hidden="1">#REF!</definedName>
    <definedName name="qor" hidden="1">#REF!</definedName>
    <definedName name="qq" hidden="1">#REF!</definedName>
    <definedName name="qqq" hidden="1">{#N/A,#N/A,TRUE,"Basic";#N/A,#N/A,TRUE,"EXT-TABLE";#N/A,#N/A,TRUE,"STEEL";#N/A,#N/A,TRUE,"INT-Table";#N/A,#N/A,TRUE,"STEEL";#N/A,#N/A,TRUE,"Door"}</definedName>
    <definedName name="ｑｑｑ" hidden="1">{"'Sheet1'!$L$16"}</definedName>
    <definedName name="ｑｑｑｑ" hidden="1">{"'Sheet1'!$L$16"}</definedName>
    <definedName name="qqqqq" hidden="1">{#N/A,#N/A,FALSE,"골재소요량";#N/A,#N/A,FALSE,"골재소요량"}</definedName>
    <definedName name="qqqqqqq" hidden="1">{#N/A,#N/A,FALSE,"골재소요량";#N/A,#N/A,FALSE,"골재소요량"}</definedName>
    <definedName name="qrt" hidden="1">{"'Sheet1'!$L$16"}</definedName>
    <definedName name="qrw" hidden="1">{#N/A,#N/A,FALSE,"Sheet2";#N/A,#N/A,FALSE,"Sheet4";#N/A,#N/A,FALSE,"Sheet6"}</definedName>
    <definedName name="qw" hidden="1">{#N/A,#N/A,FALSE,"단가표지"}</definedName>
    <definedName name="QWE" hidden="1">{#N/A,#N/A,FALSE,"이태원철근"}</definedName>
    <definedName name="QWER" hidden="1">{#N/A,#N/A,FALSE,"이태원철근"}</definedName>
    <definedName name="qwertet" hidden="1">{"'Sheet1'!$L$16"}</definedName>
    <definedName name="qwwqe" hidden="1">{"'Sheet1'!$L$16"}</definedName>
    <definedName name="QWWW" hidden="1">{#N/A,#N/A,FALSE,"제목"}</definedName>
    <definedName name="quantity"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g" hidden="1">#REF!</definedName>
    <definedName name="QUOC" hidden="1">#REF!</definedName>
    <definedName name="Ranhxay" hidden="1">{"'Sheet1'!$L$16"}</definedName>
    <definedName name="rarasfsda" hidden="1">{#N/A,#N/A,FALSE,"이정표"}</definedName>
    <definedName name="rasfsafsafdsa" hidden="1">{#N/A,#N/A,FALSE,"조골재"}</definedName>
    <definedName name="RCArea" hidden="1">#REF!</definedName>
    <definedName name="RCW" hidden="1">#REF!</definedName>
    <definedName name="_xlnm.Recorder" hidden="1">#REF!</definedName>
    <definedName name="REGREGTERGT" hidden="1">#REF!</definedName>
    <definedName name="Regional" hidden="1">{#N/A,#N/A,FALSE,"mgtsum.XLS";#N/A,#N/A,FALSE,"CAPONE";#N/A,#N/A,FALSE,"CAPTWO";#N/A,#N/A,FALSE,"CAPTHREE"}</definedName>
    <definedName name="REHGRE" hidden="1">{#N/A,#N/A,FALSE,"포장단가"}</definedName>
    <definedName name="report1" hidden="1">{#N/A,#N/A,FALSE,"特殊室（ＢＱ表）"}</definedName>
    <definedName name="report2" hidden="1">{#N/A,#N/A,FALSE,"特殊室（ＢＱ表）"}</definedName>
    <definedName name="Result21" hidden="1">{"'Sheet1'!$L$16"}</definedName>
    <definedName name="reuse" hidden="1">{#N/A,#N/A,FALSE,"mgtsum.XLS";#N/A,#N/A,FALSE,"CAPONE";#N/A,#N/A,FALSE,"CAPTWO";#N/A,#N/A,FALSE,"CAPTHREE"}</definedName>
    <definedName name="rewr" hidden="1">{"'Sheet1'!$L$16"}</definedName>
    <definedName name="RFDFSS" hidden="1">#REF!</definedName>
    <definedName name="rffdf" hidden="1">#REF!</definedName>
    <definedName name="rgdf" hidden="1">{"'Sheet1'!$L$16"}</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DK" hidden="1">{#N/A,#N/A,FALSE,"이태원철근"}</definedName>
    <definedName name="RHODIA" hidden="1">{"'DocTypeCode'!$A$142:$A$226"}</definedName>
    <definedName name="rjs" hidden="1">{#N/A,#N/A,FALSE,"포장2"}</definedName>
    <definedName name="RK" hidden="1">{#N/A,#N/A,FALSE,"포장단가"}</definedName>
    <definedName name="rkd" hidden="1">{#N/A,#N/A,FALSE,"CCTV"}</definedName>
    <definedName name="rkdkd" hidden="1">{#N/A,#N/A,FALSE,"2~8번"}</definedName>
    <definedName name="RKDLKS" hidden="1">{#N/A,#N/A,TRUE,"1";#N/A,#N/A,TRUE,"2";#N/A,#N/A,TRUE,"3";#N/A,#N/A,TRUE,"4";#N/A,#N/A,TRUE,"5";#N/A,#N/A,TRUE,"6";#N/A,#N/A,TRUE,"7"}</definedName>
    <definedName name="rks" hidden="1">{#N/A,#N/A,FALSE,"구조2"}</definedName>
    <definedName name="rkss" hidden="1">{#N/A,#N/A,FALSE,"부대1"}</definedName>
    <definedName name="rksss" hidden="1">{#N/A,#N/A,FALSE,"부대2"}</definedName>
    <definedName name="rkssss" hidden="1">{#N/A,#N/A,FALSE,"속도"}</definedName>
    <definedName name="RO" hidden="1">#REF!</definedName>
    <definedName name="ROO" hidden="1">#REF!</definedName>
    <definedName name="row" hidden="1">#REF!</definedName>
    <definedName name="Royalty" hidden="1">{#N/A,#N/A,FALSE,"Sheet1"}</definedName>
    <definedName name="RPLA" hidden="1">{"'Sheet1'!$L$16"}</definedName>
    <definedName name="rr" hidden="1">{#N/A,#N/A,FALSE,"단가표지"}</definedName>
    <definedName name="rrr" hidden="1">{"'Sheet1'!$L$16"}</definedName>
    <definedName name="rrrr" hidden="1">#REF!</definedName>
    <definedName name="ｒｒｒｒ" hidden="1">{"'Sheet1'!$L$16"}</definedName>
    <definedName name="rrrrrr" hidden="1">#REF!</definedName>
    <definedName name="rrt" hidden="1">{"'Sheet1'!$L$16"}</definedName>
    <definedName name="rsaraf" hidden="1">{#N/A,#N/A,FALSE,"운반시간"}</definedName>
    <definedName name="rss" hidden="1">#REF!</definedName>
    <definedName name="RT" hidden="1">{#N/A,#N/A,FALSE,"이태원철근"}</definedName>
    <definedName name="rtyrtyt" hidden="1">#REF!</definedName>
    <definedName name="rtytry" hidden="1">#REF!</definedName>
    <definedName name="rtr" hidden="1">#REF!</definedName>
    <definedName name="RTRYHTRYRT" hidden="1">#REF!</definedName>
    <definedName name="rvfgbh" hidden="1">{#VALUE!,#N/A,FALSE,0}</definedName>
    <definedName name="rwe6vtd" hidden="1">{#N/A,#N/A,FALSE,"표지목차"}</definedName>
    <definedName name="RWER" hidden="1">{#N/A,#N/A,FALSE,"제목"}</definedName>
    <definedName name="rwes" hidden="1">{#N/A,#N/A,FALSE,"제목"}</definedName>
    <definedName name="ryedfg" hidden="1">{#N/A,#N/A,FALSE,"CCTV"}</definedName>
    <definedName name="ryescerfwe" hidden="1">{#N/A,#N/A,FALSE,"부대2"}</definedName>
    <definedName name="RYTRYTR" hidden="1">#REF!</definedName>
    <definedName name="s" hidden="1">{#N/A,#N/A,FALSE,"CCTV"}</definedName>
    <definedName name="sa" hidden="1">#REF!</definedName>
    <definedName name="saa" hidden="1">{#N/A,#N/A,FALSE,"Sheet2";#N/A,#N/A,FALSE,"Sheet4";#N/A,#N/A,FALSE,"Sheet6"}</definedName>
    <definedName name="saada" hidden="1">{#N/A,#N/A,FALSE,"特殊室（ＢＱ表）"}</definedName>
    <definedName name="sad" hidden="1">{#N/A,#N/A,FALSE,"전력간선"}</definedName>
    <definedName name="SÁDFSDFDSF" hidden="1">#REF!</definedName>
    <definedName name="sadSa" hidden="1">{#N/A,#N/A,FALSE,"Chi tiÆt"}</definedName>
    <definedName name="sadsgfjhkhluiluil" hidden="1">#REF!</definedName>
    <definedName name="sagawa" hidden="1">#REF!</definedName>
    <definedName name="san" hidden="1">{"'Sheet1'!$L$16"}</definedName>
    <definedName name="SAPBEXrevision" hidden="1">1</definedName>
    <definedName name="SAPBEXwbID" hidden="1">"E9Q3LCWW911VAJ39BASH84PBR"</definedName>
    <definedName name="sasa" hidden="1">{#N/A,#N/A,FALSE,"Sheet1";#N/A,#N/A,FALSE,"Sheet3";#N/A,#N/A,FALSE,"Sheet5"}</definedName>
    <definedName name="sasasa" hidden="1">{#N/A,#N/A,FALSE,"속도"}</definedName>
    <definedName name="SD" hidden="1">{"'ELEC'!$A$2:$H$216","'ELEC'!$C$2:$D$2"}</definedName>
    <definedName name="SDASDASDA" hidden="1">#REF!</definedName>
    <definedName name="sdcsd" hidden="1">{"'Sheet1'!$L$16"}</definedName>
    <definedName name="sdd" hidden="1">{"'Sheet1'!$L$16"}</definedName>
    <definedName name="sdf" hidden="1">{"'Sheet1'!$L$16"}</definedName>
    <definedName name="sdfadad" hidden="1">#REF!</definedName>
    <definedName name="sdfafsd" hidden="1">#REF!</definedName>
    <definedName name="sdfas" hidden="1">#REF!</definedName>
    <definedName name="sdfasdffsdf" hidden="1">#REF!</definedName>
    <definedName name="sdfastgawtwqetr" hidden="1">#REF!</definedName>
    <definedName name="sdfda" hidden="1">{"'Sheet1'!$L$16"}</definedName>
    <definedName name="sdfgdfg" hidden="1">#REF!</definedName>
    <definedName name="sdfsdf" hidden="1">#REF!</definedName>
    <definedName name="sdfsdfasddfas" hidden="1">{#N/A,#N/A,FALSE,"보고목차";#N/A,#N/A,FALSE,"1)서비스접수";#N/A,#N/A,FALSE,"2)상담";#N/A,#N/A,FALSE,"2.월별접수추이현황"}</definedName>
    <definedName name="sdfsdfsd" hidden="1">{"'Sheet1'!$L$16"}</definedName>
    <definedName name="SDFSDFSDF" hidden="1">{#N/A,#N/A,FALSE,"기안지";#N/A,#N/A,FALSE,"통신지"}</definedName>
    <definedName name="sdfsfg" hidden="1">#REF!</definedName>
    <definedName name="sdfsgd" hidden="1">{#N/A,#N/A,FALSE,"이태원철근"}</definedName>
    <definedName name="sdg" hidden="1">#REF!</definedName>
    <definedName name="SDS" hidden="1">{#N/A,#N/A,FALSE,"2~8번"}</definedName>
    <definedName name="sdsd" hidden="1">{"'Sheet1'!$L$16"}</definedName>
    <definedName name="SD롢" hidden="1">{#N/A,#N/A,FALSE,"부대2"}</definedName>
    <definedName name="sencount" hidden="1">1</definedName>
    <definedName name="SERVICE" hidden="1">{#N/A,#N/A,FALSE,"이태원철근"}</definedName>
    <definedName name="sf" hidden="1">{#N/A,#N/A,FALSE,"特殊室（ＢＱ表）"}</definedName>
    <definedName name="SFA" hidden="1">#REF!</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sd" hidden="1">{"'Sheet1'!$L$16"}</definedName>
    <definedName name="SFSFSF" hidden="1">{#N/A,#N/A,TRUE,"토적및재료집계";#N/A,#N/A,TRUE,"토적및재료집계";#N/A,#N/A,TRUE,"단위량"}</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G" hidden="1">{"'Sheet1'!$L$16"}</definedName>
    <definedName name="sgjhk" hidden="1">{"'Sheet1'!$L$16"}</definedName>
    <definedName name="SH" hidden="1">{#N/A,#N/A,FALSE,"제목"}</definedName>
    <definedName name="sheet" hidden="1">{#N/A,#N/A,FALSE,"골재소요량";#N/A,#N/A,FALSE,"골재소요량"}</definedName>
    <definedName name="SHEET100" hidden="1">#REF!</definedName>
    <definedName name="Sheet2" hidden="1">{#N/A,#N/A,FALSE,"Sheet1"}</definedName>
    <definedName name="sheet3" hidden="1">{"NGUYEN QUI THIEP - Personal View",#N/A,FALSE,"XDCB.HT.FUR."}</definedName>
    <definedName name="Sheet4" hidden="1">{"'Sheet1'!$L$16"}</definedName>
    <definedName name="sheet5" hidden="1">{"'Sheet1'!$L$16"}</definedName>
    <definedName name="slab3" hidden="1">#REF!</definedName>
    <definedName name="SLDKFJSLKDF" hidden="1">{#N/A,#N/A,FALSE,"기안지";#N/A,#N/A,FALSE,"통신지"}</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lver_lin" hidden="1">0</definedName>
    <definedName name="solver_num" hidden="1">0</definedName>
    <definedName name="solver_typ" hidden="1">1</definedName>
    <definedName name="solver_val" hidden="1">0</definedName>
    <definedName name="sort" hidden="1">#REF!</definedName>
    <definedName name="sort2" hidden="1">#REF!</definedName>
    <definedName name="Sosanh2" hidden="1">{"'Sheet1'!$L$16"}</definedName>
    <definedName name="Spample" hidden="1">{"'Sheet1'!$L$16"}</definedName>
    <definedName name="SpecialPrice" hidden="1">#REF!</definedName>
    <definedName name="sqw" hidden="1">#REF!</definedName>
    <definedName name="srter" hidden="1">#REF!</definedName>
    <definedName name="SS" hidden="1">{"'단계별시설공사비'!$A$3:$K$51"}</definedName>
    <definedName name="sss" hidden="1">{#N/A,#N/A,FALSE,"전력간선"}</definedName>
    <definedName name="sssdsdsd" hidden="1">#REF!</definedName>
    <definedName name="ssss" hidden="1">{"ECA Qtrs C",#N/A,TRUE,"ECA_Qtrs_C";"ECA Qtrs D",#N/A,TRUE,"ECA_Qtrs_D";"ECA Qtrs F",#N/A,TRUE,"ECA_Qtrs_F";"ECA Qtrs G",#N/A,TRUE,"ECA_Qtrs_G";"ECA SisterApt",#N/A,TRUE,"ECA_SisterApt";"ECA Nurses",#N/A,TRUE,"ECA_NursesHostel"}</definedName>
    <definedName name="SSSSS" hidden="1">{#N/A,#N/A,FALSE,"제목"}</definedName>
    <definedName name="ssssssss" hidden="1">{"Offgrid",#N/A,FALSE,"OFFGRID";"Region",#N/A,FALSE,"REGION";"Offgrid -2",#N/A,FALSE,"OFFGRID";"WTP",#N/A,FALSE,"WTP";"WTP -2",#N/A,FALSE,"WTP";"Project",#N/A,FALSE,"PROJECT";"Summary -2",#N/A,FALSE,"SUMMARY"}</definedName>
    <definedName name="STJST" hidden="1">{"'Sheet1'!$L$16"}</definedName>
    <definedName name="sumimasenn" hidden="1">{"'Sheet1'!$L$16"}</definedName>
    <definedName name="summar" hidden="1">{#N/A,#N/A,FALSE,"特殊室（ＢＱ表）"}</definedName>
    <definedName name="SUMMARY" hidden="1">#REF!</definedName>
    <definedName name="SUMMARYT" hidden="1">#REF!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y" hidden="1">#REF!</definedName>
    <definedName name="szdasda" hidden="1">{#N/A,#N/A,FALSE,"Chi tiÆt"}</definedName>
    <definedName name="t" hidden="1">#REF!</definedName>
    <definedName name="T.3" hidden="1">{"'Sheet1'!$L$16"}</definedName>
    <definedName name="t.a" hidden="1">{#N/A,#N/A,FALSE,"제목"}</definedName>
    <definedName name="T.F" hidden="1">{#N/A,#N/A,FALSE,"제목"}</definedName>
    <definedName name="T7Q3" hidden="1">{"'Sheet1'!$L$16"}</definedName>
    <definedName name="tai" hidden="1">{"'Sheet1'!$L$16"}</definedName>
    <definedName name="tamm" hidden="1">{"'Sheet1'!$L$16"}</definedName>
    <definedName name="tammm" hidden="1">{"'Sheet1'!$L$16"}</definedName>
    <definedName name="tan" hidden="1">{"'Sheet1'!$L$16"}</definedName>
    <definedName name="tbao" hidden="1">{"'Sheet1'!$L$16"}</definedName>
    <definedName name="tbl_ProdInfo" hidden="1">#REF!</definedName>
    <definedName name="tecco" hidden="1">{"'Sheet1'!$L$16"}</definedName>
    <definedName name="TINH" hidden="1">{#N/A,#N/A,FALSE,"CCTV"}</definedName>
    <definedName name="TKFKA" hidden="1">{#N/A,#N/A,FALSE,"구조2"}</definedName>
    <definedName name="TLP" hidden="1">{#N/A,#N/A,FALSE,"Chi tiÆt"}</definedName>
    <definedName name="TLPMG" hidden="1">{"'Sheet1'!$L$16"}</definedName>
    <definedName name="toan" hidden="1">{"'Sheet1'!$L$16"}</definedName>
    <definedName name="toilet" hidden="1">{"'Sheet1'!$L$16"}</definedName>
    <definedName name="TOK" hidden="1">#REF!</definedName>
    <definedName name="TTSC" hidden="1">{"'Sheet1'!$L$16"}</definedName>
    <definedName name="ttt" hidden="1">{#N/A,#N/A,FALSE,"혼합골재"}</definedName>
    <definedName name="tttt" hidden="1">{"'Sheet1'!$L$16"}</definedName>
    <definedName name="ｔｔｔｔｔ" hidden="1">{"'Sheet1'!$L$16"}</definedName>
    <definedName name="tttttt" hidden="1">{#N/A,#N/A,FALSE,"골재소요량";#N/A,#N/A,FALSE,"골재소요량"}</definedName>
    <definedName name="TU" hidden="1">{"'Sheet1'!$L$16"}</definedName>
    <definedName name="tuam" hidden="1">{"'Sheet1'!$L$16"}</definedName>
    <definedName name="tuan03" hidden="1">{"'Sheet1'!$L$16"}</definedName>
    <definedName name="tuan2" hidden="1">{"'Sheet1'!$L$16"}</definedName>
    <definedName name="TUANKHANHTUYET45" hidden="1">{0}</definedName>
    <definedName name="tuyennhanh" hidden="1">{"'Sheet1'!$L$16"}</definedName>
    <definedName name="tuyet" hidden="1">{"'Sheet1'!$L$16"}</definedName>
    <definedName name="tuynen"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JTJMMHJM" hidden="1">{"'Sheet1'!$L$16"}</definedName>
    <definedName name="tytju4tewete" hidden="1">{#N/A,#N/A,FALSE,"속도"}</definedName>
    <definedName name="TYTYYTY" hidden="1">{"'Sheet1'!$L$16"}</definedName>
    <definedName name="th" hidden="1">{0}</definedName>
    <definedName name="tha" hidden="1">{"'Sheet1'!$L$16"}</definedName>
    <definedName name="thang" hidden="1">{"'Sheet1'!$L$16"}</definedName>
    <definedName name="Thang1" hidden="1">{"'Sheet1'!$L$16"}</definedName>
    <definedName name="thang10" hidden="1">{"'Sheet1'!$L$16"}</definedName>
    <definedName name="thang2" hidden="1">{"'Sheet1'!$L$16"}</definedName>
    <definedName name="thanh" hidden="1">{"'Sheet1'!$L$16"}</definedName>
    <definedName name="THC" hidden="1">{"'Sheet1'!$L$16"}</definedName>
    <definedName name="THCP2" hidden="1">{"'Sheet1'!$L$16"}</definedName>
    <definedName name="THCPCTD" hidden="1">{"'Sheet1'!$L$16"}</definedName>
    <definedName name="THDT" hidden="1">{"'Sheet1'!$L$16"}</definedName>
    <definedName name="Thepsan" hidden="1">{"'Sheet1'!$L$16"}</definedName>
    <definedName name="thepsan2" hidden="1">{"'Sheet1'!$L$16"}</definedName>
    <definedName name="thgh" hidden="1">{"'Sheet1'!$L$16"}</definedName>
    <definedName name="THHD" hidden="1">{"'Sheet1'!$L$16"}</definedName>
    <definedName name="THHVT" hidden="1">{"'Sheet1'!$L$16"}</definedName>
    <definedName name="Thietbi" hidden="1">{"'Sheet1'!$L$16"}</definedName>
    <definedName name="THKP7YT" hidden="1">{"'Sheet1'!$L$16"}</definedName>
    <definedName name="THKPM8" hidden="1">{"'Sheet1'!$L$16"}</definedName>
    <definedName name="THKS" hidden="1">{"'Sheet1'!$L$16"}</definedName>
    <definedName name="THLeloi" hidden="1">{"'Sheet1'!$L$16"}</definedName>
    <definedName name="THNgHue" hidden="1">{"'Sheet1'!$L$16"}</definedName>
    <definedName name="THNgThHoc" hidden="1">{"'Sheet1'!$L$16"}</definedName>
    <definedName name="THQT" hidden="1">{#N/A,#N/A,FALSE,"Chi tiÆt"}</definedName>
    <definedName name="thqtpsg" hidden="1">{"'Sheet1'!$L$16"}</definedName>
    <definedName name="THQuiCapChan" hidden="1">{"'Sheet1'!$L$16"}</definedName>
    <definedName name="thQuicaple" hidden="1">{"'Sheet1'!$L$16"}</definedName>
    <definedName name="thtyhyjyjyjyjjjyujyj" hidden="1">#REF!</definedName>
    <definedName name="THTranPhu" hidden="1">{"'Sheet1'!$L$16"}</definedName>
    <definedName name="thtrh" hidden="1">#REF!</definedName>
    <definedName name="thu" hidden="1">{"'Sheet1'!$L$16"}</definedName>
    <definedName name="Thuong" hidden="1">{"'Sheet1'!$L$16"}</definedName>
    <definedName name="thuy" hidden="1">{"'Sheet1'!$L$16"}</definedName>
    <definedName name="thvlmoi" hidden="1">{"'Sheet1'!$L$16"}</definedName>
    <definedName name="thvlmoimoi" hidden="1">{"'Sheet1'!$L$16"}</definedName>
    <definedName name="THXD2" hidden="1">{"'Sheet1'!$L$16"}</definedName>
    <definedName name="thytr" hidden="1">#REF!</definedName>
    <definedName name="tr" hidden="1">#REF!</definedName>
    <definedName name="Tram" hidden="1">{"'Sheet1'!$L$16"}</definedName>
    <definedName name="tran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re" hidden="1">{#N/A,#N/A,FALSE,"Chi tiÆt"}</definedName>
    <definedName name="Trong" hidden="1">{"'Sheet1'!$L$16"}</definedName>
    <definedName name="TRSH" hidden="1">{#N/A,#N/A,FALSE,"포장단가"}</definedName>
    <definedName name="trteter" hidden="1">{"'Sheet1'!$L$16"}</definedName>
    <definedName name="trunggiang" hidden="1">#REF!</definedName>
    <definedName name="TRUNGNGUYEN" hidden="1">{#N/A,#N/A,FALSE,"Chi tiÆt"}</definedName>
    <definedName name="trutriutit" hidden="1">{#N/A,#N/A,FALSE,"속도"}</definedName>
    <definedName name="UBDT" hidden="1">{"'Sheet1'!$L$16"}</definedName>
    <definedName name="uchihashi" hidden="1">{#N/A,#N/A,FALSE,"特殊室（ＢＱ表）"}</definedName>
    <definedName name="uhio8ou" hidden="1">{#N/A,#N/A,FALSE,"포장2"}</definedName>
    <definedName name="ui" hidden="1">#REF!</definedName>
    <definedName name="uiok" hidden="1">{#N/A,#N/A,FALSE,"표지목차"}</definedName>
    <definedName name="ujdffdf" hidden="1">{#N/A,#N/A,FALSE,"단가표지"}</definedName>
    <definedName name="ujk" hidden="1">{#N/A,#N/A,FALSE,"운반시간"}</definedName>
    <definedName name="ukluy" hidden="1">{"'Sheet1'!$L$16"}</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oi8p" hidden="1">{#N/A,#N/A,FALSE,"운반시간"}</definedName>
    <definedName name="uoi8u" hidden="1">{#N/A,#N/A,FALSE,"토공2"}</definedName>
    <definedName name="uoio" hidden="1">{#N/A,#N/A,FALSE,"포장1";#N/A,#N/A,FALSE,"포장1"}</definedName>
    <definedName name="uoiup" hidden="1">{#N/A,#N/A,FALSE,"구조1"}</definedName>
    <definedName name="up" hidden="1">{#N/A,#N/A,FALSE,"지침";#N/A,#N/A,FALSE,"환경분석";#N/A,#N/A,FALSE,"Sheet16"}</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U" hidden="1">#REF!</definedName>
    <definedName name="uuuu" hidden="1">{#N/A,#N/A,FALSE,"단가표지"}</definedName>
    <definedName name="uyjesc" hidden="1">{#N/A,#N/A,FALSE,"포장1";#N/A,#N/A,FALSE,"포장1"}</definedName>
    <definedName name="ƯQEQWEQ" hidden="1">#REF!</definedName>
    <definedName name="ƯQQ" hidden="1">#REF!</definedName>
    <definedName name="v"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8.Refresh" hidden="1">{"NGUYEN QUI THIEP - Personal View",#N/A,FALSE,"XDCB.HT.FUR."}</definedName>
    <definedName name="Valve" hidden="1">{"'Sheet1'!$L$16"}</definedName>
    <definedName name="VATM" hidden="1">{"'Sheet1'!$L$16"}</definedName>
    <definedName name="VB" hidden="1">{#N/A,#N/A,FALSE,"이태원철근"}</definedName>
    <definedName name="vbc" hidden="1">{"'Sheet1'!$L$16"}</definedName>
    <definedName name="VBN" hidden="1">{#N/A,#N/A,FALSE,"이태원철근"}</definedName>
    <definedName name="vbvb" hidden="1">#REF!</definedName>
    <definedName name="vbvnv" hidden="1">#REF!</definedName>
    <definedName name="vcbo1" hidden="1">{"'Sheet1'!$L$16"}</definedName>
    <definedName name="vcoto" hidden="1">{"'Sheet1'!$L$16"}</definedName>
    <definedName name="vd" hidden="1">{"'Sheet1'!$L$16"}</definedName>
    <definedName name="VEN" hidden="1">{#N/A,#N/A,TRUE,"SUM";#N/A,#N/A,TRUE,"EE";#N/A,#N/A,TRUE,"AC";#N/A,#N/A,TRUE,"SN"}</definedName>
    <definedName name="vetbun" hidden="1">{"'Sheet1'!$L$16"}</definedName>
    <definedName name="VF" hidden="1">{#N/A,#N/A,FALSE,"Sheet2";#N/A,#N/A,FALSE,"Sheet4";#N/A,#N/A,FALSE,"Sheet6"}</definedName>
    <definedName name="vffsfs" hidden="1">{#N/A,#N/A,TRUE,"Basic";#N/A,#N/A,TRUE,"EXT-TABLE";#N/A,#N/A,TRUE,"STEEL";#N/A,#N/A,TRUE,"INT-Table";#N/A,#N/A,TRUE,"STEEL";#N/A,#N/A,TRUE,"Door"}</definedName>
    <definedName name="vgjh" hidden="1">{#N/A,#N/A,FALSE,"特殊室（ＢＱ表）"}</definedName>
    <definedName name="Viet" hidden="1">{"'Sheet1'!$L$16"}</definedName>
    <definedName name="vlct" hidden="1">{"'Sheet1'!$L$16"}</definedName>
    <definedName name="VOLTAGE" hidden="1">{#N/A,#N/A,FALSE,"Sheet1";#N/A,#N/A,FALSE,"Sheet3";#N/A,#N/A,FALSE,"Sheet5"}</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Tuphu" hidden="1">{"'Sheet1'!$L$16"}</definedName>
    <definedName name="ｖｖｖ" hidden="1">{"'Sheet1'!$L$16"}</definedName>
    <definedName name="ｖｖｖｖｖ" hidden="1">{"'Sheet1'!$L$16"}</definedName>
    <definedName name="vvvvvvv" hidden="1">{#N/A,#N/A,FALSE,"Chi tiÆt"}</definedName>
    <definedName name="vwat" hidden="1">{#N/A,#N/A,FALSE,"운반시간"}</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 hidden="1">#REF!</definedName>
    <definedName name="walkway" hidden="1">{"'Sheet1'!$L$16"}</definedName>
    <definedName name="wdd" hidden="1">{"'Sheet1'!$L$16"}</definedName>
    <definedName name="wee" hidden="1">{#N/A,#N/A,FALSE,"빌딩claim율";#N/A,#N/A,FALSE,"전력CLAIM율";#N/A,#N/A,FALSE,"SVC산업CLAIM"}</definedName>
    <definedName name="weqew" hidden="1">#REF!</definedName>
    <definedName name="WEQWEQ" hidden="1">{0,0,0,0}</definedName>
    <definedName name="wer" hidden="1">{#N/A,#N/A,FALSE,"골재소요량";#N/A,#N/A,FALSE,"골재소요량"}</definedName>
    <definedName name="wererr" hidden="1">{#N/A,#N/A,FALSE,"운반시간"}</definedName>
    <definedName name="werewr" hidden="1">{#N/A,#N/A,FALSE,"골재소요량";#N/A,#N/A,FALSE,"골재소요량"}</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 hidden="1">#REF!</definedName>
    <definedName name="wewewewe" hidden="1">{#N/A,#N/A,FALSE,"요약";#N/A,#N/A,FALSE,"보고목차";#N/A,#N/A,FALSE,"1)서비스접수";#N/A,#N/A,FALSE,"2)상담";#N/A,#N/A,FALSE,"2.월별접수추이현황";#N/A,#N/A,FALSE,"3.상담내용";#N/A,#N/A,FALSE,"4.미처리현황"}</definedName>
    <definedName name="WHR" hidden="1">{"'Sheet1'!$L$16"}</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dow" hidden="1">{"ECA Qtrs C",#N/A,TRUE,"ECA_Qtrs_C";"ECA Qtrs D",#N/A,TRUE,"ECA_Qtrs_D";"ECA Qtrs F",#N/A,TRUE,"ECA_Qtrs_F";"ECA Qtrs G",#N/A,TRUE,"ECA_Qtrs_G";"ECA SisterApt",#N/A,TRUE,"ECA_SisterApt";"ECA Nurses",#N/A,TRUE,"ECA_NursesHostel"}</definedName>
    <definedName name="wis" hidden="1">#REF!</definedName>
    <definedName name="wjsr" hidden="1">#REF!</definedName>
    <definedName name="w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lqrp" hidden="1">0</definedName>
    <definedName name="wm.조골재1" hidden="1">{#N/A,#N/A,FALSE,"조골재"}</definedName>
    <definedName name="wqe" hidden="1">{"'ELEC'!$A$2:$H$216","'ELEC'!$C$2:$D$2"}</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11." hidden="1">{#N/A,#N/A,FALSE,"제목"}</definedName>
    <definedName name="wrn.1월제조원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번." hidden="1">{#N/A,#N/A,FALSE,"2~8번"}</definedName>
    <definedName name="wrn.2월제조원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34건물기초." hidden="1">{#N/A,#N/A,FALSE,"집계";#N/A,#N/A,FALSE,"표지";#N/A,#N/A,FALSE,"터빈집계";#N/A,#N/A,FALSE,"터빈내역";#N/A,#N/A,FALSE,"주제어집계";#N/A,#N/A,FALSE,"주제어내역";#N/A,#N/A,FALSE,"보일러집계";#N/A,#N/A,FALSE,"보일러내역"}</definedName>
    <definedName name="wrn.5월실적." hidden="1">{#N/A,#N/A,FALSE,"요약";#N/A,#N/A,FALSE,"보고목차";#N/A,#N/A,FALSE,"1)서비스접수";#N/A,#N/A,FALSE,"2)상담";#N/A,#N/A,FALSE,"2.월별접수추이현황";#N/A,#N/A,FALSE,"3.상담내용";#N/A,#N/A,FALSE,"4.미처리현황"}</definedName>
    <definedName name="wrn.6월실적." hidden="1">{#N/A,#N/A,FALSE,"보고목차";#N/A,#N/A,FALSE,"1)서비스접수";#N/A,#N/A,FALSE,"2)상담";#N/A,#N/A,FALSE,"2.월별접수추이현황"}</definedName>
    <definedName name="wrn.9601실적." hidden="1">{#N/A,#N/A,FALSE,"보고목차";#N/A,#N/A,FALSE,"1)서비스접수";#N/A,#N/A,FALSE,"2)상담";#N/A,#N/A,FALSE,"2.월별접수추이현황";#N/A,#N/A,FALSE,"3.일자별접수현황";#N/A,#N/A,FALSE,"4.상담내용";#N/A,#N/A,FALSE,"5.미처리현황";#N/A,#N/A,FALSE,"6.재발방지";#N/A,#N/A,FALSE,"7.당월주요문제점"}</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c30prn." hidden="1">{#N/A,#N/A,FALSE,"별표20 ";#N/A,#N/A,FALSE,"부표";#N/A,#N/A,FALSE,"품셈내역";#N/A,#N/A,FALSE,"품셈집계";#N/A,#N/A,FALSE,"내역서";#N/A,#N/A,FALSE,"집계표";#N/A,#N/A,FALSE,"표지";#N/A,#N/A,FALSE,"별표총괄표"}</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CLAIM율." hidden="1">{#N/A,#N/A,FALSE,"빌딩claim율";#N/A,#N/A,FALSE,"전력CLAIM율";#N/A,#N/A,FALSE,"SVC산업CLAIM"}</definedName>
    <definedName name="wrn.clntrpt." hidden="1">{#N/A,#N/A,FALSE,"CLIENT HOPSR";#N/A,#N/A,FALSE,"JEG GRAPH";#N/A,#N/A,FALSE,"PROCESS";#N/A,#N/A,FALSE,"CIVIL";#N/A,#N/A,FALSE,"ELECTRICAL";#N/A,#N/A,FALSE,"CNTRL SYS";#N/A,#N/A,FALSE,"MECH";#N/A,#N/A,FALSE,"PIPE"}</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he._.do._.duoc._.huong." hidden="1">{#N/A,#N/A,FALSE,"BN (2)"}</definedName>
    <definedName name="wrn.chi._.tiÆt." hidden="1">{#N/A,#N/A,FALSE,"Chi tiÆt"}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GENSERV." hidden="1">{#N/A,#N/A,FALSE,"VISTAF"}</definedName>
    <definedName name="wrn.Giáy._.bao._.no." hidden="1">{#N/A,#N/A,FALSE,"BN"}</definedName>
    <definedName name="wrn.hhhh" hidden="1">{"Offgrid",#N/A,FALSE,"OFFGRID";"Region",#N/A,FALSE,"REGION";"Offgrid -2",#N/A,FALSE,"OFFGRID";"WTP",#N/A,FALSE,"WTP";"WTP -2",#N/A,FALSE,"WTP";"Project",#N/A,FALSE,"PROJECT";"Summary -2",#N/A,FALSE,"SUMMARY"}</definedName>
    <definedName name="wrn.INDIRCOS." hidden="1">{#N/A,#N/A,TRUE,"FIELDOFF";#N/A,#N/A,TRUE,"SCAFF";#N/A,#N/A,TRUE,"CONSTEQP";#N/A,#N/A,TRUE,"FUELUBE";#N/A,#N/A,TRUE,"CONSUME";#N/A,#N/A,TRUE,"FIELDEXP";#N/A,#N/A,TRUE,"MANPLAN";#N/A,#N/A,TRUE,"EQPLAN"}</definedName>
    <definedName name="wrn.Interior._.finishes." hidden="1">{"interior finishes",#N/A,FALSE,"DETAIL.XLS"}</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resent." hidden="1">{"Present",#N/A,FALSE,"Assump";"Present",#N/A,FALSE,"Calc";"Present",#N/A,FALSE,"Cover"}</definedName>
    <definedName name="wrn.Print._.Output." hidden="1">{#N/A,#N/A,FALSE,"OUTPUT SHEET "}</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SCHEDULE." hidden="1">{"SCHEDULE",#N/A,FALSE,"Fin_sched"}</definedName>
    <definedName name="wrn.Show._.Estimate." hidden="1">{#N/A,#N/A,TRUE,"Cover Memo";"Show Estimate",#N/A,TRUE,"Change Summary";"Show Estimate",#N/A,TRUE,"Estimate Summary";"Show Estimate",#N/A,TRUE,"Dept. Summary";"Show Estimate",#N/A,TRUE,"DOW Detail"}</definedName>
    <definedName name="wrn.Structural._.Frame." hidden="1">{"structural",#N/A,FALSE,"DETAIL.XLS"}</definedName>
    <definedName name="wrn.SUMMARY." hidden="1">{"SUMMARY",#N/A,FALSE,"Fin_sched"}</definedName>
    <definedName name="wrn.TestRep." hidden="1">{"Test",#N/A,FALSE,"Index";#N/A,"RISK",FALSE,"MarketProjection"}</definedName>
    <definedName name="wrn.vd." hidden="1">{#N/A,#N/A,TRUE,"BT M200 da 10x20"}</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OLTAGE." hidden="1">{#N/A,#N/A,FALSE,"Sheet2";#N/A,#N/A,FALSE,"Sheet4";#N/A,#N/A,FALSE,"Sheet6"}</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경비인쇄." hidden="1">{#N/A,#N/A,FALSE,"경비"}</definedName>
    <definedName name="wrn.골재소요량." hidden="1">{#N/A,#N/A,FALSE,"골재소요량";#N/A,#N/A,FALSE,"골재소요량"}</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기타인쇄." hidden="1">{#N/A,#N/A,FALSE,"기타"}</definedName>
    <definedName name="wrn.노무비인쇄." hidden="1">{#N/A,#N/A,FALSE,"노무비"}</definedName>
    <definedName name="wrn.누계원가." hidden="1">{#N/A,#N/A,FALSE,"제조원가"}</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당월원가." hidden="1">{#N/A,#N/A,FALSE,"제조원가"}</definedName>
    <definedName name="wrn.대차._.대조표." hidden="1">{#N/A,#N/A,TRUE,"대 차 대 조 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대3."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설계내역서." hidden="1">{#N/A,#N/A,FALSE,"설계내억서"}</definedName>
    <definedName name="wrn.설계내역서인쇄." hidden="1">{#N/A,#N/A,FALSE,"설계내역서"}</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업체별._.견적공사명." hidden="1">{"SJ - 기본 보기",#N/A,FALSE,"공사별 외주견적"}</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원가계산서인쇄." hidden="1">{#N/A,#N/A,FALSE,"원가계산서"}</definedName>
    <definedName name="wrn.이정표." hidden="1">{#N/A,#N/A,FALSE,"이정표"}</definedName>
    <definedName name="wrn.이태원._.철근." hidden="1">{#N/A,#N/A,FALSE,"이태원철근"}</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재료비인쇄." hidden="1">{#N/A,#N/A,FALSE,"재료비"}</definedName>
    <definedName name="wrn.조골재." hidden="1">{#N/A,#N/A,FALSE,"조골재"}</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지." hidden="1">{#N/A,#N/A,FALSE,"표지"}</definedName>
    <definedName name="wrn.표지목차." hidden="1">{#N/A,#N/A,FALSE,"표지목차"}</definedName>
    <definedName name="wrn.현장._.IDEA._.공모." hidden="1">{#N/A,#N/A,FALSE,"현장IDEA공모"}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tvegrh" hidden="1">{#N/A,#N/A,FALSE,"포장2"}</definedName>
    <definedName name="wtwtwtew" hidden="1">#REF!</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yh" hidden="1">{#N/A,#N/A,FALSE,"혼합골재"}</definedName>
    <definedName name="ww" hidden="1">{"'Sheet1'!$L$16"}</definedName>
    <definedName name="ｗｗ" hidden="1">{"'Sheet1'!$L$16"}</definedName>
    <definedName name="www" hidden="1">{"ECA Qtrs C",#N/A,TRUE,"ECA_Qtrs_C";"ECA Qtrs D",#N/A,TRUE,"ECA_Qtrs_D";"ECA Qtrs F",#N/A,TRUE,"ECA_Qtrs_F";"ECA Qtrs G",#N/A,TRUE,"ECA_Qtrs_G";"ECA SisterApt",#N/A,TRUE,"ECA_SisterApt";"ECA Nurses",#N/A,TRUE,"ECA_NursesHostel"}</definedName>
    <definedName name="WWWW" hidden="1">#REF!</definedName>
    <definedName name="ｗｗｗｗ" hidden="1">{"'Sheet1'!$L$16"}</definedName>
    <definedName name="wwwwwww" hidden="1">{"Offgrid",#N/A,FALSE,"OFFGRID";"Region",#N/A,FALSE,"REGION";"Offgrid -2",#N/A,FALSE,"OFFGRID";"WTP",#N/A,FALSE,"WTP";"WTP -2",#N/A,FALSE,"WTP";"Project",#N/A,FALSE,"PROJECT";"Summary -2",#N/A,FALSE,"SUMMARY"}</definedName>
    <definedName name="XCB" hidden="1">#REF!</definedName>
    <definedName name="xcfgdfg" hidden="1">#REF!</definedName>
    <definedName name="xcx" hidden="1">#REF!</definedName>
    <definedName name="XD" hidden="1">{"'Sheet1'!$L$16"}</definedName>
    <definedName name="XDKT" hidden="1">{"NGUYEN QUI THIEP - Personal View",#N/A,FALSE,"XDCB.HT.FUR."}</definedName>
    <definedName name="xlttbninh" hidden="1">{"'Sheet1'!$L$16"}</definedName>
    <definedName name="xmrrlwhrjs" hidden="1">{#N/A,#N/A,FALSE,"현장 NCR 분석";#N/A,#N/A,FALSE,"현장품질감사";#N/A,#N/A,FALSE,"현장품질감사"}</definedName>
    <definedName name="XN908nam2003" hidden="1">{"'Sheet1'!$L$16"}</definedName>
    <definedName name="xoa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x" hidden="1">#REF!</definedName>
    <definedName name="ｘｘｘ" hidden="1">{"'Sheet1'!$L$16"}</definedName>
    <definedName name="XXXAAAA" hidden="1">{"'Sheet1'!$L$16"}</definedName>
    <definedName name="ｘｘｘｘ" hidden="1">{"'Sheet1'!$L$16"}</definedName>
    <definedName name="xxxxc" hidden="1">{#N/A,#N/A,FALSE,"조골재"}</definedName>
    <definedName name="ｘｘｘｘｘ" hidden="1">{"'Sheet1'!$L$16"}</definedName>
    <definedName name="y5bewy5vgr" hidden="1">{#N/A,#N/A,FALSE,"운반시간"}</definedName>
    <definedName name="y5ey3y33y3" hidden="1">{#N/A,#N/A,FALSE,"Chi tiÆt"}</definedName>
    <definedName name="y6ytyjtyjytjtyj" hidden="1">#REF!</definedName>
    <definedName name="yeryewy3" hidden="1">{#N/A,#N/A,TRUE,"1";#N/A,#N/A,TRUE,"2";#N/A,#N/A,TRUE,"3";#N/A,#N/A,TRUE,"4";#N/A,#N/A,TRUE,"5";#N/A,#N/A,TRUE,"6";#N/A,#N/A,TRUE,"7"}</definedName>
    <definedName name="yh" hidden="1">{#N/A,#N/A,FALSE,"제목"}</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nkim" hidden="1">{#N/A,#N/A,TRUE,"Basic";#N/A,#N/A,TRUE,"EXT-TABLE";#N/A,#N/A,TRUE,"STEEL";#N/A,#N/A,TRUE,"INT-Table";#N/A,#N/A,TRUE,"STEEL";#N/A,#N/A,TRUE,"Door"}</definedName>
    <definedName name="YSY" hidden="1">{#N/A,#N/A,FALSE,"Sheet2";#N/A,#N/A,FALSE,"Sheet4";#N/A,#N/A,FALSE,"Sheet6"}</definedName>
    <definedName name="YTJTY" hidden="1">{0,0,0,0}</definedName>
    <definedName name="yvdfvhd" hidden="1">{#N/A,#N/A,FALSE,"이정표"}</definedName>
    <definedName name="ywrtvwvy" hidden="1">{#N/A,#N/A,FALSE,"부대1"}</definedName>
    <definedName name="yyry" hidden="1">{#N/A,#N/A,FALSE,"特殊室（ＢＱ表）"}</definedName>
    <definedName name="ｙｙｙ" hidden="1">{"'Sheet1'!$L$16"}</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 hidden="1">{"'Sheet1'!$L$16"}</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6332A1C3_4451_11D5_8DF3_00C026000EEF_.wvu.PrintTitles" hidden="1">#REF!</definedName>
    <definedName name="Z_BFEEB821_E6AD_11D3_88E4_00E09870C276_.wvu.PrintArea" hidden="1">#REF!</definedName>
    <definedName name="Z_DB8AC590_3D3A_11D5_BCB0_000021EC112A_.wvu.Cols" hidden="1">#REF!</definedName>
    <definedName name="Z_DB8AC590_3D3A_11D5_BCB0_000021EC112A_.wvu.PrintArea" hidden="1">#REF!</definedName>
    <definedName name="Z_DB8AC590_3D3A_11D5_BCB0_000021EC112A_.wvu.PrintTitles" hidden="1">#REF!</definedName>
    <definedName name="Z_DB8AC590_3D3A_11D5_BCB0_000021EC112A_.wvu.Rows" hidden="1">#REF!,#REF!</definedName>
    <definedName name="Z_F6AB6A24_E5D5_11D3_B573_00104BA1686B_.wvu.Cols" hidden="1">#REF!,#REF!,#REF!</definedName>
    <definedName name="za" hidden="1">#REF!</definedName>
    <definedName name="zDT_End" hidden="1">#REF!</definedName>
    <definedName name="zx" hidden="1">#REF!</definedName>
    <definedName name="ZXC"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XCXZ" hidden="1">#REF!</definedName>
    <definedName name="ZXzX" hidden="1">{"'Sheet1'!$L$16"}</definedName>
    <definedName name="ｚｚｚｚｚ" hidden="1">{"'Sheet1'!$L$16"}</definedName>
    <definedName name="ｚｚｚｚｚｚ" hidden="1">{"'Sheet1'!$L$16"}</definedName>
    <definedName name="φ406.4" hidden="1">{#N/A,#N/A,FALSE,"2~8번"}</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ㄱㄱㄱ" hidden="1">{#N/A,#N/A,FALSE,"표지목차"}</definedName>
    <definedName name="ㄱㄱㄱㄱ" hidden="1">{#N/A,#N/A,FALSE,"지침";#N/A,#N/A,FALSE,"환경분석";#N/A,#N/A,FALSE,"Sheet16"}</definedName>
    <definedName name="ㄱㄱㄱㄱㄱ" hidden="1">{#N/A,#N/A,FALSE,"운반시간"}</definedName>
    <definedName name="ㄱㄱㄱㄱㄱㄱㄱㄱㄱㄱㄱㄱㄱ" hidden="1">{#N/A,#N/A,FALSE,"단가표지"}</definedName>
    <definedName name="ㄱㄱㄱㄱㄱㄱㄱㄱㄱㄱㄱㄱㄱㄱㄱㄱ" hidden="1">{#N/A,#N/A,FALSE,"골재소요량";#N/A,#N/A,FALSE,"골재소요량"}</definedName>
    <definedName name="ㄱㄱㄱㄱㄱㄱㄱㄱㄱㄱㄱㄱㄱㄱㄱㄱㄱㄱ" hidden="1">{#N/A,#N/A,FALSE,"조골재"}</definedName>
    <definedName name="ㄱㄳㄳ" hidden="1">{#N/A,#N/A,FALSE,"2~8번"}</definedName>
    <definedName name="ㄱㄴ슌ㄱ" hidden="1">{#N/A,#N/A,FALSE,"단가표지"}</definedName>
    <definedName name="ㄱㄷㄴ슌ㄱ" hidden="1">{#N/A,#N/A,FALSE,"골재소요량";#N/A,#N/A,FALSE,"골재소요량"}</definedName>
    <definedName name="ㄱㄷㅁㅍㅅㅂ" hidden="1">{#N/A,#N/A,FALSE,"골재소요량";#N/A,#N/A,FALSE,"골재소요량"}</definedName>
    <definedName name="ㄱㄷㅈ" hidden="1">{#N/A,#N/A,FALSE,"골재소요량";#N/A,#N/A,FALSE,"골재소요량"}</definedName>
    <definedName name="ㄱㄷㅎㅅㄷ4" hidden="1">{#N/A,#N/A,FALSE,"운반시간"}</definedName>
    <definedName name="ㄱ미" hidden="1">{#N/A,#N/A,TRUE,"Basic";#N/A,#N/A,TRUE,"EXT-TABLE";#N/A,#N/A,TRUE,"STEEL";#N/A,#N/A,TRUE,"INT-Table";#N/A,#N/A,TRUE,"STEEL";#N/A,#N/A,TRUE,"Door"}</definedName>
    <definedName name="ㄱㅂㅈㄱ" hidden="1">{#N/A,#N/A,FALSE,"전력간선"}</definedName>
    <definedName name="ㄱ슈" hidden="1">{#N/A,#N/A,FALSE,"혼합골재"}</definedName>
    <definedName name="ㄱㅈㅎ" hidden="1">#REF!</definedName>
    <definedName name="ㄱㅎㄳ" hidden="1">#REF!</definedName>
    <definedName name="ㄱㅎㄷㄱㅎㄱㄷ" hidden="1">#REF!</definedName>
    <definedName name="ㄱ홍" hidden="1">{#N/A,#N/A,FALSE,"현장 NCR 분석";#N/A,#N/A,FALSE,"현장품질감사";#N/A,#N/A,FALSE,"현장품질감사"}</definedName>
    <definedName name="가" hidden="1">{#N/A,#N/A,FALSE,"골재소요량";#N/A,#N/A,FALSE,"골재소요량"}</definedName>
    <definedName name="가나다라마바마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설건물면적산정" hidden="1">{#N/A,#N/A,FALSE,"사업총괄";#N/A,#N/A,FALSE,"장비사업";#N/A,#N/A,FALSE,"철구사업";#N/A,#N/A,FALSE,"준설사업"}</definedName>
    <definedName name="가옥" hidden="1">{#N/A,#N/A,FALSE,"속도"}</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감"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리상주" hidden="1">{#N/A,#N/A,FALSE,"지침";#N/A,#N/A,FALSE,"환경분석";#N/A,#N/A,FALSE,"Sheet16"}</definedName>
    <definedName name="갑1" hidden="1">{#N/A,#N/A,FALSE,"기안지";#N/A,#N/A,FALSE,"통신지"}</definedName>
    <definedName name="갑2" hidden="1">#N/A</definedName>
    <definedName name="갑지" hidden="1">#REF!</definedName>
    <definedName name="갑지1" hidden="1">#REF!</definedName>
    <definedName name="갑지2" hidden="1">{#N/A,#N/A,FALSE,"CCTV"}</definedName>
    <definedName name="갑지3" hidden="1">{#N/A,#N/A,FALSE,"CCTV"}</definedName>
    <definedName name="갑지지" hidden="1">#REF!</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정희" hidden="1">{#N/A,#N/A,FALSE,"표지목차"}</definedName>
    <definedName name="개요1" hidden="1">#N/A</definedName>
    <definedName name="건축" hidden="1">{#N/A,#N/A,TRUE,"토적및재료집계";#N/A,#N/A,TRUE,"토적및재료집계";#N/A,#N/A,TRUE,"단위량"}</definedName>
    <definedName name="건축비목집계" hidden="1">{#N/A,#N/A,FALSE,"표지"}</definedName>
    <definedName name="건축원가" hidden="1">#REF!</definedName>
    <definedName name="건축토공" hidden="1">{#N/A,#N/A,FALSE,"기안지";#N/A,#N/A,FALSE,"통신지"}</definedName>
    <definedName name="건축팀별" hidden="1">{#N/A,#N/A,FALSE,"지침";#N/A,#N/A,FALSE,"환경분석";#N/A,#N/A,FALSE,"Sheet16"}</definedName>
    <definedName name="건축평단가" hidden="1">{"'별표'!$N$220"}</definedName>
    <definedName name="검ㄴ" hidden="1">{#N/A,#N/A,FALSE,"이정표"}</definedName>
    <definedName name="검토" hidden="1">{#N/A,#N/A,FALSE,"기안지";#N/A,#N/A,FALSE,"통신지"}</definedName>
    <definedName name="견" hidden="1">{#N/A,#N/A,FALSE,"CCTV"}</definedName>
    <definedName name="견적" hidden="1">{#N/A,#N/A,FALSE,"CCTV"}</definedName>
    <definedName name="견적2" hidden="1">{#N/A,#N/A,FALSE,"CCTV"}</definedName>
    <definedName name="견적3" hidden="1">{#N/A,#N/A,FALSE,"제목"}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내역" hidden="1">{#N/A,#N/A,FALSE,"CCTV"}</definedName>
    <definedName name="견적대비" hidden="1">{#N/A,#N/A,FALSE,"포장2"}</definedName>
    <definedName name="견적대장"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요청"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견적의뢰" hidden="1">{#N/A,#N/A,FALSE,"기안지";#N/A,#N/A,FALSE,"통신지"}</definedName>
    <definedName name="견적조건" hidden="1">#REF!</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상비2" hidden="1">{#N/A,#N/A,FALSE,"기안지";#N/A,#N/A,FALSE,"통신지"}</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수" hidden="1">{#N/A,#N/A,FALSE,"지침";#N/A,#N/A,FALSE,"환경분석";#N/A,#N/A,FALSE,"Sheet16"}</definedName>
    <definedName name="계수자료" hidden="1">{#N/A,#N/A,FALSE,"지침";#N/A,#N/A,FALSE,"환경분석";#N/A,#N/A,FALSE,"Sheet16"}</definedName>
    <definedName name="계야서" hidden="1">{#N/A,#N/A,FALSE,"CCTV"}</definedName>
    <definedName name="계약을" hidden="1">{#N/A,#N/A,FALSE,"기안지";#N/A,#N/A,FALSE,"통신지"}</definedName>
    <definedName name="계약의뢰" hidden="1">#N/A</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고경준" hidden="1">{#N/A,#N/A,FALSE,"골재소요량";#N/A,#N/A,FALSE,"골재소요량"}</definedName>
    <definedName name="고고" hidden="1">{#N/A,#N/A,FALSE,"조골재"}</definedName>
    <definedName name="고고.." hidden="1">{#N/A,#N/A,FALSE,"골재소요량";#N/A,#N/A,FALSE,"골재소요량"}</definedName>
    <definedName name="고용보험" hidden="1">#N/A</definedName>
    <definedName name="곤ㅇ" hidden="1">{#N/A,#N/A,FALSE,"전력간선"}</definedName>
    <definedName name="골" hidden="1">#REF!</definedName>
    <definedName name="골재" hidden="1">{#N/A,#N/A,FALSE,"골재소요량";#N/A,#N/A,FALSE,"골재소요량"}</definedName>
    <definedName name="곰" hidden="1">{#N/A,#N/A,FALSE,"구조1"}</definedName>
    <definedName name="공" hidden="1">{#N/A,#N/A,FALSE,"토공2"}</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동구토공" hidden="1">{#N/A,#N/A,FALSE,"기안지";#N/A,#N/A,FALSE,"통신지"}</definedName>
    <definedName name="공사비분석" hidden="1">#REF!</definedName>
    <definedName name="공사원가계산서" hidden="1">{#N/A,#N/A,TRUE,"토적및재료집계";#N/A,#N/A,TRUE,"토적및재료집계";#N/A,#N/A,TRUE,"단위량"}</definedName>
    <definedName name="공정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hidden="1">{#N/A,#N/A,FALSE,"현장 NCR 분석";#N/A,#N/A,FALSE,"현장품질감사";#N/A,#N/A,FALSE,"현장품질감사"}</definedName>
    <definedName name="공종별대비" hidden="1">{#N/A,#N/A,FALSE,"기안지";#N/A,#N/A,FALSE,"통신지"}</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가설공사" hidden="1">{#N/A,#N/A,FALSE,"CCTV"}</definedName>
    <definedName name="공통비" hidden="1">#REF!</definedName>
    <definedName name="관리" hidden="1">{#N/A,#N/A,FALSE,"포장2"}</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육" hidden="1">{#N/A,#N/A,FALSE,"전력간선"}</definedName>
    <definedName name="교좌" hidden="1">{#N/A,#N/A,FALSE,"포장2"}</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산갑지" hidden="1">#REF!</definedName>
    <definedName name="구자관" hidden="1">{#N/A,#N/A,FALSE,"신청통보";#N/A,#N/A,FALSE,"기성확인서";#N/A,#N/A,FALSE,"기성내역서"}</definedName>
    <definedName name="구조" hidden="1">{#N/A,#N/A,FALSE,"구조2"}</definedName>
    <definedName name="구조물2" hidden="1">{#N/A,#N/A,FALSE,"배수2"}</definedName>
    <definedName name="구조물공" hidden="1">{#N/A,#N/A,FALSE,"이정표"}</definedName>
    <definedName name="국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권대협" hidden="1">{#N/A,#N/A,FALSE,"CCTV"}</definedName>
    <definedName name="귯ㄳ" hidden="1">{#N/A,#N/A,FALSE,"표지목차"}</definedName>
    <definedName name="귯늇ㄳ" hidden="1">{#N/A,#N/A,FALSE,"단가표지"}</definedName>
    <definedName name="귱" hidden="1">{#N/A,#N/A,FALSE,"현장 NCR 분석";#N/A,#N/A,FALSE,"현장품질감사";#N/A,#N/A,FALSE,"현장품질감사"}</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주차" hidden="1">{#N/A,#N/A,FALSE,"CCTV"}</definedName>
    <definedName name="기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성3" hidden="1">{#N/A,#N/A,FALSE,"CCTV"}</definedName>
    <definedName name="기성투입" hidden="1">{#N/A,#N/A,FALSE,"지침";#N/A,#N/A,FALSE,"환경분석";#N/A,#N/A,FALSE,"Sheet16"}</definedName>
    <definedName name="기술" hidden="1">{#N/A,#N/A,FALSE,"부대1"}</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존도로상태" hidden="1">{#N/A,#N/A,FALSE,"혼합골재"}</definedName>
    <definedName name="기타경비" hidden="1">{#N/A,#N/A,TRUE,"토적및재료집계";#N/A,#N/A,TRUE,"토적및재료집계";#N/A,#N/A,TRUE,"단위량"}</definedName>
    <definedName name="기타공사" hidden="1">{#N/A,#N/A,FALSE,"CCTV"}</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{#N/A,#N/A,FALSE,"골재소요량";#N/A,#N/A,FALSE,"골재소요량"}</definedName>
    <definedName name="김0" hidden="1">{#N/A,#N/A,FALSE,"2~8번"}</definedName>
    <definedName name="김1" hidden="1">{#N/A,#N/A,FALSE,"골재소요량";#N/A,#N/A,FALSE,"골재소요량"}</definedName>
    <definedName name="김3" hidden="1">{#N/A,#N/A,TRUE,"Basic";#N/A,#N/A,TRUE,"EXT-TABLE";#N/A,#N/A,TRUE,"STEEL";#N/A,#N/A,TRUE,"INT-Table";#N/A,#N/A,TRUE,"STEEL";#N/A,#N/A,TRUE,"Door"}</definedName>
    <definedName name="김5" hidden="1">{#N/A,#N/A,FALSE,"운반시간"}</definedName>
    <definedName name="김6" hidden="1">{#N/A,#N/A,FALSE,"조골재"}</definedName>
    <definedName name="김만식"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준형" hidden="1">{#N/A,#N/A,FALSE,"골재소요량";#N/A,#N/A,FALSE,"골재소요량"}</definedName>
    <definedName name="김진R570001" hidden="1">#REF!</definedName>
    <definedName name="ㄳㄳㅅ셔ㅛㅅ" hidden="1">{#N/A,#N/A,FALSE,"단가표지"}</definedName>
    <definedName name="ㄳㄳㅎㄱㅎㄱㄷ" hidden="1">{#N/A,#N/A,FALSE,"조골재"}</definedName>
    <definedName name="ㄳㄷ" hidden="1">{#N/A,#N/A,FALSE,"표지목차"}</definedName>
    <definedName name="ㄳㅍㅁㅁ규" hidden="1">{#N/A,#N/A,FALSE,"표지목차"}</definedName>
    <definedName name="ㄴㄱㄹ" hidden="1">#REF!</definedName>
    <definedName name="ㄴㄴ" hidden="1">{#N/A,#N/A,FALSE,"CCTV"}</definedName>
    <definedName name="ㄴㄴㄴ" hidden="1">#REF!</definedName>
    <definedName name="ㄴㄴㄴㄴㄴ" hidden="1">#N/A</definedName>
    <definedName name="ㄴㄷㄹ" hidden="1">{#N/A,#N/A,FALSE,"Sheet1"}</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ㄺㄷ" hidden="1">{#N/A,#N/A,FALSE,"현장 NCR 분석";#N/A,#N/A,FALSE,"현장품질감사";#N/A,#N/A,FALSE,"현장품질감사"}</definedName>
    <definedName name="ㄴㅀㅎㄹ노" hidden="1">{#N/A,#N/A,FALSE,"포장단가"}</definedName>
    <definedName name="ㄴㅁ" hidden="1">#REF!</definedName>
    <definedName name="ㄴㅇㄴㄹㅇㅁㄴㄹ" hidden="1">{#N/A,#N/A,FALSE,"전력간선"}</definedName>
    <definedName name="ㄴㅇㄴㅇㄹㄴㅇㄹㄴㅇㄹㄴㅇㄹ" hidden="1">{#N/A,#N/A,FALSE,"빌딩claim율";#N/A,#N/A,FALSE,"전력CLAIM율";#N/A,#N/A,FALSE,"SVC산업CLAIM"}</definedName>
    <definedName name="ㄴㅇㄹ" hidden="1">{#N/A,#N/A,FALSE,"전력간선"}</definedName>
    <definedName name="ㄴㅇㄹㄴㅇㅎ" hidden="1">{#N/A,#N/A,FALSE,"부대2"}</definedName>
    <definedName name="ㄴㅇㄹㄴ혼ㅇㅎ" hidden="1">{#N/A,#N/A,FALSE,"부대1"}</definedName>
    <definedName name="ㄴㅇㄹㅋㄴㅇㄷㄹㄴㅇㅁㅈㅂㄱㅈㄱㅈㄱㅁㄴㄷㅊㅇㅅㄱ" hidden="1">{#N/A,#N/A,FALSE,"제조원가"}</definedName>
    <definedName name="ㄴㅇㅀㄴㅇㅀ" hidden="1">#N/A</definedName>
    <definedName name="ㄴㅇㅎ" hidden="1">{#N/A,#N/A,FALSE,"현장 NCR 분석";#N/A,#N/A,FALSE,"현장품질감사";#N/A,#N/A,FALSE,"현장품질감사"}</definedName>
    <definedName name="ㄴㅇㅎㄴㄹㅇ" hidden="1">#N/A</definedName>
    <definedName name="ㄴㅇㅎㅅㄱ" hidden="1">{#N/A,#N/A,FALSE,"보고목차";#N/A,#N/A,FALSE,"1)서비스접수";#N/A,#N/A,FALSE,"2)상담";#N/A,#N/A,FALSE,"2.월별접수추이현황";#N/A,#N/A,FALSE,"3.일자별접수현황";#N/A,#N/A,FALSE,"4.상담내용";#N/A,#N/A,FALSE,"5.미처리현황";#N/A,#N/A,FALSE,"6.재발방지";#N/A,#N/A,FALSE,"7.당월주요문제점"}</definedName>
    <definedName name="나" hidden="1">{#N/A,#N/A,FALSE,"표지목차"}</definedName>
    <definedName name="나까마" hidden="1">#REF!</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산1" hidden="1">{"'별표'!$N$220"}</definedName>
    <definedName name="내실화"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역" hidden="1">{#N/A,#N/A,FALSE,"CCTV"}</definedName>
    <definedName name="내역1" hidden="1">{#N/A,#N/A,FALSE,"기안지";#N/A,#N/A,FALSE,"통신지"}</definedName>
    <definedName name="내역산출근거" hidden="1">{#N/A,#N/A,TRUE,"1";#N/A,#N/A,TRUE,"2";#N/A,#N/A,TRUE,"3";#N/A,#N/A,TRUE,"4";#N/A,#N/A,TRUE,"5";#N/A,#N/A,TRUE,"6";#N/A,#N/A,TRUE,"7"}</definedName>
    <definedName name="내역서" hidden="1">{#N/A,#N/A,FALSE,"Sheet1"}</definedName>
    <definedName name="내역서1" hidden="1">{"'단계별시설공사비'!$A$3:$K$51"}</definedName>
    <definedName name="내역서2" hidden="1">{"'단계별시설공사비'!$A$3:$K$51"}</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무비단가산출서" hidden="1">#REF!</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뉵ㅎㅅㄳㅁ" hidden="1">{#N/A,#N/A,FALSE,"혼합골재"}</definedName>
    <definedName name="ㄶㅎㄱㄷㅈ" hidden="1">{#N/A,#N/A,FALSE,"Sheet1"}</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ㄱ" hidden="1">{#N/A,#N/A,FALSE,"포장2"}</definedName>
    <definedName name="ㄷㄱㄱㅈㅍㄷ" hidden="1">{#N/A,#N/A,FALSE,"골재소요량";#N/A,#N/A,FALSE,"골재소요량"}</definedName>
    <definedName name="ㄷㄱㄴㄴㅁ" hidden="1">{#N/A,#N/A,FALSE,"단가표지"}</definedName>
    <definedName name="ㄷㄱㅈㅍ" hidden="1">{#N/A,#N/A,FALSE,"표지목차"}</definedName>
    <definedName name="ㄷㄱㅍㄷㄱ뮤" hidden="1">{#N/A,#N/A,FALSE,"2~8번"}</definedName>
    <definedName name="ㄷㄱㅍㅁㄷㄱ" hidden="1">{#N/A,#N/A,FALSE,"골재소요량";#N/A,#N/A,FALSE,"골재소요량"}</definedName>
    <definedName name="ㄷㄳ" hidden="1">{#N/A,#N/A,FALSE,"Sheet1"}</definedName>
    <definedName name="ㄷㄴㅁㄱㅇ" hidden="1">{#N/A,#N/A,FALSE,"골재소요량";#N/A,#N/A,FALSE,"골재소요량"}</definedName>
    <definedName name="ㄷㄷ" hidden="1">{#N/A,#N/A,FALSE,"혼합골재"}</definedName>
    <definedName name="ㄷㄷㄷㄷㄷㄷ" hidden="1">{#N/A,#N/A,FALSE,"운반시간"}</definedName>
    <definedName name="ㄷㄷㅈㅊㅍㅌㅋ" hidden="1">{#N/A,#N/A,FALSE,"조골재"}</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ㅇㄹ" hidden="1">{#N/A,#N/A,FALSE,"단가표지"}</definedName>
    <definedName name="ㄷㅈㄱㄱ" hidden="1">{#N/A,#N/A,FALSE,"조골재"}</definedName>
    <definedName name="ㄷㅈㄹㄹㄷㄹㅇㄴㅇㄴㄹ" hidden="1">{#N/A,#N/A,FALSE,"조골재"}</definedName>
    <definedName name="ㄷㅈㅈㄱㄷㄱㄷㅈ" hidden="1">{#N/A,#N/A,FALSE,"운반시간"}</definedName>
    <definedName name="ㄷㅈㅍㄱㄷㅈㄱ" hidden="1">{#N/A,#N/A,FALSE,"2~8번"}</definedName>
    <definedName name="ㄷㅎㄹㅇ" hidden="1">#REF!</definedName>
    <definedName name="다" hidden="1">{#N/A,#N/A,FALSE,"표지목차"}</definedName>
    <definedName name="다라" hidden="1">{#N/A,#N/A,FALSE,"표지목차"}</definedName>
    <definedName name="다람쥐" hidden="1">{#N/A,#N/A,FALSE,"CCTV"}</definedName>
    <definedName name="다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닥트설치공사" hidden="1">{#N/A,#N/A,FALSE,"전력간선"}</definedName>
    <definedName name="단ㄱ" hidden="1">{#N/A,#N/A,FALSE,"전력간선"}</definedName>
    <definedName name="단가2" hidden="1">{#N/A,#N/A,FALSE,"Sheet1"}</definedName>
    <definedName name="단가대" hidden="1">#REF!</definedName>
    <definedName name="당초계획" hidden="1">#REF!</definedName>
    <definedName name="대" hidden="1">{#N/A,#N/A,FALSE,"구조2"}</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신당동" hidden="1">{"'별표'!$N$220"}</definedName>
    <definedName name="대리석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차" hidden="1">{#N/A,#N/A,TRUE,"대 차 대 조 표"}</definedName>
    <definedName name="대차대조" hidden="1">{#N/A,#N/A,TRUE,"대 차 대 조 표"}</definedName>
    <definedName name="대차대조표" hidden="1">{#N/A,#N/A,TRUE,"대 차 대 조 표"}</definedName>
    <definedName name="대차대조표2" hidden="1">{#N/A,#N/A,TRUE,"대 차 대 조 표"}</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덕" hidden="1">{#N/A,#N/A,FALSE,"포장2"}</definedName>
    <definedName name="덕진" hidden="1">{#N/A,#N/A,FALSE,"포장2"}</definedName>
    <definedName name="덕호" hidden="1">{#N/A,#N/A,FALSE,"포장2"}</definedName>
    <definedName name="덕흥흥건축" hidden="1">#REF!</definedName>
    <definedName name="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비" hidden="1">{#N/A,#N/A,FALSE,"기안지";#N/A,#N/A,FALSE,"통신지"}</definedName>
    <definedName name="도급실행" hidden="1">{#N/A,#N/A,FALSE,"전력간선"}</definedName>
    <definedName name="도급액분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로" hidden="1">{#N/A,#N/A,FALSE,"2~8번"}</definedName>
    <definedName name="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독립기초" hidden="1">{#N/A,#N/A,FALSE,"기안지";#N/A,#N/A,FALSE,"통신지"}</definedName>
    <definedName name="독립기초토공수량산출" hidden="1">{#N/A,#N/A,FALSE,"기안지";#N/A,#N/A,FALSE,"통신지"}</definedName>
    <definedName name="동광건설" hidden="1">{#N/A,#N/A,FALSE,"골재소요량";#N/A,#N/A,FALSE,"골재소요량"}</definedName>
    <definedName name="동구연숩" hidden="1">{#N/A,#N/A,FALSE,"전력간선"}</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민" hidden="1">{#N/A,#N/A,FALSE,"제목"}</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됴ㅠ굑ㅇ" hidden="1">{#N/A,#N/A,FALSE,"운반시간"}</definedName>
    <definedName name="또라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또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 hidden="1">{#N/A,#N/A,FALSE,"이태원철근"}</definedName>
    <definedName name="ㄹ고ㅎ샤ㄷ" hidden="1">{#N/A,#N/A,FALSE,"포장단가"}</definedName>
    <definedName name="ㄹㄴㅇㄹㄴㅇㄹㄴㄱㄴㅇ" hidden="1">{#N/A,#N/A,FALSE,"지침";#N/A,#N/A,FALSE,"환경분석";#N/A,#N/A,FALSE,"Sheet16"}</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ㄴ" hidden="1">{#N/A,#N/A,FALSE,"배수1"}</definedName>
    <definedName name="ㄹㄹ" hidden="1">#REF!</definedName>
    <definedName name="ㄹㄹㄹ" hidden="1">#REF!</definedName>
    <definedName name="ㄹㄹㄹㄹㄹ" hidden="1">{#N/A,#N/A,FALSE,"조골재"}</definedName>
    <definedName name="ㄹㄹㄹㅈㄹ" hidden="1">{#N/A,#N/A,FALSE,"혼합골재"}</definedName>
    <definedName name="ㄹㄹ로" hidden="1">{#N/A,#N/A,FALSE,"골재소요량";#N/A,#N/A,FALSE,"골재소요량"}</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ㄹㅇㅁㄴㄹ" hidden="1">{#N/A,#N/A,FALSE,"속도"}</definedName>
    <definedName name="ㄹㅇㄹㄷㅈㅍ" hidden="1">{#N/A,#N/A,FALSE,"혼합골재"}</definedName>
    <definedName name="ㄹㅇㄹㅇ"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ㅁㄻㄹ" hidden="1">{#N/A,#N/A,FALSE,"변경관리예산";#N/A,#N/A,FALSE,"변경장비예산";#N/A,#N/A,FALSE,"변경준설예산";#N/A,#N/A,FALSE,"변경철구예산"}</definedName>
    <definedName name="ㄹㅇㅌㅇㄴㄱㄷ" hidden="1">{#N/A,#N/A,FALSE,"포장2"}</definedName>
    <definedName name="ㄹ호" hidden="1">#REF!</definedName>
    <definedName name="라" hidden="1">#REF!</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래그" hidden="1">{#N/A,#N/A,FALSE,"CCTV"}</definedName>
    <definedName name="러헐" hidden="1">{#N/A,#N/A,FALSE,"도급대비시행율";#N/A,#N/A,FALSE,"결의서";#N/A,#N/A,FALSE,"내역서";#N/A,#N/A,FALSE,"도급예상"}</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ㅜㅇ교" hidden="1">{#N/A,#N/A,FALSE,"표지목차"}</definedName>
    <definedName name="룻우ㅕㄴ" hidden="1">{#N/A,#N/A,FALSE,"골재소요량";#N/A,#N/A,FALSE,"골재소요량"}</definedName>
    <definedName name="률류" hidden="1">{#N/A,#N/A,FALSE,"혼합골재"}</definedName>
    <definedName name="리"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ㄺㄱㄱㄱㄱㄱ" hidden="1">{#N/A,#N/A,FALSE,"신청통보";#N/A,#N/A,FALSE,"기성확인서";#N/A,#N/A,FALSE,"기성내역서"}</definedName>
    <definedName name="ㄻ" hidden="1">{#N/A,#N/A,FALSE,"포장2"}</definedName>
    <definedName name="ㄻㄴㅇㄹ" hidden="1">{#N/A,#N/A,FALSE,"2~8번"}</definedName>
    <definedName name="ㄻㄴㅇㄻㅇㄴㄹㅇㄴㅁㄹㅇㅁㄴㄹ" hidden="1">{#N/A,#N/A,FALSE,"부대1"}</definedName>
    <definedName name="ㅀ" hidden="1">{#N/A,#N/A,TRUE,"토적및재료집계";#N/A,#N/A,TRUE,"토적및재료집계";#N/A,#N/A,TRUE,"단위량"}</definedName>
    <definedName name="ㅀㅁ" hidden="1">{#N/A,#N/A,FALSE,"조골재"}</definedName>
    <definedName name="ㅀ오ㅓㅎ롱ㄶㄹㄴ" hidden="1">{#N/A,#N/A,FALSE,"2~8번"}</definedName>
    <definedName name="ㅀㅎ허" hidden="1">{#N/A,#N/A,FALSE,"포장단가"}</definedName>
    <definedName name="ㅀ허" hidden="1">{#N/A,#N/A,FALSE,"CCTV"}</definedName>
    <definedName name="ㅁ" hidden="1">{#N/A,#N/A,FALSE,"포장1";#N/A,#N/A,FALSE,"포장1"}</definedName>
    <definedName name="ㅁ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ㄴㄴ" hidden="1">{#N/A,#N/A,FALSE,"골재소요량";#N/A,#N/A,FALSE,"골재소요량"}</definedName>
    <definedName name="ㅁㄴㄷㄱㄱ" hidden="1">{#N/A,#N/A,FALSE,"현장 NCR 분석";#N/A,#N/A,FALSE,"현장품질감사";#N/A,#N/A,FALSE,"현장품질감사"}</definedName>
    <definedName name="ㅁㄴㄹ" hidden="1">{#N/A,#N/A,FALSE,"전력간선"}</definedName>
    <definedName name="ㅁㄴㅁㅇ" hidden="1">#REF!</definedName>
    <definedName name="ㅁㄴㅇㄹㅇㄴㄹ" hidden="1">#N/A</definedName>
    <definedName name="ㅁㄷㄱㅍㄱㅈㅁ" hidden="1">{#N/A,#N/A,FALSE,"골재소요량";#N/A,#N/A,FALSE,"골재소요량"}</definedName>
    <definedName name="ㅁㄷ교ㅗ" hidden="1">{#N/A,#N/A,FALSE,"이정표"}</definedName>
    <definedName name="ㅁㄷㅈㄳ" hidden="1">{#N/A,#N/A,FALSE,"이정표"}</definedName>
    <definedName name="ㅁㄷㅎㅁㅎㅁ" hidden="1">{#N/A,#N/A,FALSE,"조골재"}</definedName>
    <definedName name="ㅁㄹㅇㄴ" hidden="1">{#N/A,#N/A,FALSE,"포장2"}</definedName>
    <definedName name="ㅁㄻ" hidden="1">{#N/A,#N/A,FALSE,"Sheet1"}</definedName>
    <definedName name="ㅁㅁ" hidden="1">{#N/A,#N/A,FALSE,"운반시간"}</definedName>
    <definedName name="ㅁㅁㅁ" hidden="1">{#N/A,#N/A,FALSE,"Sheet1"}</definedName>
    <definedName name="ㅁㅁㅁㅁ" hidden="1">{#N/A,#N/A,FALSE,"CCTV"}</definedName>
    <definedName name="ㅁㅁㅁㅁㅁㅁ" hidden="1">#REF!</definedName>
    <definedName name="ㅁㅁㅁㅁㅁㅁㅁㅁㅁㅁㅁ" hidden="1">{#N/A,#N/A,FALSE,"운반시간"}</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ㅈㄷ" hidden="1">{#N/A,#N/A,FALSE,"배수1"}</definedName>
    <definedName name="ㅁㅎㅁ" hidden="1">{#N/A,#N/A,FALSE,"Sheet1"}</definedName>
    <definedName name="마감공사비A3" hidden="1">#REF!</definedName>
    <definedName name="마북가설" hidden="1">{#N/A,#N/A,FALSE,"구조2"}</definedName>
    <definedName name="마북리" hidden="1">{#N/A,#N/A,FALSE,"전력간선"}</definedName>
    <definedName name="만득이" hidden="1">{#N/A,#N/A,FALSE,"2~8번"}</definedName>
    <definedName name="매입세액" hidden="1">{#N/A,#N/A,FALSE,"예상손익";#N/A,#N/A,FALSE,"관리분석";#N/A,#N/A,FALSE,"장비분석";#N/A,#N/A,FALSE,"준설분석";#N/A,#N/A,FALSE,"철구분석"}</definedName>
    <definedName name="매출액" hidden="1">#REF!</definedName>
    <definedName name="명일" hidden="1">{#N/A,#N/A,FALSE,"속도"}</definedName>
    <definedName name="몰라" hidden="1">0</definedName>
    <definedName name="물" hidden="1">{#N/A,#N/A,FALSE,"이태원철근"}</definedName>
    <definedName name="물가" hidden="1">{#N/A,#N/A,FALSE,"이태원철근"}</definedName>
    <definedName name="물량" hidden="1">{#N/A,#N/A,FALSE,"제목"}</definedName>
    <definedName name="물량산출근거조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집계" hidden="1">{#N/A,#N/A,FALSE,"기안지";#N/A,#N/A,FALSE,"통신지"}</definedName>
    <definedName name="물량집계표" hidden="1">{#N/A,#N/A,FALSE,"제목"}</definedName>
    <definedName name="뭐가이태원이야" hidden="1">{#N/A,#N/A,FALSE,"이태원철근"}</definedName>
    <definedName name="뭐지" hidden="1">{#N/A,#N/A,FALSE,"CCTV"}</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{#N/A,#N/A,FALSE,"이태원철근"}</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ㅇ" hidden="1">{#N/A,#N/A,FALSE,"표지목차"}</definedName>
    <definedName name="ㅂㅂ" hidden="1">{#N/A,#N/A,FALSE,"표지"}</definedName>
    <definedName name="ㅂㅂㅂ"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 hidden="1">{#N/A,#N/A,FALSE,"혼합골재"}</definedName>
    <definedName name="ㅂㅂㅂㅂㅂㅂ"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ㅂㅂㅂㅂㅂㅂㅂ" hidden="1">{#N/A,#N/A,FALSE,"표지목차"}</definedName>
    <definedName name="ㅂㅂ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ㅈ" hidden="1">{#N/A,#N/A,TRUE,"1";#N/A,#N/A,TRUE,"2";#N/A,#N/A,TRUE,"3";#N/A,#N/A,TRUE,"4";#N/A,#N/A,TRUE,"5";#N/A,#N/A,TRUE,"6";#N/A,#N/A,TRUE,"7"}</definedName>
    <definedName name="ㅂㅈㄷㄱ" hidden="1">{#N/A,#N/A,FALSE,"현장 NCR 분석";#N/A,#N/A,FALSE,"현장품질감사";#N/A,#N/A,FALSE,"현장품질감사"}</definedName>
    <definedName name="ㅂㅈㅈ" hidden="1">{#N/A,#N/A,FALSE,"운반시간"}</definedName>
    <definedName name="ㅂ쟈ㅕㅑㅂ1" hidden="1">{#N/A,#N/A,FALSE,"배수1"}</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바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x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2" hidden="1">{#N/A,#N/A,FALSE,"운반시간"}</definedName>
    <definedName name="바붕" hidden="1">{#N/A,#N/A,FALSE,"전력간선"}</definedName>
    <definedName name="박범준" hidden="1">{#N/A,#N/A,FALSE,"전력간선"}</definedName>
    <definedName name="밥보" hidden="1">{#N/A,#N/A,FALSE,"표지목차"}</definedName>
    <definedName name="배" hidden="1">{#N/A,#N/A,FALSE,"배수2"}</definedName>
    <definedName name="배기덕트공사" hidden="1">{#N/A,#N/A,FALSE,"CCTV"}</definedName>
    <definedName name="배수" hidden="1">#REF!</definedName>
    <definedName name="배수공" hidden="1">{#N/A,#N/A,FALSE,"부대1"}</definedName>
    <definedName name="번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벽체" hidden="1">{#N/A,#N/A,FALSE,"혼합골재"}</definedName>
    <definedName name="변경" hidden="1">{#N/A,#N/A,FALSE,"현장 NCR 분석";#N/A,#N/A,FALSE,"현장품질감사";#N/A,#N/A,FALSE,"현장품질감사"}</definedName>
    <definedName name="변경개요" hidden="1">#REF!</definedName>
    <definedName name="변경개요2" hidden="1">#REF!</definedName>
    <definedName name="변경실행금액" hidden="1">{#N/A,#N/A,FALSE,"전력간선"}</definedName>
    <definedName name="변경후개요" hidden="1">#REF!</definedName>
    <definedName name="보" hidden="1">{#N/A,#N/A,FALSE,"전력간선"}</definedName>
    <definedName name="보고서" hidden="1">{#N/A,#N/A,FALSE,"구조2"}</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일람" hidden="1">{#N/A,#N/A,FALSE,"기안지";#N/A,#N/A,FALSE,"통신지"}</definedName>
    <definedName name="보증일반환산" hidden="1">#N/A</definedName>
    <definedName name="보충" hidden="1">#REF!</definedName>
    <definedName name="복ㅇ" hidden="1">{#N/A,#N/A,FALSE,"부대2"}</definedName>
    <definedName name="뵤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 hidden="1">{#N/A,#N/A,FALSE,"현장 NCR 분석";#N/A,#N/A,FALSE,"현장품질감사";#N/A,#N/A,FALSE,"현장품질감사"}</definedName>
    <definedName name="부2" hidden="1">{#N/A,#N/A,FALSE,"부대2"}</definedName>
    <definedName name="부대" hidden="1">{#N/A,#N/A,FALSE,"전력간선"}</definedName>
    <definedName name="부대a" hidden="1">{#N/A,#N/A,FALSE,"골재소요량";#N/A,#N/A,FALSE,"골재소요량"}</definedName>
    <definedName name="부대건축2" hidden="1">#REF!</definedName>
    <definedName name="부대공사" hidden="1">#REF!</definedName>
    <definedName name="부대공총괄수량집계" hidden="1">{#N/A,#N/A,FALSE,"2~8번"}</definedName>
    <definedName name="부대구조" hidden="1">{#N/A,#N/A,FALSE,"골재소요량";#N/A,#N/A,FALSE,"골재소요량"}</definedName>
    <definedName name="부대방안" hidden="1">{#N/A,#N/A,FALSE,"단가표지"}</definedName>
    <definedName name="부대시설" hidden="1">{#N/A,#N/A,FALSE,"전력간선"}</definedName>
    <definedName name="부대원가" hidden="1">{#N/A,#N/A,FALSE,"배수2"}</definedName>
    <definedName name="부대원본" hidden="1">{#N/A,#N/A,FALSE,"토공2"}</definedName>
    <definedName name="부대철콘" hidden="1">{#N/A,#N/A,FALSE,"골재소요량";#N/A,#N/A,FALSE,"골재소요량"}</definedName>
    <definedName name="부록"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분검토의견" hidden="1">{#N/A,#N/A,FALSE,"기안지";#N/A,#N/A,FALSE,"통신지"}</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hidden="1">{#N/A,#N/A,FALSE,"현장 NCR 분석";#N/A,#N/A,FALSE,"현장품질감사";#N/A,#N/A,FALSE,"현장품질감사"}</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천상동조경" hidden="1">{#N/A,#N/A,FALSE,"표지"}</definedName>
    <definedName name="분" hidden="1">{#N/A,#N/A,FALSE,"이태원철근"}</definedName>
    <definedName name="분당공" hidden="1">#REF!</definedName>
    <definedName name="분당내역" hidden="1">#REF!</definedName>
    <definedName name="분당내역서" hidden="1">#REF!</definedName>
    <definedName name="분당물가" hidden="1">#REF!</definedName>
    <definedName name="분당코아" hidden="1">#REF!</definedName>
    <definedName name="분당협조" hidden="1">{#N/A,#N/A,FALSE,"이태원철근"}</definedName>
    <definedName name="분석변경" hidden="1">{#N/A,#N/A,FALSE,"변경관리예산";#N/A,#N/A,FALSE,"변경장비예산";#N/A,#N/A,FALSE,"변경준설예산";#N/A,#N/A,FALSE,"변경철구예산"}</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#N/A</definedName>
    <definedName name="비교" hidden="1">255</definedName>
    <definedName name="비교표1" hidden="1">255</definedName>
    <definedName name="비상연락1" hidden="1">{#N/A,#N/A,FALSE,"CCTV"}</definedName>
    <definedName name="빗구기"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{#N/A,#N/A,TRUE,"토적및재료집계";#N/A,#N/A,TRUE,"토적및재료집계";#N/A,#N/A,TRUE,"단위량"}</definedName>
    <definedName name="ㅅ.." hidden="1">{#N/A,#N/A,FALSE,"골재소요량";#N/A,#N/A,FALSE,"골재소요량"}</definedName>
    <definedName name="ㅅㄱ" hidden="1">#REF!</definedName>
    <definedName name="ㅅ고" hidden="1">{#N/A,#N/A,FALSE,"포장단가"}</definedName>
    <definedName name="ㅅ곧고" hidden="1">{#N/A,#N/A,FALSE,"포장단가"}</definedName>
    <definedName name="ㅅ곳ㄴ고" hidden="1">{#N/A,#N/A,FALSE,"2~8번"}</definedName>
    <definedName name="ㅅㄳ" hidden="1">{#N/A,#N/A,FALSE,"골재소요량";#N/A,#N/A,FALSE,"골재소요량"}</definedName>
    <definedName name="ㅅㅅ" hidden="1">#REF!</definedName>
    <definedName name="ㅅㅅㅅㅅㅅ" hidden="1">{#N/A,#N/A,FALSE,"골재소요량";#N/A,#N/A,FALSE,"골재소요량"}</definedName>
    <definedName name="ㅅㅅㅅㅅㅅㅅㅅ" hidden="1">{#N/A,#N/A,FALSE,"골재소요량";#N/A,#N/A,FALSE,"골재소요량"}</definedName>
    <definedName name="ㅅㅅㅅㅅㅅㅅㅅㅅㅅㅅㅅ" hidden="1">{#N/A,#N/A,FALSE,"골재소요량";#N/A,#N/A,FALSE,"골재소요량"}</definedName>
    <definedName name="ㅅ여ㅛ윣ㄴ" hidden="1">{#N/A,#N/A,FALSE,"조골재"}</definedName>
    <definedName name="ㅅ융ㄴㄳ" hidden="1">{#N/A,#N/A,FALSE,"조골재"}</definedName>
    <definedName name="ㅅㅎ공ㅋ" hidden="1">{#N/A,#N/A,FALSE,"단가표지"}</definedName>
    <definedName name="사" hidden="1">#REF!</definedName>
    <definedName name="사1" hidden="1">{#N/A,#N/A,FALSE,"지침";#N/A,#N/A,FALSE,"환경분석";#N/A,#N/A,FALSE,"Sheet16"}</definedName>
    <definedName name="사급" hidden="1">{#N/A,#N/A,FALSE,"배수2"}</definedName>
    <definedName name="사랑"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 hidden="1">#REF!</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 hidden="1">#REF!</definedName>
    <definedName name="사용명세"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전공" hidden="1">#N/A</definedName>
    <definedName name="삭제" hidden="1">{#N/A,#N/A,FALSE,"제목"}</definedName>
    <definedName name="삼우설비" hidden="1">#REF!</definedName>
    <definedName name="삼호" hidden="1">{#N/A,#N/A,FALSE,"배수2"}</definedName>
    <definedName name="상주" hidden="1">{#N/A,#N/A,FALSE,"지침";#N/A,#N/A,FALSE,"환경분석";#N/A,#N/A,FALSE,"Sheet16"}</definedName>
    <definedName name="상주감리" hidden="1">{#N/A,#N/A,FALSE,"지침";#N/A,#N/A,FALSE,"환경분석";#N/A,#N/A,FALSE,"Sheet16"}</definedName>
    <definedName name="새공통" hidden="1">{#N/A,#N/A,FALSE,"이태원철근"}</definedName>
    <definedName name="샘풀카피" hidden="1">{#N/A,#N/A,FALSE,"CCTV"}</definedName>
    <definedName name="샘플카피2" hidden="1">{#N/A,#N/A,FALSE,"CCTV"}</definedName>
    <definedName name="샘플카피3" hidden="1">{#N/A,#N/A,FALSE,"CCTV"}</definedName>
    <definedName name="생산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석" hidden="1">{#N/A,#N/A,FALSE,"지침";#N/A,#N/A,FALSE,"환경분석";#N/A,#N/A,FALSE,"Sheet16"}</definedName>
    <definedName name="석재받은의뢰업체" hidden="1">255</definedName>
    <definedName name="설" hidden="1">#REF!</definedName>
    <definedName name="설계내역서" hidden="1">{"'별표'!$N$220"}</definedName>
    <definedName name="설명" hidden="1">{#N/A,#N/A,FALSE,"부대1"}</definedName>
    <definedName name="설명서" hidden="1">{#N/A,#N/A,FALSE,"포장1";#N/A,#N/A,FALSE,"포장1"}</definedName>
    <definedName name="설문지" hidden="1">#REF!</definedName>
    <definedName name="설비" hidden="1">#REF!</definedName>
    <definedName name="설비공사" hidden="1">{#N/A,#N/A,FALSE,"전력간선"}</definedName>
    <definedName name="설서" hidden="1">{"'별표'!$N$220"}</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우" hidden="1">{#N/A,#N/A,FALSE,"CCTV"}</definedName>
    <definedName name="세전익익" hidden="1">{#N/A,#N/A,FALSE,"지침";#N/A,#N/A,FALSE,"환경분석";#N/A,#N/A,FALSE,"Sheet16"}</definedName>
    <definedName name="소화갑지" hidden="1">{#N/A,#N/A,FALSE,"CCTV"}</definedName>
    <definedName name="소화배관" hidden="1">{#N/A,#N/A,FALSE,"전력간선"}</definedName>
    <definedName name="소ㅑ104" hidden="1">#REF!</definedName>
    <definedName name="속" hidden="1">{#N/A,#N/A,FALSE,"속도"}</definedName>
    <definedName name="손영주" hidden="1">{#N/A,#N/A,FALSE,"조골재"}</definedName>
    <definedName name="손익"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계산" hidden="1">{#N/A,#N/A,TRUE,"대 차 대 조 표"}</definedName>
    <definedName name="손익계산서" hidden="1">#REF!</definedName>
    <definedName name="손익계산서2" hidden="1">{#N/A,#N/A,TRUE,"대 차 대 조 표"}</definedName>
    <definedName name="손익계산서3" hidden="1">{#N/A,#N/A,TRUE,"대 차 대 조 표"}</definedName>
    <definedName name="손익변경" hidden="1">{#N/A,#N/A,FALSE,"지침";#N/A,#N/A,FALSE,"환경분석";#N/A,#N/A,FALSE,"Sheet16"}</definedName>
    <definedName name="쇼ㅓ" hidden="1">{#N/A,#N/A,FALSE,"포장단가"}</definedName>
    <definedName name="쇼ㅓㄹ" hidden="1">{#N/A,#N/A,FALSE,"현장 NCR 분석";#N/A,#N/A,FALSE,"현장품질감사";#N/A,#N/A,FALSE,"현장품질감사"}</definedName>
    <definedName name="수" hidden="1">#REF!</definedName>
    <definedName name="수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량산출근거" hidden="1">{#N/A,#N/A,FALSE,"표지"}</definedName>
    <definedName name="수절" hidden="1">#REF!</definedName>
    <definedName name="수ㅠㅁ" hidden="1">{#N/A,#N/A,FALSE,"현장 NCR 분석";#N/A,#N/A,FALSE,"현장품질감사";#N/A,#N/A,FALSE,"현장품질감사"}</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숱" hidden="1">{#N/A,#N/A,FALSE,"현장 NCR 분석";#N/A,#N/A,FALSE,"현장품질감사";#N/A,#N/A,FALSE,"현장품질감사"}</definedName>
    <definedName name="스발9" hidden="1">#REF!</definedName>
    <definedName name="습식공사" hidden="1">{#N/A,#N/A,FALSE,"전력간선"}</definedName>
    <definedName name="승" hidden="1">{#N/A,#N/A,FALSE,"지침";#N/A,#N/A,FALSE,"환경분석";#N/A,#N/A,FALSE,"Sheet16"}</definedName>
    <definedName name="승용교" hidden="1">{#N/A,#N/A,FALSE,"2~8번"}</definedName>
    <definedName name="승인보고21차" hidden="1">{#N/A,#N/A,FALSE,"기안지";#N/A,#N/A,FALSE,"통신지"}</definedName>
    <definedName name="시중단가" hidden="1">{"'단계별시설공사비'!$A$3:$K$51"}</definedName>
    <definedName name="시행" hidden="1">{#N/A,#N/A,FALSE,"이태원철근"}</definedName>
    <definedName name="신해섭" hidden="1">{#N/A,#N/A,FALSE,"도급대비시행율";#N/A,#N/A,FALSE,"결의서";#N/A,#N/A,FALSE,"내역서";#N/A,#N/A,FALSE,"도급예상"}</definedName>
    <definedName name="실" hidden="1">{"'단계별시설공사비'!$A$3:$K$51"}</definedName>
    <definedName name="실적자료" hidden="1">{#N/A,#N/A,FALSE,"지침";#N/A,#N/A,FALSE,"환경분석";#N/A,#N/A,FALSE,"Sheet16"}</definedName>
    <definedName name="실적자료1" hidden="1">{#N/A,#N/A,FALSE,"지침";#N/A,#N/A,FALSE,"환경분석";#N/A,#N/A,FALSE,"Sheet16"}</definedName>
    <definedName name="실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행" hidden="1">{#N/A,#N/A,FALSE,"기안지";#N/A,#N/A,FALSE,"통신지"}</definedName>
    <definedName name="실행4안" hidden="1">{"'단계별시설공사비'!$A$3:$K$51"}</definedName>
    <definedName name="실행갑지" hidden="1">{"'단계별시설공사비'!$A$3:$K$51"}</definedName>
    <definedName name="실행갑지2안" hidden="1">{"'단계별시설공사비'!$A$3:$K$51"}</definedName>
    <definedName name="실행검토" hidden="1">#REF!</definedName>
    <definedName name="실행금액" hidden="1">{#N/A,#N/A,FALSE,"기안지";#N/A,#N/A,FALSE,"통신지"}</definedName>
    <definedName name="실행예산" hidden="1">{"'단계별시설공사비'!$A$3:$K$51"}</definedName>
    <definedName name="실행예산검토3안" hidden="1">{"'단계별시설공사비'!$A$3:$K$51"}</definedName>
    <definedName name="실행예상액" hidden="1">#REF!</definedName>
    <definedName name="실행원가" hidden="1">{#N/A,#N/A,FALSE,"전력간선"}</definedName>
    <definedName name="ㅇ"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ㄹ" hidden="1">{#N/A,#N/A,FALSE,"Sheet1"}</definedName>
    <definedName name="ㅇㄴㄹㄹㄴㄹㄹ" hidden="1">{#N/A,#N/A,FALSE,"운반시간"}</definedName>
    <definedName name="ㅇㄴㄹㅇㄴㄹㅇㄴ" hidden="1">{#N/A,#N/A,FALSE,"조골재"}</definedName>
    <definedName name="ㅇㄴㄿ" hidden="1">{#N/A,#N/A,FALSE,"CCTV"}</definedName>
    <definedName name="ㅇㄴㅁ" hidden="1">#REF!</definedName>
    <definedName name="ㅇㄴㅋㅋㅌ" hidden="1">{#N/A,#N/A,FALSE,"혼합골재"}</definedName>
    <definedName name="ㅇㄴㅍㄴㄱ" hidden="1">{#N/A,#N/A,FALSE,"골재소요량";#N/A,#N/A,FALSE,"골재소요량"}</definedName>
    <definedName name="ㅇㄹ" hidden="1">#REF!</definedName>
    <definedName name="ㅇㄹㄴㄴㅇㄹㄴㅇㄹㄴㅇㄹ" hidden="1">{#N/A,#N/A,FALSE,"제조원가"}</definedName>
    <definedName name="ㅇㄹㄴㄹ" hidden="1">{#N/A,#N/A,FALSE,"CCTV"}</definedName>
    <definedName name="ㅇㄹㄴㅁㄹㅇㅁ" hidden="1">{#N/A,#N/A,FALSE,"속도"}</definedName>
    <definedName name="ㅇㄹㄹ" hidden="1">#REF!</definedName>
    <definedName name="ㅇㄹㅇ" hidden="1">#REF!</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알ㅇㄹㅇㄹ" hidden="1">#REF!</definedName>
    <definedName name="ㅇ로" hidden="1">{#N/A,#N/A,FALSE,"이정표"}</definedName>
    <definedName name="ㅇ롷" hidden="1">{#N/A,#N/A,FALSE,"배수2"}</definedName>
    <definedName name="ㅇㄺ" hidden="1">{#N/A,#N/A,FALSE,"혼합골재"}</definedName>
    <definedName name="ㅇㅀ" hidden="1">{#N/A,#N/A,FALSE,"배수1"}</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ㅁㄴㅇ" hidden="1">{#N/A,#N/A,FALSE,"단가표지"}</definedName>
    <definedName name="ㅇ쇼뉴굔" hidden="1">{#N/A,#N/A,FALSE,"조골재"}</definedName>
    <definedName name="ㅇ수ㅕㅜㅇ" hidden="1">{#N/A,#N/A,FALSE,"단가표지"}</definedName>
    <definedName name="ㅇㅇ"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ㅇ" hidden="1">{#N/A,#N/A,FALSE,"지침";#N/A,#N/A,FALSE,"환경분석";#N/A,#N/A,FALSE,"Sheet16"}</definedName>
    <definedName name="ㅇㅇㅇㅇ" hidden="1">{#N/A,#N/A,FALSE,"지침";#N/A,#N/A,FALSE,"환경분석";#N/A,#N/A,FALSE,"Sheet16"}</definedName>
    <definedName name="ㅇㅇㅇㅇㅇㅇ" hidden="1">{#N/A,#N/A,FALSE,"조골재"}</definedName>
    <definedName name="ㅇㅈㅇㄴㅇㅈㅇ" hidden="1">#N/A</definedName>
    <definedName name="ㅇㅍㄴㅁ3" hidden="1">{#N/A,#N/A,FALSE,"조골재"}</definedName>
    <definedName name="아무" hidden="1">{#N/A,#N/A,FALSE,"배수2"}</definedName>
    <definedName name="아무거나" hidden="1">{#N/A,#N/A,FALSE,"배수2"}</definedName>
    <definedName name="아스콘깨기" hidden="1">{#N/A,#N/A,FALSE,"골재소요량";#N/A,#N/A,FALSE,"골재소요량"}</definedName>
    <definedName name="아싸" hidden="1">{#N/A,#N/A,FALSE,"CCTV"}</definedName>
    <definedName name="아안녕" hidden="1">{"'별표'!$N$220"}</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녕" hidden="1">{"'별표'!$N$220"}</definedName>
    <definedName name="안산키즈" hidden="1">{#N/A,#N/A,FALSE,"전력간선"}</definedName>
    <definedName name="안양현대" hidden="1">{#N/A,#N/A,FALSE,"이태원철근"}</definedName>
    <definedName name="알파" hidden="1">{#N/A,#N/A,FALSE,"이태원철근"}</definedName>
    <definedName name="암거공" hidden="1">#REF!</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야간" hidden="1">{#N/A,#N/A,FALSE,"지침";#N/A,#N/A,FALSE,"환경분석";#N/A,#N/A,FALSE,"Sheet16"}</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업" hidden="1">{#N/A,#N/A,FALSE,"포장2"}</definedName>
    <definedName name="업무9904" hidden="1">{#N/A,#N/A,FALSE,"요약";#N/A,#N/A,FALSE,"보고목차";#N/A,#N/A,FALSE,"1)서비스접수";#N/A,#N/A,FALSE,"2)상담";#N/A,#N/A,FALSE,"2.월별접수추이현황";#N/A,#N/A,FALSE,"3.상담내용";#N/A,#N/A,FALSE,"4.미처리현황"}</definedName>
    <definedName name="업종" hidden="1">{#N/A,#N/A,FALSE,"포장2"}</definedName>
    <definedName name="업체" hidden="1">{#N/A,#N/A,FALSE,"구조2"}</definedName>
    <definedName name="업체순위" hidden="1">{#N/A,#N/A,FALSE,"배수2"}</definedName>
    <definedName name="없"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여건22" hidden="1">#N/A</definedName>
    <definedName name="여주" hidden="1">0</definedName>
    <definedName name="여ㅜㅅㅅㄱㅇ" hidden="1">{#N/A,#N/A,FALSE,"골재소요량";#N/A,#N/A,FALSE,"골재소요량"}</definedName>
    <definedName name="연도별손익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회장증축"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암실행" hidden="1">{#N/A,#N/A,FALSE,"전력간선"}</definedName>
    <definedName name="영업" hidden="1">{#N/A,#N/A,FALSE,"지침";#N/A,#N/A,FALSE,"환경분석";#N/A,#N/A,FALSE,"Sheet16"}</definedName>
    <definedName name="영업외수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현금" hidden="1">{#N/A,#N/A,FALSE,"지침";#N/A,#N/A,FALSE,"환경분석";#N/A,#N/A,FALSE,"Sheet16"}</definedName>
    <definedName name="예정가" hidden="1">{#N/A,#N/A,FALSE,"포장2"}</definedName>
    <definedName name="오" hidden="1">#REF!</definedName>
    <definedName name="오수토공" hidden="1">{#N/A,#N/A,FALSE,"기안지";#N/A,#N/A,FALSE,"통신지"}</definedName>
    <definedName name="옥외공사" hidden="1">{#N/A,#N/A,FALSE,"이태원철근"}</definedName>
    <definedName name="옥외대비" hidden="1">{#N/A,#N/A,FALSE,"이태원철근"}</definedName>
    <definedName name="옹" hidden="1">{#N/A,#N/A,FALSE,"골재소요량";#N/A,#N/A,FALSE,"골재소요량"}</definedName>
    <definedName name="옹벼집계" hidden="1">{#N/A,#N/A,FALSE,"혼합골재"}</definedName>
    <definedName name="옹벽단위" hidden="1">#REF!</definedName>
    <definedName name="옹벽수량집계표" hidden="1">{#N/A,#N/A,FALSE,"2~8번"}</definedName>
    <definedName name="옹벽수량집계표총괄" hidden="1">{#N/A,#N/A,FALSE,"혼합골재"}</definedName>
    <definedName name="옹벽지" hidden="1">{#N/A,#N/A,FALSE,"혼합골재"}</definedName>
    <definedName name="완도" hidden="1">{#N/A,#N/A,FALSE,"포장2"}</definedName>
    <definedName name="외화환산" hidden="1">#REF!</definedName>
    <definedName name="요점" hidden="1">#REF!</definedName>
    <definedName name="용용" hidden="1">{#N/A,#N/A,FALSE,"포장2"}</definedName>
    <definedName name="우리나라" hidden="1">{#N/A,#N/A,FALSE,"전력간선"}</definedName>
    <definedName name="우오수공" hidden="1">{#N/A,#N/A,FALSE,"기안지";#N/A,#N/A,FALSE,"통신지"}</definedName>
    <definedName name="우후" hidden="1">{"'별표'!$N$220"}</definedName>
    <definedName name="운영경비"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울트구룡대보2공구" hidden="1">{#N/A,#N/A,FALSE,"속도"}</definedName>
    <definedName name="울트라" hidden="1">{#N/A,#N/A,FALSE,"구조1"}</definedName>
    <definedName name="울트라구룡2공구" hidden="1">{#N/A,#N/A,FALSE,"이정표"}</definedName>
    <definedName name="웃ㅇ국ㅇ" hidden="1">{#N/A,#N/A,FALSE,"혼합골재"}</definedName>
    <definedName name="원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월간" hidden="1">{#N/A,#N/A,FALSE,"CCTV"}</definedName>
    <definedName name="월드건설" hidden="1">{#N/A,#N/A,FALSE,"이태원철근"}</definedName>
    <definedName name="월별손익"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투입" hidden="1">{#N/A,#N/A,FALSE,"지침";#N/A,#N/A,FALSE,"환경분석";#N/A,#N/A,FALSE,"Sheet16"}</definedName>
    <definedName name="윤창" hidden="1">{#N/A,#N/A,FALSE,"제목"}</definedName>
    <definedName name="윤창이" hidden="1">{#N/A,#N/A,FALSE,"제목"}</definedName>
    <definedName name="은아설비견적" hidden="1">{#N/A,#N/A,FALSE,"현장 NCR 분석";#N/A,#N/A,FALSE,"현장품질감사";#N/A,#N/A,FALSE,"현장품질감사"}</definedName>
    <definedName name="을" hidden="1">{#N/A,#N/A,FALSE,"도급대비시행율";#N/A,#N/A,FALSE,"결의서";#N/A,#N/A,FALSE,"내역서";#N/A,#N/A,FALSE,"도급예상"}</definedName>
    <definedName name="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의" hidden="1">{#N/A,#N/A,FALSE,"운반시간"}</definedName>
    <definedName name="의하" hidden="1">{#N/A,#N/A,FALSE,"포장2"}</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hidden="1">{#N/A,#N/A,FALSE,"구조1"}</definedName>
    <definedName name="이름모름" hidden="1">{"'별표'!$N$220"}</definedName>
    <definedName name="이릉" hidden="1">#REF!</definedName>
    <definedName name="이상해" hidden="1">{#N/A,#N/A,FALSE,"CCTV"}</definedName>
    <definedName name="이슈" hidden="1">{#N/A,#N/A,FALSE,"지침";#N/A,#N/A,FALSE,"환경분석";#N/A,#N/A,FALSE,"Sheet16"}</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 hidden="1">{#N/A,#N/A,FALSE,"이정표"}</definedName>
    <definedName name="이정표" hidden="1">{#N/A,#N/A,FALSE,"이정표"}</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흥주" hidden="1">{"'단계별시설공사비'!$A$3:$K$51"}</definedName>
    <definedName name="익산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반경비" hidden="1">{#N/A,#N/A,FALSE,"단가표지"}</definedName>
    <definedName name="일반부" hidden="1">{#N/A,#N/A,FALSE,"조골재"}</definedName>
    <definedName name="일위대가" hidden="1">{#N/A,#N/A,FALSE,"제목"}</definedName>
    <definedName name="일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정97" hidden="1">#REF!</definedName>
    <definedName name="일흥전기" hidden="1">{#N/A,#N/A,FALSE,"현장 NCR 분석";#N/A,#N/A,FALSE,"현장품질감사";#N/A,#N/A,FALSE,"현장품질감사"}</definedName>
    <definedName name="일흥전기견적" hidden="1">{#N/A,#N/A,FALSE,"현장 NCR 분석";#N/A,#N/A,FALSE,"현장품질감사";#N/A,#N/A,FALSE,"현장품질감사"}</definedName>
    <definedName name="임직" hidden="1">#REF!</definedName>
    <definedName name="임형" hidden="1">{#N/A,#N/A,FALSE,"포장2"}</definedName>
    <definedName name="입찰금액" hidden="1">{#N/A,#N/A,FALSE,"2~8번"}</definedName>
    <definedName name="입찰금액안" hidden="1">#REF!</definedName>
    <definedName name="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4ㅅ" hidden="1">{#N/A,#N/A,FALSE,"구조1"}</definedName>
    <definedName name="ㅈㄱ" hidden="1">{#N/A,#N/A,FALSE,"조골재"}</definedName>
    <definedName name="ㅈㄱ둊ㄷㄳ" hidden="1">{#N/A,#N/A,FALSE,"포장1";#N/A,#N/A,FALSE,"포장1"}</definedName>
    <definedName name="ㅈㄳ퓨ㅠㅠㄺ퓰" hidden="1">{#N/A,#N/A,FALSE,"포장단가"}</definedName>
    <definedName name="ㅈㄷㄱㄷㄹㄴㅇ" hidden="1">{#N/A,#N/A,FALSE,"요약";#N/A,#N/A,FALSE,"보고목차";#N/A,#N/A,FALSE,"1)서비스접수";#N/A,#N/A,FALSE,"2)상담";#N/A,#N/A,FALSE,"2.월별접수추이현황";#N/A,#N/A,FALSE,"3.상담내용";#N/A,#N/A,FALSE,"4.미처리현황"}</definedName>
    <definedName name="ㅈㄷㄱㅈㄷㄴㄷㄹ" hidden="1">{#N/A,#N/A,FALSE,"요약";#N/A,#N/A,FALSE,"보고목차";#N/A,#N/A,FALSE,"1)서비스접수";#N/A,#N/A,FALSE,"2)상담";#N/A,#N/A,FALSE,"2.월별접수추이현황";#N/A,#N/A,FALSE,"3.상담내용";#N/A,#N/A,FALSE,"4.미처리현황"}</definedName>
    <definedName name="ㅈㄷㄳㅈㄷㅍㅎㄱ" hidden="1">{#N/A,#N/A,FALSE,"표지목차"}</definedName>
    <definedName name="ㅈㄷㄳㅎㅍㅂㅈㄱ" hidden="1">{#N/A,#N/A,FALSE,"골재소요량";#N/A,#N/A,FALSE,"골재소요량"}</definedName>
    <definedName name="ㅈㄷㄹ" hidden="1">{#N/A,#N/A,FALSE,"빌딩claim율";#N/A,#N/A,FALSE,"전력CLAIM율";#N/A,#N/A,FALSE,"SVC산업CLAIM"}</definedName>
    <definedName name="ㅈㅁㄱㄷ" hidden="1">{#N/A,#N/A,FALSE,"단가표지"}</definedName>
    <definedName name="ㅈ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자" hidden="1">{#N/A,#N/A,FALSE,"CCTV"}</definedName>
    <definedName name="ㅈㅎㅅㄱㄹ퓨" hidden="1">{#N/A,#N/A,FALSE,"포장단가"}</definedName>
    <definedName name="자" hidden="1">#REF!</definedName>
    <definedName name="자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수지" hidden="1">#REF!</definedName>
    <definedName name="자금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재" hidden="1">{#N/A,#N/A,FALSE,"포장2"}</definedName>
    <definedName name="자재1" hidden="1">{#N/A,#N/A,FALSE,"포장2"}</definedName>
    <definedName name="자재2" hidden="1">{#N/A,#N/A,FALSE,"구조2"}</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단가근거" hidden="1">#REF!</definedName>
    <definedName name="자재특기사항" hidden="1">#REF!</definedName>
    <definedName name="장" hidden="1">{#N/A,#N/A,FALSE,"CCTV"}</definedName>
    <definedName name="전국지도" hidden="1">{#N/A,#N/A,FALSE,"요약";#N/A,#N/A,FALSE,"보고목차";#N/A,#N/A,FALSE,"1)서비스접수";#N/A,#N/A,FALSE,"2)상담";#N/A,#N/A,FALSE,"2.월별접수추이현황";#N/A,#N/A,FALSE,"3.상담내용";#N/A,#N/A,FALSE,"4.미처리현황"}</definedName>
    <definedName name="전기" hidden="1">{"'Sheet1'!$A$1:$E$59"}</definedName>
    <definedName name="전기1" hidden="1">#REF!</definedName>
    <definedName name="전기내역" hidden="1">{#N/A,#N/A,FALSE,"CCTV"}</definedName>
    <definedName name="전기마감" hidden="1">#REF!</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략과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CF" hidden="1">{#N/A,#N/A,FALSE,"지침";#N/A,#N/A,FALSE,"환경분석";#N/A,#N/A,FALSE,"Sheet16"}</definedName>
    <definedName name="전적서" hidden="1">{#N/A,#N/A,FALSE,"CCTV"}</definedName>
    <definedName name="전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절" hidden="1">#REF!</definedName>
    <definedName name="정"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산표" hidden="1">{#N/A,#N/A,FALSE,"현장 NCR 분석";#N/A,#N/A,FALSE,"현장품질감사";#N/A,#N/A,FALSE,"현장품질감사"}</definedName>
    <definedName name="제관공사" hidden="1">{#N/A,#N/A,FALSE,"CCTV"}</definedName>
    <definedName name="제발1" hidden="1">#REF!</definedName>
    <definedName name="제외공사" hidden="1">{#N/A,#N/A,FALSE,"지침";#N/A,#N/A,FALSE,"환경분석";#N/A,#N/A,FALSE,"Sheet16"}</definedName>
    <definedName name="제조분류"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젼적" hidden="1">{#N/A,#N/A,FALSE,"제목"}</definedName>
    <definedName name="조경공사" hidden="1">{#N/A,#N/A,FALSE,"표지"}</definedName>
    <definedName name="조경사본" hidden="1">{#N/A,#N/A,FALSE,"표지"}</definedName>
    <definedName name="조사가"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죳ㅁ" hidden="1">{#N/A,#N/A,FALSE,"토공2"}</definedName>
    <definedName name="주" hidden="1">{#N/A,#N/A,FALSE,"지침";#N/A,#N/A,FALSE,"환경분석";#N/A,#N/A,FALSE,"Sheet16"}</definedName>
    <definedName name="주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마감" hidden="1">#REF!</definedName>
    <definedName name="주차장" hidden="1">{#N/A,#N/A,FALSE,"표지"}</definedName>
    <definedName name="죽전5차" hidden="1">{#N/A,#N/A,FALSE,"이태원철근"}</definedName>
    <definedName name="중량산출" hidden="1">{#N/A,#N/A,FALSE,"Sheet1"}</definedName>
    <definedName name="증감내역" hidden="1">#REF!</definedName>
    <definedName name="지" hidden="1">{#N/A,#N/A,FALSE,"배수2"}</definedName>
    <definedName name="지역업체" hidden="1">{#N/A,#N/A,FALSE,"배수2"}</definedName>
    <definedName name="지움" hidden="1">{#N/A,#N/A,FALSE,"속도"}</definedName>
    <definedName name="지움2" hidden="1">{#N/A,#N/A,FALSE,"토공2"}</definedName>
    <definedName name="지움3" hidden="1">{#N/A,#N/A,FALSE,"표지목차"}</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직원조직" hidden="1">{#N/A,#N/A,FALSE,"이태원철근"}</definedName>
    <definedName name="직원조직표" hidden="1">{#N/A,#N/A,FALSE,"이태원철근"}</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 hidden="1">{#N/A,#N/A,FALSE,"골재소요량";#N/A,#N/A,FALSE,"골재소요량"}</definedName>
    <definedName name="집계표" hidden="1">{#N/A,#N/A,TRUE,"토적및재료집계";#N/A,#N/A,TRUE,"토적및재료집계";#N/A,#N/A,TRUE,"단위량"}</definedName>
    <definedName name="집꼐표" hidden="1">{#N/A,#N/A,FALSE,"표지목차"}</definedName>
    <definedName name="집수정" hidden="1">#REF!</definedName>
    <definedName name="ㅊ"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ㅊ" hidden="1">#N/A</definedName>
    <definedName name="ㅊㅊㅊ" hidden="1">{#N/A,#N/A,FALSE,"운반시간"}</definedName>
    <definedName name="ㅊㅊㅊㅊㅊ" hidden="1">{#N/A,#N/A,FALSE,"단가표지"}</definedName>
    <definedName name="ㅊㅊㅊㅊㅊㅊ" hidden="1">{#N/A,#N/A,FALSE,"조골재"}</definedName>
    <definedName name="ㅊㅊㅊㅊㅊㅊㅊ" hidden="1">{#N/A,#N/A,FALSE,"표지목차"}</definedName>
    <definedName name="참석자" hidden="1">{#N/A,#N/A,FALSE,"현장 NCR 분석";#N/A,#N/A,FALSE,"현장품질감사";#N/A,#N/A,FALSE,"현장품질감사"}</definedName>
    <definedName name="창호0001" hidden="1">#REF!</definedName>
    <definedName name="철2" hidden="1">{#N/A,#N/A,FALSE,"혼합골재"}</definedName>
    <definedName name="철거" hidden="1">{#N/A,#N/A,FALSE,"기안지";#N/A,#N/A,FALSE,"통신지"}</definedName>
    <definedName name="철골" hidden="1">{#N/A,#N/A,FALSE,"CCTV"}</definedName>
    <definedName name="철골협의" hidden="1">{#N/A,#N/A,FALSE,"현장 NCR 분석";#N/A,#N/A,FALSE,"현장품질감사";#N/A,#N/A,FALSE,"현장품질감사"}</definedName>
    <definedName name="철근" hidden="1">{#N/A,#N/A,FALSE,"Sheet1"}</definedName>
    <definedName name="철근량" hidden="1">{#N/A,#N/A,FALSE,"전력간선"}</definedName>
    <definedName name="철근총괄1" hidden="1">{#N/A,#N/A,FALSE,"표지목차"}</definedName>
    <definedName name="철콘" hidden="1">{#N/A,#N/A,FALSE,"조골재"}</definedName>
    <definedName name="총" hidden="1">{#N/A,#N/A,FALSE,"부대1"}</definedName>
    <definedName name="총갑지" hidden="1">#REF!</definedName>
    <definedName name="총공" hidden="1">{#N/A,#N/A,FALSE,"운반시간"}</definedName>
    <definedName name="총공사비2" hidden="1">{#N/A,#N/A,FALSE,"전력간선"}</definedName>
    <definedName name="총괄" hidden="1">#REF!</definedName>
    <definedName name="총괄내역" hidden="1">#REF!</definedName>
    <definedName name="총괄제출2차" hidden="1">#REF!</definedName>
    <definedName name="총괄제출용" hidden="1">{#N/A,#N/A,FALSE,"전력간선"}</definedName>
    <definedName name="총괄표" hidden="1">#REF!</definedName>
    <definedName name="총괄표0" hidden="1">#REF!</definedName>
    <definedName name="총원가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최재호" hidden="1">#REF!</definedName>
    <definedName name="최종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9홀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옵션01" hidden="1">#REF!</definedName>
    <definedName name="추정" hidden="1">{#N/A,#N/A,FALSE,"포장2"}</definedName>
    <definedName name="추정2" hidden="1">#REF!</definedName>
    <definedName name="출판" hidden="1">{#N/A,#N/A,FALSE,"지침";#N/A,#N/A,FALSE,"환경분석";#N/A,#N/A,FALSE,"Sheet16"}</definedName>
    <definedName name="취소" hidden="1">{#N/A,#N/A,FALSE,"CCTV"}</definedName>
    <definedName name="츄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ㅋㅋ" hidden="1">{#N/A,#N/A,FALSE,"조골재"}</definedName>
    <definedName name="ㅋㅋㅋ" hidden="1">{#N/A,#N/A,FALSE,"CCTV"}</definedName>
    <definedName name="ㅋㅋㅋㅋㅋㅋ" hidden="1">{#N/A,#N/A,FALSE,"골재소요량";#N/A,#N/A,FALSE,"골재소요량"}</definedName>
    <definedName name="ㅋㅌ" hidden="1">{#N/A,#N/A,FALSE,"구조1"}</definedName>
    <definedName name="카메라" hidden="1">{#N/A,#N/A,FALSE,"전력간선"}</definedName>
    <definedName name="캐쉬" hidden="1">{#N/A,#N/A,FALSE,"지침";#N/A,#N/A,FALSE,"환경분석";#N/A,#N/A,FALSE,"Sheet16"}</definedName>
    <definedName name="케이블간지" hidden="1">{#N/A,#N/A,TRUE,"토적및재료집계";#N/A,#N/A,TRUE,"토적및재료집계";#N/A,#N/A,TRUE,"단위량"}</definedName>
    <definedName name="켐온건축" hidden="1">{#N/A,#N/A,FALSE,"CCTV"}</definedName>
    <definedName name="콩" hidden="1">{#N/A,#N/A,FALSE,"구조1"}</definedName>
    <definedName name="ㅌ" hidden="1">{#N/A,#N/A,FALSE,"골재소요량";#N/A,#N/A,FALSE,"골재소요량"}</definedName>
    <definedName name="ㅌㅊ" hidden="1">#REF!</definedName>
    <definedName name="ㅌㅌ" hidden="1">{#N/A,#N/A,FALSE,"조골재"}</definedName>
    <definedName name="ㅌㅌㅌㅌㅌ" hidden="1">{#N/A,#N/A,FALSE,"골재소요량";#N/A,#N/A,FALSE,"골재소요량"}</definedName>
    <definedName name="ㅌㅌㅌㅌㅌㅌ" hidden="1">{#N/A,#N/A,FALSE,"조골재"}</definedName>
    <definedName name="ㅌㅍ" hidden="1">{#N/A,#N/A,FALSE,"부대2"}</definedName>
    <definedName name="ㅌㅍㅊㅇㅌㅎ" hidden="1">{#N/A,#N/A,FALSE,"도급대비시행율";#N/A,#N/A,FALSE,"결의서";#N/A,#N/A,FALSE,"내역서";#N/A,#N/A,FALSE,"도급예상"}</definedName>
    <definedName name="탈" hidden="1">{#N/A,#N/A,FALSE,"CCTV"}</definedName>
    <definedName name="태영" hidden="1">{#N/A,#N/A,FALSE,"골재소요량";#N/A,#N/A,FALSE,"골재소요량"}</definedName>
    <definedName name="태영지급" hidden="1">{#N/A,#N/A,FALSE,"부대1"}</definedName>
    <definedName name="터널" hidden="1">{#N/A,#N/A,FALSE,"부대1"}</definedName>
    <definedName name="텔레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40" hidden="1">{#N/A,#N/A,FALSE,"토공2"}</definedName>
    <definedName name="토공" hidden="1">{#N/A,#N/A,FALSE,"포장2"}</definedName>
    <definedName name="토공." hidden="1">{#N/A,#N/A,FALSE,"운반시간"}</definedName>
    <definedName name="토공11" hidden="1">{#N/A,#N/A,FALSE,"포장2"}</definedName>
    <definedName name="토공2" hidden="1">{#N/A,#N/A,FALSE,"2~8번"}</definedName>
    <definedName name="토공2222333" hidden="1">#REF!</definedName>
    <definedName name="토공량" hidden="1">{#N/A,#N/A,FALSE,"기안지";#N/A,#N/A,FALSE,"통신지"}</definedName>
    <definedName name="토공이수" hidden="1">#REF!</definedName>
    <definedName name="토공전체" hidden="1">{#N/A,#N/A,FALSE,"운반시간"}</definedName>
    <definedName name="토공집계" hidden="1">{#N/A,#N/A,FALSE,"단가표지"}</definedName>
    <definedName name="토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공사" hidden="1">{#N/A,#N/A,FALSE,"이태원철근"}</definedName>
    <definedName name="토목공사강릉" hidden="1">#REF!</definedName>
    <definedName name="토목공사계약3" hidden="1">{#N/A,#N/A,FALSE,"CCTV"}</definedName>
    <definedName name="토목설계" hidden="1">{#N/A,#N/A,FALSE,"골재소요량";#N/A,#N/A,FALSE,"골재소요량"}</definedName>
    <definedName name="토목실견적" hidden="1">{#N/A,#N/A,FALSE,"이태원철근"}</definedName>
    <definedName name="토목집계표" hidden="1">{#N/A,#N/A,FALSE,"현장 NCR 분석";#N/A,#N/A,FALSE,"현장품질감사";#N/A,#N/A,FALSE,"현장품질감사"}</definedName>
    <definedName name="토적표" hidden="1">#REF!</definedName>
    <definedName name="투3" hidden="1">{#N/A,#N/A,FALSE,"배수2"}</definedName>
    <definedName name="투찰" hidden="1">{#N/A,#N/A,FALSE,"단가표지"}</definedName>
    <definedName name="투찰표" hidden="1">{#N/A,#N/A,FALSE,"부대1"}</definedName>
    <definedName name="특기사항" hidden="1">{"'장비'!$A$3:$M$12"}</definedName>
    <definedName name="ㅍ" hidden="1">{#N/A,#N/A,FALSE,"조골재"}</definedName>
    <definedName name="ㅍㅍ" hidden="1">{#N/A,#N/A,TRUE,"토적및재료집계";#N/A,#N/A,TRUE,"토적및재료집계";#N/A,#N/A,TRUE,"단위량"}</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ㅍㅍ" hidden="1">{#N/A,#N/A,FALSE,"표지목차"}</definedName>
    <definedName name="파일" hidden="1">#REF!</definedName>
    <definedName name="파일산출3" hidden="1">#N/A</definedName>
    <definedName name="팔" hidden="1">#REF!</definedName>
    <definedName name="편지기초" hidden="1">{#N/A,#N/A,FALSE,"배수2"}</definedName>
    <definedName name="평가" hidden="1">{#N/A,#N/A,TRUE,"대 차 대 조 표"}</definedName>
    <definedName name="평당견적" hidden="1">#REF!</definedName>
    <definedName name="평당단가" hidden="1">#REF!</definedName>
    <definedName name="포" hidden="1">{#N/A,#N/A,FALSE,"포장1";#N/A,#N/A,FALSE,"포장1"}</definedName>
    <definedName name="포1" hidden="1">{#N/A,#N/A,FALSE,"포장2"}</definedName>
    <definedName name="포장" hidden="1">{#N/A,#N/A,FALSE,"포장2"}</definedName>
    <definedName name="포장2월ocf" hidden="1">{#N/A,#N/A,FALSE,"지침";#N/A,#N/A,FALSE,"환경분석";#N/A,#N/A,FALSE,"Sheet16"}</definedName>
    <definedName name="포장ocf" hidden="1">{#N/A,#N/A,FALSE,"지침";#N/A,#N/A,FALSE,"환경분석";#N/A,#N/A,FALSE,"Sheet16"}</definedName>
    <definedName name="포장설비" hidden="1">{#N/A,#N/A,FALSE,"포장단가"}</definedName>
    <definedName name="포지머ㅗㄱㄷㅌ킹1" hidden="1">{#N/A,#N/A,FALSE,"표지목차"}</definedName>
    <definedName name="폽장2" hidden="1">{#N/A,#N/A,FALSE,"포장1";#N/A,#N/A,FALSE,"포장1"}</definedName>
    <definedName name="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절" hidden="1">#REF!</definedName>
    <definedName name="표지" hidden="1">#REF!</definedName>
    <definedName name="표지1" hidden="1">{#N/A,#N/A,FALSE,"속도"}</definedName>
    <definedName name="표지2" hidden="1">#REF!</definedName>
    <definedName name="표지3" hidden="1">{#N/A,#N/A,FALSE,"이정표"}</definedName>
    <definedName name="품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의" hidden="1">#REF!</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플라즈마엔지니어링" hidden="1">{#N/A,#N/A,FALSE,"배수2"}</definedName>
    <definedName name="플라즈마엔지니어링1" hidden="1">{#N/A,#N/A,FALSE,"포장1";#N/A,#N/A,FALSE,"포장1"}</definedName>
    <definedName name="피로티" hidden="1">{#N/A,#N/A,FALSE,"이태원철근"}</definedName>
    <definedName name="피로티1" hidden="1">{#N/A,#N/A,FALSE,"이태원철근"}</definedName>
    <definedName name="ㅎ"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5" hidden="1">{#N/A,#N/A,FALSE,"골재소요량";#N/A,#N/A,FALSE,"골재소요량"}</definedName>
    <definedName name="ㅎㄱㄷㅎ" hidden="1">{#N/A,#N/A,FALSE,"골재소요량";#N/A,#N/A,FALSE,"골재소요량"}</definedName>
    <definedName name="ㅎㄱㅎㅎㄷㄶ" hidden="1">{#N/A,#N/A,FALSE,"골재소요량";#N/A,#N/A,FALSE,"골재소요량"}</definedName>
    <definedName name="ㅎㄹㄴ" hidden="1">{#N/A,#N/A,FALSE,"2~8번"}</definedName>
    <definedName name="ㅎㄹㅇㄹㄴㅇㄴㄹ" hidden="1">{#N/A,#N/A,FALSE,"표지목차"}</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로낟안" hidden="1">{#N/A,#N/A,FALSE,"혼합골재"}</definedName>
    <definedName name="ㅎ류휴ㅠㅎ휴" hidden="1">{#N/A,#N/A,FALSE,"골재소요량";#N/A,#N/A,FALSE,"골재소요량"}</definedName>
    <definedName name="ㅎ류ㅠㅍㅎㅇㅎ" hidden="1">{#N/A,#N/A,FALSE,"골재소요량";#N/A,#N/A,FALSE,"골재소요량"}</definedName>
    <definedName name="ㅎ률" hidden="1">{#N/A,#N/A,FALSE,"조골재"}</definedName>
    <definedName name="ㅎ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ㅁㅇㅎㅇㅁㅀㅁㅎ" hidden="1">#N/A</definedName>
    <definedName name="ㅎㅇㄴ" hidden="1">{#N/A,#N/A,FALSE,"2~8번"}</definedName>
    <definedName name="ㅎㅎ" hidden="1">{"'별표'!$N$220"}</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ㄴ" hidden="1">{#N/A,#N/A,FALSE,"표지목차"}</definedName>
    <definedName name="ㅎㅎㅎㅎㅎ" hidden="1">{#N/A,#N/A,FALSE,"단가표지"}</definedName>
    <definedName name="ㅎㅎㅎㅎㅎㅎㅎㅎ"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ㅎㅎㅎㅎㅎㅎ" hidden="1">{#N/A,#N/A,FALSE,"포장2"}</definedName>
    <definedName name="ㅎㅎㅎㅎㅎㅜㅜ" hidden="1">{#N/A,#N/A,FALSE,"조골재"}</definedName>
    <definedName name="하" hidden="1">{#N/A,#N/A,FALSE,"지침";#N/A,#N/A,FALSE,"환경분석";#N/A,#N/A,FALSE,"Sheet16"}</definedName>
    <definedName name="하도" hidden="1">{#N/A,#N/A,FALSE,"이정표"}</definedName>
    <definedName name="하도내역" hidden="1">{#N/A,#N/A,FALSE,"전력간선"}</definedName>
    <definedName name="하도대비" hidden="1">#REF!</definedName>
    <definedName name="하도대상" hidden="1">{#N/A,#N/A,FALSE,"골재소요량";#N/A,#N/A,FALSE,"골재소요량"}</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반기절감액"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우스갑" hidden="1">{#N/A,#N/A,FALSE,"제목"}</definedName>
    <definedName name="하한선" hidden="1">{#N/A,#N/A,FALSE,"배수2"}</definedName>
    <definedName name="한" hidden="1">#REF!</definedName>
    <definedName name="한국" hidden="1">{#N/A,#N/A,FALSE,"기안지";#N/A,#N/A,FALSE,"통신지"}</definedName>
    <definedName name="한동" hidden="1">{#N/A,#N/A,FALSE,"단가표지"}</definedName>
    <definedName name="햐ㅓㅈ바허ㅏㅣ농하ㅗㅎ" hidden="1">{#N/A,#N/A,FALSE,"CCTV"}</definedName>
    <definedName name="현대코아공통비" hidden="1">#REF!</definedName>
    <definedName name="현장" hidden="1">#REF!</definedName>
    <definedName name="현장경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현장설명" hidden="1">{#N/A,#N/A,FALSE,"현장 NCR 분석";#N/A,#N/A,FALSE,"현장품질감사";#N/A,#N/A,FALSE,"현장품질감사"}</definedName>
    <definedName name="현장설명2" hidden="1">{#N/A,#N/A,FALSE,"현장 NCR 분석";#N/A,#N/A,FALSE,"현장품질감사";#N/A,#N/A,FALSE,"현장품질감사"}</definedName>
    <definedName name="현장운영비산출" hidden="1">#REF!</definedName>
    <definedName name="현조" hidden="1">#REF!</definedName>
    <definedName name="협" hidden="1">{#N/A,#N/A,FALSE,"배수2"}</definedName>
    <definedName name="협력" hidden="1">{#N/A,#N/A,FALSE,"포장2"}</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{#N/A,#N/A,FALSE,"부대1"}</definedName>
    <definedName name="호ㅓ" hidden="1">#REF!</definedName>
    <definedName name="호ㅓㅕㅏ6ㅅ서ㅛㅓ" hidden="1">#REF!</definedName>
    <definedName name="호ㅠ포" hidden="1">{#N/A,#N/A,FALSE,"표지목차"}</definedName>
    <definedName name="화" hidden="1">{#N/A,#N/A,FALSE,"기안지";#N/A,#N/A,FALSE,"통신지"}</definedName>
    <definedName name="효성" hidden="1">#REF!</definedName>
    <definedName name="효ㅛㅛㅛㅛ" hidden="1">{#N/A,#N/A,FALSE,"조골재"}</definedName>
    <definedName name="흄관" hidden="1">{#N/A,#N/A,FALSE,"기안지";#N/A,#N/A,FALSE,"통신지"}</definedName>
    <definedName name="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{#N/A,#N/A,FALSE,"단가표지"}</definedName>
    <definedName name="ㅏㅏㅏㅏㅏㅏㅏ" hidden="1">{#N/A,#N/A,FALSE,"운반시간"}</definedName>
    <definedName name="ㅏㅏㅏㅏㅏㅏㅏㅏㅏㅏㅏㅏㅏㅏㅏㅏㅏㅏㅏㅏㅏㅏㅏㅏㅏㅏㅏ" hidden="1">{#N/A,#N/A,FALSE,"단가표지"}</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{#N/A,#N/A,FALSE,"구조2"}</definedName>
    <definedName name="ㅏㅓㅏ" hidden="1">{#N/A,#N/A,FALSE,"물가변동 (2)";#N/A,#N/A,FALSE,"공사비";#N/A,#N/A,FALSE,"사급";#N/A,#N/A,FALSE,"도급집계";#N/A,#N/A,FALSE,"재료비";#N/A,#N/A,FALSE,"노무비";#N/A,#N/A,FALSE,"경비"}</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ㅕ" hidden="1">{#N/A,#N/A,FALSE,"이정표"}</definedName>
    <definedName name="ㅑㅕ사" hidden="1">{#N/A,#N/A,FALSE,"혼합골재"}</definedName>
    <definedName name="ㅑㅣㅕㅕㅣㅏㅎ" hidden="1">{#N/A,#N/A,FALSE,"골재소요량";#N/A,#N/A,FALSE,"골재소요량"}</definedName>
    <definedName name="ㅓ" hidden="1">{#N/A,#N/A,FALSE,"이태원철근"}</definedName>
    <definedName name="ㅓ7" hidden="1">{#N/A,#N/A,FALSE,"단가표지"}</definedName>
    <definedName name="ㅓㄴㄱ" hidden="1">#REF!</definedName>
    <definedName name="ㅓㄴㅇ러" hidden="1">{#N/A,#N/A,FALSE,"골재소요량";#N/A,#N/A,FALSE,"골재소요량"}</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 hidden="1">{#N/A,#N/A,FALSE,"표지목차"}</definedName>
    <definedName name="ㅓㅏㅓㅎ" hidden="1">{#N/A,#N/A,FALSE,"단가표지"}</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ㅓㅓㅓㅓㅓㅓ" hidden="1">{#N/A,#N/A,FALSE,"골재소요량";#N/A,#N/A,FALSE,"골재소요량"}</definedName>
    <definedName name="ㅓㅕ" hidden="1">{#N/A,#N/A,FALSE,"조골재"}</definedName>
    <definedName name="ㅔ" hidden="1">{#N/A,#N/A,FALSE,"이태원철근"}</definedName>
    <definedName name="ㅔㅑㅐㅏㅓㅔㅐㅑ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ㅔ" hidden="1">#REF!</definedName>
    <definedName name="ㅕ거ㅕㅛㅓ" hidden="1">{#N/A,#N/A,FALSE,"포장단가"}</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ㅅ" hidden="1">#REF!</definedName>
    <definedName name="ㅕㅑ" hidden="1">{#N/A,#N/A,FALSE,"2~8번"}</definedName>
    <definedName name="ㅕㅑㅑㅑ" hidden="1">{#N/A,#N/A,FALSE,"조골재"}</definedName>
    <definedName name="ㅕㅕ" hidden="1">{#N/A,#N/A,FALSE,"표지목차"}</definedName>
    <definedName name="ㅕㅕㅕ" hidden="1">{#N/A,#N/A,FALSE,"혼합골재"}</definedName>
    <definedName name="ㅕㅕㅕㅕ" hidden="1">{#N/A,#N/A,FALSE,"표지목차"}</definedName>
    <definedName name="ㅕㅕㅕㅕㅕ" hidden="1">{#N/A,#N/A,FALSE,"운반시간"}</definedName>
    <definedName name="ㅕㅕㅕㅕㅕㅕ" hidden="1">{#N/A,#N/A,FALSE,"단가표지"}</definedName>
    <definedName name="ㅕㅕㅕㅕㅕㅕㅕㅕ" hidden="1">{#N/A,#N/A,FALSE,"조골재"}</definedName>
    <definedName name="ㅕㅛㅓㅕㅛㅓㅜ" hidden="1">{#N/A,#N/A,FALSE,"포장단가"}</definedName>
    <definedName name="ㅗ" hidden="1">{#N/A,#N/A,FALSE,"이태원철근"}</definedName>
    <definedName name="ㅗㄷㅎㄷ" hidden="1">#REF!</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ㅍ초" hidden="1">{#N/A,#N/A,FALSE,"2~8번"}</definedName>
    <definedName name="ㅗㅎ롷롷ㄹ" hidden="1">#N/A</definedName>
    <definedName name="ㅗㅎㅎㅌㄹㅋㅅ" hidden="1">{#N/A,#N/A,FALSE,"2~8번"}</definedName>
    <definedName name="ㅗ하ㅣㄴ어ㅗ뢔ㅑㅇㅈ" hidden="1">{#N/A,#N/A,FALSE,"CCTV"}</definedName>
    <definedName name="ㅗㅓ" hidden="1">{#N/A,#N/A,FALSE,"부대2"}</definedName>
    <definedName name="ㅗㅕ" hidden="1">{#N/A,#N/A,FALSE,"배수2"}</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 hidden="1">{#N/A,#N/A,FALSE,"2~8번"}</definedName>
    <definedName name="ㅛ" hidden="1">{#N/A,#N/A,FALSE,"이태원철근"}</definedName>
    <definedName name="ㅛㅅ" hidden="1">{#N/A,#N/A,FALSE,"속도"}</definedName>
    <definedName name="ㅛ셔됴ㅕ" hidden="1">{#N/A,#N/A,FALSE,"운반시간"}</definedName>
    <definedName name="ㅛ셔으ㅜㅅ구" hidden="1">{#N/A,#N/A,FALSE,"2~8번"}</definedName>
    <definedName name="ㅛㅇ수ㅜㅛㅅㅇ" hidden="1">{#N/A,#N/A,FALSE,"2~8번"}</definedName>
    <definedName name="ㅛㅑㅐ" hidden="1">{#N/A,#N/A,FALSE,"구조1"}</definedName>
    <definedName name="ㅛㅓㄴㄱ5" hidden="1">{#N/A,#N/A,FALSE,"단가표지"}</definedName>
    <definedName name="ㅛㅕㅕㅑㅓ" hidden="1">{#N/A,#N/A,FALSE,"표지목차"}</definedName>
    <definedName name="ㅛㅛ" hidden="1">{#N/A,#N/A,FALSE,"골재소요량";#N/A,#N/A,FALSE,"골재소요량"}</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 hidden="1">{#N/A,#N/A,FALSE,"표지목차"}</definedName>
    <definedName name="ㅛㅛㅛㅛㅛㅛ" hidden="1">{#N/A,#N/A,FALSE,"골재소요량";#N/A,#N/A,FALSE,"골재소요량"}</definedName>
    <definedName name="ㅛㅛㅛㅛㅛㅛㅛ" hidden="1">{#N/A,#N/A,FALSE,"단가표지"}</definedName>
    <definedName name="ㅛㅠㅗㄱ셔ㅛ" hidden="1">{#N/A,#N/A,FALSE,"조골재"}</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ㄴ" hidden="1">{#N/A,#N/A,FALSE,"운반시간"}</definedName>
    <definedName name="ㅜ여숫유" hidden="1">{#N/A,#N/A,FALSE,"운반시간"}</definedName>
    <definedName name="ㅜㅎㄹ" hidden="1">{#N/A,#N/A,FALSE,"부대2"}</definedName>
    <definedName name="ㅜ후ㅗㅜㅗ" hidden="1">{#N/A,#N/A,FALSE,"단가표지"}</definedName>
    <definedName name="ㅜㅠ" hidden="1">{#N/A,#N/A,FALSE,"토공2"}</definedName>
    <definedName name="ㅜㅠㅍ" hidden="1">{#N/A,#N/A,FALSE,"전력간선"}</definedName>
    <definedName name="ㅝㅎㄹ촉ㅇ" hidden="1">{#N/A,#N/A,FALSE,"조골재"}</definedName>
    <definedName name="ㅠ" hidden="1">{#N/A,#N/A,FALSE,"이태원철근"}</definedName>
    <definedName name="ㅠㄱ소슈" hidden="1">{#N/A,#N/A,FALSE,"골재소요량";#N/A,#N/A,FALSE,"골재소요량"}</definedName>
    <definedName name="ㅠ뮤ㅐ" hidden="1">#REF!</definedName>
    <definedName name="ㅠㅅ롯고" hidden="1">{#N/A,#N/A,FALSE,"골재소요량";#N/A,#N/A,FALSE,"골재소요량"}</definedName>
    <definedName name="ㅠ숑ㄱ쇼ㅠㅠㅅ" hidden="1">{#N/A,#N/A,FALSE,"단가표지"}</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ㅠ" hidden="1">{#N/A,#N/A,FALSE,"포장2"}</definedName>
    <definedName name="ㅠㅠㅠ" hidden="1">{#N/A,#N/A,FALSE,"지침";#N/A,#N/A,FALSE,"환경분석";#N/A,#N/A,FALSE,"Sheet16"}</definedName>
    <definedName name="ㅠㅠㅠㅠ" hidden="1">{#N/A,#N/A,FALSE,"운반시간"}</definedName>
    <definedName name="ㅡ" hidden="1">#REF!</definedName>
    <definedName name="ㅡㅗㅓㅓㅡㅗㅗㅓㅓㅗ" hidden="1">{#N/A,#N/A,FALSE,"운반시간"}</definedName>
    <definedName name="ㅡㅡ" hidden="1">{#N/A,#N/A,FALSE,"표지목차"}</definedName>
    <definedName name="ㅡㅡㅡ" hidden="1">{#N/A,#N/A,FALSE,"골재소요량";#N/A,#N/A,FALSE,"골재소요량"}</definedName>
    <definedName name="ㅡㅡㅡㅡㅡ" hidden="1">{#N/A,#N/A,FALSE,"운반시간"}</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ㅓㅏ" hidden="1">{#N/A,#N/A,FALSE,"전력간선"}</definedName>
    <definedName name="ㅣㅣ" hidden="1">{#N/A,#N/A,FALSE,"골재소요량";#N/A,#N/A,FALSE,"골재소요량"}</definedName>
    <definedName name="ㅣ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実行" hidden="1">{"'Sheet1'!$L$16"}</definedName>
    <definedName name="岡田" hidden="1">{#N/A,#N/A,TRUE,"SUM";#N/A,#N/A,TRUE,"EE";#N/A,#N/A,TRUE,"AC";#N/A,#N/A,TRUE,"SN"}</definedName>
    <definedName name="酒店精装修" hidden="1">{#N/A,#N/A,TRUE,"Cover Memo";"Complete Sys. Estimate",#N/A,TRUE,"Change Summary";"Complete Sys. Estimate",#N/A,TRUE,"Estimate Summary";"Complete Sys. Estimate",#N/A,TRUE,"Dept. Summary";"Complete Sys. Estimate",#N/A,TRUE,"DOW Detail"}</definedName>
  </definedNames>
  <calcPr calcId="191029"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39" i="22" l="1"/>
  <c r="G93" i="22"/>
  <c r="F29" i="26"/>
  <c r="G109" i="31" l="1"/>
  <c r="G111" i="31"/>
  <c r="G103" i="31"/>
  <c r="G105" i="31"/>
  <c r="G89" i="31"/>
  <c r="H12" i="3"/>
  <c r="G16" i="32"/>
  <c r="F16" i="32"/>
  <c r="G15" i="32"/>
  <c r="F15" i="32"/>
  <c r="G14" i="32"/>
  <c r="F14" i="32"/>
  <c r="G13" i="32"/>
  <c r="F13" i="32"/>
  <c r="G12" i="32"/>
  <c r="F12" i="32"/>
  <c r="G11" i="32"/>
  <c r="F11" i="32"/>
  <c r="G10" i="32"/>
  <c r="F10" i="32"/>
  <c r="G9" i="32"/>
  <c r="F9" i="32"/>
  <c r="G112" i="31"/>
  <c r="F112" i="31"/>
  <c r="F111" i="31"/>
  <c r="G110" i="31"/>
  <c r="F110" i="31"/>
  <c r="F109" i="31"/>
  <c r="G108" i="31"/>
  <c r="F108" i="31"/>
  <c r="G107" i="31"/>
  <c r="F107" i="31"/>
  <c r="G106" i="31"/>
  <c r="F106" i="31"/>
  <c r="F105" i="31"/>
  <c r="G104" i="31"/>
  <c r="F104" i="31"/>
  <c r="F103" i="31"/>
  <c r="G102" i="31"/>
  <c r="F102" i="31"/>
  <c r="G101" i="31"/>
  <c r="F101" i="31"/>
  <c r="G100" i="31"/>
  <c r="F100" i="31"/>
  <c r="G99" i="31"/>
  <c r="F99" i="31"/>
  <c r="G98" i="31"/>
  <c r="F98" i="31"/>
  <c r="G97" i="31"/>
  <c r="F97" i="31"/>
  <c r="G96" i="31"/>
  <c r="F96" i="31"/>
  <c r="G95" i="31"/>
  <c r="F95" i="31"/>
  <c r="G94" i="31"/>
  <c r="F94" i="31"/>
  <c r="G93" i="31"/>
  <c r="F93" i="31"/>
  <c r="G92" i="31"/>
  <c r="F92" i="31"/>
  <c r="G91" i="31"/>
  <c r="F91" i="31"/>
  <c r="G90" i="31"/>
  <c r="F90" i="31"/>
  <c r="F89" i="31"/>
  <c r="G88" i="31"/>
  <c r="F88" i="31"/>
  <c r="G87" i="31"/>
  <c r="F87" i="31"/>
  <c r="G86" i="31"/>
  <c r="F86" i="31"/>
  <c r="G85" i="31"/>
  <c r="F85" i="31"/>
  <c r="G84" i="31"/>
  <c r="F84" i="31"/>
  <c r="G83" i="31"/>
  <c r="F83" i="31"/>
  <c r="G82" i="31"/>
  <c r="F82" i="31"/>
  <c r="G81" i="31"/>
  <c r="F81" i="31"/>
  <c r="G80" i="31"/>
  <c r="F80" i="31"/>
  <c r="G79" i="31"/>
  <c r="F79" i="31"/>
  <c r="G78" i="31"/>
  <c r="F78" i="31"/>
  <c r="G77" i="31"/>
  <c r="F77" i="31"/>
  <c r="G76" i="31"/>
  <c r="F76" i="31"/>
  <c r="G75" i="31"/>
  <c r="F75" i="31"/>
  <c r="G74" i="31"/>
  <c r="F74" i="31"/>
  <c r="G73" i="31"/>
  <c r="F73" i="31"/>
  <c r="G72" i="31"/>
  <c r="F72" i="31"/>
  <c r="G71" i="31"/>
  <c r="F71" i="31"/>
  <c r="G70" i="31"/>
  <c r="F70" i="31"/>
  <c r="G69" i="31"/>
  <c r="F69" i="31"/>
  <c r="G68" i="31"/>
  <c r="F68" i="31"/>
  <c r="G67" i="31"/>
  <c r="F67" i="31"/>
  <c r="G66" i="31"/>
  <c r="F66" i="31"/>
  <c r="G65" i="31"/>
  <c r="F65" i="31"/>
  <c r="G64" i="31"/>
  <c r="F64" i="31"/>
  <c r="G63" i="31"/>
  <c r="F63" i="31"/>
  <c r="G62" i="31"/>
  <c r="F62" i="31"/>
  <c r="G61" i="31"/>
  <c r="F61" i="31"/>
  <c r="G60" i="31"/>
  <c r="F60" i="31"/>
  <c r="G59" i="31"/>
  <c r="F59" i="31"/>
  <c r="G58" i="31"/>
  <c r="F58" i="31"/>
  <c r="G57" i="31"/>
  <c r="F57" i="31"/>
  <c r="G56" i="31"/>
  <c r="F56" i="31"/>
  <c r="G55" i="31"/>
  <c r="F55" i="31"/>
  <c r="G54" i="31"/>
  <c r="F54" i="31"/>
  <c r="G53" i="31"/>
  <c r="F53" i="31"/>
  <c r="G52" i="31"/>
  <c r="F52" i="31"/>
  <c r="G51" i="31"/>
  <c r="F51" i="31"/>
  <c r="G50" i="31"/>
  <c r="F50" i="31"/>
  <c r="G49" i="31"/>
  <c r="F49" i="31"/>
  <c r="G48" i="31"/>
  <c r="F48" i="31"/>
  <c r="G47" i="31"/>
  <c r="F47" i="31"/>
  <c r="G46" i="31"/>
  <c r="F46" i="31"/>
  <c r="G45" i="31"/>
  <c r="F45" i="31"/>
  <c r="G44" i="31"/>
  <c r="F44" i="31"/>
  <c r="G43" i="31"/>
  <c r="F43" i="31"/>
  <c r="G42" i="31"/>
  <c r="F42" i="31"/>
  <c r="G41" i="31"/>
  <c r="F41" i="31"/>
  <c r="G40" i="31"/>
  <c r="F40" i="31"/>
  <c r="G39" i="31"/>
  <c r="F39" i="31"/>
  <c r="G38" i="31"/>
  <c r="F38" i="31"/>
  <c r="G37" i="31"/>
  <c r="F37" i="31"/>
  <c r="G36" i="31"/>
  <c r="F36" i="31"/>
  <c r="G35" i="31"/>
  <c r="F35" i="31"/>
  <c r="G34" i="31"/>
  <c r="F34" i="31"/>
  <c r="G33" i="31"/>
  <c r="F33" i="31"/>
  <c r="G32" i="31"/>
  <c r="F32" i="31"/>
  <c r="G31" i="31"/>
  <c r="F31" i="31"/>
  <c r="G30" i="31"/>
  <c r="F30" i="31"/>
  <c r="G29" i="31"/>
  <c r="F29" i="31"/>
  <c r="G28" i="31"/>
  <c r="F28" i="31"/>
  <c r="G27" i="31"/>
  <c r="F27" i="31"/>
  <c r="G26" i="31"/>
  <c r="F26" i="31"/>
  <c r="G25" i="31"/>
  <c r="F25" i="31"/>
  <c r="G24" i="31"/>
  <c r="F24" i="31"/>
  <c r="G23" i="31"/>
  <c r="F23" i="31"/>
  <c r="G22" i="31"/>
  <c r="F22" i="31"/>
  <c r="G21" i="31"/>
  <c r="F21" i="31"/>
  <c r="G20" i="31"/>
  <c r="F20" i="31"/>
  <c r="G19" i="31"/>
  <c r="F19" i="31"/>
  <c r="G18" i="31"/>
  <c r="F18" i="31"/>
  <c r="G17" i="31"/>
  <c r="F17" i="31"/>
  <c r="G16" i="31"/>
  <c r="F16" i="31"/>
  <c r="G15" i="31"/>
  <c r="F15" i="31"/>
  <c r="G14" i="31"/>
  <c r="F14" i="31"/>
  <c r="G13" i="31"/>
  <c r="F13" i="31"/>
  <c r="G12" i="31"/>
  <c r="F12" i="31"/>
  <c r="G11" i="31"/>
  <c r="F11" i="31"/>
  <c r="G10" i="31"/>
  <c r="F10" i="31"/>
  <c r="G9" i="31"/>
  <c r="F9" i="31"/>
  <c r="G26" i="30"/>
  <c r="F26" i="30"/>
  <c r="G25" i="30"/>
  <c r="F25" i="30"/>
  <c r="G24" i="30"/>
  <c r="F24" i="30"/>
  <c r="G23" i="30"/>
  <c r="F23" i="30"/>
  <c r="G22" i="30"/>
  <c r="F22" i="30"/>
  <c r="G21" i="30"/>
  <c r="F21" i="30"/>
  <c r="G20" i="30"/>
  <c r="F20" i="30"/>
  <c r="G19" i="30"/>
  <c r="F19" i="30"/>
  <c r="G18" i="30"/>
  <c r="F18" i="30"/>
  <c r="G17" i="30"/>
  <c r="F17" i="30"/>
  <c r="G16" i="30"/>
  <c r="F16" i="30"/>
  <c r="G15" i="30"/>
  <c r="F15" i="30"/>
  <c r="G14" i="30"/>
  <c r="F14" i="30"/>
  <c r="G13" i="30"/>
  <c r="F13" i="30"/>
  <c r="G12" i="30"/>
  <c r="F12" i="30"/>
  <c r="G11" i="30"/>
  <c r="F11" i="30"/>
  <c r="G10" i="30"/>
  <c r="F10" i="30"/>
  <c r="G9" i="30"/>
  <c r="F9" i="30"/>
  <c r="G52" i="29"/>
  <c r="F52" i="29"/>
  <c r="G51" i="29"/>
  <c r="F51" i="29"/>
  <c r="G50" i="29"/>
  <c r="F50" i="29"/>
  <c r="G49" i="29"/>
  <c r="F49" i="29"/>
  <c r="G48" i="29"/>
  <c r="F48" i="29"/>
  <c r="G47" i="29"/>
  <c r="F47" i="29"/>
  <c r="G46" i="29"/>
  <c r="F46" i="29"/>
  <c r="G45" i="29"/>
  <c r="F45" i="29"/>
  <c r="G44" i="29"/>
  <c r="F44" i="29"/>
  <c r="G43" i="29"/>
  <c r="F43" i="29"/>
  <c r="G42" i="29"/>
  <c r="F42" i="29"/>
  <c r="G41" i="29"/>
  <c r="F41" i="29"/>
  <c r="G40" i="29"/>
  <c r="F40" i="29"/>
  <c r="G39" i="29"/>
  <c r="F39" i="29"/>
  <c r="G38" i="29"/>
  <c r="F38" i="29"/>
  <c r="G37" i="29"/>
  <c r="F37" i="29"/>
  <c r="G36" i="29"/>
  <c r="F36" i="29"/>
  <c r="G35" i="29"/>
  <c r="F35" i="29"/>
  <c r="G34" i="29"/>
  <c r="F34" i="29"/>
  <c r="G33" i="29"/>
  <c r="F33" i="29"/>
  <c r="G32" i="29"/>
  <c r="F32" i="29"/>
  <c r="G31" i="29"/>
  <c r="F31" i="29"/>
  <c r="G30" i="29"/>
  <c r="F30" i="29"/>
  <c r="G29" i="29"/>
  <c r="F29" i="29"/>
  <c r="G28" i="29"/>
  <c r="F28" i="29"/>
  <c r="G27" i="29"/>
  <c r="F27" i="29"/>
  <c r="G26" i="29"/>
  <c r="F26" i="29"/>
  <c r="G25" i="29"/>
  <c r="F25" i="29"/>
  <c r="G24" i="29"/>
  <c r="F24" i="29"/>
  <c r="G23" i="29"/>
  <c r="F23" i="29"/>
  <c r="G22" i="29"/>
  <c r="F22" i="29"/>
  <c r="G21" i="29"/>
  <c r="F21" i="29"/>
  <c r="G20" i="29"/>
  <c r="F20" i="29"/>
  <c r="G19" i="29"/>
  <c r="F19" i="29"/>
  <c r="G18" i="29"/>
  <c r="F18" i="29"/>
  <c r="G17" i="29"/>
  <c r="F17" i="29"/>
  <c r="G16" i="29"/>
  <c r="F16" i="29"/>
  <c r="G15" i="29"/>
  <c r="F15" i="29"/>
  <c r="G14" i="29"/>
  <c r="F14" i="29"/>
  <c r="G13" i="29"/>
  <c r="F13" i="29"/>
  <c r="G12" i="29"/>
  <c r="F12" i="29"/>
  <c r="G11" i="29"/>
  <c r="F11" i="29"/>
  <c r="G10" i="29"/>
  <c r="F10" i="29"/>
  <c r="G9" i="29"/>
  <c r="F9" i="29"/>
  <c r="G37" i="28"/>
  <c r="F37" i="28"/>
  <c r="G36" i="28"/>
  <c r="F36" i="28"/>
  <c r="G35" i="28"/>
  <c r="F35" i="28"/>
  <c r="G34" i="28"/>
  <c r="F34" i="28"/>
  <c r="G33" i="28"/>
  <c r="F33" i="28"/>
  <c r="G32" i="28"/>
  <c r="F32" i="28"/>
  <c r="G31" i="28"/>
  <c r="F31" i="28"/>
  <c r="G30" i="28"/>
  <c r="F30" i="28"/>
  <c r="G29" i="28"/>
  <c r="F29" i="28"/>
  <c r="G28" i="28"/>
  <c r="F28" i="28"/>
  <c r="G27" i="28"/>
  <c r="F27" i="28"/>
  <c r="G26" i="28"/>
  <c r="F26" i="28"/>
  <c r="G25" i="28"/>
  <c r="F25" i="28"/>
  <c r="G24" i="28"/>
  <c r="F24" i="28"/>
  <c r="G23" i="28"/>
  <c r="F23" i="28"/>
  <c r="G22" i="28"/>
  <c r="F22" i="28"/>
  <c r="G21" i="28"/>
  <c r="F21" i="28"/>
  <c r="G20" i="28"/>
  <c r="F20" i="28"/>
  <c r="G19" i="28"/>
  <c r="F19" i="28"/>
  <c r="G18" i="28"/>
  <c r="F18" i="28"/>
  <c r="G17" i="28"/>
  <c r="F17" i="28"/>
  <c r="G16" i="28"/>
  <c r="F16" i="28"/>
  <c r="G15" i="28"/>
  <c r="F15" i="28"/>
  <c r="G14" i="28"/>
  <c r="F14" i="28"/>
  <c r="G13" i="28"/>
  <c r="F13" i="28"/>
  <c r="G12" i="28"/>
  <c r="F12" i="28"/>
  <c r="G11" i="28"/>
  <c r="F11" i="28"/>
  <c r="G10" i="28"/>
  <c r="F10" i="28"/>
  <c r="G9" i="28"/>
  <c r="F9" i="28"/>
  <c r="G12" i="27"/>
  <c r="F12" i="27"/>
  <c r="G11" i="27"/>
  <c r="F11" i="27"/>
  <c r="G10" i="27"/>
  <c r="F10" i="27"/>
  <c r="G9" i="27"/>
  <c r="F9" i="27"/>
  <c r="G30" i="26"/>
  <c r="F30" i="26"/>
  <c r="G29" i="26"/>
  <c r="G28" i="26"/>
  <c r="F28" i="26"/>
  <c r="G27" i="26"/>
  <c r="F27" i="26"/>
  <c r="G26" i="26"/>
  <c r="F26" i="26"/>
  <c r="G25" i="26"/>
  <c r="F25" i="26"/>
  <c r="G24" i="26"/>
  <c r="F24" i="26"/>
  <c r="G23" i="26"/>
  <c r="F23" i="26"/>
  <c r="G22" i="26"/>
  <c r="F22" i="26"/>
  <c r="G21" i="26"/>
  <c r="F21" i="26"/>
  <c r="G20" i="26"/>
  <c r="F20" i="26"/>
  <c r="G19" i="26"/>
  <c r="F19" i="26"/>
  <c r="G18" i="26"/>
  <c r="F18" i="26"/>
  <c r="G17" i="26"/>
  <c r="F17" i="26"/>
  <c r="G16" i="26"/>
  <c r="F16" i="26"/>
  <c r="G15" i="26"/>
  <c r="F15" i="26"/>
  <c r="G14" i="26"/>
  <c r="F14" i="26"/>
  <c r="G13" i="26"/>
  <c r="F13" i="26"/>
  <c r="G12" i="26"/>
  <c r="F12" i="26"/>
  <c r="G11" i="26"/>
  <c r="F11" i="26"/>
  <c r="G10" i="26"/>
  <c r="F10" i="26"/>
  <c r="G9" i="26"/>
  <c r="F9" i="26"/>
  <c r="G66" i="25"/>
  <c r="F66" i="25"/>
  <c r="G65" i="25"/>
  <c r="F65" i="25"/>
  <c r="G64" i="25"/>
  <c r="F64" i="25"/>
  <c r="G63" i="25"/>
  <c r="F63" i="25"/>
  <c r="F62" i="25"/>
  <c r="G61" i="25"/>
  <c r="F61" i="25"/>
  <c r="G60" i="25"/>
  <c r="F60" i="25"/>
  <c r="G59" i="25"/>
  <c r="F59" i="25"/>
  <c r="G58" i="25"/>
  <c r="G57" i="25"/>
  <c r="F57" i="25"/>
  <c r="G56" i="25"/>
  <c r="F56" i="25"/>
  <c r="G55" i="25"/>
  <c r="F55" i="25"/>
  <c r="G54" i="25"/>
  <c r="F54" i="25"/>
  <c r="G53" i="25"/>
  <c r="F53" i="25"/>
  <c r="G52" i="25"/>
  <c r="F52" i="25"/>
  <c r="G51" i="25"/>
  <c r="F51" i="25"/>
  <c r="G50" i="25"/>
  <c r="F50" i="25"/>
  <c r="G49" i="25"/>
  <c r="F49" i="25"/>
  <c r="G48" i="25"/>
  <c r="F48" i="25"/>
  <c r="G47" i="25"/>
  <c r="F47" i="25"/>
  <c r="G46" i="25"/>
  <c r="F46" i="25"/>
  <c r="G45" i="25"/>
  <c r="F45" i="25"/>
  <c r="G44" i="25"/>
  <c r="F44" i="25"/>
  <c r="G43" i="25"/>
  <c r="F43" i="25"/>
  <c r="G42" i="25"/>
  <c r="F42" i="25"/>
  <c r="G41" i="25"/>
  <c r="F41" i="25"/>
  <c r="G40" i="25"/>
  <c r="F40" i="25"/>
  <c r="G39" i="25"/>
  <c r="F39" i="25"/>
  <c r="G38" i="25"/>
  <c r="F38" i="25"/>
  <c r="G37" i="25"/>
  <c r="F37" i="25"/>
  <c r="G36" i="25"/>
  <c r="F36" i="25"/>
  <c r="G35" i="25"/>
  <c r="F35" i="25"/>
  <c r="G34" i="25"/>
  <c r="F34" i="25"/>
  <c r="G33" i="25"/>
  <c r="F33" i="25"/>
  <c r="G32" i="25"/>
  <c r="F32" i="25"/>
  <c r="G31" i="25"/>
  <c r="F31" i="25"/>
  <c r="G30" i="25"/>
  <c r="F30" i="25"/>
  <c r="G29" i="25"/>
  <c r="F29" i="25"/>
  <c r="G28" i="25"/>
  <c r="F28" i="25"/>
  <c r="G27" i="25"/>
  <c r="F27" i="25"/>
  <c r="G26" i="25"/>
  <c r="F26" i="25"/>
  <c r="G25" i="25"/>
  <c r="F25" i="25"/>
  <c r="G24" i="25"/>
  <c r="F24" i="25"/>
  <c r="G23" i="25"/>
  <c r="F23" i="25"/>
  <c r="G22" i="25"/>
  <c r="F22" i="25"/>
  <c r="G21" i="25"/>
  <c r="F21" i="25"/>
  <c r="G20" i="25"/>
  <c r="F20" i="25"/>
  <c r="G19" i="25"/>
  <c r="F19" i="25"/>
  <c r="G18" i="25"/>
  <c r="F18" i="25"/>
  <c r="G17" i="25"/>
  <c r="F17" i="25"/>
  <c r="G16" i="25"/>
  <c r="F16" i="25"/>
  <c r="G15" i="25"/>
  <c r="F15" i="25"/>
  <c r="G14" i="25"/>
  <c r="F14" i="25"/>
  <c r="G13" i="25"/>
  <c r="F13" i="25"/>
  <c r="G12" i="25"/>
  <c r="F12" i="25"/>
  <c r="G11" i="25"/>
  <c r="F11" i="25"/>
  <c r="G10" i="25"/>
  <c r="F10" i="25"/>
  <c r="G9" i="25"/>
  <c r="F9" i="25"/>
  <c r="G66" i="24"/>
  <c r="F66" i="24"/>
  <c r="G65" i="24"/>
  <c r="F65" i="24"/>
  <c r="G64" i="24"/>
  <c r="F64" i="24"/>
  <c r="G63" i="24"/>
  <c r="F63" i="24"/>
  <c r="F62" i="24"/>
  <c r="G61" i="24"/>
  <c r="F61" i="24"/>
  <c r="G60" i="24"/>
  <c r="F60" i="24"/>
  <c r="G59" i="24"/>
  <c r="F59" i="24"/>
  <c r="G58" i="24"/>
  <c r="G57" i="24"/>
  <c r="F57" i="24"/>
  <c r="G56" i="24"/>
  <c r="F56" i="24"/>
  <c r="G55" i="24"/>
  <c r="F55" i="24"/>
  <c r="G54" i="24"/>
  <c r="F54" i="24"/>
  <c r="G53" i="24"/>
  <c r="F53" i="24"/>
  <c r="G52" i="24"/>
  <c r="F52" i="24"/>
  <c r="G51" i="24"/>
  <c r="F51" i="24"/>
  <c r="G50" i="24"/>
  <c r="F50" i="24"/>
  <c r="G49" i="24"/>
  <c r="F49" i="24"/>
  <c r="G48" i="24"/>
  <c r="F48" i="24"/>
  <c r="G47" i="24"/>
  <c r="F47" i="24"/>
  <c r="G46" i="24"/>
  <c r="F46" i="24"/>
  <c r="G45" i="24"/>
  <c r="F45" i="24"/>
  <c r="G44" i="24"/>
  <c r="F44" i="24"/>
  <c r="G43" i="24"/>
  <c r="F43" i="24"/>
  <c r="G42" i="24"/>
  <c r="F42" i="24"/>
  <c r="G41" i="24"/>
  <c r="F41" i="24"/>
  <c r="G40" i="24"/>
  <c r="F40" i="24"/>
  <c r="G39" i="24"/>
  <c r="F39" i="24"/>
  <c r="G38" i="24"/>
  <c r="F38" i="24"/>
  <c r="G37" i="24"/>
  <c r="F37" i="24"/>
  <c r="G36" i="24"/>
  <c r="F36" i="24"/>
  <c r="G35" i="24"/>
  <c r="F35" i="24"/>
  <c r="G34" i="24"/>
  <c r="F34" i="24"/>
  <c r="G33" i="24"/>
  <c r="F33" i="24"/>
  <c r="G32" i="24"/>
  <c r="F32" i="24"/>
  <c r="G31" i="24"/>
  <c r="F31" i="24"/>
  <c r="G30" i="24"/>
  <c r="F30" i="24"/>
  <c r="G29" i="24"/>
  <c r="F29" i="24"/>
  <c r="G28" i="24"/>
  <c r="F28" i="24"/>
  <c r="G27" i="24"/>
  <c r="F27" i="24"/>
  <c r="G26" i="24"/>
  <c r="F26" i="24"/>
  <c r="G25" i="24"/>
  <c r="F25" i="24"/>
  <c r="G24" i="24"/>
  <c r="F24" i="24"/>
  <c r="G23" i="24"/>
  <c r="F23" i="24"/>
  <c r="G22" i="24"/>
  <c r="F22" i="24"/>
  <c r="G21" i="24"/>
  <c r="F21" i="24"/>
  <c r="G20" i="24"/>
  <c r="F20" i="24"/>
  <c r="G19" i="24"/>
  <c r="F19" i="24"/>
  <c r="G18" i="24"/>
  <c r="F18" i="24"/>
  <c r="G17" i="24"/>
  <c r="F17" i="24"/>
  <c r="G16" i="24"/>
  <c r="F16" i="24"/>
  <c r="G15" i="24"/>
  <c r="F15" i="24"/>
  <c r="G14" i="24"/>
  <c r="F14" i="24"/>
  <c r="G13" i="24"/>
  <c r="F13" i="24"/>
  <c r="G12" i="24"/>
  <c r="F12" i="24"/>
  <c r="G11" i="24"/>
  <c r="F11" i="24"/>
  <c r="G10" i="24"/>
  <c r="F10" i="24"/>
  <c r="G9" i="24"/>
  <c r="F9" i="24"/>
  <c r="H41" i="23"/>
  <c r="H40" i="23"/>
  <c r="G40" i="23"/>
  <c r="H39" i="23"/>
  <c r="G39" i="23"/>
  <c r="H38" i="23"/>
  <c r="G38" i="23"/>
  <c r="H37" i="23"/>
  <c r="G37" i="23"/>
  <c r="H36" i="23"/>
  <c r="G36" i="23"/>
  <c r="H35" i="23"/>
  <c r="G35" i="23"/>
  <c r="H34" i="23"/>
  <c r="G34" i="23"/>
  <c r="H33" i="23"/>
  <c r="G33" i="23"/>
  <c r="H32" i="23"/>
  <c r="G32" i="23"/>
  <c r="H31" i="23"/>
  <c r="G31" i="23"/>
  <c r="H30" i="23"/>
  <c r="G30" i="23"/>
  <c r="H29" i="23"/>
  <c r="G29" i="23"/>
  <c r="H28" i="23"/>
  <c r="G28" i="23"/>
  <c r="H27" i="23"/>
  <c r="G27" i="23"/>
  <c r="H26" i="23"/>
  <c r="G26" i="23"/>
  <c r="H25" i="23"/>
  <c r="G25" i="23"/>
  <c r="H24" i="23"/>
  <c r="G24" i="23"/>
  <c r="H23" i="23"/>
  <c r="G23" i="23"/>
  <c r="H22" i="23"/>
  <c r="G22" i="23"/>
  <c r="H21" i="23"/>
  <c r="G21" i="23"/>
  <c r="H20" i="23"/>
  <c r="G20" i="23"/>
  <c r="H19" i="23"/>
  <c r="G19" i="23"/>
  <c r="H18" i="23"/>
  <c r="G18" i="23"/>
  <c r="H17" i="23"/>
  <c r="G17" i="23"/>
  <c r="H16" i="23"/>
  <c r="G16" i="23"/>
  <c r="H15" i="23"/>
  <c r="G15" i="23"/>
  <c r="H14" i="23"/>
  <c r="G14" i="23"/>
  <c r="H13" i="23"/>
  <c r="G13" i="23"/>
  <c r="H12" i="23"/>
  <c r="G12" i="23"/>
  <c r="H11" i="23"/>
  <c r="G11" i="23"/>
  <c r="H10" i="23"/>
  <c r="G10" i="23"/>
  <c r="H9" i="23"/>
  <c r="G9" i="23"/>
  <c r="H164" i="22"/>
  <c r="G164" i="22"/>
  <c r="H163" i="22"/>
  <c r="G163" i="22"/>
  <c r="H162" i="22"/>
  <c r="G162" i="22"/>
  <c r="H161" i="22"/>
  <c r="G161" i="22"/>
  <c r="H160" i="22"/>
  <c r="G160" i="22"/>
  <c r="H159" i="22"/>
  <c r="G159" i="22"/>
  <c r="H158" i="22"/>
  <c r="G158" i="22"/>
  <c r="H157" i="22"/>
  <c r="G157" i="22"/>
  <c r="H156" i="22"/>
  <c r="G156" i="22"/>
  <c r="H155" i="22"/>
  <c r="G155" i="22"/>
  <c r="H154" i="22"/>
  <c r="G154" i="22"/>
  <c r="H153" i="22"/>
  <c r="G153" i="22"/>
  <c r="H152" i="22"/>
  <c r="G152" i="22"/>
  <c r="H151" i="22"/>
  <c r="G151" i="22"/>
  <c r="H150" i="22"/>
  <c r="G150" i="22"/>
  <c r="H149" i="22"/>
  <c r="G149" i="22"/>
  <c r="H148" i="22"/>
  <c r="G148" i="22"/>
  <c r="H147" i="22"/>
  <c r="G147" i="22"/>
  <c r="G146" i="22"/>
  <c r="H145" i="22"/>
  <c r="G145" i="22"/>
  <c r="H144" i="22"/>
  <c r="G144" i="22"/>
  <c r="H143" i="22"/>
  <c r="G143" i="22"/>
  <c r="H142" i="22"/>
  <c r="G142" i="22"/>
  <c r="H141" i="22"/>
  <c r="G141" i="22"/>
  <c r="H140" i="22"/>
  <c r="G140" i="22"/>
  <c r="H139" i="22"/>
  <c r="H138" i="22"/>
  <c r="G138" i="22"/>
  <c r="H137" i="22"/>
  <c r="G137" i="22"/>
  <c r="H136" i="22"/>
  <c r="G136" i="22"/>
  <c r="H135" i="22"/>
  <c r="G135" i="22"/>
  <c r="H134" i="22"/>
  <c r="G134" i="22"/>
  <c r="H133" i="22"/>
  <c r="G133" i="22"/>
  <c r="H132" i="22"/>
  <c r="G132" i="22"/>
  <c r="H131" i="22"/>
  <c r="G131" i="22"/>
  <c r="H130" i="22"/>
  <c r="G130" i="22"/>
  <c r="H129" i="22"/>
  <c r="G129" i="22"/>
  <c r="H128" i="22"/>
  <c r="G128" i="22"/>
  <c r="H127" i="22"/>
  <c r="G127" i="22"/>
  <c r="H126" i="22"/>
  <c r="G126" i="22"/>
  <c r="H125" i="22"/>
  <c r="G125" i="22"/>
  <c r="H124" i="22"/>
  <c r="G124" i="22"/>
  <c r="H123" i="22"/>
  <c r="G123" i="22"/>
  <c r="H122" i="22"/>
  <c r="G122" i="22"/>
  <c r="H121" i="22"/>
  <c r="G121" i="22"/>
  <c r="H120" i="22"/>
  <c r="G120" i="22"/>
  <c r="H119" i="22"/>
  <c r="G119" i="22"/>
  <c r="H118" i="22"/>
  <c r="G118" i="22"/>
  <c r="H117" i="22"/>
  <c r="G117" i="22"/>
  <c r="H116" i="22"/>
  <c r="H115" i="22"/>
  <c r="G115" i="22"/>
  <c r="H114" i="22"/>
  <c r="G114" i="22"/>
  <c r="H113" i="22"/>
  <c r="G113" i="22"/>
  <c r="H112" i="22"/>
  <c r="G112" i="22"/>
  <c r="H111" i="22"/>
  <c r="G111" i="22"/>
  <c r="H110" i="22"/>
  <c r="G110" i="22"/>
  <c r="H109" i="22"/>
  <c r="G109" i="22"/>
  <c r="H108" i="22"/>
  <c r="G108" i="22"/>
  <c r="H107" i="22"/>
  <c r="G107" i="22"/>
  <c r="H106" i="22"/>
  <c r="G106" i="22"/>
  <c r="H105" i="22"/>
  <c r="G105" i="22"/>
  <c r="H104" i="22"/>
  <c r="G104" i="22"/>
  <c r="H103" i="22"/>
  <c r="G103" i="22"/>
  <c r="H102" i="22"/>
  <c r="G102" i="22"/>
  <c r="H101" i="22"/>
  <c r="G101" i="22"/>
  <c r="H100" i="22"/>
  <c r="G100" i="22"/>
  <c r="H99" i="22"/>
  <c r="G99" i="22"/>
  <c r="H98" i="22"/>
  <c r="G98" i="22"/>
  <c r="H97" i="22"/>
  <c r="G97" i="22"/>
  <c r="H96" i="22"/>
  <c r="G96" i="22"/>
  <c r="H95" i="22"/>
  <c r="G95" i="22"/>
  <c r="H94" i="22"/>
  <c r="G94" i="22"/>
  <c r="H93" i="22"/>
  <c r="H92" i="22"/>
  <c r="G92" i="22"/>
  <c r="H91" i="22"/>
  <c r="G91" i="22"/>
  <c r="H90" i="22"/>
  <c r="G90" i="22"/>
  <c r="H89" i="22"/>
  <c r="G89" i="22"/>
  <c r="H88" i="22"/>
  <c r="G88" i="22"/>
  <c r="H87" i="22"/>
  <c r="G87" i="22"/>
  <c r="H86" i="22"/>
  <c r="G86" i="22"/>
  <c r="H85" i="22"/>
  <c r="G85" i="22"/>
  <c r="H84" i="22"/>
  <c r="G84" i="22"/>
  <c r="H83" i="22"/>
  <c r="G83" i="22"/>
  <c r="H82" i="22"/>
  <c r="G82" i="22"/>
  <c r="H81" i="22"/>
  <c r="G81" i="22"/>
  <c r="H80" i="22"/>
  <c r="G80" i="22"/>
  <c r="H79" i="22"/>
  <c r="G79" i="22"/>
  <c r="H78" i="22"/>
  <c r="G78" i="22"/>
  <c r="H77" i="22"/>
  <c r="G77" i="22"/>
  <c r="H76" i="22"/>
  <c r="G76" i="22"/>
  <c r="H75" i="22"/>
  <c r="G75" i="22"/>
  <c r="H74" i="22"/>
  <c r="G74" i="22"/>
  <c r="H73" i="22"/>
  <c r="G73" i="22"/>
  <c r="H72" i="22"/>
  <c r="G72" i="22"/>
  <c r="H71" i="22"/>
  <c r="G71" i="22"/>
  <c r="H70" i="22"/>
  <c r="G70" i="22"/>
  <c r="H69" i="22"/>
  <c r="G69" i="22"/>
  <c r="H68" i="22"/>
  <c r="G68" i="22"/>
  <c r="H67" i="22"/>
  <c r="G67" i="22"/>
  <c r="H66" i="22"/>
  <c r="G66" i="22"/>
  <c r="H65" i="22"/>
  <c r="G65" i="22"/>
  <c r="H64" i="22"/>
  <c r="G64" i="22"/>
  <c r="H63" i="22"/>
  <c r="G63" i="22"/>
  <c r="H62" i="22"/>
  <c r="G62" i="22"/>
  <c r="H61" i="22"/>
  <c r="G61" i="22"/>
  <c r="H60" i="22"/>
  <c r="G60" i="22"/>
  <c r="H59" i="22"/>
  <c r="G59" i="22"/>
  <c r="H58" i="22"/>
  <c r="G58" i="22"/>
  <c r="H57" i="22"/>
  <c r="G57" i="22"/>
  <c r="H56" i="22"/>
  <c r="G56" i="22"/>
  <c r="H55" i="22"/>
  <c r="G55" i="22"/>
  <c r="H54" i="22"/>
  <c r="G54" i="22"/>
  <c r="H53" i="22"/>
  <c r="G53" i="22"/>
  <c r="H52" i="22"/>
  <c r="G52" i="22"/>
  <c r="H51" i="22"/>
  <c r="G51" i="22"/>
  <c r="H50" i="22"/>
  <c r="G50" i="22"/>
  <c r="H49" i="22"/>
  <c r="G49" i="22"/>
  <c r="H48" i="22"/>
  <c r="G48" i="22"/>
  <c r="H47" i="22"/>
  <c r="G47" i="22"/>
  <c r="H46" i="22"/>
  <c r="G46" i="22"/>
  <c r="H45" i="22"/>
  <c r="G45" i="22"/>
  <c r="H44" i="22"/>
  <c r="G44" i="22"/>
  <c r="H43" i="22"/>
  <c r="G43" i="22"/>
  <c r="H42" i="22"/>
  <c r="G42" i="22"/>
  <c r="H41" i="22"/>
  <c r="G41" i="22"/>
  <c r="H40" i="22"/>
  <c r="G40" i="22"/>
  <c r="H39" i="22"/>
  <c r="G39" i="22"/>
  <c r="H38" i="22"/>
  <c r="G38" i="22"/>
  <c r="H37" i="22"/>
  <c r="G37" i="22"/>
  <c r="H36" i="22"/>
  <c r="G36" i="22"/>
  <c r="H35" i="22"/>
  <c r="G35" i="22"/>
  <c r="H34" i="22"/>
  <c r="G34" i="22"/>
  <c r="H33" i="22"/>
  <c r="G33" i="22"/>
  <c r="H32" i="22"/>
  <c r="G32" i="22"/>
  <c r="H31" i="22"/>
  <c r="G31" i="22"/>
  <c r="H30" i="22"/>
  <c r="G30" i="22"/>
  <c r="H29" i="22"/>
  <c r="G29" i="22"/>
  <c r="H28" i="22"/>
  <c r="G28" i="22"/>
  <c r="H27" i="22"/>
  <c r="G27" i="22"/>
  <c r="H26" i="22"/>
  <c r="G26" i="22"/>
  <c r="H25" i="22"/>
  <c r="G25" i="22"/>
  <c r="H24" i="22"/>
  <c r="G24" i="22"/>
  <c r="H23" i="22"/>
  <c r="G23" i="22"/>
  <c r="H22" i="22"/>
  <c r="G22" i="22"/>
  <c r="H21" i="22"/>
  <c r="G21" i="22"/>
  <c r="H20" i="22"/>
  <c r="G20" i="22"/>
  <c r="H19" i="22"/>
  <c r="G19" i="22"/>
  <c r="H18" i="22"/>
  <c r="G18" i="22"/>
  <c r="H17" i="22"/>
  <c r="G17" i="22"/>
  <c r="H16" i="22"/>
  <c r="G16" i="22"/>
  <c r="H15" i="22"/>
  <c r="G15" i="22"/>
  <c r="H14" i="22"/>
  <c r="G14" i="22"/>
  <c r="H13" i="22"/>
  <c r="G13" i="22"/>
  <c r="H12" i="22"/>
  <c r="G12" i="22"/>
  <c r="H11" i="22"/>
  <c r="G11" i="22"/>
  <c r="H10" i="22"/>
  <c r="G10" i="22"/>
  <c r="H9" i="22"/>
  <c r="G9" i="22"/>
  <c r="G111" i="21"/>
  <c r="F111" i="21"/>
  <c r="G110" i="21"/>
  <c r="F110" i="21"/>
  <c r="G109" i="21"/>
  <c r="F109" i="21"/>
  <c r="G108" i="21"/>
  <c r="F108" i="21"/>
  <c r="G107" i="21"/>
  <c r="F107" i="21"/>
  <c r="G106" i="21"/>
  <c r="F106" i="21"/>
  <c r="G105" i="21"/>
  <c r="F105" i="21"/>
  <c r="G104" i="21"/>
  <c r="F104" i="21"/>
  <c r="G103" i="21"/>
  <c r="F103" i="21"/>
  <c r="F102" i="21"/>
  <c r="G101" i="21"/>
  <c r="F101" i="21"/>
  <c r="G100" i="21"/>
  <c r="F100" i="21"/>
  <c r="G99" i="21"/>
  <c r="F99" i="21"/>
  <c r="G98" i="21"/>
  <c r="F98" i="21"/>
  <c r="G97" i="21"/>
  <c r="F97" i="21"/>
  <c r="G96" i="21"/>
  <c r="F96" i="21"/>
  <c r="G95" i="21"/>
  <c r="F95" i="21"/>
  <c r="G94" i="21"/>
  <c r="F94" i="21"/>
  <c r="G93" i="21"/>
  <c r="F93" i="21"/>
  <c r="G92" i="21"/>
  <c r="F92" i="21"/>
  <c r="G91" i="21"/>
  <c r="F91" i="21"/>
  <c r="G90" i="21"/>
  <c r="F90" i="21"/>
  <c r="G89" i="21"/>
  <c r="F89" i="21"/>
  <c r="G88" i="21"/>
  <c r="F88" i="21"/>
  <c r="G87" i="21"/>
  <c r="F87" i="21"/>
  <c r="G86" i="21"/>
  <c r="F86" i="21"/>
  <c r="G85" i="21"/>
  <c r="F85" i="21"/>
  <c r="G84" i="21"/>
  <c r="F84" i="21"/>
  <c r="G83" i="21"/>
  <c r="F83" i="21"/>
  <c r="G82" i="21"/>
  <c r="F82" i="21"/>
  <c r="G81" i="21"/>
  <c r="F81" i="21"/>
  <c r="G80" i="21"/>
  <c r="F80" i="21"/>
  <c r="G79" i="21"/>
  <c r="F79" i="21"/>
  <c r="G78" i="21"/>
  <c r="F78" i="21"/>
  <c r="G77" i="21"/>
  <c r="F77" i="21"/>
  <c r="G76" i="21"/>
  <c r="F76" i="21"/>
  <c r="G75" i="21"/>
  <c r="F75" i="21"/>
  <c r="G74" i="21"/>
  <c r="F74" i="21"/>
  <c r="G73" i="21"/>
  <c r="F73" i="21"/>
  <c r="G72" i="21"/>
  <c r="F72" i="21"/>
  <c r="G71" i="21"/>
  <c r="F71" i="21"/>
  <c r="G70" i="21"/>
  <c r="F70" i="21"/>
  <c r="G69" i="21"/>
  <c r="F69" i="21"/>
  <c r="G68" i="21"/>
  <c r="F68" i="21"/>
  <c r="G67" i="21"/>
  <c r="F67" i="21"/>
  <c r="G66" i="21"/>
  <c r="F66" i="21"/>
  <c r="G65" i="21"/>
  <c r="G64" i="21"/>
  <c r="F64" i="21"/>
  <c r="G63" i="21"/>
  <c r="F63" i="21"/>
  <c r="G62" i="21"/>
  <c r="F62" i="21"/>
  <c r="G61" i="21"/>
  <c r="F61" i="21"/>
  <c r="G60" i="21"/>
  <c r="F60" i="21"/>
  <c r="G59" i="21"/>
  <c r="F59" i="21"/>
  <c r="G58" i="21"/>
  <c r="F58" i="21"/>
  <c r="G57" i="21"/>
  <c r="F57" i="21"/>
  <c r="G56" i="21"/>
  <c r="F56" i="21"/>
  <c r="G55" i="21"/>
  <c r="F55" i="21"/>
  <c r="G54" i="21"/>
  <c r="F54" i="21"/>
  <c r="G53" i="21"/>
  <c r="F53" i="21"/>
  <c r="G52" i="21"/>
  <c r="F52" i="21"/>
  <c r="G51" i="21"/>
  <c r="F51" i="21"/>
  <c r="G50" i="21"/>
  <c r="F50" i="21"/>
  <c r="G49" i="21"/>
  <c r="F49" i="21"/>
  <c r="G48" i="21"/>
  <c r="F48" i="21"/>
  <c r="G47" i="21"/>
  <c r="F47" i="21"/>
  <c r="G46" i="21"/>
  <c r="F46" i="21"/>
  <c r="G45" i="21"/>
  <c r="F45" i="21"/>
  <c r="G44" i="21"/>
  <c r="F44" i="21"/>
  <c r="G43" i="21"/>
  <c r="F43" i="21"/>
  <c r="G42" i="21"/>
  <c r="F42" i="21"/>
  <c r="G41" i="21"/>
  <c r="F41" i="21"/>
  <c r="G40" i="21"/>
  <c r="F40" i="21"/>
  <c r="G39" i="21"/>
  <c r="F39" i="21"/>
  <c r="G38" i="21"/>
  <c r="F38" i="21"/>
  <c r="G37" i="21"/>
  <c r="F37" i="21"/>
  <c r="G36" i="21"/>
  <c r="F36" i="21"/>
  <c r="G35" i="21"/>
  <c r="F35" i="21"/>
  <c r="G34" i="21"/>
  <c r="F34" i="21"/>
  <c r="G33" i="21"/>
  <c r="F33" i="21"/>
  <c r="G32" i="21"/>
  <c r="F32" i="21"/>
  <c r="G31" i="21"/>
  <c r="F31" i="21"/>
  <c r="G30" i="21"/>
  <c r="F30" i="21"/>
  <c r="G29" i="21"/>
  <c r="F29" i="21"/>
  <c r="G28" i="21"/>
  <c r="F28" i="21"/>
  <c r="G27" i="21"/>
  <c r="F27" i="21"/>
  <c r="G26" i="21"/>
  <c r="F26" i="21"/>
  <c r="G25" i="21"/>
  <c r="F25" i="21"/>
  <c r="G24" i="21"/>
  <c r="F24" i="21"/>
  <c r="G23" i="21"/>
  <c r="F23" i="21"/>
  <c r="G22" i="21"/>
  <c r="F22" i="21"/>
  <c r="G21" i="21"/>
  <c r="F21" i="21"/>
  <c r="G20" i="21"/>
  <c r="F20" i="21"/>
  <c r="G19" i="21"/>
  <c r="F19" i="21"/>
  <c r="G18" i="21"/>
  <c r="F18" i="21"/>
  <c r="G17" i="21"/>
  <c r="F17" i="21"/>
  <c r="G16" i="21"/>
  <c r="F16" i="21"/>
  <c r="G15" i="21"/>
  <c r="F15" i="21"/>
  <c r="G14" i="21"/>
  <c r="F14" i="21"/>
  <c r="G13" i="21"/>
  <c r="F13" i="21"/>
  <c r="G12" i="21"/>
  <c r="F12" i="21"/>
  <c r="G11" i="21"/>
  <c r="F11" i="21"/>
  <c r="G10" i="21"/>
  <c r="F10" i="21"/>
  <c r="G9" i="21"/>
  <c r="F9" i="21"/>
  <c r="G110" i="20"/>
  <c r="F110" i="20"/>
  <c r="G109" i="20"/>
  <c r="F109" i="20"/>
  <c r="G108" i="20"/>
  <c r="F108" i="20"/>
  <c r="G107" i="20"/>
  <c r="F107" i="20"/>
  <c r="G106" i="20"/>
  <c r="F106" i="20"/>
  <c r="G105" i="20"/>
  <c r="F105" i="20"/>
  <c r="G104" i="20"/>
  <c r="F104" i="20"/>
  <c r="G103" i="20"/>
  <c r="F103" i="20"/>
  <c r="G102" i="20"/>
  <c r="F102" i="20"/>
  <c r="F101" i="20"/>
  <c r="G100" i="20"/>
  <c r="F100" i="20"/>
  <c r="G99" i="20"/>
  <c r="F99" i="20"/>
  <c r="G98" i="20"/>
  <c r="F98" i="20"/>
  <c r="G97" i="20"/>
  <c r="F97" i="20"/>
  <c r="G96" i="20"/>
  <c r="F96" i="20"/>
  <c r="G95" i="20"/>
  <c r="F95" i="20"/>
  <c r="G94" i="20"/>
  <c r="F94" i="20"/>
  <c r="G93" i="20"/>
  <c r="F93" i="20"/>
  <c r="G92" i="20"/>
  <c r="F92" i="20"/>
  <c r="G91" i="20"/>
  <c r="F91" i="20"/>
  <c r="G90" i="20"/>
  <c r="F90" i="20"/>
  <c r="G89" i="20"/>
  <c r="F89" i="20"/>
  <c r="G88" i="20"/>
  <c r="F88" i="20"/>
  <c r="G87" i="20"/>
  <c r="F87" i="20"/>
  <c r="G86" i="20"/>
  <c r="F86" i="20"/>
  <c r="G85" i="20"/>
  <c r="F85" i="20"/>
  <c r="G84" i="20"/>
  <c r="F84" i="20"/>
  <c r="G83" i="20"/>
  <c r="F83" i="20"/>
  <c r="G82" i="20"/>
  <c r="F82" i="20"/>
  <c r="G81" i="20"/>
  <c r="F81" i="20"/>
  <c r="G80" i="20"/>
  <c r="F80" i="20"/>
  <c r="G79" i="20"/>
  <c r="F79" i="20"/>
  <c r="G78" i="20"/>
  <c r="F78" i="20"/>
  <c r="G77" i="20"/>
  <c r="F77" i="20"/>
  <c r="G76" i="20"/>
  <c r="F76" i="20"/>
  <c r="G75" i="20"/>
  <c r="F75" i="20"/>
  <c r="G74" i="20"/>
  <c r="F74" i="20"/>
  <c r="G73" i="20"/>
  <c r="F73" i="20"/>
  <c r="G72" i="20"/>
  <c r="F72" i="20"/>
  <c r="G71" i="20"/>
  <c r="F71" i="20"/>
  <c r="G70" i="20"/>
  <c r="F70" i="20"/>
  <c r="G69" i="20"/>
  <c r="F69" i="20"/>
  <c r="G68" i="20"/>
  <c r="F68" i="20"/>
  <c r="G67" i="20"/>
  <c r="F67" i="20"/>
  <c r="G66" i="20"/>
  <c r="F66" i="20"/>
  <c r="G65" i="20"/>
  <c r="G64" i="20"/>
  <c r="F64" i="20"/>
  <c r="G63" i="20"/>
  <c r="F63" i="20"/>
  <c r="G62" i="20"/>
  <c r="F62" i="20"/>
  <c r="G61" i="20"/>
  <c r="F61" i="20"/>
  <c r="G60" i="20"/>
  <c r="F60" i="20"/>
  <c r="G59" i="20"/>
  <c r="F59" i="20"/>
  <c r="G58" i="20"/>
  <c r="F58" i="20"/>
  <c r="G57" i="20"/>
  <c r="F57" i="20"/>
  <c r="G56" i="20"/>
  <c r="F56" i="20"/>
  <c r="G55" i="20"/>
  <c r="F55" i="20"/>
  <c r="G54" i="20"/>
  <c r="F54" i="20"/>
  <c r="G53" i="20"/>
  <c r="F53" i="20"/>
  <c r="G52" i="20"/>
  <c r="F52" i="20"/>
  <c r="G51" i="20"/>
  <c r="F51" i="20"/>
  <c r="G50" i="20"/>
  <c r="F50" i="20"/>
  <c r="G49" i="20"/>
  <c r="F49" i="20"/>
  <c r="G48" i="20"/>
  <c r="F48" i="20"/>
  <c r="G47" i="20"/>
  <c r="F47" i="20"/>
  <c r="G46" i="20"/>
  <c r="F46" i="20"/>
  <c r="G45" i="20"/>
  <c r="F45" i="20"/>
  <c r="G44" i="20"/>
  <c r="F44" i="20"/>
  <c r="G43" i="20"/>
  <c r="F43" i="20"/>
  <c r="G42" i="20"/>
  <c r="F42" i="20"/>
  <c r="G41" i="20"/>
  <c r="F41" i="20"/>
  <c r="G40" i="20"/>
  <c r="F40" i="20"/>
  <c r="G39" i="20"/>
  <c r="F39" i="20"/>
  <c r="G38" i="20"/>
  <c r="F38" i="20"/>
  <c r="G37" i="20"/>
  <c r="F37" i="20"/>
  <c r="G36" i="20"/>
  <c r="F36" i="20"/>
  <c r="G35" i="20"/>
  <c r="F35" i="20"/>
  <c r="G34" i="20"/>
  <c r="F34" i="20"/>
  <c r="G33" i="20"/>
  <c r="F33" i="20"/>
  <c r="G32" i="20"/>
  <c r="F32" i="20"/>
  <c r="G31" i="20"/>
  <c r="F31" i="20"/>
  <c r="G30" i="20"/>
  <c r="F30" i="20"/>
  <c r="G29" i="20"/>
  <c r="F29" i="20"/>
  <c r="G28" i="20"/>
  <c r="F28" i="20"/>
  <c r="G27" i="20"/>
  <c r="F27" i="20"/>
  <c r="G26" i="20"/>
  <c r="F26" i="20"/>
  <c r="G25" i="20"/>
  <c r="F25" i="20"/>
  <c r="G24" i="20"/>
  <c r="F24" i="20"/>
  <c r="G23" i="20"/>
  <c r="F23" i="20"/>
  <c r="G22" i="20"/>
  <c r="F22" i="20"/>
  <c r="G21" i="20"/>
  <c r="F21" i="20"/>
  <c r="G20" i="20"/>
  <c r="F20" i="20"/>
  <c r="G19" i="20"/>
  <c r="F19" i="20"/>
  <c r="G18" i="20"/>
  <c r="F18" i="20"/>
  <c r="G17" i="20"/>
  <c r="F17" i="20"/>
  <c r="G16" i="20"/>
  <c r="F16" i="20"/>
  <c r="G15" i="20"/>
  <c r="F15" i="20"/>
  <c r="G14" i="20"/>
  <c r="F14" i="20"/>
  <c r="G13" i="20"/>
  <c r="F13" i="20"/>
  <c r="G12" i="20"/>
  <c r="F12" i="20"/>
  <c r="G11" i="20"/>
  <c r="F11" i="20"/>
  <c r="G10" i="20"/>
  <c r="F10" i="20"/>
  <c r="G9" i="20"/>
  <c r="F9" i="20"/>
  <c r="G163" i="19"/>
  <c r="F163" i="19"/>
  <c r="G162" i="19"/>
  <c r="F162" i="19"/>
  <c r="G161" i="19"/>
  <c r="F161" i="19"/>
  <c r="G160" i="19"/>
  <c r="F160" i="19"/>
  <c r="G159" i="19"/>
  <c r="F159" i="19"/>
  <c r="G158" i="19"/>
  <c r="F158" i="19"/>
  <c r="G157" i="19"/>
  <c r="F157" i="19"/>
  <c r="G156" i="19"/>
  <c r="F156" i="19"/>
  <c r="G155" i="19"/>
  <c r="F155" i="19"/>
  <c r="G154" i="19"/>
  <c r="F154" i="19"/>
  <c r="G153" i="19"/>
  <c r="F153" i="19"/>
  <c r="G152" i="19"/>
  <c r="F152" i="19"/>
  <c r="G151" i="19"/>
  <c r="F151" i="19"/>
  <c r="G150" i="19"/>
  <c r="F150" i="19"/>
  <c r="G149" i="19"/>
  <c r="F149" i="19"/>
  <c r="G148" i="19"/>
  <c r="F148" i="19"/>
  <c r="G147" i="19"/>
  <c r="F147" i="19"/>
  <c r="G146" i="19"/>
  <c r="F146" i="19"/>
  <c r="F145" i="19"/>
  <c r="G144" i="19"/>
  <c r="F144" i="19"/>
  <c r="G143" i="19"/>
  <c r="F143" i="19"/>
  <c r="G142" i="19"/>
  <c r="F142" i="19"/>
  <c r="G141" i="19"/>
  <c r="F141" i="19"/>
  <c r="G140" i="19"/>
  <c r="F140" i="19"/>
  <c r="G139" i="19"/>
  <c r="F139" i="19"/>
  <c r="G138" i="19"/>
  <c r="F138" i="19"/>
  <c r="G137" i="19"/>
  <c r="F137" i="19"/>
  <c r="G136" i="19"/>
  <c r="F136" i="19"/>
  <c r="G135" i="19"/>
  <c r="F135" i="19"/>
  <c r="G134" i="19"/>
  <c r="F134" i="19"/>
  <c r="G133" i="19"/>
  <c r="F133" i="19"/>
  <c r="G132" i="19"/>
  <c r="F132" i="19"/>
  <c r="G131" i="19"/>
  <c r="F131" i="19"/>
  <c r="G130" i="19"/>
  <c r="F130" i="19"/>
  <c r="G129" i="19"/>
  <c r="F129" i="19"/>
  <c r="G128" i="19"/>
  <c r="F128" i="19"/>
  <c r="G127" i="19"/>
  <c r="F127" i="19"/>
  <c r="G126" i="19"/>
  <c r="F126" i="19"/>
  <c r="G125" i="19"/>
  <c r="F125" i="19"/>
  <c r="G124" i="19"/>
  <c r="F124" i="19"/>
  <c r="G123" i="19"/>
  <c r="F123" i="19"/>
  <c r="G122" i="19"/>
  <c r="F122" i="19"/>
  <c r="G121" i="19"/>
  <c r="F121" i="19"/>
  <c r="G120" i="19"/>
  <c r="F120" i="19"/>
  <c r="G119" i="19"/>
  <c r="F119" i="19"/>
  <c r="G118" i="19"/>
  <c r="F118" i="19"/>
  <c r="G117" i="19"/>
  <c r="F117" i="19"/>
  <c r="G116" i="19"/>
  <c r="G115" i="19"/>
  <c r="F115" i="19"/>
  <c r="G114" i="19"/>
  <c r="F114" i="19"/>
  <c r="G113" i="19"/>
  <c r="F113" i="19"/>
  <c r="G112" i="19"/>
  <c r="F112" i="19"/>
  <c r="G111" i="19"/>
  <c r="F111" i="19"/>
  <c r="G110" i="19"/>
  <c r="F110" i="19"/>
  <c r="G109" i="19"/>
  <c r="F109" i="19"/>
  <c r="G108" i="19"/>
  <c r="F108" i="19"/>
  <c r="G107" i="19"/>
  <c r="F107" i="19"/>
  <c r="G106" i="19"/>
  <c r="F106" i="19"/>
  <c r="G105" i="19"/>
  <c r="F105" i="19"/>
  <c r="G104" i="19"/>
  <c r="F104" i="19"/>
  <c r="G103" i="19"/>
  <c r="F103" i="19"/>
  <c r="G102" i="19"/>
  <c r="F102" i="19"/>
  <c r="G101" i="19"/>
  <c r="F101" i="19"/>
  <c r="G100" i="19"/>
  <c r="F100" i="19"/>
  <c r="G99" i="19"/>
  <c r="F99" i="19"/>
  <c r="G98" i="19"/>
  <c r="F98" i="19"/>
  <c r="G97" i="19"/>
  <c r="F97" i="19"/>
  <c r="G96" i="19"/>
  <c r="F96" i="19"/>
  <c r="G95" i="19"/>
  <c r="F95" i="19"/>
  <c r="G94" i="19"/>
  <c r="F94" i="19"/>
  <c r="G93" i="19"/>
  <c r="G92" i="19"/>
  <c r="F92" i="19"/>
  <c r="G91" i="19"/>
  <c r="F91" i="19"/>
  <c r="G90" i="19"/>
  <c r="F90" i="19"/>
  <c r="G89" i="19"/>
  <c r="F89" i="19"/>
  <c r="G88" i="19"/>
  <c r="F88" i="19"/>
  <c r="G87" i="19"/>
  <c r="F87" i="19"/>
  <c r="G86" i="19"/>
  <c r="F86" i="19"/>
  <c r="G85" i="19"/>
  <c r="F85" i="19"/>
  <c r="G84" i="19"/>
  <c r="F84" i="19"/>
  <c r="G83" i="19"/>
  <c r="F83" i="19"/>
  <c r="G82" i="19"/>
  <c r="F82" i="19"/>
  <c r="G81" i="19"/>
  <c r="F81" i="19"/>
  <c r="G80" i="19"/>
  <c r="F80" i="19"/>
  <c r="G79" i="19"/>
  <c r="F79" i="19"/>
  <c r="G78" i="19"/>
  <c r="F78" i="19"/>
  <c r="G77" i="19"/>
  <c r="F77" i="19"/>
  <c r="G76" i="19"/>
  <c r="F76" i="19"/>
  <c r="G75" i="19"/>
  <c r="F75" i="19"/>
  <c r="G74" i="19"/>
  <c r="F74" i="19"/>
  <c r="G73" i="19"/>
  <c r="F73" i="19"/>
  <c r="G72" i="19"/>
  <c r="F72" i="19"/>
  <c r="G71" i="19"/>
  <c r="F71" i="19"/>
  <c r="G70" i="19"/>
  <c r="F70" i="19"/>
  <c r="G69" i="19"/>
  <c r="F69" i="19"/>
  <c r="G68" i="19"/>
  <c r="F68" i="19"/>
  <c r="G67" i="19"/>
  <c r="F67" i="19"/>
  <c r="G66" i="19"/>
  <c r="F66" i="19"/>
  <c r="G65" i="19"/>
  <c r="F65" i="19"/>
  <c r="G64" i="19"/>
  <c r="F64" i="19"/>
  <c r="G63" i="19"/>
  <c r="F63" i="19"/>
  <c r="G62" i="19"/>
  <c r="F62" i="19"/>
  <c r="G61" i="19"/>
  <c r="F61" i="19"/>
  <c r="G60" i="19"/>
  <c r="F60" i="19"/>
  <c r="G59" i="19"/>
  <c r="F59" i="19"/>
  <c r="G58" i="19"/>
  <c r="F58" i="19"/>
  <c r="G57" i="19"/>
  <c r="F57" i="19"/>
  <c r="G56" i="19"/>
  <c r="F56" i="19"/>
  <c r="G55" i="19"/>
  <c r="F55" i="19"/>
  <c r="G54" i="19"/>
  <c r="F54" i="19"/>
  <c r="G53" i="19"/>
  <c r="F53" i="19"/>
  <c r="G52" i="19"/>
  <c r="F52" i="19"/>
  <c r="G51" i="19"/>
  <c r="F51" i="19"/>
  <c r="G50" i="19"/>
  <c r="F50" i="19"/>
  <c r="G49" i="19"/>
  <c r="F49" i="19"/>
  <c r="G48" i="19"/>
  <c r="F48" i="19"/>
  <c r="G47" i="19"/>
  <c r="F47" i="19"/>
  <c r="G46" i="19"/>
  <c r="F46" i="19"/>
  <c r="G45" i="19"/>
  <c r="F45" i="19"/>
  <c r="G44" i="19"/>
  <c r="F44" i="19"/>
  <c r="G43" i="19"/>
  <c r="F43" i="19"/>
  <c r="G42" i="19"/>
  <c r="F42" i="19"/>
  <c r="G41" i="19"/>
  <c r="F41" i="19"/>
  <c r="G40" i="19"/>
  <c r="F40" i="19"/>
  <c r="G39" i="19"/>
  <c r="F39" i="19"/>
  <c r="G38" i="19"/>
  <c r="F38" i="19"/>
  <c r="G37" i="19"/>
  <c r="F37" i="19"/>
  <c r="G36" i="19"/>
  <c r="F36" i="19"/>
  <c r="G35" i="19"/>
  <c r="F35" i="19"/>
  <c r="G34" i="19"/>
  <c r="F34" i="19"/>
  <c r="G33" i="19"/>
  <c r="F33" i="19"/>
  <c r="G32" i="19"/>
  <c r="F32" i="19"/>
  <c r="G31" i="19"/>
  <c r="F31" i="19"/>
  <c r="G30" i="19"/>
  <c r="F30" i="19"/>
  <c r="G29" i="19"/>
  <c r="F29" i="19"/>
  <c r="G28" i="19"/>
  <c r="F28" i="19"/>
  <c r="G27" i="19"/>
  <c r="F27" i="19"/>
  <c r="G26" i="19"/>
  <c r="F26" i="19"/>
  <c r="G25" i="19"/>
  <c r="F25" i="19"/>
  <c r="G24" i="19"/>
  <c r="F24" i="19"/>
  <c r="G23" i="19"/>
  <c r="F23" i="19"/>
  <c r="G22" i="19"/>
  <c r="F22" i="19"/>
  <c r="G21" i="19"/>
  <c r="F21" i="19"/>
  <c r="G20" i="19"/>
  <c r="F20" i="19"/>
  <c r="G19" i="19"/>
  <c r="F19" i="19"/>
  <c r="G18" i="19"/>
  <c r="F18" i="19"/>
  <c r="G17" i="19"/>
  <c r="F17" i="19"/>
  <c r="G16" i="19"/>
  <c r="F16" i="19"/>
  <c r="G15" i="19"/>
  <c r="F15" i="19"/>
  <c r="G14" i="19"/>
  <c r="F14" i="19"/>
  <c r="G13" i="19"/>
  <c r="F13" i="19"/>
  <c r="G12" i="19"/>
  <c r="F12" i="19"/>
  <c r="G11" i="19"/>
  <c r="F11" i="19"/>
  <c r="G10" i="19"/>
  <c r="F10" i="19"/>
  <c r="G9" i="19"/>
  <c r="F9" i="19"/>
  <c r="G164" i="18"/>
  <c r="F164" i="18"/>
  <c r="G163" i="18"/>
  <c r="F163" i="18"/>
  <c r="G162" i="18"/>
  <c r="F162" i="18"/>
  <c r="G161" i="18"/>
  <c r="F161" i="18"/>
  <c r="G160" i="18"/>
  <c r="F160" i="18"/>
  <c r="G159" i="18"/>
  <c r="F159" i="18"/>
  <c r="G158" i="18"/>
  <c r="F158" i="18"/>
  <c r="G157" i="18"/>
  <c r="F157" i="18"/>
  <c r="G156" i="18"/>
  <c r="F156" i="18"/>
  <c r="G155" i="18"/>
  <c r="F155" i="18"/>
  <c r="G154" i="18"/>
  <c r="F154" i="18"/>
  <c r="G153" i="18"/>
  <c r="F153" i="18"/>
  <c r="G152" i="18"/>
  <c r="F152" i="18"/>
  <c r="G151" i="18"/>
  <c r="F151" i="18"/>
  <c r="G150" i="18"/>
  <c r="F150" i="18"/>
  <c r="G149" i="18"/>
  <c r="F149" i="18"/>
  <c r="G148" i="18"/>
  <c r="F148" i="18"/>
  <c r="G147" i="18"/>
  <c r="F147" i="18"/>
  <c r="F146" i="18"/>
  <c r="G145" i="18"/>
  <c r="F145" i="18"/>
  <c r="G144" i="18"/>
  <c r="F144" i="18"/>
  <c r="G143" i="18"/>
  <c r="F143" i="18"/>
  <c r="G142" i="18"/>
  <c r="F142" i="18"/>
  <c r="G141" i="18"/>
  <c r="F141" i="18"/>
  <c r="G140" i="18"/>
  <c r="F140" i="18"/>
  <c r="G139" i="18"/>
  <c r="F139" i="18"/>
  <c r="G138" i="18"/>
  <c r="F138" i="18"/>
  <c r="G137" i="18"/>
  <c r="F137" i="18"/>
  <c r="G136" i="18"/>
  <c r="F136" i="18"/>
  <c r="G135" i="18"/>
  <c r="F135" i="18"/>
  <c r="G134" i="18"/>
  <c r="F134" i="18"/>
  <c r="G133" i="18"/>
  <c r="F133" i="18"/>
  <c r="G132" i="18"/>
  <c r="F132" i="18"/>
  <c r="G131" i="18"/>
  <c r="F131" i="18"/>
  <c r="G130" i="18"/>
  <c r="F130" i="18"/>
  <c r="G129" i="18"/>
  <c r="F129" i="18"/>
  <c r="G128" i="18"/>
  <c r="F128" i="18"/>
  <c r="G127" i="18"/>
  <c r="F127" i="18"/>
  <c r="G126" i="18"/>
  <c r="F126" i="18"/>
  <c r="G125" i="18"/>
  <c r="F125" i="18"/>
  <c r="G124" i="18"/>
  <c r="F124" i="18"/>
  <c r="G123" i="18"/>
  <c r="F123" i="18"/>
  <c r="G122" i="18"/>
  <c r="F122" i="18"/>
  <c r="G121" i="18"/>
  <c r="F121" i="18"/>
  <c r="G120" i="18"/>
  <c r="F120" i="18"/>
  <c r="G119" i="18"/>
  <c r="F119" i="18"/>
  <c r="G118" i="18"/>
  <c r="F118" i="18"/>
  <c r="G117" i="18"/>
  <c r="F117" i="18"/>
  <c r="G116" i="18"/>
  <c r="G115" i="18"/>
  <c r="F115" i="18"/>
  <c r="G114" i="18"/>
  <c r="F114" i="18"/>
  <c r="G113" i="18"/>
  <c r="F113" i="18"/>
  <c r="G112" i="18"/>
  <c r="F112" i="18"/>
  <c r="G111" i="18"/>
  <c r="F111" i="18"/>
  <c r="G110" i="18"/>
  <c r="F110" i="18"/>
  <c r="G109" i="18"/>
  <c r="F109" i="18"/>
  <c r="G108" i="18"/>
  <c r="F108" i="18"/>
  <c r="G107" i="18"/>
  <c r="F107" i="18"/>
  <c r="G106" i="18"/>
  <c r="F106" i="18"/>
  <c r="G105" i="18"/>
  <c r="F105" i="18"/>
  <c r="G104" i="18"/>
  <c r="F104" i="18"/>
  <c r="G103" i="18"/>
  <c r="F103" i="18"/>
  <c r="G102" i="18"/>
  <c r="F102" i="18"/>
  <c r="G101" i="18"/>
  <c r="F101" i="18"/>
  <c r="G100" i="18"/>
  <c r="F100" i="18"/>
  <c r="G99" i="18"/>
  <c r="F99" i="18"/>
  <c r="G98" i="18"/>
  <c r="F98" i="18"/>
  <c r="G97" i="18"/>
  <c r="F97" i="18"/>
  <c r="G96" i="18"/>
  <c r="F96" i="18"/>
  <c r="G95" i="18"/>
  <c r="F95" i="18"/>
  <c r="G94" i="18"/>
  <c r="F94" i="18"/>
  <c r="G93" i="18"/>
  <c r="G92" i="18"/>
  <c r="F92" i="18"/>
  <c r="G91" i="18"/>
  <c r="F91" i="18"/>
  <c r="G90" i="18"/>
  <c r="F90" i="18"/>
  <c r="G89" i="18"/>
  <c r="F89" i="18"/>
  <c r="G88" i="18"/>
  <c r="F88" i="18"/>
  <c r="G87" i="18"/>
  <c r="F87" i="18"/>
  <c r="G86" i="18"/>
  <c r="F86" i="18"/>
  <c r="G85" i="18"/>
  <c r="F85" i="18"/>
  <c r="G84" i="18"/>
  <c r="F84" i="18"/>
  <c r="G83" i="18"/>
  <c r="F83" i="18"/>
  <c r="G82" i="18"/>
  <c r="F82" i="18"/>
  <c r="G81" i="18"/>
  <c r="F81" i="18"/>
  <c r="G80" i="18"/>
  <c r="F80" i="18"/>
  <c r="G79" i="18"/>
  <c r="F79" i="18"/>
  <c r="G78" i="18"/>
  <c r="F78" i="18"/>
  <c r="G77" i="18"/>
  <c r="F77" i="18"/>
  <c r="G76" i="18"/>
  <c r="F76" i="18"/>
  <c r="G75" i="18"/>
  <c r="F75" i="18"/>
  <c r="G74" i="18"/>
  <c r="F74" i="18"/>
  <c r="G73" i="18"/>
  <c r="F73" i="18"/>
  <c r="G72" i="18"/>
  <c r="F72" i="18"/>
  <c r="G71" i="18"/>
  <c r="F71" i="18"/>
  <c r="G70" i="18"/>
  <c r="F70" i="18"/>
  <c r="G69" i="18"/>
  <c r="F69" i="18"/>
  <c r="G68" i="18"/>
  <c r="F68" i="18"/>
  <c r="G67" i="18"/>
  <c r="F67" i="18"/>
  <c r="G66" i="18"/>
  <c r="F66" i="18"/>
  <c r="G65" i="18"/>
  <c r="F65" i="18"/>
  <c r="G64" i="18"/>
  <c r="F64" i="18"/>
  <c r="G63" i="18"/>
  <c r="F63" i="18"/>
  <c r="G62" i="18"/>
  <c r="F62" i="18"/>
  <c r="G61" i="18"/>
  <c r="F61" i="18"/>
  <c r="G60" i="18"/>
  <c r="F60" i="18"/>
  <c r="G59" i="18"/>
  <c r="F59" i="18"/>
  <c r="G58" i="18"/>
  <c r="F58" i="18"/>
  <c r="G57" i="18"/>
  <c r="F57" i="18"/>
  <c r="G56" i="18"/>
  <c r="F56" i="18"/>
  <c r="G55" i="18"/>
  <c r="F55" i="18"/>
  <c r="G54" i="18"/>
  <c r="F54" i="18"/>
  <c r="G53" i="18"/>
  <c r="F53" i="18"/>
  <c r="G52" i="18"/>
  <c r="F52" i="18"/>
  <c r="G51" i="18"/>
  <c r="F51" i="18"/>
  <c r="G50" i="18"/>
  <c r="F50" i="18"/>
  <c r="G49" i="18"/>
  <c r="F49" i="18"/>
  <c r="G48" i="18"/>
  <c r="F48" i="18"/>
  <c r="G47" i="18"/>
  <c r="F47" i="18"/>
  <c r="G46" i="18"/>
  <c r="F46" i="18"/>
  <c r="G45" i="18"/>
  <c r="F45" i="18"/>
  <c r="G44" i="18"/>
  <c r="F44" i="18"/>
  <c r="G43" i="18"/>
  <c r="F43" i="18"/>
  <c r="G42" i="18"/>
  <c r="F42" i="18"/>
  <c r="G41" i="18"/>
  <c r="F41" i="18"/>
  <c r="G40" i="18"/>
  <c r="F40" i="18"/>
  <c r="G39" i="18"/>
  <c r="F39" i="18"/>
  <c r="G38" i="18"/>
  <c r="F38" i="18"/>
  <c r="G37" i="18"/>
  <c r="F37" i="18"/>
  <c r="G36" i="18"/>
  <c r="F36" i="18"/>
  <c r="G35" i="18"/>
  <c r="F35" i="18"/>
  <c r="G34" i="18"/>
  <c r="F34" i="18"/>
  <c r="G33" i="18"/>
  <c r="F33" i="18"/>
  <c r="G32" i="18"/>
  <c r="F32" i="18"/>
  <c r="G31" i="18"/>
  <c r="F31" i="18"/>
  <c r="G30" i="18"/>
  <c r="F30" i="18"/>
  <c r="G29" i="18"/>
  <c r="F29" i="18"/>
  <c r="G28" i="18"/>
  <c r="F28" i="18"/>
  <c r="G27" i="18"/>
  <c r="F27" i="18"/>
  <c r="G26" i="18"/>
  <c r="F26" i="18"/>
  <c r="G25" i="18"/>
  <c r="F25" i="18"/>
  <c r="G24" i="18"/>
  <c r="F24" i="18"/>
  <c r="G23" i="18"/>
  <c r="F23" i="18"/>
  <c r="G22" i="18"/>
  <c r="F22" i="18"/>
  <c r="G21" i="18"/>
  <c r="F21" i="18"/>
  <c r="G20" i="18"/>
  <c r="F20" i="18"/>
  <c r="G19" i="18"/>
  <c r="F19" i="18"/>
  <c r="G18" i="18"/>
  <c r="F18" i="18"/>
  <c r="G17" i="18"/>
  <c r="F17" i="18"/>
  <c r="G16" i="18"/>
  <c r="F16" i="18"/>
  <c r="G15" i="18"/>
  <c r="F15" i="18"/>
  <c r="G14" i="18"/>
  <c r="F14" i="18"/>
  <c r="G13" i="18"/>
  <c r="F13" i="18"/>
  <c r="G12" i="18"/>
  <c r="F12" i="18"/>
  <c r="G11" i="18"/>
  <c r="F11" i="18"/>
  <c r="G10" i="18"/>
  <c r="F10" i="18"/>
  <c r="G9" i="18"/>
  <c r="F9" i="18"/>
  <c r="H161" i="17"/>
  <c r="G161" i="17"/>
  <c r="H160" i="17"/>
  <c r="G160" i="17"/>
  <c r="H159" i="17"/>
  <c r="G159" i="17"/>
  <c r="H158" i="17"/>
  <c r="G158" i="17"/>
  <c r="H157" i="17"/>
  <c r="G157" i="17"/>
  <c r="H156" i="17"/>
  <c r="G156" i="17"/>
  <c r="H155" i="17"/>
  <c r="G155" i="17"/>
  <c r="H154" i="17"/>
  <c r="G154" i="17"/>
  <c r="H153" i="17"/>
  <c r="G153" i="17"/>
  <c r="H152" i="17"/>
  <c r="G152" i="17"/>
  <c r="H151" i="17"/>
  <c r="G151" i="17"/>
  <c r="G150" i="17"/>
  <c r="H149" i="17"/>
  <c r="G149" i="17"/>
  <c r="H148" i="17"/>
  <c r="G148" i="17"/>
  <c r="H147" i="17"/>
  <c r="G147" i="17"/>
  <c r="H146" i="17"/>
  <c r="G146" i="17"/>
  <c r="H145" i="17"/>
  <c r="G145" i="17"/>
  <c r="H144" i="17"/>
  <c r="G144" i="17"/>
  <c r="H143" i="17"/>
  <c r="G143" i="17"/>
  <c r="H142" i="17"/>
  <c r="G142" i="17"/>
  <c r="H141" i="17"/>
  <c r="G141" i="17"/>
  <c r="H140" i="17"/>
  <c r="G140" i="17"/>
  <c r="H139" i="17"/>
  <c r="G139" i="17"/>
  <c r="H138" i="17"/>
  <c r="G138" i="17"/>
  <c r="H137" i="17"/>
  <c r="G137" i="17"/>
  <c r="H136" i="17"/>
  <c r="G136" i="17"/>
  <c r="H135" i="17"/>
  <c r="G135" i="17"/>
  <c r="H134" i="17"/>
  <c r="G134" i="17"/>
  <c r="H133" i="17"/>
  <c r="G133" i="17"/>
  <c r="H132" i="17"/>
  <c r="G132" i="17"/>
  <c r="H131" i="17"/>
  <c r="G131" i="17"/>
  <c r="H130" i="17"/>
  <c r="G130" i="17"/>
  <c r="H129" i="17"/>
  <c r="G129" i="17"/>
  <c r="H128" i="17"/>
  <c r="G128" i="17"/>
  <c r="H127" i="17"/>
  <c r="G127" i="17"/>
  <c r="H126" i="17"/>
  <c r="G126" i="17"/>
  <c r="H125" i="17"/>
  <c r="G125" i="17"/>
  <c r="H124" i="17"/>
  <c r="G124" i="17"/>
  <c r="H123" i="17"/>
  <c r="G123" i="17"/>
  <c r="H122" i="17"/>
  <c r="G122" i="17"/>
  <c r="H121" i="17"/>
  <c r="G121" i="17"/>
  <c r="H120" i="17"/>
  <c r="G120" i="17"/>
  <c r="H119" i="17"/>
  <c r="H118" i="17"/>
  <c r="G118" i="17"/>
  <c r="H117" i="17"/>
  <c r="G117" i="17"/>
  <c r="H116" i="17"/>
  <c r="G116" i="17"/>
  <c r="H115" i="17"/>
  <c r="G115" i="17"/>
  <c r="H114" i="17"/>
  <c r="G114" i="17"/>
  <c r="H113" i="17"/>
  <c r="G113" i="17"/>
  <c r="H112" i="17"/>
  <c r="G112" i="17"/>
  <c r="H111" i="17"/>
  <c r="G111" i="17"/>
  <c r="H110" i="17"/>
  <c r="G110" i="17"/>
  <c r="H109" i="17"/>
  <c r="G109" i="17"/>
  <c r="H108" i="17"/>
  <c r="G108" i="17"/>
  <c r="H107" i="17"/>
  <c r="G107" i="17"/>
  <c r="H106" i="17"/>
  <c r="G106" i="17"/>
  <c r="H105" i="17"/>
  <c r="G105" i="17"/>
  <c r="H104" i="17"/>
  <c r="G104" i="17"/>
  <c r="H103" i="17"/>
  <c r="G103" i="17"/>
  <c r="H102" i="17"/>
  <c r="G102" i="17"/>
  <c r="H101" i="17"/>
  <c r="G101" i="17"/>
  <c r="H100" i="17"/>
  <c r="G100" i="17"/>
  <c r="H99" i="17"/>
  <c r="G99" i="17"/>
  <c r="H98" i="17"/>
  <c r="G98" i="17"/>
  <c r="H97" i="17"/>
  <c r="G97" i="17"/>
  <c r="H96" i="17"/>
  <c r="G96" i="17"/>
  <c r="H95" i="17"/>
  <c r="G95" i="17"/>
  <c r="H94" i="17"/>
  <c r="G94" i="17"/>
  <c r="H93" i="17"/>
  <c r="H92" i="17"/>
  <c r="G92" i="17"/>
  <c r="H91" i="17"/>
  <c r="G91" i="17"/>
  <c r="H90" i="17"/>
  <c r="G90" i="17"/>
  <c r="H89" i="17"/>
  <c r="G89" i="17"/>
  <c r="H88" i="17"/>
  <c r="G88" i="17"/>
  <c r="H87" i="17"/>
  <c r="G87" i="17"/>
  <c r="H86" i="17"/>
  <c r="G86" i="17"/>
  <c r="H85" i="17"/>
  <c r="G85" i="17"/>
  <c r="H84" i="17"/>
  <c r="G84" i="17"/>
  <c r="H83" i="17"/>
  <c r="G83" i="17"/>
  <c r="H82" i="17"/>
  <c r="G82" i="17"/>
  <c r="H81" i="17"/>
  <c r="G81" i="17"/>
  <c r="H80" i="17"/>
  <c r="G80" i="17"/>
  <c r="H79" i="17"/>
  <c r="G79" i="17"/>
  <c r="H78" i="17"/>
  <c r="G78" i="17"/>
  <c r="H77" i="17"/>
  <c r="G77" i="17"/>
  <c r="H76" i="17"/>
  <c r="G76" i="17"/>
  <c r="H75" i="17"/>
  <c r="G75" i="17"/>
  <c r="H74" i="17"/>
  <c r="G74" i="17"/>
  <c r="H73" i="17"/>
  <c r="G73" i="17"/>
  <c r="H72" i="17"/>
  <c r="G72" i="17"/>
  <c r="H71" i="17"/>
  <c r="G71" i="17"/>
  <c r="H70" i="17"/>
  <c r="G70" i="17"/>
  <c r="H69" i="17"/>
  <c r="G69" i="17"/>
  <c r="H68" i="17"/>
  <c r="G68" i="17"/>
  <c r="H67" i="17"/>
  <c r="G67" i="17"/>
  <c r="H66" i="17"/>
  <c r="G66" i="17"/>
  <c r="H65" i="17"/>
  <c r="G65" i="17"/>
  <c r="H64" i="17"/>
  <c r="G64" i="17"/>
  <c r="H63" i="17"/>
  <c r="G63" i="17"/>
  <c r="H62" i="17"/>
  <c r="G62" i="17"/>
  <c r="H61" i="17"/>
  <c r="G61" i="17"/>
  <c r="H60" i="17"/>
  <c r="G60" i="17"/>
  <c r="H59" i="17"/>
  <c r="G59" i="17"/>
  <c r="H58" i="17"/>
  <c r="G58" i="17"/>
  <c r="H57" i="17"/>
  <c r="G57" i="17"/>
  <c r="H56" i="17"/>
  <c r="G56" i="17"/>
  <c r="H55" i="17"/>
  <c r="G55" i="17"/>
  <c r="H54" i="17"/>
  <c r="G54" i="17"/>
  <c r="H53" i="17"/>
  <c r="G53" i="17"/>
  <c r="H52" i="17"/>
  <c r="G52" i="17"/>
  <c r="H51" i="17"/>
  <c r="G51" i="17"/>
  <c r="H50" i="17"/>
  <c r="G50" i="17"/>
  <c r="H49" i="17"/>
  <c r="G49" i="17"/>
  <c r="H48" i="17"/>
  <c r="G48" i="17"/>
  <c r="H47" i="17"/>
  <c r="G47" i="17"/>
  <c r="H46" i="17"/>
  <c r="G46" i="17"/>
  <c r="H45" i="17"/>
  <c r="G45" i="17"/>
  <c r="H44" i="17"/>
  <c r="G44" i="17"/>
  <c r="H43" i="17"/>
  <c r="G43" i="17"/>
  <c r="H42" i="17"/>
  <c r="G42" i="17"/>
  <c r="H41" i="17"/>
  <c r="G41" i="17"/>
  <c r="H40" i="17"/>
  <c r="G40" i="17"/>
  <c r="H39" i="17"/>
  <c r="G39" i="17"/>
  <c r="H38" i="17"/>
  <c r="G38" i="17"/>
  <c r="H37" i="17"/>
  <c r="G37" i="17"/>
  <c r="H36" i="17"/>
  <c r="G36" i="17"/>
  <c r="H35" i="17"/>
  <c r="G35" i="17"/>
  <c r="H34" i="17"/>
  <c r="G34" i="17"/>
  <c r="H33" i="17"/>
  <c r="G33" i="17"/>
  <c r="H32" i="17"/>
  <c r="G32" i="17"/>
  <c r="H31" i="17"/>
  <c r="G31" i="17"/>
  <c r="H30" i="17"/>
  <c r="G30" i="17"/>
  <c r="H29" i="17"/>
  <c r="G29" i="17"/>
  <c r="H28" i="17"/>
  <c r="G28" i="17"/>
  <c r="H27" i="17"/>
  <c r="G27" i="17"/>
  <c r="H26" i="17"/>
  <c r="G26" i="17"/>
  <c r="H25" i="17"/>
  <c r="G25" i="17"/>
  <c r="H24" i="17"/>
  <c r="G24" i="17"/>
  <c r="H23" i="17"/>
  <c r="G23" i="17"/>
  <c r="H22" i="17"/>
  <c r="G22" i="17"/>
  <c r="H21" i="17"/>
  <c r="G21" i="17"/>
  <c r="H20" i="17"/>
  <c r="G20" i="17"/>
  <c r="H19" i="17"/>
  <c r="G19" i="17"/>
  <c r="H18" i="17"/>
  <c r="G18" i="17"/>
  <c r="H17" i="17"/>
  <c r="G17" i="17"/>
  <c r="H16" i="17"/>
  <c r="G16" i="17"/>
  <c r="H15" i="17"/>
  <c r="G15" i="17"/>
  <c r="H14" i="17"/>
  <c r="G14" i="17"/>
  <c r="H13" i="17"/>
  <c r="G13" i="17"/>
  <c r="H12" i="17"/>
  <c r="G12" i="17"/>
  <c r="H11" i="17"/>
  <c r="G11" i="17"/>
  <c r="H10" i="17"/>
  <c r="G10" i="17"/>
  <c r="H9" i="17"/>
  <c r="G9" i="17"/>
  <c r="H179" i="16"/>
  <c r="G179" i="16"/>
  <c r="H178" i="16"/>
  <c r="G178" i="16"/>
  <c r="H177" i="16"/>
  <c r="G177" i="16"/>
  <c r="H176" i="16"/>
  <c r="G176" i="16"/>
  <c r="H175" i="16"/>
  <c r="G175" i="16"/>
  <c r="H174" i="16"/>
  <c r="G174" i="16"/>
  <c r="H173" i="16"/>
  <c r="G173" i="16"/>
  <c r="H172" i="16"/>
  <c r="G172" i="16"/>
  <c r="H171" i="16"/>
  <c r="G171" i="16"/>
  <c r="H170" i="16"/>
  <c r="G170" i="16"/>
  <c r="H169" i="16"/>
  <c r="G169" i="16"/>
  <c r="H168" i="16"/>
  <c r="G168" i="16"/>
  <c r="H167" i="16"/>
  <c r="G167" i="16"/>
  <c r="H166" i="16"/>
  <c r="G166" i="16"/>
  <c r="G165" i="16"/>
  <c r="H164" i="16"/>
  <c r="G164" i="16"/>
  <c r="H163" i="16"/>
  <c r="G163" i="16"/>
  <c r="H162" i="16"/>
  <c r="G162" i="16"/>
  <c r="H161" i="16"/>
  <c r="G161" i="16"/>
  <c r="H160" i="16"/>
  <c r="G160" i="16"/>
  <c r="H159" i="16"/>
  <c r="G159" i="16"/>
  <c r="H158" i="16"/>
  <c r="G158" i="16"/>
  <c r="H157" i="16"/>
  <c r="G157" i="16"/>
  <c r="H156" i="16"/>
  <c r="G156" i="16"/>
  <c r="H155" i="16"/>
  <c r="G155" i="16"/>
  <c r="H154" i="16"/>
  <c r="G154" i="16"/>
  <c r="H153" i="16"/>
  <c r="G153" i="16"/>
  <c r="H152" i="16"/>
  <c r="G152" i="16"/>
  <c r="H151" i="16"/>
  <c r="G151" i="16"/>
  <c r="H150" i="16"/>
  <c r="G150" i="16"/>
  <c r="H149" i="16"/>
  <c r="G149" i="16"/>
  <c r="H148" i="16"/>
  <c r="G148" i="16"/>
  <c r="H147" i="16"/>
  <c r="G147" i="16"/>
  <c r="H146" i="16"/>
  <c r="G146" i="16"/>
  <c r="H145" i="16"/>
  <c r="G145" i="16"/>
  <c r="H144" i="16"/>
  <c r="G144" i="16"/>
  <c r="H143" i="16"/>
  <c r="G143" i="16"/>
  <c r="H142" i="16"/>
  <c r="G142" i="16"/>
  <c r="H141" i="16"/>
  <c r="G141" i="16"/>
  <c r="H140" i="16"/>
  <c r="G140" i="16"/>
  <c r="H139" i="16"/>
  <c r="G139" i="16"/>
  <c r="H138" i="16"/>
  <c r="G138" i="16"/>
  <c r="H137" i="16"/>
  <c r="G137" i="16"/>
  <c r="H136" i="16"/>
  <c r="G136" i="16"/>
  <c r="H135" i="16"/>
  <c r="G135" i="16"/>
  <c r="H134" i="16"/>
  <c r="G134" i="16"/>
  <c r="H133" i="16"/>
  <c r="G133" i="16"/>
  <c r="H132" i="16"/>
  <c r="G132" i="16"/>
  <c r="H131" i="16"/>
  <c r="G131" i="16"/>
  <c r="H130" i="16"/>
  <c r="G130" i="16"/>
  <c r="H129" i="16"/>
  <c r="G129" i="16"/>
  <c r="H128" i="16"/>
  <c r="G128" i="16"/>
  <c r="H127" i="16"/>
  <c r="G127" i="16"/>
  <c r="H126" i="16"/>
  <c r="G126" i="16"/>
  <c r="H125" i="16"/>
  <c r="G125" i="16"/>
  <c r="H124" i="16"/>
  <c r="G124" i="16"/>
  <c r="H123" i="16"/>
  <c r="G123" i="16"/>
  <c r="H122" i="16"/>
  <c r="G122" i="16"/>
  <c r="H121" i="16"/>
  <c r="G121" i="16"/>
  <c r="H120" i="16"/>
  <c r="G120" i="16"/>
  <c r="H119" i="16"/>
  <c r="H118" i="16"/>
  <c r="G118" i="16"/>
  <c r="H117" i="16"/>
  <c r="G117" i="16"/>
  <c r="H116" i="16"/>
  <c r="G116" i="16"/>
  <c r="H115" i="16"/>
  <c r="G115" i="16"/>
  <c r="H114" i="16"/>
  <c r="G114" i="16"/>
  <c r="H113" i="16"/>
  <c r="G113" i="16"/>
  <c r="H112" i="16"/>
  <c r="G112" i="16"/>
  <c r="H111" i="16"/>
  <c r="G111" i="16"/>
  <c r="H110" i="16"/>
  <c r="G110" i="16"/>
  <c r="H109" i="16"/>
  <c r="G109" i="16"/>
  <c r="H108" i="16"/>
  <c r="G108" i="16"/>
  <c r="H107" i="16"/>
  <c r="G107" i="16"/>
  <c r="H106" i="16"/>
  <c r="G106" i="16"/>
  <c r="H105" i="16"/>
  <c r="G105" i="16"/>
  <c r="H104" i="16"/>
  <c r="G104" i="16"/>
  <c r="H103" i="16"/>
  <c r="G103" i="16"/>
  <c r="H102" i="16"/>
  <c r="G102" i="16"/>
  <c r="H101" i="16"/>
  <c r="G101" i="16"/>
  <c r="H100" i="16"/>
  <c r="G100" i="16"/>
  <c r="H99" i="16"/>
  <c r="G99" i="16"/>
  <c r="H98" i="16"/>
  <c r="G98" i="16"/>
  <c r="H97" i="16"/>
  <c r="G97" i="16"/>
  <c r="H96" i="16"/>
  <c r="G96" i="16"/>
  <c r="H95" i="16"/>
  <c r="G95" i="16"/>
  <c r="H94" i="16"/>
  <c r="G94" i="16"/>
  <c r="H93" i="16"/>
  <c r="H92" i="16"/>
  <c r="G92" i="16"/>
  <c r="H91" i="16"/>
  <c r="G91" i="16"/>
  <c r="H90" i="16"/>
  <c r="G90" i="16"/>
  <c r="H89" i="16"/>
  <c r="G89" i="16"/>
  <c r="H88" i="16"/>
  <c r="G88" i="16"/>
  <c r="H87" i="16"/>
  <c r="G87" i="16"/>
  <c r="H86" i="16"/>
  <c r="G86" i="16"/>
  <c r="H85" i="16"/>
  <c r="G85" i="16"/>
  <c r="H84" i="16"/>
  <c r="G84" i="16"/>
  <c r="H83" i="16"/>
  <c r="G83" i="16"/>
  <c r="H82" i="16"/>
  <c r="G82" i="16"/>
  <c r="H81" i="16"/>
  <c r="G81" i="16"/>
  <c r="H80" i="16"/>
  <c r="G80" i="16"/>
  <c r="H79" i="16"/>
  <c r="G79" i="16"/>
  <c r="H78" i="16"/>
  <c r="G78" i="16"/>
  <c r="H77" i="16"/>
  <c r="G77" i="16"/>
  <c r="H76" i="16"/>
  <c r="G76" i="16"/>
  <c r="H75" i="16"/>
  <c r="G75" i="16"/>
  <c r="H74" i="16"/>
  <c r="G74" i="16"/>
  <c r="H73" i="16"/>
  <c r="G73" i="16"/>
  <c r="H72" i="16"/>
  <c r="G72" i="16"/>
  <c r="H71" i="16"/>
  <c r="G71" i="16"/>
  <c r="H70" i="16"/>
  <c r="G70" i="16"/>
  <c r="H69" i="16"/>
  <c r="G69" i="16"/>
  <c r="H68" i="16"/>
  <c r="G68" i="16"/>
  <c r="H67" i="16"/>
  <c r="G67" i="16"/>
  <c r="H66" i="16"/>
  <c r="G66" i="16"/>
  <c r="H65" i="16"/>
  <c r="G65" i="16"/>
  <c r="H64" i="16"/>
  <c r="G64" i="16"/>
  <c r="H63" i="16"/>
  <c r="G63" i="16"/>
  <c r="H62" i="16"/>
  <c r="G62" i="16"/>
  <c r="H61" i="16"/>
  <c r="G61" i="16"/>
  <c r="H60" i="16"/>
  <c r="G60" i="16"/>
  <c r="H59" i="16"/>
  <c r="G59" i="16"/>
  <c r="H58" i="16"/>
  <c r="G58" i="16"/>
  <c r="H57" i="16"/>
  <c r="G57" i="16"/>
  <c r="H56" i="16"/>
  <c r="G56" i="16"/>
  <c r="H55" i="16"/>
  <c r="G55" i="16"/>
  <c r="H54" i="16"/>
  <c r="G54" i="16"/>
  <c r="H53" i="16"/>
  <c r="G53" i="16"/>
  <c r="H52" i="16"/>
  <c r="G52" i="16"/>
  <c r="H51" i="16"/>
  <c r="G51" i="16"/>
  <c r="H50" i="16"/>
  <c r="G50" i="16"/>
  <c r="H49" i="16"/>
  <c r="G49" i="16"/>
  <c r="H48" i="16"/>
  <c r="G48" i="16"/>
  <c r="H47" i="16"/>
  <c r="G47" i="16"/>
  <c r="H46" i="16"/>
  <c r="G46" i="16"/>
  <c r="H45" i="16"/>
  <c r="G45" i="16"/>
  <c r="H44" i="16"/>
  <c r="G44" i="16"/>
  <c r="H43" i="16"/>
  <c r="G43" i="16"/>
  <c r="H42" i="16"/>
  <c r="G42" i="16"/>
  <c r="H41" i="16"/>
  <c r="G41" i="16"/>
  <c r="H40" i="16"/>
  <c r="G40" i="16"/>
  <c r="H39" i="16"/>
  <c r="G39" i="16"/>
  <c r="H38" i="16"/>
  <c r="G38" i="16"/>
  <c r="H37" i="16"/>
  <c r="G37" i="16"/>
  <c r="H36" i="16"/>
  <c r="G36" i="16"/>
  <c r="H35" i="16"/>
  <c r="G35" i="16"/>
  <c r="H34" i="16"/>
  <c r="G34" i="16"/>
  <c r="H33" i="16"/>
  <c r="G33" i="16"/>
  <c r="H32" i="16"/>
  <c r="G32" i="16"/>
  <c r="H31" i="16"/>
  <c r="G31" i="16"/>
  <c r="H30" i="16"/>
  <c r="G30" i="16"/>
  <c r="H29" i="16"/>
  <c r="G29" i="16"/>
  <c r="H28" i="16"/>
  <c r="G28" i="16"/>
  <c r="H27" i="16"/>
  <c r="G27" i="16"/>
  <c r="H26" i="16"/>
  <c r="G26" i="16"/>
  <c r="H25" i="16"/>
  <c r="G25" i="16"/>
  <c r="H24" i="16"/>
  <c r="G24" i="16"/>
  <c r="H23" i="16"/>
  <c r="G23" i="16"/>
  <c r="H22" i="16"/>
  <c r="G22" i="16"/>
  <c r="H21" i="16"/>
  <c r="G21" i="16"/>
  <c r="H20" i="16"/>
  <c r="G20" i="16"/>
  <c r="H19" i="16"/>
  <c r="G19" i="16"/>
  <c r="H18" i="16"/>
  <c r="G18" i="16"/>
  <c r="H17" i="16"/>
  <c r="G17" i="16"/>
  <c r="H16" i="16"/>
  <c r="G16" i="16"/>
  <c r="H15" i="16"/>
  <c r="G15" i="16"/>
  <c r="H14" i="16"/>
  <c r="G14" i="16"/>
  <c r="H13" i="16"/>
  <c r="G13" i="16"/>
  <c r="H12" i="16"/>
  <c r="G12" i="16"/>
  <c r="H11" i="16"/>
  <c r="G11" i="16"/>
  <c r="H10" i="16"/>
  <c r="G10" i="16"/>
  <c r="H9" i="16"/>
  <c r="G9" i="16"/>
  <c r="H185" i="15"/>
  <c r="G185" i="15"/>
  <c r="H184" i="15"/>
  <c r="G184" i="15"/>
  <c r="H183" i="15"/>
  <c r="G183" i="15"/>
  <c r="H182" i="15"/>
  <c r="G182" i="15"/>
  <c r="H181" i="15"/>
  <c r="G181" i="15"/>
  <c r="H180" i="15"/>
  <c r="G180" i="15"/>
  <c r="H179" i="15"/>
  <c r="G179" i="15"/>
  <c r="H178" i="15"/>
  <c r="G178" i="15"/>
  <c r="H177" i="15"/>
  <c r="G177" i="15"/>
  <c r="H176" i="15"/>
  <c r="G176" i="15"/>
  <c r="H175" i="15"/>
  <c r="G175" i="15"/>
  <c r="H174" i="15"/>
  <c r="G174" i="15"/>
  <c r="H173" i="15"/>
  <c r="G173" i="15"/>
  <c r="H172" i="15"/>
  <c r="G172" i="15"/>
  <c r="H171" i="15"/>
  <c r="G171" i="15"/>
  <c r="H170" i="15"/>
  <c r="G170" i="15"/>
  <c r="H169" i="15"/>
  <c r="G169" i="15"/>
  <c r="H168" i="15"/>
  <c r="G168" i="15"/>
  <c r="H167" i="15"/>
  <c r="G167" i="15"/>
  <c r="H166" i="15"/>
  <c r="G166" i="15"/>
  <c r="H165" i="15"/>
  <c r="G165" i="15"/>
  <c r="H164" i="15"/>
  <c r="G164" i="15"/>
  <c r="H163" i="15"/>
  <c r="G163" i="15"/>
  <c r="G162" i="15"/>
  <c r="H161" i="15"/>
  <c r="G161" i="15"/>
  <c r="H160" i="15"/>
  <c r="G160" i="15"/>
  <c r="H159" i="15"/>
  <c r="G159" i="15"/>
  <c r="H158" i="15"/>
  <c r="G158" i="15"/>
  <c r="H157" i="15"/>
  <c r="G157" i="15"/>
  <c r="H156" i="15"/>
  <c r="G156" i="15"/>
  <c r="H155" i="15"/>
  <c r="G155" i="15"/>
  <c r="H154" i="15"/>
  <c r="G154" i="15"/>
  <c r="H153" i="15"/>
  <c r="G153" i="15"/>
  <c r="H152" i="15"/>
  <c r="G152" i="15"/>
  <c r="H151" i="15"/>
  <c r="G151" i="15"/>
  <c r="H150" i="15"/>
  <c r="G150" i="15"/>
  <c r="H149" i="15"/>
  <c r="G149" i="15"/>
  <c r="H148" i="15"/>
  <c r="G148" i="15"/>
  <c r="H147" i="15"/>
  <c r="G147" i="15"/>
  <c r="H146" i="15"/>
  <c r="G146" i="15"/>
  <c r="H145" i="15"/>
  <c r="G145" i="15"/>
  <c r="H144" i="15"/>
  <c r="G144" i="15"/>
  <c r="H143" i="15"/>
  <c r="G143" i="15"/>
  <c r="H142" i="15"/>
  <c r="G142" i="15"/>
  <c r="H141" i="15"/>
  <c r="G141" i="15"/>
  <c r="H140" i="15"/>
  <c r="G140" i="15"/>
  <c r="H139" i="15"/>
  <c r="G139" i="15"/>
  <c r="H138" i="15"/>
  <c r="G138" i="15"/>
  <c r="H137" i="15"/>
  <c r="G137" i="15"/>
  <c r="H136" i="15"/>
  <c r="G136" i="15"/>
  <c r="H135" i="15"/>
  <c r="G135" i="15"/>
  <c r="H134" i="15"/>
  <c r="G134" i="15"/>
  <c r="H133" i="15"/>
  <c r="G133" i="15"/>
  <c r="H132" i="15"/>
  <c r="G132" i="15"/>
  <c r="H131" i="15"/>
  <c r="G131" i="15"/>
  <c r="H130" i="15"/>
  <c r="G130" i="15"/>
  <c r="H129" i="15"/>
  <c r="G129" i="15"/>
  <c r="H128" i="15"/>
  <c r="G128" i="15"/>
  <c r="H127" i="15"/>
  <c r="G127" i="15"/>
  <c r="H126" i="15"/>
  <c r="G126" i="15"/>
  <c r="H125" i="15"/>
  <c r="G125" i="15"/>
  <c r="H124" i="15"/>
  <c r="G124" i="15"/>
  <c r="H123" i="15"/>
  <c r="G123" i="15"/>
  <c r="H122" i="15"/>
  <c r="G122" i="15"/>
  <c r="H121" i="15"/>
  <c r="G121" i="15"/>
  <c r="H120" i="15"/>
  <c r="G120" i="15"/>
  <c r="H119" i="15"/>
  <c r="G119" i="15"/>
  <c r="H118" i="15"/>
  <c r="G118" i="15"/>
  <c r="H117" i="15"/>
  <c r="H116" i="15"/>
  <c r="G116" i="15"/>
  <c r="H115" i="15"/>
  <c r="G115" i="15"/>
  <c r="H114" i="15"/>
  <c r="G114" i="15"/>
  <c r="H113" i="15"/>
  <c r="G113" i="15"/>
  <c r="H112" i="15"/>
  <c r="G112" i="15"/>
  <c r="H111" i="15"/>
  <c r="G111" i="15"/>
  <c r="H110" i="15"/>
  <c r="G110" i="15"/>
  <c r="H109" i="15"/>
  <c r="G109" i="15"/>
  <c r="H108" i="15"/>
  <c r="G108" i="15"/>
  <c r="H107" i="15"/>
  <c r="G107" i="15"/>
  <c r="H106" i="15"/>
  <c r="G106" i="15"/>
  <c r="H105" i="15"/>
  <c r="G105" i="15"/>
  <c r="H104" i="15"/>
  <c r="G104" i="15"/>
  <c r="H103" i="15"/>
  <c r="G103" i="15"/>
  <c r="H102" i="15"/>
  <c r="G102" i="15"/>
  <c r="H101" i="15"/>
  <c r="G101" i="15"/>
  <c r="H100" i="15"/>
  <c r="G100" i="15"/>
  <c r="H99" i="15"/>
  <c r="G99" i="15"/>
  <c r="H98" i="15"/>
  <c r="G98" i="15"/>
  <c r="H97" i="15"/>
  <c r="G97" i="15"/>
  <c r="H96" i="15"/>
  <c r="G96" i="15"/>
  <c r="H95" i="15"/>
  <c r="G95" i="15"/>
  <c r="H94" i="15"/>
  <c r="G94" i="15"/>
  <c r="H93" i="15"/>
  <c r="H92" i="15"/>
  <c r="G92" i="15"/>
  <c r="H91" i="15"/>
  <c r="G91" i="15"/>
  <c r="H90" i="15"/>
  <c r="G90" i="15"/>
  <c r="H89" i="15"/>
  <c r="G89" i="15"/>
  <c r="H88" i="15"/>
  <c r="G88" i="15"/>
  <c r="H87" i="15"/>
  <c r="G87" i="15"/>
  <c r="H86" i="15"/>
  <c r="G86" i="15"/>
  <c r="H85" i="15"/>
  <c r="G85" i="15"/>
  <c r="H84" i="15"/>
  <c r="G84" i="15"/>
  <c r="H83" i="15"/>
  <c r="G83" i="15"/>
  <c r="H82" i="15"/>
  <c r="G82" i="15"/>
  <c r="H81" i="15"/>
  <c r="G81" i="15"/>
  <c r="H80" i="15"/>
  <c r="G80" i="15"/>
  <c r="H79" i="15"/>
  <c r="G79" i="15"/>
  <c r="H78" i="15"/>
  <c r="G78" i="15"/>
  <c r="H77" i="15"/>
  <c r="G77" i="15"/>
  <c r="H76" i="15"/>
  <c r="G76" i="15"/>
  <c r="H75" i="15"/>
  <c r="G75" i="15"/>
  <c r="H74" i="15"/>
  <c r="G74" i="15"/>
  <c r="H73" i="15"/>
  <c r="G73" i="15"/>
  <c r="H72" i="15"/>
  <c r="G72" i="15"/>
  <c r="H71" i="15"/>
  <c r="G71" i="15"/>
  <c r="H70" i="15"/>
  <c r="G70" i="15"/>
  <c r="H69" i="15"/>
  <c r="G69" i="15"/>
  <c r="H68" i="15"/>
  <c r="G68" i="15"/>
  <c r="H67" i="15"/>
  <c r="G67" i="15"/>
  <c r="H66" i="15"/>
  <c r="G66" i="15"/>
  <c r="H65" i="15"/>
  <c r="G65" i="15"/>
  <c r="H64" i="15"/>
  <c r="G64" i="15"/>
  <c r="H63" i="15"/>
  <c r="G63" i="15"/>
  <c r="H62" i="15"/>
  <c r="G62" i="15"/>
  <c r="H61" i="15"/>
  <c r="G61" i="15"/>
  <c r="H60" i="15"/>
  <c r="G60" i="15"/>
  <c r="H59" i="15"/>
  <c r="G59" i="15"/>
  <c r="H58" i="15"/>
  <c r="G58" i="15"/>
  <c r="H57" i="15"/>
  <c r="G57" i="15"/>
  <c r="H56" i="15"/>
  <c r="G56" i="15"/>
  <c r="H55" i="15"/>
  <c r="G55" i="15"/>
  <c r="H54" i="15"/>
  <c r="G54" i="15"/>
  <c r="H53" i="15"/>
  <c r="G53" i="15"/>
  <c r="H52" i="15"/>
  <c r="G52" i="15"/>
  <c r="H51" i="15"/>
  <c r="G51" i="15"/>
  <c r="H50" i="15"/>
  <c r="G50" i="15"/>
  <c r="H49" i="15"/>
  <c r="G49" i="15"/>
  <c r="H48" i="15"/>
  <c r="G48" i="15"/>
  <c r="H47" i="15"/>
  <c r="G47" i="15"/>
  <c r="H46" i="15"/>
  <c r="G46" i="15"/>
  <c r="H45" i="15"/>
  <c r="G45" i="15"/>
  <c r="H44" i="15"/>
  <c r="G44" i="15"/>
  <c r="H43" i="15"/>
  <c r="G43" i="15"/>
  <c r="H42" i="15"/>
  <c r="G42" i="15"/>
  <c r="H41" i="15"/>
  <c r="G41" i="15"/>
  <c r="H40" i="15"/>
  <c r="G40" i="15"/>
  <c r="H39" i="15"/>
  <c r="G39" i="15"/>
  <c r="H38" i="15"/>
  <c r="G38" i="15"/>
  <c r="H37" i="15"/>
  <c r="G37" i="15"/>
  <c r="H36" i="15"/>
  <c r="G36" i="15"/>
  <c r="H35" i="15"/>
  <c r="G35" i="15"/>
  <c r="H34" i="15"/>
  <c r="G34" i="15"/>
  <c r="H33" i="15"/>
  <c r="G33" i="15"/>
  <c r="H32" i="15"/>
  <c r="G32" i="15"/>
  <c r="H31" i="15"/>
  <c r="G31" i="15"/>
  <c r="H30" i="15"/>
  <c r="G30" i="15"/>
  <c r="H29" i="15"/>
  <c r="G29" i="15"/>
  <c r="H28" i="15"/>
  <c r="G28" i="15"/>
  <c r="H27" i="15"/>
  <c r="G27" i="15"/>
  <c r="H26" i="15"/>
  <c r="G26" i="15"/>
  <c r="H25" i="15"/>
  <c r="G25" i="15"/>
  <c r="H24" i="15"/>
  <c r="G24" i="15"/>
  <c r="H23" i="15"/>
  <c r="G23" i="15"/>
  <c r="H22" i="15"/>
  <c r="G22" i="15"/>
  <c r="H21" i="15"/>
  <c r="G21" i="15"/>
  <c r="H20" i="15"/>
  <c r="G20" i="15"/>
  <c r="H19" i="15"/>
  <c r="G19" i="15"/>
  <c r="H18" i="15"/>
  <c r="G18" i="15"/>
  <c r="H17" i="15"/>
  <c r="G17" i="15"/>
  <c r="H16" i="15"/>
  <c r="G16" i="15"/>
  <c r="H15" i="15"/>
  <c r="G15" i="15"/>
  <c r="H14" i="15"/>
  <c r="G14" i="15"/>
  <c r="H13" i="15"/>
  <c r="G13" i="15"/>
  <c r="H12" i="15"/>
  <c r="G12" i="15"/>
  <c r="H11" i="15"/>
  <c r="G11" i="15"/>
  <c r="H10" i="15"/>
  <c r="G10" i="15"/>
  <c r="H9" i="15"/>
  <c r="G9" i="15"/>
  <c r="H163" i="14"/>
  <c r="G163" i="14"/>
  <c r="H162" i="14"/>
  <c r="G162" i="14"/>
  <c r="H161" i="14"/>
  <c r="G161" i="14"/>
  <c r="H160" i="14"/>
  <c r="G160" i="14"/>
  <c r="H159" i="14"/>
  <c r="G159" i="14"/>
  <c r="H158" i="14"/>
  <c r="G158" i="14"/>
  <c r="H157" i="14"/>
  <c r="G157" i="14"/>
  <c r="H156" i="14"/>
  <c r="G156" i="14"/>
  <c r="H155" i="14"/>
  <c r="G155" i="14"/>
  <c r="H154" i="14"/>
  <c r="G154" i="14"/>
  <c r="H153" i="14"/>
  <c r="G153" i="14"/>
  <c r="H152" i="14"/>
  <c r="G152" i="14"/>
  <c r="H151" i="14"/>
  <c r="G151" i="14"/>
  <c r="H150" i="14"/>
  <c r="G150" i="14"/>
  <c r="H149" i="14"/>
  <c r="G149" i="14"/>
  <c r="H148" i="14"/>
  <c r="G148" i="14"/>
  <c r="H147" i="14"/>
  <c r="G147" i="14"/>
  <c r="H146" i="14"/>
  <c r="G146" i="14"/>
  <c r="G145" i="14"/>
  <c r="H144" i="14"/>
  <c r="G144" i="14"/>
  <c r="H143" i="14"/>
  <c r="G143" i="14"/>
  <c r="H142" i="14"/>
  <c r="G142" i="14"/>
  <c r="H141" i="14"/>
  <c r="G141" i="14"/>
  <c r="H140" i="14"/>
  <c r="G140" i="14"/>
  <c r="H139" i="14"/>
  <c r="G139" i="14"/>
  <c r="H138" i="14"/>
  <c r="G138" i="14"/>
  <c r="H137" i="14"/>
  <c r="G137" i="14"/>
  <c r="H136" i="14"/>
  <c r="G136" i="14"/>
  <c r="H135" i="14"/>
  <c r="G135" i="14"/>
  <c r="H134" i="14"/>
  <c r="G134" i="14"/>
  <c r="H133" i="14"/>
  <c r="G133" i="14"/>
  <c r="H132" i="14"/>
  <c r="G132" i="14"/>
  <c r="H131" i="14"/>
  <c r="G131" i="14"/>
  <c r="H130" i="14"/>
  <c r="G130" i="14"/>
  <c r="H129" i="14"/>
  <c r="G129" i="14"/>
  <c r="H128" i="14"/>
  <c r="G128" i="14"/>
  <c r="H127" i="14"/>
  <c r="G127" i="14"/>
  <c r="H126" i="14"/>
  <c r="G126" i="14"/>
  <c r="H125" i="14"/>
  <c r="G125" i="14"/>
  <c r="H124" i="14"/>
  <c r="G124" i="14"/>
  <c r="H123" i="14"/>
  <c r="G123" i="14"/>
  <c r="H122" i="14"/>
  <c r="G122" i="14"/>
  <c r="H121" i="14"/>
  <c r="G121" i="14"/>
  <c r="H120" i="14"/>
  <c r="G120" i="14"/>
  <c r="H119" i="14"/>
  <c r="G119" i="14"/>
  <c r="H118" i="14"/>
  <c r="G118" i="14"/>
  <c r="H117" i="14"/>
  <c r="G117" i="14"/>
  <c r="H116" i="14"/>
  <c r="H115" i="14"/>
  <c r="G115" i="14"/>
  <c r="H114" i="14"/>
  <c r="G114" i="14"/>
  <c r="H113" i="14"/>
  <c r="G113" i="14"/>
  <c r="H112" i="14"/>
  <c r="G112" i="14"/>
  <c r="H111" i="14"/>
  <c r="G111" i="14"/>
  <c r="H110" i="14"/>
  <c r="G110" i="14"/>
  <c r="H109" i="14"/>
  <c r="G109" i="14"/>
  <c r="H108" i="14"/>
  <c r="G108" i="14"/>
  <c r="H107" i="14"/>
  <c r="G107" i="14"/>
  <c r="H106" i="14"/>
  <c r="G106" i="14"/>
  <c r="H105" i="14"/>
  <c r="G105" i="14"/>
  <c r="H104" i="14"/>
  <c r="G104" i="14"/>
  <c r="H103" i="14"/>
  <c r="G103" i="14"/>
  <c r="H102" i="14"/>
  <c r="G102" i="14"/>
  <c r="H101" i="14"/>
  <c r="G101" i="14"/>
  <c r="H100" i="14"/>
  <c r="G100" i="14"/>
  <c r="H99" i="14"/>
  <c r="G99" i="14"/>
  <c r="H98" i="14"/>
  <c r="G98" i="14"/>
  <c r="H97" i="14"/>
  <c r="G97" i="14"/>
  <c r="H96" i="14"/>
  <c r="G96" i="14"/>
  <c r="H95" i="14"/>
  <c r="G95" i="14"/>
  <c r="H94" i="14"/>
  <c r="G94" i="14"/>
  <c r="H93" i="14"/>
  <c r="H92" i="14"/>
  <c r="G92" i="14"/>
  <c r="H91" i="14"/>
  <c r="G91" i="14"/>
  <c r="H90" i="14"/>
  <c r="G90" i="14"/>
  <c r="H89" i="14"/>
  <c r="G89" i="14"/>
  <c r="H88" i="14"/>
  <c r="G88" i="14"/>
  <c r="H87" i="14"/>
  <c r="G87" i="14"/>
  <c r="H86" i="14"/>
  <c r="G86" i="14"/>
  <c r="H85" i="14"/>
  <c r="G85" i="14"/>
  <c r="H84" i="14"/>
  <c r="G84" i="14"/>
  <c r="H83" i="14"/>
  <c r="G83" i="14"/>
  <c r="H82" i="14"/>
  <c r="G82" i="14"/>
  <c r="H81" i="14"/>
  <c r="G81" i="14"/>
  <c r="H80" i="14"/>
  <c r="G80" i="14"/>
  <c r="H79" i="14"/>
  <c r="G79" i="14"/>
  <c r="H78" i="14"/>
  <c r="G78" i="14"/>
  <c r="H77" i="14"/>
  <c r="G77" i="14"/>
  <c r="H76" i="14"/>
  <c r="G76" i="14"/>
  <c r="H75" i="14"/>
  <c r="G75" i="14"/>
  <c r="H74" i="14"/>
  <c r="G74" i="14"/>
  <c r="H73" i="14"/>
  <c r="G73" i="14"/>
  <c r="H72" i="14"/>
  <c r="G72" i="14"/>
  <c r="H71" i="14"/>
  <c r="G71" i="14"/>
  <c r="H70" i="14"/>
  <c r="G70" i="14"/>
  <c r="H69" i="14"/>
  <c r="G69" i="14"/>
  <c r="H68" i="14"/>
  <c r="G68" i="14"/>
  <c r="H67" i="14"/>
  <c r="G67" i="14"/>
  <c r="H66" i="14"/>
  <c r="G66" i="14"/>
  <c r="H65" i="14"/>
  <c r="G65" i="14"/>
  <c r="H64" i="14"/>
  <c r="G64" i="14"/>
  <c r="H63" i="14"/>
  <c r="G63" i="14"/>
  <c r="H62" i="14"/>
  <c r="G62" i="14"/>
  <c r="H61" i="14"/>
  <c r="G61" i="14"/>
  <c r="H60" i="14"/>
  <c r="G60" i="14"/>
  <c r="H59" i="14"/>
  <c r="G59" i="14"/>
  <c r="H58" i="14"/>
  <c r="G58" i="14"/>
  <c r="H57" i="14"/>
  <c r="G57" i="14"/>
  <c r="H56" i="14"/>
  <c r="G56" i="14"/>
  <c r="H55" i="14"/>
  <c r="G55" i="14"/>
  <c r="H54" i="14"/>
  <c r="G54" i="14"/>
  <c r="H53" i="14"/>
  <c r="G53" i="14"/>
  <c r="H52" i="14"/>
  <c r="G52" i="14"/>
  <c r="H51" i="14"/>
  <c r="G51" i="14"/>
  <c r="H50" i="14"/>
  <c r="G50" i="14"/>
  <c r="H49" i="14"/>
  <c r="G49" i="14"/>
  <c r="H48" i="14"/>
  <c r="G48" i="14"/>
  <c r="H47" i="14"/>
  <c r="G47" i="14"/>
  <c r="H46" i="14"/>
  <c r="G46" i="14"/>
  <c r="H45" i="14"/>
  <c r="G45" i="14"/>
  <c r="H44" i="14"/>
  <c r="G44" i="14"/>
  <c r="H43" i="14"/>
  <c r="G43" i="14"/>
  <c r="H42" i="14"/>
  <c r="G42" i="14"/>
  <c r="H41" i="14"/>
  <c r="G41" i="14"/>
  <c r="H40" i="14"/>
  <c r="G40" i="14"/>
  <c r="H39" i="14"/>
  <c r="G39" i="14"/>
  <c r="H38" i="14"/>
  <c r="G38" i="14"/>
  <c r="H37" i="14"/>
  <c r="G37" i="14"/>
  <c r="H36" i="14"/>
  <c r="G36" i="14"/>
  <c r="H35" i="14"/>
  <c r="G35" i="14"/>
  <c r="H34" i="14"/>
  <c r="G34" i="14"/>
  <c r="H33" i="14"/>
  <c r="G33" i="14"/>
  <c r="H32" i="14"/>
  <c r="G32" i="14"/>
  <c r="H31" i="14"/>
  <c r="G31" i="14"/>
  <c r="H30" i="14"/>
  <c r="G30" i="14"/>
  <c r="H29" i="14"/>
  <c r="G29" i="14"/>
  <c r="H28" i="14"/>
  <c r="G28" i="14"/>
  <c r="H27" i="14"/>
  <c r="G27" i="14"/>
  <c r="H26" i="14"/>
  <c r="G26" i="14"/>
  <c r="H25" i="14"/>
  <c r="G25" i="14"/>
  <c r="H24" i="14"/>
  <c r="G24" i="14"/>
  <c r="H23" i="14"/>
  <c r="G23" i="14"/>
  <c r="H22" i="14"/>
  <c r="G22" i="14"/>
  <c r="H21" i="14"/>
  <c r="G21" i="14"/>
  <c r="H20" i="14"/>
  <c r="G20" i="14"/>
  <c r="H19" i="14"/>
  <c r="G19" i="14"/>
  <c r="H18" i="14"/>
  <c r="G18" i="14"/>
  <c r="H17" i="14"/>
  <c r="G17" i="14"/>
  <c r="H16" i="14"/>
  <c r="G16" i="14"/>
  <c r="H15" i="14"/>
  <c r="G15" i="14"/>
  <c r="H14" i="14"/>
  <c r="G14" i="14"/>
  <c r="H13" i="14"/>
  <c r="G13" i="14"/>
  <c r="H12" i="14"/>
  <c r="G12" i="14"/>
  <c r="H11" i="14"/>
  <c r="G11" i="14"/>
  <c r="H10" i="14"/>
  <c r="G10" i="14"/>
  <c r="H9" i="14"/>
  <c r="G9" i="14"/>
  <c r="H166" i="13"/>
  <c r="G166" i="13"/>
  <c r="H165" i="13"/>
  <c r="G165" i="13"/>
  <c r="H164" i="13"/>
  <c r="G164" i="13"/>
  <c r="H163" i="13"/>
  <c r="G163" i="13"/>
  <c r="H162" i="13"/>
  <c r="G162" i="13"/>
  <c r="H161" i="13"/>
  <c r="G161" i="13"/>
  <c r="H160" i="13"/>
  <c r="G160" i="13"/>
  <c r="H159" i="13"/>
  <c r="G159" i="13"/>
  <c r="H158" i="13"/>
  <c r="G158" i="13"/>
  <c r="H157" i="13"/>
  <c r="G157" i="13"/>
  <c r="H156" i="13"/>
  <c r="G156" i="13"/>
  <c r="H155" i="13"/>
  <c r="G155" i="13"/>
  <c r="H154" i="13"/>
  <c r="G154" i="13"/>
  <c r="H153" i="13"/>
  <c r="G153" i="13"/>
  <c r="H152" i="13"/>
  <c r="G152" i="13"/>
  <c r="H151" i="13"/>
  <c r="G151" i="13"/>
  <c r="H150" i="13"/>
  <c r="G150" i="13"/>
  <c r="H149" i="13"/>
  <c r="G149" i="13"/>
  <c r="H148" i="13"/>
  <c r="G148" i="13"/>
  <c r="H147" i="13"/>
  <c r="G147" i="13"/>
  <c r="G146" i="13"/>
  <c r="H145" i="13"/>
  <c r="G145" i="13"/>
  <c r="H144" i="13"/>
  <c r="G144" i="13"/>
  <c r="H143" i="13"/>
  <c r="G143" i="13"/>
  <c r="H142" i="13"/>
  <c r="G142" i="13"/>
  <c r="H141" i="13"/>
  <c r="G141" i="13"/>
  <c r="H140" i="13"/>
  <c r="G140" i="13"/>
  <c r="H139" i="13"/>
  <c r="G139" i="13"/>
  <c r="H138" i="13"/>
  <c r="G138" i="13"/>
  <c r="H137" i="13"/>
  <c r="G137" i="13"/>
  <c r="H136" i="13"/>
  <c r="G136" i="13"/>
  <c r="H135" i="13"/>
  <c r="G135" i="13"/>
  <c r="H134" i="13"/>
  <c r="G134" i="13"/>
  <c r="H133" i="13"/>
  <c r="G133" i="13"/>
  <c r="H132" i="13"/>
  <c r="G132" i="13"/>
  <c r="H131" i="13"/>
  <c r="G131" i="13"/>
  <c r="H130" i="13"/>
  <c r="G130" i="13"/>
  <c r="H129" i="13"/>
  <c r="G129" i="13"/>
  <c r="H128" i="13"/>
  <c r="G128" i="13"/>
  <c r="H127" i="13"/>
  <c r="G127" i="13"/>
  <c r="H126" i="13"/>
  <c r="G126" i="13"/>
  <c r="H125" i="13"/>
  <c r="G125" i="13"/>
  <c r="H124" i="13"/>
  <c r="G124" i="13"/>
  <c r="H123" i="13"/>
  <c r="G123" i="13"/>
  <c r="H122" i="13"/>
  <c r="G122" i="13"/>
  <c r="H121" i="13"/>
  <c r="G121" i="13"/>
  <c r="H120" i="13"/>
  <c r="G120" i="13"/>
  <c r="H119" i="13"/>
  <c r="G119" i="13"/>
  <c r="H118" i="13"/>
  <c r="G118" i="13"/>
  <c r="H117" i="13"/>
  <c r="G117" i="13"/>
  <c r="H116" i="13"/>
  <c r="H115" i="13"/>
  <c r="G115" i="13"/>
  <c r="H114" i="13"/>
  <c r="G114" i="13"/>
  <c r="H113" i="13"/>
  <c r="G113" i="13"/>
  <c r="H112" i="13"/>
  <c r="G112" i="13"/>
  <c r="H111" i="13"/>
  <c r="G111" i="13"/>
  <c r="H110" i="13"/>
  <c r="G110" i="13"/>
  <c r="H109" i="13"/>
  <c r="G109" i="13"/>
  <c r="H108" i="13"/>
  <c r="G108" i="13"/>
  <c r="H107" i="13"/>
  <c r="G107" i="13"/>
  <c r="H106" i="13"/>
  <c r="G106" i="13"/>
  <c r="H105" i="13"/>
  <c r="G105" i="13"/>
  <c r="H104" i="13"/>
  <c r="G104" i="13"/>
  <c r="H103" i="13"/>
  <c r="G103" i="13"/>
  <c r="H102" i="13"/>
  <c r="G102" i="13"/>
  <c r="H101" i="13"/>
  <c r="G101" i="13"/>
  <c r="H100" i="13"/>
  <c r="G100" i="13"/>
  <c r="H99" i="13"/>
  <c r="G99" i="13"/>
  <c r="H98" i="13"/>
  <c r="G98" i="13"/>
  <c r="H97" i="13"/>
  <c r="G97" i="13"/>
  <c r="H96" i="13"/>
  <c r="G96" i="13"/>
  <c r="H95" i="13"/>
  <c r="G95" i="13"/>
  <c r="H94" i="13"/>
  <c r="G94" i="13"/>
  <c r="H93" i="13"/>
  <c r="H92" i="13"/>
  <c r="G92" i="13"/>
  <c r="H91" i="13"/>
  <c r="G91" i="13"/>
  <c r="H90" i="13"/>
  <c r="G90" i="13"/>
  <c r="H89" i="13"/>
  <c r="G89" i="13"/>
  <c r="H88" i="13"/>
  <c r="G88" i="13"/>
  <c r="H87" i="13"/>
  <c r="G87" i="13"/>
  <c r="H86" i="13"/>
  <c r="G86" i="13"/>
  <c r="H85" i="13"/>
  <c r="G85" i="13"/>
  <c r="H84" i="13"/>
  <c r="G84" i="13"/>
  <c r="H83" i="13"/>
  <c r="G83" i="13"/>
  <c r="H82" i="13"/>
  <c r="G82" i="13"/>
  <c r="H81" i="13"/>
  <c r="G81" i="13"/>
  <c r="H80" i="13"/>
  <c r="G80" i="13"/>
  <c r="H79" i="13"/>
  <c r="G79" i="13"/>
  <c r="H78" i="13"/>
  <c r="G78" i="13"/>
  <c r="H77" i="13"/>
  <c r="G77" i="13"/>
  <c r="H76" i="13"/>
  <c r="G76" i="13"/>
  <c r="H75" i="13"/>
  <c r="G75" i="13"/>
  <c r="H74" i="13"/>
  <c r="G74" i="13"/>
  <c r="H73" i="13"/>
  <c r="G73" i="13"/>
  <c r="H72" i="13"/>
  <c r="G72" i="13"/>
  <c r="H71" i="13"/>
  <c r="G71" i="13"/>
  <c r="H70" i="13"/>
  <c r="G70" i="13"/>
  <c r="H69" i="13"/>
  <c r="G69" i="13"/>
  <c r="H68" i="13"/>
  <c r="G68" i="13"/>
  <c r="H67" i="13"/>
  <c r="G67" i="13"/>
  <c r="H66" i="13"/>
  <c r="G66" i="13"/>
  <c r="H65" i="13"/>
  <c r="G65" i="13"/>
  <c r="H64" i="13"/>
  <c r="G64" i="13"/>
  <c r="H63" i="13"/>
  <c r="G63" i="13"/>
  <c r="H62" i="13"/>
  <c r="G62" i="13"/>
  <c r="H61" i="13"/>
  <c r="G61" i="13"/>
  <c r="H60" i="13"/>
  <c r="G60" i="13"/>
  <c r="H59" i="13"/>
  <c r="G59" i="13"/>
  <c r="H58" i="13"/>
  <c r="G58" i="13"/>
  <c r="H57" i="13"/>
  <c r="G57" i="13"/>
  <c r="H56" i="13"/>
  <c r="G56" i="13"/>
  <c r="H55" i="13"/>
  <c r="G55" i="13"/>
  <c r="H54" i="13"/>
  <c r="G54" i="13"/>
  <c r="H53" i="13"/>
  <c r="G53" i="13"/>
  <c r="H52" i="13"/>
  <c r="G52" i="13"/>
  <c r="H51" i="13"/>
  <c r="G51" i="13"/>
  <c r="H50" i="13"/>
  <c r="G50" i="13"/>
  <c r="H49" i="13"/>
  <c r="G49" i="13"/>
  <c r="H48" i="13"/>
  <c r="G48" i="13"/>
  <c r="H47" i="13"/>
  <c r="G47" i="13"/>
  <c r="H46" i="13"/>
  <c r="G46" i="13"/>
  <c r="H45" i="13"/>
  <c r="G45" i="13"/>
  <c r="H44" i="13"/>
  <c r="G44" i="13"/>
  <c r="H43" i="13"/>
  <c r="G43" i="13"/>
  <c r="H42" i="13"/>
  <c r="G42" i="13"/>
  <c r="H41" i="13"/>
  <c r="G41" i="13"/>
  <c r="H40" i="13"/>
  <c r="G40" i="13"/>
  <c r="H39" i="13"/>
  <c r="G39" i="13"/>
  <c r="H38" i="13"/>
  <c r="G38" i="13"/>
  <c r="H37" i="13"/>
  <c r="G37" i="13"/>
  <c r="H36" i="13"/>
  <c r="G36" i="13"/>
  <c r="H35" i="13"/>
  <c r="G35" i="13"/>
  <c r="H34" i="13"/>
  <c r="G34" i="13"/>
  <c r="H33" i="13"/>
  <c r="G33" i="13"/>
  <c r="H32" i="13"/>
  <c r="G32" i="13"/>
  <c r="H31" i="13"/>
  <c r="G31" i="13"/>
  <c r="H30" i="13"/>
  <c r="G30" i="13"/>
  <c r="H29" i="13"/>
  <c r="G29" i="13"/>
  <c r="H28" i="13"/>
  <c r="G28" i="13"/>
  <c r="H27" i="13"/>
  <c r="G27" i="13"/>
  <c r="H26" i="13"/>
  <c r="G26" i="13"/>
  <c r="H25" i="13"/>
  <c r="G25" i="13"/>
  <c r="H24" i="13"/>
  <c r="G24" i="13"/>
  <c r="H23" i="13"/>
  <c r="G23" i="13"/>
  <c r="H22" i="13"/>
  <c r="G22" i="13"/>
  <c r="H21" i="13"/>
  <c r="G21" i="13"/>
  <c r="H20" i="13"/>
  <c r="G20" i="13"/>
  <c r="H19" i="13"/>
  <c r="G19" i="13"/>
  <c r="H18" i="13"/>
  <c r="G18" i="13"/>
  <c r="H17" i="13"/>
  <c r="G17" i="13"/>
  <c r="H16" i="13"/>
  <c r="G16" i="13"/>
  <c r="H15" i="13"/>
  <c r="G15" i="13"/>
  <c r="H14" i="13"/>
  <c r="G14" i="13"/>
  <c r="H13" i="13"/>
  <c r="G13" i="13"/>
  <c r="H12" i="13"/>
  <c r="G12" i="13"/>
  <c r="H11" i="13"/>
  <c r="G11" i="13"/>
  <c r="H10" i="13"/>
  <c r="G10" i="13"/>
  <c r="H9" i="13"/>
  <c r="G9" i="13"/>
  <c r="H165" i="12"/>
  <c r="G165" i="12"/>
  <c r="H164" i="12"/>
  <c r="G164" i="12"/>
  <c r="H163" i="12"/>
  <c r="G163" i="12"/>
  <c r="H162" i="12"/>
  <c r="G162" i="12"/>
  <c r="H161" i="12"/>
  <c r="G161" i="12"/>
  <c r="H160" i="12"/>
  <c r="G160" i="12"/>
  <c r="H159" i="12"/>
  <c r="G159" i="12"/>
  <c r="H158" i="12"/>
  <c r="G158" i="12"/>
  <c r="H157" i="12"/>
  <c r="G157" i="12"/>
  <c r="H156" i="12"/>
  <c r="G156" i="12"/>
  <c r="H155" i="12"/>
  <c r="G155" i="12"/>
  <c r="H154" i="12"/>
  <c r="G154" i="12"/>
  <c r="H153" i="12"/>
  <c r="G153" i="12"/>
  <c r="H152" i="12"/>
  <c r="G152" i="12"/>
  <c r="H151" i="12"/>
  <c r="G151" i="12"/>
  <c r="H150" i="12"/>
  <c r="G150" i="12"/>
  <c r="H149" i="12"/>
  <c r="G149" i="12"/>
  <c r="H148" i="12"/>
  <c r="G148" i="12"/>
  <c r="H147" i="12"/>
  <c r="G147" i="12"/>
  <c r="H146" i="12"/>
  <c r="G146" i="12"/>
  <c r="G145" i="12"/>
  <c r="H144" i="12"/>
  <c r="G144" i="12"/>
  <c r="H143" i="12"/>
  <c r="G143" i="12"/>
  <c r="H142" i="12"/>
  <c r="G142" i="12"/>
  <c r="H141" i="12"/>
  <c r="G141" i="12"/>
  <c r="H140" i="12"/>
  <c r="G140" i="12"/>
  <c r="H139" i="12"/>
  <c r="G139" i="12"/>
  <c r="H138" i="12"/>
  <c r="G138" i="12"/>
  <c r="H137" i="12"/>
  <c r="G137" i="12"/>
  <c r="H136" i="12"/>
  <c r="G136" i="12"/>
  <c r="H135" i="12"/>
  <c r="G135" i="12"/>
  <c r="H134" i="12"/>
  <c r="G134" i="12"/>
  <c r="H133" i="12"/>
  <c r="G133" i="12"/>
  <c r="H132" i="12"/>
  <c r="G132" i="12"/>
  <c r="H131" i="12"/>
  <c r="G131" i="12"/>
  <c r="H130" i="12"/>
  <c r="G130" i="12"/>
  <c r="H129" i="12"/>
  <c r="G129" i="12"/>
  <c r="H128" i="12"/>
  <c r="G128" i="12"/>
  <c r="H127" i="12"/>
  <c r="G127" i="12"/>
  <c r="H126" i="12"/>
  <c r="G126" i="12"/>
  <c r="H125" i="12"/>
  <c r="G125" i="12"/>
  <c r="H124" i="12"/>
  <c r="G124" i="12"/>
  <c r="H123" i="12"/>
  <c r="G123" i="12"/>
  <c r="H122" i="12"/>
  <c r="G122" i="12"/>
  <c r="H121" i="12"/>
  <c r="G121" i="12"/>
  <c r="H120" i="12"/>
  <c r="G120" i="12"/>
  <c r="H119" i="12"/>
  <c r="G119" i="12"/>
  <c r="H118" i="12"/>
  <c r="G118" i="12"/>
  <c r="H117" i="12"/>
  <c r="G117" i="12"/>
  <c r="H116" i="12"/>
  <c r="H115" i="12"/>
  <c r="G115" i="12"/>
  <c r="H114" i="12"/>
  <c r="G114" i="12"/>
  <c r="H113" i="12"/>
  <c r="G113" i="12"/>
  <c r="H112" i="12"/>
  <c r="G112" i="12"/>
  <c r="H111" i="12"/>
  <c r="G111" i="12"/>
  <c r="H110" i="12"/>
  <c r="G110" i="12"/>
  <c r="H109" i="12"/>
  <c r="G109" i="12"/>
  <c r="H108" i="12"/>
  <c r="G108" i="12"/>
  <c r="H107" i="12"/>
  <c r="G107" i="12"/>
  <c r="H106" i="12"/>
  <c r="G106" i="12"/>
  <c r="H105" i="12"/>
  <c r="G105" i="12"/>
  <c r="H104" i="12"/>
  <c r="G104" i="12"/>
  <c r="H103" i="12"/>
  <c r="G103" i="12"/>
  <c r="H102" i="12"/>
  <c r="G102" i="12"/>
  <c r="H101" i="12"/>
  <c r="G101" i="12"/>
  <c r="H100" i="12"/>
  <c r="G100" i="12"/>
  <c r="H99" i="12"/>
  <c r="G99" i="12"/>
  <c r="H98" i="12"/>
  <c r="G98" i="12"/>
  <c r="H97" i="12"/>
  <c r="G97" i="12"/>
  <c r="H96" i="12"/>
  <c r="G96" i="12"/>
  <c r="H95" i="12"/>
  <c r="G95" i="12"/>
  <c r="H94" i="12"/>
  <c r="G94" i="12"/>
  <c r="H93" i="12"/>
  <c r="H92" i="12"/>
  <c r="G92" i="12"/>
  <c r="H91" i="12"/>
  <c r="G91" i="12"/>
  <c r="H90" i="12"/>
  <c r="G90" i="12"/>
  <c r="H89" i="12"/>
  <c r="G89" i="12"/>
  <c r="H88" i="12"/>
  <c r="G88" i="12"/>
  <c r="H87" i="12"/>
  <c r="G87" i="12"/>
  <c r="H86" i="12"/>
  <c r="G86" i="12"/>
  <c r="H85" i="12"/>
  <c r="G85" i="12"/>
  <c r="H84" i="12"/>
  <c r="G84" i="12"/>
  <c r="H83" i="12"/>
  <c r="G83" i="12"/>
  <c r="H82" i="12"/>
  <c r="G82" i="12"/>
  <c r="H81" i="12"/>
  <c r="G81" i="12"/>
  <c r="H80" i="12"/>
  <c r="G80" i="12"/>
  <c r="H79" i="12"/>
  <c r="G79" i="12"/>
  <c r="H78" i="12"/>
  <c r="G78" i="12"/>
  <c r="H77" i="12"/>
  <c r="G77" i="12"/>
  <c r="H76" i="12"/>
  <c r="G76" i="12"/>
  <c r="H75" i="12"/>
  <c r="G75" i="12"/>
  <c r="H74" i="12"/>
  <c r="G74" i="12"/>
  <c r="H73" i="12"/>
  <c r="G73" i="12"/>
  <c r="H72" i="12"/>
  <c r="G72" i="12"/>
  <c r="H71" i="12"/>
  <c r="G71" i="12"/>
  <c r="H70" i="12"/>
  <c r="G70" i="12"/>
  <c r="H69" i="12"/>
  <c r="G69" i="12"/>
  <c r="H68" i="12"/>
  <c r="G68" i="12"/>
  <c r="H67" i="12"/>
  <c r="G67" i="12"/>
  <c r="H66" i="12"/>
  <c r="G66" i="12"/>
  <c r="H65" i="12"/>
  <c r="G65" i="12"/>
  <c r="H64" i="12"/>
  <c r="G64" i="12"/>
  <c r="H63" i="12"/>
  <c r="G63" i="12"/>
  <c r="H62" i="12"/>
  <c r="G62" i="12"/>
  <c r="H61" i="12"/>
  <c r="G61" i="12"/>
  <c r="H60" i="12"/>
  <c r="G60" i="12"/>
  <c r="H59" i="12"/>
  <c r="G59" i="12"/>
  <c r="H58" i="12"/>
  <c r="G58" i="12"/>
  <c r="H57" i="12"/>
  <c r="G57" i="12"/>
  <c r="H56" i="12"/>
  <c r="G56" i="12"/>
  <c r="H55" i="12"/>
  <c r="G55" i="12"/>
  <c r="H54" i="12"/>
  <c r="G54" i="12"/>
  <c r="H53" i="12"/>
  <c r="G53" i="12"/>
  <c r="H52" i="12"/>
  <c r="G52" i="12"/>
  <c r="H51" i="12"/>
  <c r="G51" i="12"/>
  <c r="H50" i="12"/>
  <c r="G50" i="12"/>
  <c r="H49" i="12"/>
  <c r="G49" i="12"/>
  <c r="H48" i="12"/>
  <c r="G48" i="12"/>
  <c r="H47" i="12"/>
  <c r="G47" i="12"/>
  <c r="H46" i="12"/>
  <c r="G46" i="12"/>
  <c r="H45" i="12"/>
  <c r="G45" i="12"/>
  <c r="H44" i="12"/>
  <c r="G44" i="12"/>
  <c r="H43" i="12"/>
  <c r="G43" i="12"/>
  <c r="H42" i="12"/>
  <c r="G42" i="12"/>
  <c r="H41" i="12"/>
  <c r="G41" i="12"/>
  <c r="H40" i="12"/>
  <c r="G40" i="12"/>
  <c r="H39" i="12"/>
  <c r="G39" i="12"/>
  <c r="H38" i="12"/>
  <c r="G38" i="12"/>
  <c r="H37" i="12"/>
  <c r="G37" i="12"/>
  <c r="H36" i="12"/>
  <c r="G36" i="12"/>
  <c r="H35" i="12"/>
  <c r="G35" i="12"/>
  <c r="H34" i="12"/>
  <c r="G34" i="12"/>
  <c r="H33" i="12"/>
  <c r="G33" i="12"/>
  <c r="H32" i="12"/>
  <c r="G32" i="12"/>
  <c r="H31" i="12"/>
  <c r="G31" i="12"/>
  <c r="H30" i="12"/>
  <c r="G30" i="12"/>
  <c r="H29" i="12"/>
  <c r="G29" i="12"/>
  <c r="H28" i="12"/>
  <c r="G28" i="12"/>
  <c r="H27" i="12"/>
  <c r="G27" i="12"/>
  <c r="H26" i="12"/>
  <c r="G26" i="12"/>
  <c r="H25" i="12"/>
  <c r="G25" i="12"/>
  <c r="H24" i="12"/>
  <c r="G24" i="12"/>
  <c r="H23" i="12"/>
  <c r="G23" i="12"/>
  <c r="H22" i="12"/>
  <c r="G22" i="12"/>
  <c r="H21" i="12"/>
  <c r="G21" i="12"/>
  <c r="H20" i="12"/>
  <c r="G20" i="12"/>
  <c r="H19" i="12"/>
  <c r="G19" i="12"/>
  <c r="H18" i="12"/>
  <c r="G18" i="12"/>
  <c r="H17" i="12"/>
  <c r="G17" i="12"/>
  <c r="H16" i="12"/>
  <c r="G16" i="12"/>
  <c r="H15" i="12"/>
  <c r="G15" i="12"/>
  <c r="H14" i="12"/>
  <c r="G14" i="12"/>
  <c r="H13" i="12"/>
  <c r="G13" i="12"/>
  <c r="H12" i="12"/>
  <c r="G12" i="12"/>
  <c r="H11" i="12"/>
  <c r="G11" i="12"/>
  <c r="H10" i="12"/>
  <c r="G10" i="12"/>
  <c r="H9" i="12"/>
  <c r="G9" i="12"/>
  <c r="H162" i="11"/>
  <c r="G162" i="11"/>
  <c r="H161" i="11"/>
  <c r="G161" i="11"/>
  <c r="H160" i="11"/>
  <c r="G160" i="11"/>
  <c r="H159" i="11"/>
  <c r="G159" i="11"/>
  <c r="H158" i="11"/>
  <c r="G158" i="11"/>
  <c r="H157" i="11"/>
  <c r="G157" i="11"/>
  <c r="H156" i="11"/>
  <c r="G156" i="11"/>
  <c r="H155" i="11"/>
  <c r="G155" i="11"/>
  <c r="H154" i="11"/>
  <c r="G154" i="11"/>
  <c r="H153" i="11"/>
  <c r="G153" i="11"/>
  <c r="H152" i="11"/>
  <c r="G152" i="11"/>
  <c r="H151" i="11"/>
  <c r="G151" i="11"/>
  <c r="H150" i="11"/>
  <c r="G150" i="11"/>
  <c r="H149" i="11"/>
  <c r="G149" i="11"/>
  <c r="H148" i="11"/>
  <c r="G148" i="11"/>
  <c r="H147" i="11"/>
  <c r="G147" i="11"/>
  <c r="H146" i="11"/>
  <c r="G146" i="11"/>
  <c r="H145" i="11"/>
  <c r="G145" i="11"/>
  <c r="G144" i="11"/>
  <c r="H143" i="11"/>
  <c r="G143" i="11"/>
  <c r="H142" i="11"/>
  <c r="G142" i="11"/>
  <c r="H141" i="11"/>
  <c r="G141" i="11"/>
  <c r="H140" i="11"/>
  <c r="G140" i="11"/>
  <c r="H139" i="11"/>
  <c r="G139" i="11"/>
  <c r="H138" i="11"/>
  <c r="G138" i="11"/>
  <c r="H137" i="11"/>
  <c r="G137" i="11"/>
  <c r="H136" i="11"/>
  <c r="G136" i="11"/>
  <c r="H135" i="11"/>
  <c r="G135" i="11"/>
  <c r="H134" i="11"/>
  <c r="G134" i="11"/>
  <c r="H133" i="11"/>
  <c r="G133" i="11"/>
  <c r="H132" i="11"/>
  <c r="G132" i="11"/>
  <c r="H131" i="11"/>
  <c r="G131" i="11"/>
  <c r="H130" i="11"/>
  <c r="G130" i="11"/>
  <c r="H129" i="11"/>
  <c r="G129" i="11"/>
  <c r="H128" i="11"/>
  <c r="G128" i="11"/>
  <c r="H127" i="11"/>
  <c r="G127" i="11"/>
  <c r="H126" i="11"/>
  <c r="G126" i="11"/>
  <c r="H125" i="11"/>
  <c r="G125" i="11"/>
  <c r="H124" i="11"/>
  <c r="G124" i="11"/>
  <c r="H123" i="11"/>
  <c r="G123" i="11"/>
  <c r="H122" i="11"/>
  <c r="G122" i="11"/>
  <c r="H121" i="11"/>
  <c r="G121" i="11"/>
  <c r="H120" i="11"/>
  <c r="G120" i="11"/>
  <c r="H119" i="11"/>
  <c r="G119" i="11"/>
  <c r="H118" i="11"/>
  <c r="G118" i="11"/>
  <c r="H117" i="11"/>
  <c r="G117" i="11"/>
  <c r="H116" i="11"/>
  <c r="H115" i="11"/>
  <c r="G115" i="11"/>
  <c r="H114" i="11"/>
  <c r="G114" i="11"/>
  <c r="H113" i="11"/>
  <c r="G113" i="11"/>
  <c r="H112" i="11"/>
  <c r="G112" i="11"/>
  <c r="H111" i="11"/>
  <c r="G111" i="11"/>
  <c r="H110" i="11"/>
  <c r="G110" i="11"/>
  <c r="H109" i="11"/>
  <c r="G109" i="11"/>
  <c r="H108" i="11"/>
  <c r="G108" i="11"/>
  <c r="H107" i="11"/>
  <c r="G107" i="11"/>
  <c r="H106" i="11"/>
  <c r="G106" i="11"/>
  <c r="H105" i="11"/>
  <c r="G105" i="11"/>
  <c r="H104" i="11"/>
  <c r="G104" i="11"/>
  <c r="H103" i="11"/>
  <c r="G103" i="11"/>
  <c r="H102" i="11"/>
  <c r="G102" i="11"/>
  <c r="H101" i="11"/>
  <c r="G101" i="11"/>
  <c r="H100" i="11"/>
  <c r="G100" i="11"/>
  <c r="H99" i="11"/>
  <c r="G99" i="11"/>
  <c r="H98" i="11"/>
  <c r="G98" i="11"/>
  <c r="H97" i="11"/>
  <c r="G97" i="11"/>
  <c r="H96" i="11"/>
  <c r="G96" i="11"/>
  <c r="H95" i="11"/>
  <c r="G95" i="11"/>
  <c r="H94" i="11"/>
  <c r="G94" i="11"/>
  <c r="H93" i="11"/>
  <c r="H92" i="11"/>
  <c r="G92" i="11"/>
  <c r="H91" i="11"/>
  <c r="G91" i="11"/>
  <c r="H90" i="11"/>
  <c r="G90" i="11"/>
  <c r="H89" i="11"/>
  <c r="G89" i="11"/>
  <c r="H88" i="11"/>
  <c r="G88" i="11"/>
  <c r="H87" i="11"/>
  <c r="G87" i="11"/>
  <c r="H86" i="11"/>
  <c r="G86" i="11"/>
  <c r="H85" i="11"/>
  <c r="G85" i="11"/>
  <c r="H84" i="11"/>
  <c r="G84" i="11"/>
  <c r="H83" i="11"/>
  <c r="G83" i="11"/>
  <c r="H82" i="11"/>
  <c r="G82" i="11"/>
  <c r="H81" i="11"/>
  <c r="G81" i="11"/>
  <c r="H80" i="11"/>
  <c r="G80" i="11"/>
  <c r="H79" i="11"/>
  <c r="G79" i="11"/>
  <c r="H78" i="11"/>
  <c r="G78" i="11"/>
  <c r="H77" i="11"/>
  <c r="G77" i="11"/>
  <c r="H76" i="11"/>
  <c r="G76" i="11"/>
  <c r="H75" i="11"/>
  <c r="G75" i="11"/>
  <c r="H74" i="11"/>
  <c r="G74" i="11"/>
  <c r="H73" i="11"/>
  <c r="G73" i="11"/>
  <c r="H72" i="11"/>
  <c r="G72" i="11"/>
  <c r="H71" i="11"/>
  <c r="G71" i="11"/>
  <c r="H70" i="11"/>
  <c r="G70" i="11"/>
  <c r="H69" i="11"/>
  <c r="G69" i="11"/>
  <c r="H68" i="11"/>
  <c r="G68" i="11"/>
  <c r="H67" i="11"/>
  <c r="G67" i="11"/>
  <c r="H66" i="11"/>
  <c r="G66" i="11"/>
  <c r="H65" i="11"/>
  <c r="G65" i="11"/>
  <c r="H64" i="11"/>
  <c r="G64" i="11"/>
  <c r="H63" i="11"/>
  <c r="G63" i="11"/>
  <c r="H62" i="11"/>
  <c r="G62" i="11"/>
  <c r="H61" i="11"/>
  <c r="G61" i="11"/>
  <c r="H60" i="11"/>
  <c r="G60" i="11"/>
  <c r="H59" i="11"/>
  <c r="G59" i="11"/>
  <c r="H58" i="11"/>
  <c r="G58" i="11"/>
  <c r="H57" i="11"/>
  <c r="G57" i="11"/>
  <c r="H56" i="11"/>
  <c r="G56" i="11"/>
  <c r="H55" i="11"/>
  <c r="G55" i="11"/>
  <c r="H54" i="11"/>
  <c r="G54" i="11"/>
  <c r="H53" i="11"/>
  <c r="G53" i="11"/>
  <c r="H52" i="11"/>
  <c r="G52" i="11"/>
  <c r="H51" i="11"/>
  <c r="G51" i="11"/>
  <c r="H50" i="11"/>
  <c r="G50" i="11"/>
  <c r="H49" i="11"/>
  <c r="G49" i="11"/>
  <c r="H48" i="11"/>
  <c r="G48" i="11"/>
  <c r="H47" i="11"/>
  <c r="G47" i="11"/>
  <c r="H46" i="11"/>
  <c r="G46" i="11"/>
  <c r="H45" i="11"/>
  <c r="G45" i="11"/>
  <c r="H44" i="11"/>
  <c r="G44" i="11"/>
  <c r="H43" i="11"/>
  <c r="G43" i="11"/>
  <c r="H42" i="11"/>
  <c r="G42" i="11"/>
  <c r="H41" i="11"/>
  <c r="G41" i="11"/>
  <c r="H40" i="11"/>
  <c r="G40" i="11"/>
  <c r="H39" i="11"/>
  <c r="G39" i="11"/>
  <c r="H38" i="11"/>
  <c r="G38" i="11"/>
  <c r="H37" i="11"/>
  <c r="G37" i="11"/>
  <c r="H36" i="11"/>
  <c r="G36" i="11"/>
  <c r="H35" i="11"/>
  <c r="G35" i="11"/>
  <c r="H34" i="11"/>
  <c r="G34" i="11"/>
  <c r="H33" i="11"/>
  <c r="G33" i="11"/>
  <c r="H32" i="11"/>
  <c r="G32" i="11"/>
  <c r="H31" i="11"/>
  <c r="G31" i="11"/>
  <c r="H30" i="11"/>
  <c r="G30" i="11"/>
  <c r="H29" i="11"/>
  <c r="G29" i="11"/>
  <c r="H28" i="11"/>
  <c r="G28" i="11"/>
  <c r="H27" i="11"/>
  <c r="G27" i="11"/>
  <c r="H26" i="11"/>
  <c r="G26" i="11"/>
  <c r="H25" i="11"/>
  <c r="G25" i="11"/>
  <c r="H24" i="11"/>
  <c r="G24" i="11"/>
  <c r="H23" i="11"/>
  <c r="G23" i="11"/>
  <c r="H22" i="11"/>
  <c r="G22" i="11"/>
  <c r="H21" i="11"/>
  <c r="G21" i="11"/>
  <c r="H20" i="11"/>
  <c r="G20" i="11"/>
  <c r="H19" i="11"/>
  <c r="G19" i="11"/>
  <c r="H18" i="11"/>
  <c r="G18" i="11"/>
  <c r="H17" i="11"/>
  <c r="G17" i="11"/>
  <c r="H16" i="11"/>
  <c r="G16" i="11"/>
  <c r="H15" i="11"/>
  <c r="G15" i="11"/>
  <c r="H14" i="11"/>
  <c r="G14" i="11"/>
  <c r="H13" i="11"/>
  <c r="G13" i="11"/>
  <c r="H12" i="11"/>
  <c r="G12" i="11"/>
  <c r="H11" i="11"/>
  <c r="G11" i="11"/>
  <c r="H10" i="11"/>
  <c r="G10" i="11"/>
  <c r="H9" i="11"/>
  <c r="G9" i="11"/>
  <c r="H173" i="10"/>
  <c r="G173" i="10"/>
  <c r="H172" i="10"/>
  <c r="G172" i="10"/>
  <c r="H171" i="10"/>
  <c r="G171" i="10"/>
  <c r="H170" i="10"/>
  <c r="G170" i="10"/>
  <c r="H169" i="10"/>
  <c r="G169" i="10"/>
  <c r="H168" i="10"/>
  <c r="G168" i="10"/>
  <c r="H167" i="10"/>
  <c r="G167" i="10"/>
  <c r="H166" i="10"/>
  <c r="G166" i="10"/>
  <c r="H165" i="10"/>
  <c r="G165" i="10"/>
  <c r="H164" i="10"/>
  <c r="G164" i="10"/>
  <c r="H163" i="10"/>
  <c r="G163" i="10"/>
  <c r="H162" i="10"/>
  <c r="G162" i="10"/>
  <c r="H161" i="10"/>
  <c r="G161" i="10"/>
  <c r="H160" i="10"/>
  <c r="G160" i="10"/>
  <c r="H159" i="10"/>
  <c r="G159" i="10"/>
  <c r="H158" i="10"/>
  <c r="G158" i="10"/>
  <c r="H157" i="10"/>
  <c r="G157" i="10"/>
  <c r="H156" i="10"/>
  <c r="G156" i="10"/>
  <c r="G155" i="10"/>
  <c r="H154" i="10"/>
  <c r="G154" i="10"/>
  <c r="H153" i="10"/>
  <c r="G153" i="10"/>
  <c r="H152" i="10"/>
  <c r="G152" i="10"/>
  <c r="H151" i="10"/>
  <c r="G151" i="10"/>
  <c r="H150" i="10"/>
  <c r="G150" i="10"/>
  <c r="H149" i="10"/>
  <c r="G149" i="10"/>
  <c r="H148" i="10"/>
  <c r="G148" i="10"/>
  <c r="H147" i="10"/>
  <c r="G147" i="10"/>
  <c r="H146" i="10"/>
  <c r="G146" i="10"/>
  <c r="H145" i="10"/>
  <c r="G145" i="10"/>
  <c r="H144" i="10"/>
  <c r="G144" i="10"/>
  <c r="H143" i="10"/>
  <c r="G143" i="10"/>
  <c r="H142" i="10"/>
  <c r="G142" i="10"/>
  <c r="H141" i="10"/>
  <c r="G141" i="10"/>
  <c r="H140" i="10"/>
  <c r="G140" i="10"/>
  <c r="H139" i="10"/>
  <c r="G139" i="10"/>
  <c r="H138" i="10"/>
  <c r="G138" i="10"/>
  <c r="H137" i="10"/>
  <c r="G137" i="10"/>
  <c r="H136" i="10"/>
  <c r="G136" i="10"/>
  <c r="H135" i="10"/>
  <c r="G135" i="10"/>
  <c r="H134" i="10"/>
  <c r="G134" i="10"/>
  <c r="H133" i="10"/>
  <c r="G133" i="10"/>
  <c r="H132" i="10"/>
  <c r="G132" i="10"/>
  <c r="H131" i="10"/>
  <c r="G131" i="10"/>
  <c r="H130" i="10"/>
  <c r="G130" i="10"/>
  <c r="H129" i="10"/>
  <c r="G129" i="10"/>
  <c r="H128" i="10"/>
  <c r="G128" i="10"/>
  <c r="H127" i="10"/>
  <c r="G127" i="10"/>
  <c r="H126" i="10"/>
  <c r="G126" i="10"/>
  <c r="H125" i="10"/>
  <c r="G125" i="10"/>
  <c r="H124" i="10"/>
  <c r="G124" i="10"/>
  <c r="H123" i="10"/>
  <c r="G123" i="10"/>
  <c r="H122" i="10"/>
  <c r="G122" i="10"/>
  <c r="H121" i="10"/>
  <c r="G121" i="10"/>
  <c r="H120" i="10"/>
  <c r="G120" i="10"/>
  <c r="H119" i="10"/>
  <c r="G119" i="10"/>
  <c r="H118" i="10"/>
  <c r="G118" i="10"/>
  <c r="H117" i="10"/>
  <c r="G117" i="10"/>
  <c r="H116" i="10"/>
  <c r="H115" i="10"/>
  <c r="G115" i="10"/>
  <c r="H114" i="10"/>
  <c r="G114" i="10"/>
  <c r="H113" i="10"/>
  <c r="G113" i="10"/>
  <c r="H112" i="10"/>
  <c r="G112" i="10"/>
  <c r="H111" i="10"/>
  <c r="G111" i="10"/>
  <c r="H110" i="10"/>
  <c r="G110" i="10"/>
  <c r="H109" i="10"/>
  <c r="G109" i="10"/>
  <c r="H108" i="10"/>
  <c r="G108" i="10"/>
  <c r="H107" i="10"/>
  <c r="G107" i="10"/>
  <c r="H106" i="10"/>
  <c r="G106" i="10"/>
  <c r="H105" i="10"/>
  <c r="G105" i="10"/>
  <c r="H104" i="10"/>
  <c r="G104" i="10"/>
  <c r="H103" i="10"/>
  <c r="G103" i="10"/>
  <c r="H102" i="10"/>
  <c r="G102" i="10"/>
  <c r="H101" i="10"/>
  <c r="G101" i="10"/>
  <c r="H100" i="10"/>
  <c r="G100" i="10"/>
  <c r="H99" i="10"/>
  <c r="G99" i="10"/>
  <c r="H98" i="10"/>
  <c r="G98" i="10"/>
  <c r="H97" i="10"/>
  <c r="G97" i="10"/>
  <c r="H96" i="10"/>
  <c r="G96" i="10"/>
  <c r="H95" i="10"/>
  <c r="G95" i="10"/>
  <c r="H94" i="10"/>
  <c r="G94" i="10"/>
  <c r="H93" i="10"/>
  <c r="H92" i="10"/>
  <c r="G92" i="10"/>
  <c r="H91" i="10"/>
  <c r="G91" i="10"/>
  <c r="H90" i="10"/>
  <c r="G90" i="10"/>
  <c r="H89" i="10"/>
  <c r="G89" i="10"/>
  <c r="H88" i="10"/>
  <c r="G88" i="10"/>
  <c r="H87" i="10"/>
  <c r="G87" i="10"/>
  <c r="H86" i="10"/>
  <c r="G86" i="10"/>
  <c r="H85" i="10"/>
  <c r="G85" i="10"/>
  <c r="H84" i="10"/>
  <c r="G84" i="10"/>
  <c r="H83" i="10"/>
  <c r="G83" i="10"/>
  <c r="H82" i="10"/>
  <c r="G82" i="10"/>
  <c r="H81" i="10"/>
  <c r="G81" i="10"/>
  <c r="H80" i="10"/>
  <c r="G80" i="10"/>
  <c r="H79" i="10"/>
  <c r="G79" i="10"/>
  <c r="H78" i="10"/>
  <c r="G78" i="10"/>
  <c r="H77" i="10"/>
  <c r="G77" i="10"/>
  <c r="H76" i="10"/>
  <c r="G76" i="10"/>
  <c r="H75" i="10"/>
  <c r="G75" i="10"/>
  <c r="H74" i="10"/>
  <c r="G74" i="10"/>
  <c r="H73" i="10"/>
  <c r="G73" i="10"/>
  <c r="H72" i="10"/>
  <c r="G72" i="10"/>
  <c r="H71" i="10"/>
  <c r="G71" i="10"/>
  <c r="H70" i="10"/>
  <c r="G70" i="10"/>
  <c r="H69" i="10"/>
  <c r="G69" i="10"/>
  <c r="H68" i="10"/>
  <c r="G68" i="10"/>
  <c r="H67" i="10"/>
  <c r="G67" i="10"/>
  <c r="H66" i="10"/>
  <c r="G66" i="10"/>
  <c r="H65" i="10"/>
  <c r="G65" i="10"/>
  <c r="H64" i="10"/>
  <c r="G64" i="10"/>
  <c r="H63" i="10"/>
  <c r="G63" i="10"/>
  <c r="H62" i="10"/>
  <c r="G62" i="10"/>
  <c r="H61" i="10"/>
  <c r="G61" i="10"/>
  <c r="H60" i="10"/>
  <c r="G60" i="10"/>
  <c r="H59" i="10"/>
  <c r="G59" i="10"/>
  <c r="H58" i="10"/>
  <c r="G58" i="10"/>
  <c r="H57" i="10"/>
  <c r="G57" i="10"/>
  <c r="H56" i="10"/>
  <c r="G56" i="10"/>
  <c r="H55" i="10"/>
  <c r="G55" i="10"/>
  <c r="H54" i="10"/>
  <c r="G54" i="10"/>
  <c r="H53" i="10"/>
  <c r="G53" i="10"/>
  <c r="H52" i="10"/>
  <c r="G52" i="10"/>
  <c r="H51" i="10"/>
  <c r="G51" i="10"/>
  <c r="H50" i="10"/>
  <c r="G50" i="10"/>
  <c r="H49" i="10"/>
  <c r="G49" i="10"/>
  <c r="H48" i="10"/>
  <c r="G48" i="10"/>
  <c r="H47" i="10"/>
  <c r="G47" i="10"/>
  <c r="H46" i="10"/>
  <c r="G46" i="10"/>
  <c r="H45" i="10"/>
  <c r="G45" i="10"/>
  <c r="H44" i="10"/>
  <c r="G44" i="10"/>
  <c r="H43" i="10"/>
  <c r="G43" i="10"/>
  <c r="H42" i="10"/>
  <c r="G42" i="10"/>
  <c r="H41" i="10"/>
  <c r="G41" i="10"/>
  <c r="H40" i="10"/>
  <c r="G40" i="10"/>
  <c r="H39" i="10"/>
  <c r="G39" i="10"/>
  <c r="H38" i="10"/>
  <c r="G38" i="10"/>
  <c r="H37" i="10"/>
  <c r="G37" i="10"/>
  <c r="H36" i="10"/>
  <c r="G36" i="10"/>
  <c r="H35" i="10"/>
  <c r="G35" i="10"/>
  <c r="H34" i="10"/>
  <c r="G34" i="10"/>
  <c r="H33" i="10"/>
  <c r="G33" i="10"/>
  <c r="H32" i="10"/>
  <c r="G32" i="10"/>
  <c r="H31" i="10"/>
  <c r="G31" i="10"/>
  <c r="H30" i="10"/>
  <c r="G30" i="10"/>
  <c r="H29" i="10"/>
  <c r="G29" i="10"/>
  <c r="H28" i="10"/>
  <c r="G28" i="10"/>
  <c r="H27" i="10"/>
  <c r="G27" i="10"/>
  <c r="H26" i="10"/>
  <c r="G26" i="10"/>
  <c r="H25" i="10"/>
  <c r="G25" i="10"/>
  <c r="H24" i="10"/>
  <c r="G24" i="10"/>
  <c r="H23" i="10"/>
  <c r="G23" i="10"/>
  <c r="H22" i="10"/>
  <c r="G22" i="10"/>
  <c r="H21" i="10"/>
  <c r="G21" i="10"/>
  <c r="H20" i="10"/>
  <c r="G20" i="10"/>
  <c r="H19" i="10"/>
  <c r="G19" i="10"/>
  <c r="H18" i="10"/>
  <c r="G18" i="10"/>
  <c r="H17" i="10"/>
  <c r="G17" i="10"/>
  <c r="H16" i="10"/>
  <c r="G16" i="10"/>
  <c r="H15" i="10"/>
  <c r="G15" i="10"/>
  <c r="H14" i="10"/>
  <c r="G14" i="10"/>
  <c r="H13" i="10"/>
  <c r="G13" i="10"/>
  <c r="H12" i="10"/>
  <c r="G12" i="10"/>
  <c r="H11" i="10"/>
  <c r="G11" i="10"/>
  <c r="H10" i="10"/>
  <c r="G10" i="10"/>
  <c r="H9" i="10"/>
  <c r="G9" i="10"/>
  <c r="H167" i="9"/>
  <c r="G167" i="9"/>
  <c r="H166" i="9"/>
  <c r="G166" i="9"/>
  <c r="H165" i="9"/>
  <c r="G165" i="9"/>
  <c r="H164" i="9"/>
  <c r="G164" i="9"/>
  <c r="H163" i="9"/>
  <c r="G163" i="9"/>
  <c r="H162" i="9"/>
  <c r="G162" i="9"/>
  <c r="H161" i="9"/>
  <c r="G161" i="9"/>
  <c r="H160" i="9"/>
  <c r="G160" i="9"/>
  <c r="H159" i="9"/>
  <c r="G159" i="9"/>
  <c r="H158" i="9"/>
  <c r="G158" i="9"/>
  <c r="H157" i="9"/>
  <c r="G157" i="9"/>
  <c r="H156" i="9"/>
  <c r="G156" i="9"/>
  <c r="H155" i="9"/>
  <c r="G155" i="9"/>
  <c r="H154" i="9"/>
  <c r="G154" i="9"/>
  <c r="H153" i="9"/>
  <c r="G153" i="9"/>
  <c r="H152" i="9"/>
  <c r="G152" i="9"/>
  <c r="H151" i="9"/>
  <c r="G151" i="9"/>
  <c r="H150" i="9"/>
  <c r="G150" i="9"/>
  <c r="G149" i="9"/>
  <c r="H148" i="9"/>
  <c r="G148" i="9"/>
  <c r="H147" i="9"/>
  <c r="G147" i="9"/>
  <c r="H146" i="9"/>
  <c r="G146" i="9"/>
  <c r="H145" i="9"/>
  <c r="G145" i="9"/>
  <c r="H144" i="9"/>
  <c r="G144" i="9"/>
  <c r="H143" i="9"/>
  <c r="G143" i="9"/>
  <c r="H142" i="9"/>
  <c r="G142" i="9"/>
  <c r="H141" i="9"/>
  <c r="G141" i="9"/>
  <c r="H140" i="9"/>
  <c r="G140" i="9"/>
  <c r="H139" i="9"/>
  <c r="G139" i="9"/>
  <c r="H138" i="9"/>
  <c r="G138" i="9"/>
  <c r="H137" i="9"/>
  <c r="G137" i="9"/>
  <c r="H136" i="9"/>
  <c r="G136" i="9"/>
  <c r="H135" i="9"/>
  <c r="G135" i="9"/>
  <c r="H134" i="9"/>
  <c r="G134" i="9"/>
  <c r="H133" i="9"/>
  <c r="G133" i="9"/>
  <c r="H132" i="9"/>
  <c r="G132" i="9"/>
  <c r="H131" i="9"/>
  <c r="G131" i="9"/>
  <c r="H130" i="9"/>
  <c r="G130" i="9"/>
  <c r="H129" i="9"/>
  <c r="G129" i="9"/>
  <c r="H128" i="9"/>
  <c r="G128" i="9"/>
  <c r="H127" i="9"/>
  <c r="G127" i="9"/>
  <c r="H126" i="9"/>
  <c r="G126" i="9"/>
  <c r="H125" i="9"/>
  <c r="G125" i="9"/>
  <c r="H124" i="9"/>
  <c r="G124" i="9"/>
  <c r="H123" i="9"/>
  <c r="G123" i="9"/>
  <c r="H122" i="9"/>
  <c r="G122" i="9"/>
  <c r="H121" i="9"/>
  <c r="G121" i="9"/>
  <c r="H120" i="9"/>
  <c r="G120" i="9"/>
  <c r="H119" i="9"/>
  <c r="G119" i="9"/>
  <c r="H118" i="9"/>
  <c r="G118" i="9"/>
  <c r="H117" i="9"/>
  <c r="G117" i="9"/>
  <c r="H116" i="9"/>
  <c r="H115" i="9"/>
  <c r="G115" i="9"/>
  <c r="H114" i="9"/>
  <c r="G114" i="9"/>
  <c r="H113" i="9"/>
  <c r="G113" i="9"/>
  <c r="H112" i="9"/>
  <c r="G112" i="9"/>
  <c r="H111" i="9"/>
  <c r="G111" i="9"/>
  <c r="H110" i="9"/>
  <c r="G110" i="9"/>
  <c r="H109" i="9"/>
  <c r="G109" i="9"/>
  <c r="H108" i="9"/>
  <c r="G108" i="9"/>
  <c r="H107" i="9"/>
  <c r="G107" i="9"/>
  <c r="H106" i="9"/>
  <c r="G106" i="9"/>
  <c r="H105" i="9"/>
  <c r="G105" i="9"/>
  <c r="H104" i="9"/>
  <c r="G104" i="9"/>
  <c r="H103" i="9"/>
  <c r="G103" i="9"/>
  <c r="H102" i="9"/>
  <c r="G102" i="9"/>
  <c r="H101" i="9"/>
  <c r="G101" i="9"/>
  <c r="H100" i="9"/>
  <c r="G100" i="9"/>
  <c r="H99" i="9"/>
  <c r="G99" i="9"/>
  <c r="H98" i="9"/>
  <c r="G98" i="9"/>
  <c r="H97" i="9"/>
  <c r="G97" i="9"/>
  <c r="H96" i="9"/>
  <c r="G96" i="9"/>
  <c r="H95" i="9"/>
  <c r="G95" i="9"/>
  <c r="H94" i="9"/>
  <c r="G94" i="9"/>
  <c r="H93" i="9"/>
  <c r="H92" i="9"/>
  <c r="G92" i="9"/>
  <c r="H91" i="9"/>
  <c r="G91" i="9"/>
  <c r="H90" i="9"/>
  <c r="G90" i="9"/>
  <c r="H89" i="9"/>
  <c r="G89" i="9"/>
  <c r="H88" i="9"/>
  <c r="G88" i="9"/>
  <c r="H87" i="9"/>
  <c r="G87" i="9"/>
  <c r="H86" i="9"/>
  <c r="G86" i="9"/>
  <c r="H85" i="9"/>
  <c r="G85" i="9"/>
  <c r="H84" i="9"/>
  <c r="G84" i="9"/>
  <c r="H83" i="9"/>
  <c r="G83" i="9"/>
  <c r="H82" i="9"/>
  <c r="G82" i="9"/>
  <c r="H81" i="9"/>
  <c r="G81" i="9"/>
  <c r="H80" i="9"/>
  <c r="G80" i="9"/>
  <c r="H79" i="9"/>
  <c r="G79" i="9"/>
  <c r="H78" i="9"/>
  <c r="G78" i="9"/>
  <c r="H77" i="9"/>
  <c r="G77" i="9"/>
  <c r="H76" i="9"/>
  <c r="G76" i="9"/>
  <c r="H75" i="9"/>
  <c r="G75" i="9"/>
  <c r="H74" i="9"/>
  <c r="G74" i="9"/>
  <c r="H73" i="9"/>
  <c r="G73" i="9"/>
  <c r="H72" i="9"/>
  <c r="G72" i="9"/>
  <c r="H71" i="9"/>
  <c r="G71" i="9"/>
  <c r="H70" i="9"/>
  <c r="G70" i="9"/>
  <c r="H69" i="9"/>
  <c r="G69" i="9"/>
  <c r="H68" i="9"/>
  <c r="G68" i="9"/>
  <c r="H67" i="9"/>
  <c r="G67" i="9"/>
  <c r="H66" i="9"/>
  <c r="G66" i="9"/>
  <c r="H65" i="9"/>
  <c r="G65" i="9"/>
  <c r="H64" i="9"/>
  <c r="G64" i="9"/>
  <c r="H63" i="9"/>
  <c r="G63" i="9"/>
  <c r="H62" i="9"/>
  <c r="G62" i="9"/>
  <c r="H61" i="9"/>
  <c r="G61" i="9"/>
  <c r="H60" i="9"/>
  <c r="G60" i="9"/>
  <c r="H59" i="9"/>
  <c r="G59" i="9"/>
  <c r="H58" i="9"/>
  <c r="G58" i="9"/>
  <c r="H57" i="9"/>
  <c r="G57" i="9"/>
  <c r="H56" i="9"/>
  <c r="G56" i="9"/>
  <c r="H55" i="9"/>
  <c r="G55" i="9"/>
  <c r="H54" i="9"/>
  <c r="G54" i="9"/>
  <c r="H53" i="9"/>
  <c r="G53" i="9"/>
  <c r="H52" i="9"/>
  <c r="G52" i="9"/>
  <c r="H51" i="9"/>
  <c r="G51" i="9"/>
  <c r="H50" i="9"/>
  <c r="G50" i="9"/>
  <c r="H49" i="9"/>
  <c r="G49" i="9"/>
  <c r="H48" i="9"/>
  <c r="G48" i="9"/>
  <c r="H47" i="9"/>
  <c r="G47" i="9"/>
  <c r="H46" i="9"/>
  <c r="G46" i="9"/>
  <c r="H45" i="9"/>
  <c r="G45" i="9"/>
  <c r="H44" i="9"/>
  <c r="G44" i="9"/>
  <c r="H43" i="9"/>
  <c r="G43" i="9"/>
  <c r="H42" i="9"/>
  <c r="G42" i="9"/>
  <c r="H41" i="9"/>
  <c r="G41" i="9"/>
  <c r="H40" i="9"/>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H9" i="9"/>
  <c r="G9" i="9"/>
  <c r="H170" i="8"/>
  <c r="G170" i="8"/>
  <c r="H169" i="8"/>
  <c r="G169" i="8"/>
  <c r="H168" i="8"/>
  <c r="G168" i="8"/>
  <c r="H167" i="8"/>
  <c r="G167" i="8"/>
  <c r="H166" i="8"/>
  <c r="G166" i="8"/>
  <c r="H165" i="8"/>
  <c r="G165" i="8"/>
  <c r="H164" i="8"/>
  <c r="G164" i="8"/>
  <c r="H163" i="8"/>
  <c r="G163" i="8"/>
  <c r="H162" i="8"/>
  <c r="G162" i="8"/>
  <c r="H161" i="8"/>
  <c r="G161" i="8"/>
  <c r="H160" i="8"/>
  <c r="G160" i="8"/>
  <c r="H159" i="8"/>
  <c r="G159" i="8"/>
  <c r="H158" i="8"/>
  <c r="G158" i="8"/>
  <c r="H157" i="8"/>
  <c r="G157" i="8"/>
  <c r="H156" i="8"/>
  <c r="G156" i="8"/>
  <c r="H155" i="8"/>
  <c r="G155" i="8"/>
  <c r="H154" i="8"/>
  <c r="G154" i="8"/>
  <c r="H153" i="8"/>
  <c r="G153" i="8"/>
  <c r="H152" i="8"/>
  <c r="G152" i="8"/>
  <c r="H151" i="8"/>
  <c r="G151" i="8"/>
  <c r="G150" i="8"/>
  <c r="H149" i="8"/>
  <c r="G149" i="8"/>
  <c r="H148" i="8"/>
  <c r="G148" i="8"/>
  <c r="H147" i="8"/>
  <c r="G147" i="8"/>
  <c r="H146" i="8"/>
  <c r="G146" i="8"/>
  <c r="H145" i="8"/>
  <c r="G145" i="8"/>
  <c r="H144" i="8"/>
  <c r="G144" i="8"/>
  <c r="H143" i="8"/>
  <c r="G143" i="8"/>
  <c r="H142" i="8"/>
  <c r="G142" i="8"/>
  <c r="H141" i="8"/>
  <c r="G141" i="8"/>
  <c r="H140" i="8"/>
  <c r="G140" i="8"/>
  <c r="H139" i="8"/>
  <c r="G139" i="8"/>
  <c r="H138" i="8"/>
  <c r="G138" i="8"/>
  <c r="H137" i="8"/>
  <c r="G137" i="8"/>
  <c r="H136" i="8"/>
  <c r="G136" i="8"/>
  <c r="H135" i="8"/>
  <c r="G135" i="8"/>
  <c r="H134" i="8"/>
  <c r="G134" i="8"/>
  <c r="H133" i="8"/>
  <c r="G133" i="8"/>
  <c r="H132" i="8"/>
  <c r="G132" i="8"/>
  <c r="H131" i="8"/>
  <c r="G131" i="8"/>
  <c r="H130" i="8"/>
  <c r="G130" i="8"/>
  <c r="H129" i="8"/>
  <c r="G129" i="8"/>
  <c r="H128" i="8"/>
  <c r="G128" i="8"/>
  <c r="H127" i="8"/>
  <c r="G127" i="8"/>
  <c r="H126" i="8"/>
  <c r="G126" i="8"/>
  <c r="H125" i="8"/>
  <c r="G125" i="8"/>
  <c r="H124" i="8"/>
  <c r="G124" i="8"/>
  <c r="H123" i="8"/>
  <c r="G123" i="8"/>
  <c r="H122" i="8"/>
  <c r="G122" i="8"/>
  <c r="H121" i="8"/>
  <c r="G121" i="8"/>
  <c r="H120" i="8"/>
  <c r="G120" i="8"/>
  <c r="H119" i="8"/>
  <c r="G119" i="8"/>
  <c r="H118" i="8"/>
  <c r="G118" i="8"/>
  <c r="H117" i="8"/>
  <c r="G117" i="8"/>
  <c r="H116" i="8"/>
  <c r="H115" i="8"/>
  <c r="G115" i="8"/>
  <c r="H114" i="8"/>
  <c r="G114" i="8"/>
  <c r="H113" i="8"/>
  <c r="G113" i="8"/>
  <c r="H112" i="8"/>
  <c r="G112" i="8"/>
  <c r="H111" i="8"/>
  <c r="G111" i="8"/>
  <c r="H110" i="8"/>
  <c r="G110" i="8"/>
  <c r="H109" i="8"/>
  <c r="G109" i="8"/>
  <c r="H108" i="8"/>
  <c r="G108" i="8"/>
  <c r="H107" i="8"/>
  <c r="G107" i="8"/>
  <c r="H106" i="8"/>
  <c r="G106" i="8"/>
  <c r="H105" i="8"/>
  <c r="G105" i="8"/>
  <c r="H104" i="8"/>
  <c r="G104" i="8"/>
  <c r="H103" i="8"/>
  <c r="G103" i="8"/>
  <c r="H102" i="8"/>
  <c r="G102" i="8"/>
  <c r="H101" i="8"/>
  <c r="G101" i="8"/>
  <c r="H100" i="8"/>
  <c r="G100" i="8"/>
  <c r="H99" i="8"/>
  <c r="G99" i="8"/>
  <c r="H98" i="8"/>
  <c r="G98" i="8"/>
  <c r="H97" i="8"/>
  <c r="G97" i="8"/>
  <c r="H96" i="8"/>
  <c r="G96" i="8"/>
  <c r="H95" i="8"/>
  <c r="G95" i="8"/>
  <c r="H94" i="8"/>
  <c r="G94" i="8"/>
  <c r="H93" i="8"/>
  <c r="H92" i="8"/>
  <c r="G92" i="8"/>
  <c r="H91" i="8"/>
  <c r="G91" i="8"/>
  <c r="H90" i="8"/>
  <c r="G90" i="8"/>
  <c r="H89" i="8"/>
  <c r="G89" i="8"/>
  <c r="H88" i="8"/>
  <c r="G88" i="8"/>
  <c r="H87" i="8"/>
  <c r="G87" i="8"/>
  <c r="H86" i="8"/>
  <c r="G86" i="8"/>
  <c r="H85" i="8"/>
  <c r="G85" i="8"/>
  <c r="H84" i="8"/>
  <c r="G84" i="8"/>
  <c r="H83" i="8"/>
  <c r="G83" i="8"/>
  <c r="H82" i="8"/>
  <c r="G82" i="8"/>
  <c r="H81" i="8"/>
  <c r="G81" i="8"/>
  <c r="H80" i="8"/>
  <c r="G80" i="8"/>
  <c r="H79" i="8"/>
  <c r="G79" i="8"/>
  <c r="H78" i="8"/>
  <c r="G78" i="8"/>
  <c r="H77" i="8"/>
  <c r="G77" i="8"/>
  <c r="H76" i="8"/>
  <c r="G76" i="8"/>
  <c r="H75" i="8"/>
  <c r="G75" i="8"/>
  <c r="H74" i="8"/>
  <c r="G74" i="8"/>
  <c r="H73" i="8"/>
  <c r="G73" i="8"/>
  <c r="H72" i="8"/>
  <c r="G72" i="8"/>
  <c r="H71" i="8"/>
  <c r="G71" i="8"/>
  <c r="H70" i="8"/>
  <c r="G70" i="8"/>
  <c r="H69" i="8"/>
  <c r="G69" i="8"/>
  <c r="H68" i="8"/>
  <c r="G68" i="8"/>
  <c r="H67" i="8"/>
  <c r="G67" i="8"/>
  <c r="H66" i="8"/>
  <c r="G66" i="8"/>
  <c r="H65" i="8"/>
  <c r="G65" i="8"/>
  <c r="H64" i="8"/>
  <c r="G64" i="8"/>
  <c r="H63" i="8"/>
  <c r="G63" i="8"/>
  <c r="H62" i="8"/>
  <c r="G62" i="8"/>
  <c r="H61" i="8"/>
  <c r="G61" i="8"/>
  <c r="H60" i="8"/>
  <c r="G60" i="8"/>
  <c r="H59" i="8"/>
  <c r="G59" i="8"/>
  <c r="H58" i="8"/>
  <c r="G58" i="8"/>
  <c r="H57" i="8"/>
  <c r="G57" i="8"/>
  <c r="H56" i="8"/>
  <c r="G56" i="8"/>
  <c r="H55" i="8"/>
  <c r="G55" i="8"/>
  <c r="H54" i="8"/>
  <c r="G54" i="8"/>
  <c r="H53" i="8"/>
  <c r="G53" i="8"/>
  <c r="H52" i="8"/>
  <c r="G52" i="8"/>
  <c r="H51" i="8"/>
  <c r="G51" i="8"/>
  <c r="H50" i="8"/>
  <c r="G50" i="8"/>
  <c r="H49" i="8"/>
  <c r="G49" i="8"/>
  <c r="H48" i="8"/>
  <c r="G48" i="8"/>
  <c r="H47" i="8"/>
  <c r="G47" i="8"/>
  <c r="H46" i="8"/>
  <c r="G46" i="8"/>
  <c r="H45" i="8"/>
  <c r="G45" i="8"/>
  <c r="H44" i="8"/>
  <c r="G44" i="8"/>
  <c r="H43" i="8"/>
  <c r="G43" i="8"/>
  <c r="H42" i="8"/>
  <c r="G42" i="8"/>
  <c r="H41" i="8"/>
  <c r="G41" i="8"/>
  <c r="H40" i="8"/>
  <c r="G40" i="8"/>
  <c r="H39" i="8"/>
  <c r="G39" i="8"/>
  <c r="H38" i="8"/>
  <c r="G38" i="8"/>
  <c r="H37" i="8"/>
  <c r="G37" i="8"/>
  <c r="H36" i="8"/>
  <c r="G36" i="8"/>
  <c r="H35" i="8"/>
  <c r="G35" i="8"/>
  <c r="H34" i="8"/>
  <c r="G34" i="8"/>
  <c r="H33" i="8"/>
  <c r="G33" i="8"/>
  <c r="H32" i="8"/>
  <c r="G32" i="8"/>
  <c r="H31" i="8"/>
  <c r="G31" i="8"/>
  <c r="H30" i="8"/>
  <c r="G30" i="8"/>
  <c r="H29" i="8"/>
  <c r="G29" i="8"/>
  <c r="H28" i="8"/>
  <c r="G28" i="8"/>
  <c r="H27" i="8"/>
  <c r="G27" i="8"/>
  <c r="H26" i="8"/>
  <c r="G26" i="8"/>
  <c r="H25" i="8"/>
  <c r="G25" i="8"/>
  <c r="H24" i="8"/>
  <c r="G24" i="8"/>
  <c r="H23" i="8"/>
  <c r="G23" i="8"/>
  <c r="H22" i="8"/>
  <c r="G22" i="8"/>
  <c r="H21" i="8"/>
  <c r="G21" i="8"/>
  <c r="H20" i="8"/>
  <c r="G20" i="8"/>
  <c r="H19" i="8"/>
  <c r="G19" i="8"/>
  <c r="H18" i="8"/>
  <c r="G18" i="8"/>
  <c r="H17" i="8"/>
  <c r="G17" i="8"/>
  <c r="H16" i="8"/>
  <c r="G16" i="8"/>
  <c r="H15" i="8"/>
  <c r="G15" i="8"/>
  <c r="H14" i="8"/>
  <c r="G14" i="8"/>
  <c r="H13" i="8"/>
  <c r="G13" i="8"/>
  <c r="H12" i="8"/>
  <c r="G12" i="8"/>
  <c r="H11" i="8"/>
  <c r="G11" i="8"/>
  <c r="H10" i="8"/>
  <c r="G10" i="8"/>
  <c r="H9" i="8"/>
  <c r="G9" i="8"/>
  <c r="I170" i="7"/>
  <c r="H170" i="7"/>
  <c r="I169" i="7"/>
  <c r="H169" i="7"/>
  <c r="I168" i="7"/>
  <c r="H168" i="7"/>
  <c r="I167" i="7"/>
  <c r="H167" i="7"/>
  <c r="I166" i="7"/>
  <c r="H166" i="7"/>
  <c r="I165" i="7"/>
  <c r="H165" i="7"/>
  <c r="I164" i="7"/>
  <c r="H164" i="7"/>
  <c r="I163" i="7"/>
  <c r="H163" i="7"/>
  <c r="I162" i="7"/>
  <c r="H162" i="7"/>
  <c r="I161" i="7"/>
  <c r="H161" i="7"/>
  <c r="I160" i="7"/>
  <c r="H160" i="7"/>
  <c r="I159" i="7"/>
  <c r="H159" i="7"/>
  <c r="I158" i="7"/>
  <c r="H158" i="7"/>
  <c r="I157" i="7"/>
  <c r="H157" i="7"/>
  <c r="I156" i="7"/>
  <c r="H156" i="7"/>
  <c r="I155" i="7"/>
  <c r="H155" i="7"/>
  <c r="I154" i="7"/>
  <c r="H154" i="7"/>
  <c r="I153" i="7"/>
  <c r="H153" i="7"/>
  <c r="I152" i="7"/>
  <c r="H152" i="7"/>
  <c r="I151" i="7"/>
  <c r="H151" i="7"/>
  <c r="H150" i="7"/>
  <c r="I149" i="7"/>
  <c r="H149" i="7"/>
  <c r="I148" i="7"/>
  <c r="H148" i="7"/>
  <c r="I147" i="7"/>
  <c r="H147" i="7"/>
  <c r="I146" i="7"/>
  <c r="H146" i="7"/>
  <c r="I145" i="7"/>
  <c r="H145" i="7"/>
  <c r="I144" i="7"/>
  <c r="H144" i="7"/>
  <c r="I143" i="7"/>
  <c r="H143" i="7"/>
  <c r="I142" i="7"/>
  <c r="H142" i="7"/>
  <c r="I141" i="7"/>
  <c r="H141" i="7"/>
  <c r="I140" i="7"/>
  <c r="H140" i="7"/>
  <c r="I139" i="7"/>
  <c r="H139" i="7"/>
  <c r="I138" i="7"/>
  <c r="H138" i="7"/>
  <c r="I137" i="7"/>
  <c r="H137" i="7"/>
  <c r="I136" i="7"/>
  <c r="H136" i="7"/>
  <c r="I135" i="7"/>
  <c r="H135" i="7"/>
  <c r="I134" i="7"/>
  <c r="H134" i="7"/>
  <c r="I133" i="7"/>
  <c r="H133" i="7"/>
  <c r="I132" i="7"/>
  <c r="H132" i="7"/>
  <c r="I131" i="7"/>
  <c r="H131" i="7"/>
  <c r="I130" i="7"/>
  <c r="H130" i="7"/>
  <c r="I129" i="7"/>
  <c r="H129" i="7"/>
  <c r="I128" i="7"/>
  <c r="H128" i="7"/>
  <c r="I127" i="7"/>
  <c r="H127" i="7"/>
  <c r="I126" i="7"/>
  <c r="H126" i="7"/>
  <c r="I125" i="7"/>
  <c r="H125" i="7"/>
  <c r="I124" i="7"/>
  <c r="H124" i="7"/>
  <c r="I123" i="7"/>
  <c r="H123" i="7"/>
  <c r="I122" i="7"/>
  <c r="H122" i="7"/>
  <c r="I121" i="7"/>
  <c r="H121" i="7"/>
  <c r="I120" i="7"/>
  <c r="H120" i="7"/>
  <c r="I119" i="7"/>
  <c r="H119" i="7"/>
  <c r="I118" i="7"/>
  <c r="H118" i="7"/>
  <c r="I117" i="7"/>
  <c r="H117" i="7"/>
  <c r="I116" i="7"/>
  <c r="I115" i="7"/>
  <c r="H115" i="7"/>
  <c r="I114" i="7"/>
  <c r="H114" i="7"/>
  <c r="I113" i="7"/>
  <c r="H113" i="7"/>
  <c r="I112" i="7"/>
  <c r="H112" i="7"/>
  <c r="I111" i="7"/>
  <c r="H111" i="7"/>
  <c r="I110" i="7"/>
  <c r="H110" i="7"/>
  <c r="I109" i="7"/>
  <c r="H109" i="7"/>
  <c r="I108" i="7"/>
  <c r="H108" i="7"/>
  <c r="I107" i="7"/>
  <c r="H107" i="7"/>
  <c r="I106" i="7"/>
  <c r="H106" i="7"/>
  <c r="I105" i="7"/>
  <c r="H105" i="7"/>
  <c r="I104" i="7"/>
  <c r="H104" i="7"/>
  <c r="I103" i="7"/>
  <c r="H103" i="7"/>
  <c r="I102" i="7"/>
  <c r="H102" i="7"/>
  <c r="I101" i="7"/>
  <c r="H101" i="7"/>
  <c r="I100" i="7"/>
  <c r="H100" i="7"/>
  <c r="I99" i="7"/>
  <c r="H99" i="7"/>
  <c r="I98" i="7"/>
  <c r="H98" i="7"/>
  <c r="I97" i="7"/>
  <c r="H97" i="7"/>
  <c r="I96" i="7"/>
  <c r="H96" i="7"/>
  <c r="I95" i="7"/>
  <c r="H95" i="7"/>
  <c r="I94" i="7"/>
  <c r="H94" i="7"/>
  <c r="I93" i="7"/>
  <c r="I92" i="7"/>
  <c r="H92" i="7"/>
  <c r="I91" i="7"/>
  <c r="H91" i="7"/>
  <c r="I90" i="7"/>
  <c r="H90" i="7"/>
  <c r="I89" i="7"/>
  <c r="H89" i="7"/>
  <c r="I88" i="7"/>
  <c r="H88" i="7"/>
  <c r="I87" i="7"/>
  <c r="H87" i="7"/>
  <c r="I86" i="7"/>
  <c r="H86" i="7"/>
  <c r="I85" i="7"/>
  <c r="H85" i="7"/>
  <c r="I84" i="7"/>
  <c r="H84" i="7"/>
  <c r="I83" i="7"/>
  <c r="H83" i="7"/>
  <c r="I82" i="7"/>
  <c r="H82" i="7"/>
  <c r="I81" i="7"/>
  <c r="H81" i="7"/>
  <c r="I80" i="7"/>
  <c r="H80" i="7"/>
  <c r="I79" i="7"/>
  <c r="H79" i="7"/>
  <c r="I78" i="7"/>
  <c r="H78" i="7"/>
  <c r="I77" i="7"/>
  <c r="H77" i="7"/>
  <c r="I76" i="7"/>
  <c r="H76" i="7"/>
  <c r="I75" i="7"/>
  <c r="H75" i="7"/>
  <c r="I74" i="7"/>
  <c r="H74" i="7"/>
  <c r="I73" i="7"/>
  <c r="H73" i="7"/>
  <c r="I72" i="7"/>
  <c r="H72" i="7"/>
  <c r="I71" i="7"/>
  <c r="H71" i="7"/>
  <c r="I70" i="7"/>
  <c r="H70" i="7"/>
  <c r="I69" i="7"/>
  <c r="H69" i="7"/>
  <c r="I68" i="7"/>
  <c r="H68" i="7"/>
  <c r="I67" i="7"/>
  <c r="H67" i="7"/>
  <c r="I66" i="7"/>
  <c r="H66" i="7"/>
  <c r="I65" i="7"/>
  <c r="H65" i="7"/>
  <c r="I64" i="7"/>
  <c r="H64" i="7"/>
  <c r="I63" i="7"/>
  <c r="H63" i="7"/>
  <c r="I62" i="7"/>
  <c r="H62" i="7"/>
  <c r="I61" i="7"/>
  <c r="H61" i="7"/>
  <c r="I60" i="7"/>
  <c r="H60" i="7"/>
  <c r="I59" i="7"/>
  <c r="H59" i="7"/>
  <c r="I58" i="7"/>
  <c r="H58" i="7"/>
  <c r="I57" i="7"/>
  <c r="H57" i="7"/>
  <c r="I56" i="7"/>
  <c r="H56" i="7"/>
  <c r="I55" i="7"/>
  <c r="H55" i="7"/>
  <c r="I54" i="7"/>
  <c r="H54" i="7"/>
  <c r="I53" i="7"/>
  <c r="H53" i="7"/>
  <c r="I52" i="7"/>
  <c r="H52" i="7"/>
  <c r="I51" i="7"/>
  <c r="H51" i="7"/>
  <c r="I50" i="7"/>
  <c r="H50" i="7"/>
  <c r="I49" i="7"/>
  <c r="H49" i="7"/>
  <c r="I48" i="7"/>
  <c r="H48" i="7"/>
  <c r="I47" i="7"/>
  <c r="H47" i="7"/>
  <c r="I46" i="7"/>
  <c r="H46" i="7"/>
  <c r="I45" i="7"/>
  <c r="H45" i="7"/>
  <c r="I44" i="7"/>
  <c r="H44" i="7"/>
  <c r="I43" i="7"/>
  <c r="H43" i="7"/>
  <c r="I42" i="7"/>
  <c r="H42" i="7"/>
  <c r="I41" i="7"/>
  <c r="H41" i="7"/>
  <c r="I40" i="7"/>
  <c r="H40" i="7"/>
  <c r="I39" i="7"/>
  <c r="H39" i="7"/>
  <c r="I38" i="7"/>
  <c r="H38" i="7"/>
  <c r="I37" i="7"/>
  <c r="H37" i="7"/>
  <c r="I36" i="7"/>
  <c r="H36" i="7"/>
  <c r="I35" i="7"/>
  <c r="H35" i="7"/>
  <c r="I34" i="7"/>
  <c r="H34" i="7"/>
  <c r="I33" i="7"/>
  <c r="H33" i="7"/>
  <c r="I32" i="7"/>
  <c r="H32" i="7"/>
  <c r="I31" i="7"/>
  <c r="H31" i="7"/>
  <c r="I30" i="7"/>
  <c r="H30" i="7"/>
  <c r="I29" i="7"/>
  <c r="H29" i="7"/>
  <c r="I28" i="7"/>
  <c r="H28" i="7"/>
  <c r="I27" i="7"/>
  <c r="H27" i="7"/>
  <c r="I26" i="7"/>
  <c r="H26" i="7"/>
  <c r="I25" i="7"/>
  <c r="H25" i="7"/>
  <c r="I24" i="7"/>
  <c r="H24" i="7"/>
  <c r="I23" i="7"/>
  <c r="H23" i="7"/>
  <c r="I22" i="7"/>
  <c r="H22" i="7"/>
  <c r="I21" i="7"/>
  <c r="H21" i="7"/>
  <c r="I20" i="7"/>
  <c r="H20" i="7"/>
  <c r="I19" i="7"/>
  <c r="H19" i="7"/>
  <c r="I18" i="7"/>
  <c r="H18" i="7"/>
  <c r="I17" i="7"/>
  <c r="H17" i="7"/>
  <c r="I16" i="7"/>
  <c r="H16" i="7"/>
  <c r="I15" i="7"/>
  <c r="H15" i="7"/>
  <c r="I14" i="7"/>
  <c r="H14" i="7"/>
  <c r="I13" i="7"/>
  <c r="H13" i="7"/>
  <c r="I12" i="7"/>
  <c r="H12" i="7"/>
  <c r="I11" i="7"/>
  <c r="H11" i="7"/>
  <c r="I10" i="7"/>
  <c r="H10" i="7"/>
  <c r="I180" i="6"/>
  <c r="H180" i="6"/>
  <c r="I179" i="6"/>
  <c r="H179" i="6"/>
  <c r="I178" i="6"/>
  <c r="H178" i="6"/>
  <c r="I177" i="6"/>
  <c r="H177" i="6"/>
  <c r="I176" i="6"/>
  <c r="H176" i="6"/>
  <c r="I175" i="6"/>
  <c r="H175" i="6"/>
  <c r="I174" i="6"/>
  <c r="H174" i="6"/>
  <c r="I173" i="6"/>
  <c r="H173" i="6"/>
  <c r="I172" i="6"/>
  <c r="H172" i="6"/>
  <c r="I171" i="6"/>
  <c r="H171" i="6"/>
  <c r="I170" i="6"/>
  <c r="H170" i="6"/>
  <c r="I169" i="6"/>
  <c r="H169" i="6"/>
  <c r="I168" i="6"/>
  <c r="H168" i="6"/>
  <c r="I167" i="6"/>
  <c r="H167" i="6"/>
  <c r="I166" i="6"/>
  <c r="H166" i="6"/>
  <c r="I165" i="6"/>
  <c r="H165" i="6"/>
  <c r="I164" i="6"/>
  <c r="H164" i="6"/>
  <c r="I163" i="6"/>
  <c r="H163" i="6"/>
  <c r="I162" i="6"/>
  <c r="H162" i="6"/>
  <c r="I161" i="6"/>
  <c r="H161" i="6"/>
  <c r="I160" i="6"/>
  <c r="H160" i="6"/>
  <c r="I159" i="6"/>
  <c r="H159" i="6"/>
  <c r="H158" i="6"/>
  <c r="I157" i="6"/>
  <c r="H157" i="6"/>
  <c r="I156" i="6"/>
  <c r="H156" i="6"/>
  <c r="I155" i="6"/>
  <c r="H155" i="6"/>
  <c r="I154" i="6"/>
  <c r="H154" i="6"/>
  <c r="I153" i="6"/>
  <c r="H153" i="6"/>
  <c r="I152" i="6"/>
  <c r="H152" i="6"/>
  <c r="I151" i="6"/>
  <c r="H151" i="6"/>
  <c r="I150" i="6"/>
  <c r="H150" i="6"/>
  <c r="I149" i="6"/>
  <c r="H149" i="6"/>
  <c r="I148" i="6"/>
  <c r="H148" i="6"/>
  <c r="I147" i="6"/>
  <c r="H147" i="6"/>
  <c r="I146" i="6"/>
  <c r="H146" i="6"/>
  <c r="I145" i="6"/>
  <c r="H145" i="6"/>
  <c r="I144" i="6"/>
  <c r="H144" i="6"/>
  <c r="I143" i="6"/>
  <c r="H143" i="6"/>
  <c r="I142" i="6"/>
  <c r="H142" i="6"/>
  <c r="I141" i="6"/>
  <c r="H141" i="6"/>
  <c r="I140" i="6"/>
  <c r="H140" i="6"/>
  <c r="I139" i="6"/>
  <c r="H139" i="6"/>
  <c r="I138" i="6"/>
  <c r="H138" i="6"/>
  <c r="I137" i="6"/>
  <c r="H137" i="6"/>
  <c r="I136" i="6"/>
  <c r="H136" i="6"/>
  <c r="I135" i="6"/>
  <c r="H135" i="6"/>
  <c r="I134" i="6"/>
  <c r="H134" i="6"/>
  <c r="I133" i="6"/>
  <c r="H133" i="6"/>
  <c r="I132" i="6"/>
  <c r="H132" i="6"/>
  <c r="I131" i="6"/>
  <c r="H131" i="6"/>
  <c r="I130" i="6"/>
  <c r="H130" i="6"/>
  <c r="I129" i="6"/>
  <c r="H129" i="6"/>
  <c r="I128" i="6"/>
  <c r="H128" i="6"/>
  <c r="I127" i="6"/>
  <c r="H127" i="6"/>
  <c r="I126" i="6"/>
  <c r="H126" i="6"/>
  <c r="I125" i="6"/>
  <c r="H125" i="6"/>
  <c r="I124" i="6"/>
  <c r="H124" i="6"/>
  <c r="I123" i="6"/>
  <c r="H123" i="6"/>
  <c r="I122" i="6"/>
  <c r="H122" i="6"/>
  <c r="I121" i="6"/>
  <c r="H121" i="6"/>
  <c r="I120" i="6"/>
  <c r="H120" i="6"/>
  <c r="I119" i="6"/>
  <c r="H119" i="6"/>
  <c r="I118" i="6"/>
  <c r="H118" i="6"/>
  <c r="I117" i="6"/>
  <c r="H117" i="6"/>
  <c r="I116" i="6"/>
  <c r="I115" i="6"/>
  <c r="H115" i="6"/>
  <c r="I114" i="6"/>
  <c r="H114" i="6"/>
  <c r="I113" i="6"/>
  <c r="H113" i="6"/>
  <c r="I112" i="6"/>
  <c r="H112" i="6"/>
  <c r="I111" i="6"/>
  <c r="H111" i="6"/>
  <c r="I110" i="6"/>
  <c r="H110" i="6"/>
  <c r="I109" i="6"/>
  <c r="H109" i="6"/>
  <c r="I108" i="6"/>
  <c r="H108" i="6"/>
  <c r="I107" i="6"/>
  <c r="H107" i="6"/>
  <c r="I106" i="6"/>
  <c r="H106" i="6"/>
  <c r="I105" i="6"/>
  <c r="H105" i="6"/>
  <c r="I104" i="6"/>
  <c r="H104" i="6"/>
  <c r="I103" i="6"/>
  <c r="H103" i="6"/>
  <c r="I102" i="6"/>
  <c r="H102" i="6"/>
  <c r="I101" i="6"/>
  <c r="H101" i="6"/>
  <c r="I100" i="6"/>
  <c r="H100" i="6"/>
  <c r="I99" i="6"/>
  <c r="H99" i="6"/>
  <c r="I98" i="6"/>
  <c r="H98" i="6"/>
  <c r="I97" i="6"/>
  <c r="H97" i="6"/>
  <c r="I96" i="6"/>
  <c r="H96" i="6"/>
  <c r="I95" i="6"/>
  <c r="H95" i="6"/>
  <c r="I94" i="6"/>
  <c r="H94" i="6"/>
  <c r="I93" i="6"/>
  <c r="I92" i="6"/>
  <c r="H92" i="6"/>
  <c r="I91" i="6"/>
  <c r="H91" i="6"/>
  <c r="I90" i="6"/>
  <c r="H90" i="6"/>
  <c r="I89" i="6"/>
  <c r="H89" i="6"/>
  <c r="I88" i="6"/>
  <c r="H88" i="6"/>
  <c r="I87" i="6"/>
  <c r="H87" i="6"/>
  <c r="I86" i="6"/>
  <c r="H86" i="6"/>
  <c r="I85" i="6"/>
  <c r="H85" i="6"/>
  <c r="I84" i="6"/>
  <c r="H84" i="6"/>
  <c r="I83" i="6"/>
  <c r="H83" i="6"/>
  <c r="I82" i="6"/>
  <c r="H82" i="6"/>
  <c r="I81" i="6"/>
  <c r="H81" i="6"/>
  <c r="I80" i="6"/>
  <c r="H80" i="6"/>
  <c r="I79" i="6"/>
  <c r="H79" i="6"/>
  <c r="I78" i="6"/>
  <c r="H78" i="6"/>
  <c r="I77" i="6"/>
  <c r="H77" i="6"/>
  <c r="I76" i="6"/>
  <c r="H76" i="6"/>
  <c r="I75" i="6"/>
  <c r="H75" i="6"/>
  <c r="I74" i="6"/>
  <c r="H74" i="6"/>
  <c r="I73" i="6"/>
  <c r="H73" i="6"/>
  <c r="I72" i="6"/>
  <c r="H72" i="6"/>
  <c r="I71" i="6"/>
  <c r="H71" i="6"/>
  <c r="I70" i="6"/>
  <c r="H70" i="6"/>
  <c r="I69" i="6"/>
  <c r="H69" i="6"/>
  <c r="I68" i="6"/>
  <c r="H68" i="6"/>
  <c r="I67" i="6"/>
  <c r="H67" i="6"/>
  <c r="I66" i="6"/>
  <c r="H66" i="6"/>
  <c r="I65" i="6"/>
  <c r="H65" i="6"/>
  <c r="I64" i="6"/>
  <c r="H64" i="6"/>
  <c r="I63" i="6"/>
  <c r="H63" i="6"/>
  <c r="I62" i="6"/>
  <c r="H62" i="6"/>
  <c r="I61" i="6"/>
  <c r="H61" i="6"/>
  <c r="I60" i="6"/>
  <c r="H60" i="6"/>
  <c r="I59" i="6"/>
  <c r="H59" i="6"/>
  <c r="I58" i="6"/>
  <c r="H58" i="6"/>
  <c r="I57" i="6"/>
  <c r="H57" i="6"/>
  <c r="I56" i="6"/>
  <c r="H56" i="6"/>
  <c r="I55" i="6"/>
  <c r="H55" i="6"/>
  <c r="I54" i="6"/>
  <c r="H54" i="6"/>
  <c r="I53" i="6"/>
  <c r="H53" i="6"/>
  <c r="I52" i="6"/>
  <c r="H52" i="6"/>
  <c r="I51" i="6"/>
  <c r="H51" i="6"/>
  <c r="I50" i="6"/>
  <c r="H50" i="6"/>
  <c r="I49" i="6"/>
  <c r="H49" i="6"/>
  <c r="I48" i="6"/>
  <c r="H48" i="6"/>
  <c r="I47" i="6"/>
  <c r="H47" i="6"/>
  <c r="I46" i="6"/>
  <c r="H46" i="6"/>
  <c r="I45" i="6"/>
  <c r="H45" i="6"/>
  <c r="I44" i="6"/>
  <c r="H44" i="6"/>
  <c r="I43" i="6"/>
  <c r="H43" i="6"/>
  <c r="I42" i="6"/>
  <c r="H42" i="6"/>
  <c r="I41" i="6"/>
  <c r="H41" i="6"/>
  <c r="I40" i="6"/>
  <c r="H40" i="6"/>
  <c r="I39" i="6"/>
  <c r="H39" i="6"/>
  <c r="I38" i="6"/>
  <c r="H38" i="6"/>
  <c r="I37" i="6"/>
  <c r="H37" i="6"/>
  <c r="I36" i="6"/>
  <c r="H36" i="6"/>
  <c r="I35" i="6"/>
  <c r="H35" i="6"/>
  <c r="I34" i="6"/>
  <c r="H34" i="6"/>
  <c r="I33" i="6"/>
  <c r="H33" i="6"/>
  <c r="I32" i="6"/>
  <c r="H32" i="6"/>
  <c r="I31" i="6"/>
  <c r="H31" i="6"/>
  <c r="I30" i="6"/>
  <c r="H30" i="6"/>
  <c r="I29" i="6"/>
  <c r="H29" i="6"/>
  <c r="I28" i="6"/>
  <c r="H28" i="6"/>
  <c r="I27" i="6"/>
  <c r="H27" i="6"/>
  <c r="I26" i="6"/>
  <c r="H26" i="6"/>
  <c r="I25" i="6"/>
  <c r="H25" i="6"/>
  <c r="I24" i="6"/>
  <c r="H24" i="6"/>
  <c r="I23" i="6"/>
  <c r="H23" i="6"/>
  <c r="I22" i="6"/>
  <c r="H22" i="6"/>
  <c r="I21" i="6"/>
  <c r="H21" i="6"/>
  <c r="I20" i="6"/>
  <c r="H20" i="6"/>
  <c r="I19" i="6"/>
  <c r="H19" i="6"/>
  <c r="I18" i="6"/>
  <c r="H18" i="6"/>
  <c r="I17" i="6"/>
  <c r="H17" i="6"/>
  <c r="I16" i="6"/>
  <c r="H16" i="6"/>
  <c r="I15" i="6"/>
  <c r="H15" i="6"/>
  <c r="I14" i="6"/>
  <c r="H14" i="6"/>
  <c r="I13" i="6"/>
  <c r="H13" i="6"/>
  <c r="I12" i="6"/>
  <c r="H12" i="6"/>
  <c r="I11" i="6"/>
  <c r="H11" i="6"/>
  <c r="I10" i="6"/>
  <c r="H10" i="6"/>
  <c r="I9" i="6"/>
  <c r="H9" i="6"/>
  <c r="H184" i="5"/>
  <c r="G184" i="5"/>
  <c r="H183" i="5"/>
  <c r="G183" i="5"/>
  <c r="H182" i="5"/>
  <c r="G182" i="5"/>
  <c r="H181" i="5"/>
  <c r="G181" i="5"/>
  <c r="H180" i="5"/>
  <c r="G180" i="5"/>
  <c r="H179" i="5"/>
  <c r="G179" i="5"/>
  <c r="H178" i="5"/>
  <c r="G178" i="5"/>
  <c r="H177" i="5"/>
  <c r="G177" i="5"/>
  <c r="H176" i="5"/>
  <c r="G176" i="5"/>
  <c r="H175" i="5"/>
  <c r="G175" i="5"/>
  <c r="H174" i="5"/>
  <c r="G174" i="5"/>
  <c r="H173" i="5"/>
  <c r="G173" i="5"/>
  <c r="H172" i="5"/>
  <c r="G172" i="5"/>
  <c r="H171" i="5"/>
  <c r="G171" i="5"/>
  <c r="H170" i="5"/>
  <c r="G170" i="5"/>
  <c r="H169" i="5"/>
  <c r="G169" i="5"/>
  <c r="H168" i="5"/>
  <c r="G168" i="5"/>
  <c r="H167" i="5"/>
  <c r="G167" i="5"/>
  <c r="H166" i="5"/>
  <c r="G166" i="5"/>
  <c r="H165" i="5"/>
  <c r="G165" i="5"/>
  <c r="G164" i="5"/>
  <c r="H163" i="5"/>
  <c r="G163" i="5"/>
  <c r="H162" i="5"/>
  <c r="G162" i="5"/>
  <c r="H161" i="5"/>
  <c r="G161" i="5"/>
  <c r="H160" i="5"/>
  <c r="G160" i="5"/>
  <c r="H159" i="5"/>
  <c r="G159" i="5"/>
  <c r="H158" i="5"/>
  <c r="G158" i="5"/>
  <c r="H157" i="5"/>
  <c r="G157" i="5"/>
  <c r="H156" i="5"/>
  <c r="G156" i="5"/>
  <c r="H155" i="5"/>
  <c r="G155" i="5"/>
  <c r="H154" i="5"/>
  <c r="G154" i="5"/>
  <c r="H153" i="5"/>
  <c r="G153" i="5"/>
  <c r="H152" i="5"/>
  <c r="G152" i="5"/>
  <c r="H151" i="5"/>
  <c r="G151" i="5"/>
  <c r="H150" i="5"/>
  <c r="G150" i="5"/>
  <c r="H149" i="5"/>
  <c r="G149" i="5"/>
  <c r="H148" i="5"/>
  <c r="G148" i="5"/>
  <c r="H147" i="5"/>
  <c r="G147" i="5"/>
  <c r="H146" i="5"/>
  <c r="G146" i="5"/>
  <c r="H145" i="5"/>
  <c r="G145" i="5"/>
  <c r="H144" i="5"/>
  <c r="G144" i="5"/>
  <c r="H143" i="5"/>
  <c r="G143" i="5"/>
  <c r="H142" i="5"/>
  <c r="G142" i="5"/>
  <c r="H141" i="5"/>
  <c r="G141" i="5"/>
  <c r="H140" i="5"/>
  <c r="G140" i="5"/>
  <c r="H139" i="5"/>
  <c r="G139" i="5"/>
  <c r="H138" i="5"/>
  <c r="G138" i="5"/>
  <c r="H137" i="5"/>
  <c r="G137" i="5"/>
  <c r="H136" i="5"/>
  <c r="G136" i="5"/>
  <c r="H135" i="5"/>
  <c r="G135" i="5"/>
  <c r="H134" i="5"/>
  <c r="G134" i="5"/>
  <c r="H133" i="5"/>
  <c r="G133" i="5"/>
  <c r="H132" i="5"/>
  <c r="G132" i="5"/>
  <c r="H131" i="5"/>
  <c r="G131" i="5"/>
  <c r="H130" i="5"/>
  <c r="G130" i="5"/>
  <c r="H129" i="5"/>
  <c r="G129" i="5"/>
  <c r="H128" i="5"/>
  <c r="G128" i="5"/>
  <c r="H127" i="5"/>
  <c r="G127" i="5"/>
  <c r="H126" i="5"/>
  <c r="G126" i="5"/>
  <c r="H125" i="5"/>
  <c r="G125" i="5"/>
  <c r="H124" i="5"/>
  <c r="G124" i="5"/>
  <c r="H123" i="5"/>
  <c r="G123" i="5"/>
  <c r="H122" i="5"/>
  <c r="G122" i="5"/>
  <c r="H121" i="5"/>
  <c r="G121" i="5"/>
  <c r="H120" i="5"/>
  <c r="G120" i="5"/>
  <c r="H119" i="5"/>
  <c r="G119" i="5"/>
  <c r="H118" i="5"/>
  <c r="G118" i="5"/>
  <c r="H117" i="5"/>
  <c r="G117" i="5"/>
  <c r="H116" i="5"/>
  <c r="H115" i="5"/>
  <c r="G115" i="5"/>
  <c r="H114" i="5"/>
  <c r="G114" i="5"/>
  <c r="H113" i="5"/>
  <c r="G113" i="5"/>
  <c r="H112" i="5"/>
  <c r="G112" i="5"/>
  <c r="H111" i="5"/>
  <c r="G111" i="5"/>
  <c r="H110" i="5"/>
  <c r="G110" i="5"/>
  <c r="H109" i="5"/>
  <c r="G109" i="5"/>
  <c r="H108" i="5"/>
  <c r="G108" i="5"/>
  <c r="H107" i="5"/>
  <c r="G107" i="5"/>
  <c r="H106" i="5"/>
  <c r="G106" i="5"/>
  <c r="H105" i="5"/>
  <c r="G105" i="5"/>
  <c r="H104" i="5"/>
  <c r="G104" i="5"/>
  <c r="H103" i="5"/>
  <c r="G103" i="5"/>
  <c r="H102" i="5"/>
  <c r="G102" i="5"/>
  <c r="H101" i="5"/>
  <c r="G101" i="5"/>
  <c r="H100" i="5"/>
  <c r="G100" i="5"/>
  <c r="H99" i="5"/>
  <c r="G99" i="5"/>
  <c r="H98" i="5"/>
  <c r="G98" i="5"/>
  <c r="H97" i="5"/>
  <c r="G97" i="5"/>
  <c r="H96" i="5"/>
  <c r="G96" i="5"/>
  <c r="H95" i="5"/>
  <c r="G95" i="5"/>
  <c r="H94" i="5"/>
  <c r="G94" i="5"/>
  <c r="H93" i="5"/>
  <c r="H92" i="5"/>
  <c r="G92" i="5"/>
  <c r="H91" i="5"/>
  <c r="G91" i="5"/>
  <c r="H90" i="5"/>
  <c r="G90" i="5"/>
  <c r="H89" i="5"/>
  <c r="G89" i="5"/>
  <c r="H88" i="5"/>
  <c r="G88" i="5"/>
  <c r="H87" i="5"/>
  <c r="G87" i="5"/>
  <c r="H86" i="5"/>
  <c r="G86" i="5"/>
  <c r="H85" i="5"/>
  <c r="G85" i="5"/>
  <c r="H84" i="5"/>
  <c r="G84" i="5"/>
  <c r="H83" i="5"/>
  <c r="G83" i="5"/>
  <c r="H82" i="5"/>
  <c r="G82" i="5"/>
  <c r="H81" i="5"/>
  <c r="G81" i="5"/>
  <c r="H80" i="5"/>
  <c r="G80" i="5"/>
  <c r="H79" i="5"/>
  <c r="G79" i="5"/>
  <c r="H78" i="5"/>
  <c r="G78" i="5"/>
  <c r="H77" i="5"/>
  <c r="G77" i="5"/>
  <c r="H76" i="5"/>
  <c r="G76" i="5"/>
  <c r="H75" i="5"/>
  <c r="G75" i="5"/>
  <c r="H74" i="5"/>
  <c r="G74" i="5"/>
  <c r="H73" i="5"/>
  <c r="G73" i="5"/>
  <c r="H72" i="5"/>
  <c r="G72" i="5"/>
  <c r="H71" i="5"/>
  <c r="G71" i="5"/>
  <c r="H70" i="5"/>
  <c r="G70" i="5"/>
  <c r="H69" i="5"/>
  <c r="G69" i="5"/>
  <c r="H68" i="5"/>
  <c r="G68" i="5"/>
  <c r="H67" i="5"/>
  <c r="G67" i="5"/>
  <c r="H66" i="5"/>
  <c r="G66" i="5"/>
  <c r="H65" i="5"/>
  <c r="G65" i="5"/>
  <c r="H64" i="5"/>
  <c r="G64" i="5"/>
  <c r="H63" i="5"/>
  <c r="G63" i="5"/>
  <c r="H62" i="5"/>
  <c r="G62" i="5"/>
  <c r="H61" i="5"/>
  <c r="G61" i="5"/>
  <c r="H60" i="5"/>
  <c r="G60" i="5"/>
  <c r="H59" i="5"/>
  <c r="G59" i="5"/>
  <c r="H58" i="5"/>
  <c r="G58" i="5"/>
  <c r="H57" i="5"/>
  <c r="G57" i="5"/>
  <c r="H56" i="5"/>
  <c r="G56" i="5"/>
  <c r="H55" i="5"/>
  <c r="G55" i="5"/>
  <c r="H54" i="5"/>
  <c r="G54" i="5"/>
  <c r="H53" i="5"/>
  <c r="G53" i="5"/>
  <c r="H52" i="5"/>
  <c r="G52" i="5"/>
  <c r="H51" i="5"/>
  <c r="G51" i="5"/>
  <c r="H50" i="5"/>
  <c r="G50" i="5"/>
  <c r="H49" i="5"/>
  <c r="G49" i="5"/>
  <c r="H48" i="5"/>
  <c r="G48" i="5"/>
  <c r="H47" i="5"/>
  <c r="G47" i="5"/>
  <c r="H46" i="5"/>
  <c r="G46" i="5"/>
  <c r="H45" i="5"/>
  <c r="G45" i="5"/>
  <c r="H44" i="5"/>
  <c r="G44" i="5"/>
  <c r="H43" i="5"/>
  <c r="G43" i="5"/>
  <c r="H42" i="5"/>
  <c r="G42" i="5"/>
  <c r="H41" i="5"/>
  <c r="G41" i="5"/>
  <c r="H40" i="5"/>
  <c r="G40" i="5"/>
  <c r="H39" i="5"/>
  <c r="G39" i="5"/>
  <c r="H38" i="5"/>
  <c r="G38" i="5"/>
  <c r="H37" i="5"/>
  <c r="G37" i="5"/>
  <c r="H36" i="5"/>
  <c r="G36" i="5"/>
  <c r="H35" i="5"/>
  <c r="G35" i="5"/>
  <c r="H34" i="5"/>
  <c r="G34" i="5"/>
  <c r="H33" i="5"/>
  <c r="G33" i="5"/>
  <c r="H32" i="5"/>
  <c r="G32" i="5"/>
  <c r="H31" i="5"/>
  <c r="G31" i="5"/>
  <c r="H30" i="5"/>
  <c r="G30" i="5"/>
  <c r="H29" i="5"/>
  <c r="G29" i="5"/>
  <c r="H28" i="5"/>
  <c r="G28" i="5"/>
  <c r="H27" i="5"/>
  <c r="G27" i="5"/>
  <c r="H26" i="5"/>
  <c r="G26" i="5"/>
  <c r="H25" i="5"/>
  <c r="G25" i="5"/>
  <c r="H24" i="5"/>
  <c r="G24" i="5"/>
  <c r="H23" i="5"/>
  <c r="G23" i="5"/>
  <c r="H22" i="5"/>
  <c r="G22" i="5"/>
  <c r="H21" i="5"/>
  <c r="G21" i="5"/>
  <c r="H20" i="5"/>
  <c r="G20" i="5"/>
  <c r="H19" i="5"/>
  <c r="G19" i="5"/>
  <c r="H18" i="5"/>
  <c r="G18" i="5"/>
  <c r="H17" i="5"/>
  <c r="G17" i="5"/>
  <c r="H16" i="5"/>
  <c r="G16" i="5"/>
  <c r="H15" i="5"/>
  <c r="G15" i="5"/>
  <c r="H14" i="5"/>
  <c r="G14" i="5"/>
  <c r="H13" i="5"/>
  <c r="G13" i="5"/>
  <c r="H12" i="5"/>
  <c r="G12" i="5"/>
  <c r="H11" i="5"/>
  <c r="G11" i="5"/>
  <c r="H10" i="5"/>
  <c r="G10" i="5"/>
  <c r="H9" i="5"/>
  <c r="G9" i="5"/>
  <c r="H172" i="4"/>
  <c r="G172" i="4"/>
  <c r="H171" i="4"/>
  <c r="G171"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G11" i="4"/>
  <c r="H10" i="4"/>
  <c r="G10" i="4"/>
  <c r="H9" i="4"/>
  <c r="G9" i="4"/>
  <c r="H173" i="3"/>
  <c r="G173" i="3"/>
  <c r="H172" i="3"/>
  <c r="G172" i="3"/>
  <c r="H171" i="3"/>
  <c r="G171" i="3"/>
  <c r="H170" i="3"/>
  <c r="G170" i="3"/>
  <c r="H169" i="3"/>
  <c r="G169" i="3"/>
  <c r="H168" i="3"/>
  <c r="G168" i="3"/>
  <c r="H167" i="3"/>
  <c r="G167" i="3"/>
  <c r="H166" i="3"/>
  <c r="G166" i="3"/>
  <c r="H165" i="3"/>
  <c r="G165" i="3"/>
  <c r="H164" i="3"/>
  <c r="G164" i="3"/>
  <c r="H163" i="3"/>
  <c r="G163" i="3"/>
  <c r="H162" i="3"/>
  <c r="G162" i="3"/>
  <c r="H161" i="3"/>
  <c r="G161" i="3"/>
  <c r="H160" i="3"/>
  <c r="G160" i="3"/>
  <c r="H159" i="3"/>
  <c r="G159" i="3"/>
  <c r="H158" i="3"/>
  <c r="G158" i="3"/>
  <c r="G157" i="3"/>
  <c r="H156" i="3"/>
  <c r="G156" i="3"/>
  <c r="H155" i="3"/>
  <c r="G155" i="3"/>
  <c r="H154" i="3"/>
  <c r="G154" i="3"/>
  <c r="H153" i="3"/>
  <c r="G153" i="3"/>
  <c r="H152" i="3"/>
  <c r="G152" i="3"/>
  <c r="H151" i="3"/>
  <c r="G151" i="3"/>
  <c r="H150" i="3"/>
  <c r="G150" i="3"/>
  <c r="H149" i="3"/>
  <c r="G149" i="3"/>
  <c r="H148" i="3"/>
  <c r="G148" i="3"/>
  <c r="H147" i="3"/>
  <c r="G147" i="3"/>
  <c r="H146" i="3"/>
  <c r="G146" i="3"/>
  <c r="H145" i="3"/>
  <c r="G145" i="3"/>
  <c r="H144" i="3"/>
  <c r="G144" i="3"/>
  <c r="H143" i="3"/>
  <c r="G143" i="3"/>
  <c r="H142" i="3"/>
  <c r="G142" i="3"/>
  <c r="H141" i="3"/>
  <c r="G141" i="3"/>
  <c r="H140" i="3"/>
  <c r="G140" i="3"/>
  <c r="H139" i="3"/>
  <c r="H138" i="3"/>
  <c r="G138" i="3"/>
  <c r="H137" i="3"/>
  <c r="G137" i="3"/>
  <c r="H136" i="3"/>
  <c r="G136" i="3"/>
  <c r="H135" i="3"/>
  <c r="G135" i="3"/>
  <c r="H134" i="3"/>
  <c r="G134" i="3"/>
  <c r="H133" i="3"/>
  <c r="G133" i="3"/>
  <c r="H132" i="3"/>
  <c r="G132" i="3"/>
  <c r="H131" i="3"/>
  <c r="G131" i="3"/>
  <c r="H130" i="3"/>
  <c r="G130" i="3"/>
  <c r="H129" i="3"/>
  <c r="G129" i="3"/>
  <c r="H128" i="3"/>
  <c r="G128" i="3"/>
  <c r="H127" i="3"/>
  <c r="G127" i="3"/>
  <c r="H126" i="3"/>
  <c r="G126" i="3"/>
  <c r="H125" i="3"/>
  <c r="G125" i="3"/>
  <c r="H124" i="3"/>
  <c r="G124" i="3"/>
  <c r="H123" i="3"/>
  <c r="G123" i="3"/>
  <c r="H122" i="3"/>
  <c r="G122" i="3"/>
  <c r="H121" i="3"/>
  <c r="G121" i="3"/>
  <c r="H120" i="3"/>
  <c r="G120" i="3"/>
  <c r="H119" i="3"/>
  <c r="G119" i="3"/>
  <c r="H118" i="3"/>
  <c r="G118" i="3"/>
  <c r="H117" i="3"/>
  <c r="G117" i="3"/>
  <c r="H116" i="3"/>
  <c r="H115" i="3"/>
  <c r="G115" i="3"/>
  <c r="H114" i="3"/>
  <c r="G114" i="3"/>
  <c r="H113" i="3"/>
  <c r="G113" i="3"/>
  <c r="H112" i="3"/>
  <c r="G112" i="3"/>
  <c r="H111" i="3"/>
  <c r="G111" i="3"/>
  <c r="H110" i="3"/>
  <c r="G110" i="3"/>
  <c r="H109" i="3"/>
  <c r="G109" i="3"/>
  <c r="H108" i="3"/>
  <c r="G108" i="3"/>
  <c r="H107" i="3"/>
  <c r="G107" i="3"/>
  <c r="H106" i="3"/>
  <c r="G106" i="3"/>
  <c r="H105" i="3"/>
  <c r="G105" i="3"/>
  <c r="H104" i="3"/>
  <c r="G104" i="3"/>
  <c r="H103" i="3"/>
  <c r="G103" i="3"/>
  <c r="H102" i="3"/>
  <c r="G102" i="3"/>
  <c r="H101" i="3"/>
  <c r="G101" i="3"/>
  <c r="H100" i="3"/>
  <c r="G100" i="3"/>
  <c r="H99" i="3"/>
  <c r="G99" i="3"/>
  <c r="H98" i="3"/>
  <c r="G98" i="3"/>
  <c r="H97" i="3"/>
  <c r="G97" i="3"/>
  <c r="H96" i="3"/>
  <c r="G96" i="3"/>
  <c r="H95" i="3"/>
  <c r="G95" i="3"/>
  <c r="H94" i="3"/>
  <c r="G94" i="3"/>
  <c r="H93" i="3"/>
  <c r="H92" i="3"/>
  <c r="G92" i="3"/>
  <c r="H91" i="3"/>
  <c r="G91" i="3"/>
  <c r="H90" i="3"/>
  <c r="G90" i="3"/>
  <c r="H89" i="3"/>
  <c r="G89" i="3"/>
  <c r="H88" i="3"/>
  <c r="G88" i="3"/>
  <c r="H87" i="3"/>
  <c r="G87" i="3"/>
  <c r="H86" i="3"/>
  <c r="G86" i="3"/>
  <c r="H85" i="3"/>
  <c r="G85" i="3"/>
  <c r="H84" i="3"/>
  <c r="G84" i="3"/>
  <c r="H83" i="3"/>
  <c r="G83" i="3"/>
  <c r="H82" i="3"/>
  <c r="G82" i="3"/>
  <c r="H81" i="3"/>
  <c r="G81" i="3"/>
  <c r="H80" i="3"/>
  <c r="G80" i="3"/>
  <c r="H79" i="3"/>
  <c r="G79" i="3"/>
  <c r="H78" i="3"/>
  <c r="G78" i="3"/>
  <c r="H77" i="3"/>
  <c r="G77" i="3"/>
  <c r="H76" i="3"/>
  <c r="G76" i="3"/>
  <c r="H75" i="3"/>
  <c r="G75" i="3"/>
  <c r="H74" i="3"/>
  <c r="G74" i="3"/>
  <c r="H73" i="3"/>
  <c r="G73" i="3"/>
  <c r="H72" i="3"/>
  <c r="G72" i="3"/>
  <c r="H71" i="3"/>
  <c r="G71" i="3"/>
  <c r="H70" i="3"/>
  <c r="G70" i="3"/>
  <c r="H69" i="3"/>
  <c r="G69" i="3"/>
  <c r="H68" i="3"/>
  <c r="G68" i="3"/>
  <c r="H67" i="3"/>
  <c r="G67" i="3"/>
  <c r="H66" i="3"/>
  <c r="G66" i="3"/>
  <c r="H65" i="3"/>
  <c r="G65" i="3"/>
  <c r="H64" i="3"/>
  <c r="G64" i="3"/>
  <c r="H63" i="3"/>
  <c r="G63" i="3"/>
  <c r="H62" i="3"/>
  <c r="G62" i="3"/>
  <c r="H61" i="3"/>
  <c r="G61" i="3"/>
  <c r="H60" i="3"/>
  <c r="G60" i="3"/>
  <c r="H59" i="3"/>
  <c r="G59" i="3"/>
  <c r="H58" i="3"/>
  <c r="G58" i="3"/>
  <c r="H57" i="3"/>
  <c r="G57" i="3"/>
  <c r="H56" i="3"/>
  <c r="G56" i="3"/>
  <c r="H55" i="3"/>
  <c r="G55" i="3"/>
  <c r="H54" i="3"/>
  <c r="G54" i="3"/>
  <c r="H53" i="3"/>
  <c r="G53" i="3"/>
  <c r="H52" i="3"/>
  <c r="G52" i="3"/>
  <c r="H51" i="3"/>
  <c r="G51" i="3"/>
  <c r="H50" i="3"/>
  <c r="G50" i="3"/>
  <c r="H49" i="3"/>
  <c r="G49" i="3"/>
  <c r="H48" i="3"/>
  <c r="G48" i="3"/>
  <c r="H47" i="3"/>
  <c r="G47" i="3"/>
  <c r="H46" i="3"/>
  <c r="G46" i="3"/>
  <c r="H45" i="3"/>
  <c r="G45" i="3"/>
  <c r="H44" i="3"/>
  <c r="G44" i="3"/>
  <c r="H43" i="3"/>
  <c r="G43" i="3"/>
  <c r="H42" i="3"/>
  <c r="G42" i="3"/>
  <c r="H41" i="3"/>
  <c r="G41" i="3"/>
  <c r="H40" i="3"/>
  <c r="G40" i="3"/>
  <c r="H39" i="3"/>
  <c r="G39" i="3"/>
  <c r="H38" i="3"/>
  <c r="G38" i="3"/>
  <c r="H37" i="3"/>
  <c r="G37" i="3"/>
  <c r="H36" i="3"/>
  <c r="G36" i="3"/>
  <c r="H35" i="3"/>
  <c r="G35" i="3"/>
  <c r="H34" i="3"/>
  <c r="G34" i="3"/>
  <c r="H33" i="3"/>
  <c r="G33" i="3"/>
  <c r="H32" i="3"/>
  <c r="G32" i="3"/>
  <c r="H31" i="3"/>
  <c r="G31" i="3"/>
  <c r="H30" i="3"/>
  <c r="G30" i="3"/>
  <c r="H29" i="3"/>
  <c r="G29" i="3"/>
  <c r="H28" i="3"/>
  <c r="G28" i="3"/>
  <c r="H27" i="3"/>
  <c r="G27" i="3"/>
  <c r="H26" i="3"/>
  <c r="G26" i="3"/>
  <c r="H25" i="3"/>
  <c r="G25" i="3"/>
  <c r="H24" i="3"/>
  <c r="G24" i="3"/>
  <c r="H23" i="3"/>
  <c r="G23" i="3"/>
  <c r="H22" i="3"/>
  <c r="G22" i="3"/>
  <c r="H21" i="3"/>
  <c r="G21" i="3"/>
  <c r="H20" i="3"/>
  <c r="G20" i="3"/>
  <c r="H19" i="3"/>
  <c r="G19" i="3"/>
  <c r="H18" i="3"/>
  <c r="G18" i="3"/>
  <c r="H17" i="3"/>
  <c r="G17" i="3"/>
  <c r="H16" i="3"/>
  <c r="G16" i="3"/>
  <c r="H15" i="3"/>
  <c r="G15" i="3"/>
  <c r="H14" i="3"/>
  <c r="G14" i="3"/>
  <c r="H13" i="3"/>
  <c r="G13" i="3"/>
  <c r="G12" i="3"/>
  <c r="I12" i="3" s="1"/>
  <c r="A16" i="32"/>
  <c r="A15" i="32"/>
  <c r="A14" i="32"/>
  <c r="A13" i="32"/>
  <c r="A12" i="32"/>
  <c r="A11" i="32"/>
  <c r="A10" i="32"/>
  <c r="C6" i="32"/>
  <c r="B9" i="32" s="1"/>
  <c r="A112" i="31"/>
  <c r="A111" i="31"/>
  <c r="A110" i="31"/>
  <c r="A109" i="31"/>
  <c r="A108" i="31"/>
  <c r="A107" i="31"/>
  <c r="A106" i="31"/>
  <c r="A105" i="31"/>
  <c r="A104" i="31"/>
  <c r="A103" i="31"/>
  <c r="A102" i="31"/>
  <c r="A101" i="31"/>
  <c r="A100" i="31"/>
  <c r="A99" i="31"/>
  <c r="A98" i="31"/>
  <c r="A97" i="31"/>
  <c r="A96" i="31"/>
  <c r="A95" i="31"/>
  <c r="A94" i="31"/>
  <c r="A93" i="31"/>
  <c r="A92" i="31"/>
  <c r="A91" i="31"/>
  <c r="A90" i="31"/>
  <c r="A80" i="31"/>
  <c r="A67" i="31"/>
  <c r="A66" i="31"/>
  <c r="A65" i="31"/>
  <c r="A64" i="31"/>
  <c r="A63" i="31"/>
  <c r="A62" i="31"/>
  <c r="A61" i="31"/>
  <c r="A53" i="31"/>
  <c r="A52" i="31"/>
  <c r="A51" i="31"/>
  <c r="A50" i="31"/>
  <c r="A49" i="31"/>
  <c r="A48" i="31"/>
  <c r="A47" i="31"/>
  <c r="A46" i="31"/>
  <c r="A45" i="31"/>
  <c r="A44" i="31"/>
  <c r="A43" i="31"/>
  <c r="A42" i="31"/>
  <c r="A41" i="31"/>
  <c r="A40" i="31"/>
  <c r="A39" i="31"/>
  <c r="A38" i="31"/>
  <c r="A37" i="31"/>
  <c r="A36" i="31"/>
  <c r="A35" i="31"/>
  <c r="A34" i="31"/>
  <c r="A33" i="31"/>
  <c r="A32" i="31"/>
  <c r="A31" i="31"/>
  <c r="A30" i="31"/>
  <c r="A29" i="31"/>
  <c r="A28" i="31"/>
  <c r="A27" i="31"/>
  <c r="A26" i="31"/>
  <c r="A25" i="31"/>
  <c r="A19" i="31"/>
  <c r="A15" i="31"/>
  <c r="A11" i="31"/>
  <c r="A10" i="31"/>
  <c r="B9" i="31"/>
  <c r="C6" i="31"/>
  <c r="A24" i="30"/>
  <c r="A20" i="30"/>
  <c r="A19" i="30"/>
  <c r="A10" i="30"/>
  <c r="B9" i="30"/>
  <c r="C6" i="30"/>
  <c r="A50" i="29"/>
  <c r="A52" i="29" s="1"/>
  <c r="A44" i="29"/>
  <c r="A45" i="29" s="1"/>
  <c r="A43" i="29"/>
  <c r="A39" i="29"/>
  <c r="A38" i="29"/>
  <c r="A37" i="29"/>
  <c r="A36" i="29"/>
  <c r="A35" i="29"/>
  <c r="A33" i="29"/>
  <c r="A34" i="29" s="1"/>
  <c r="A32" i="29"/>
  <c r="A27" i="29"/>
  <c r="A28" i="29" s="1"/>
  <c r="A25" i="29"/>
  <c r="A23" i="29"/>
  <c r="A21" i="29"/>
  <c r="A26" i="29" s="1"/>
  <c r="A20" i="29"/>
  <c r="A18" i="29"/>
  <c r="A17" i="29"/>
  <c r="A16" i="29"/>
  <c r="A14" i="29"/>
  <c r="A13" i="29"/>
  <c r="A12" i="29"/>
  <c r="A10" i="29"/>
  <c r="A19" i="29" s="1"/>
  <c r="C6" i="29"/>
  <c r="B9" i="29" s="1"/>
  <c r="A31" i="28"/>
  <c r="A32" i="28" s="1"/>
  <c r="A34" i="28" s="1"/>
  <c r="A29" i="28"/>
  <c r="A14" i="28"/>
  <c r="A11" i="28"/>
  <c r="A13" i="28" s="1"/>
  <c r="A10" i="28"/>
  <c r="A28" i="28" s="1"/>
  <c r="A30" i="28" s="1"/>
  <c r="C6" i="28"/>
  <c r="B9" i="28" s="1"/>
  <c r="I12" i="27"/>
  <c r="A12" i="27"/>
  <c r="I11" i="27"/>
  <c r="A11" i="27"/>
  <c r="I10" i="27"/>
  <c r="A10" i="27"/>
  <c r="I9" i="27"/>
  <c r="B9" i="27"/>
  <c r="C6" i="27"/>
  <c r="A23" i="26"/>
  <c r="A17" i="26"/>
  <c r="A10" i="26"/>
  <c r="B9" i="26"/>
  <c r="C6" i="26"/>
  <c r="A64" i="25"/>
  <c r="A60" i="25"/>
  <c r="A61" i="25" s="1"/>
  <c r="A56" i="25"/>
  <c r="A62" i="25" s="1"/>
  <c r="A63" i="25" s="1"/>
  <c r="I22" i="25"/>
  <c r="I21" i="25"/>
  <c r="I20" i="25"/>
  <c r="I19" i="25"/>
  <c r="I18" i="25"/>
  <c r="I17" i="25"/>
  <c r="I16" i="25"/>
  <c r="I15" i="25"/>
  <c r="I14" i="25"/>
  <c r="I13" i="25"/>
  <c r="I12" i="25"/>
  <c r="I11" i="25" s="1"/>
  <c r="A10" i="25"/>
  <c r="A46" i="25" s="1"/>
  <c r="B9" i="25"/>
  <c r="C6" i="25"/>
  <c r="A56" i="24"/>
  <c r="A52" i="24"/>
  <c r="A20" i="24"/>
  <c r="A16" i="24"/>
  <c r="A11" i="24"/>
  <c r="A12" i="24" s="1"/>
  <c r="A10" i="24"/>
  <c r="A46" i="24" s="1"/>
  <c r="C6" i="24"/>
  <c r="B9" i="24" s="1"/>
  <c r="A38" i="23"/>
  <c r="A34" i="23"/>
  <c r="A29" i="23"/>
  <c r="A27" i="23"/>
  <c r="A10" i="23"/>
  <c r="A11" i="23" s="1"/>
  <c r="B9" i="23"/>
  <c r="C6" i="23"/>
  <c r="K160" i="22"/>
  <c r="J160" i="22"/>
  <c r="K159" i="22"/>
  <c r="J159" i="22"/>
  <c r="K158" i="22"/>
  <c r="J158" i="22"/>
  <c r="K157" i="22"/>
  <c r="J157" i="22"/>
  <c r="K156" i="22"/>
  <c r="J156" i="22"/>
  <c r="K155" i="22"/>
  <c r="J155" i="22"/>
  <c r="K154" i="22"/>
  <c r="J154" i="22"/>
  <c r="K153" i="22"/>
  <c r="J153" i="22"/>
  <c r="K151" i="22"/>
  <c r="J151" i="22"/>
  <c r="K150" i="22"/>
  <c r="J150" i="22"/>
  <c r="K149" i="22"/>
  <c r="J149" i="22"/>
  <c r="K148" i="22"/>
  <c r="J148" i="22"/>
  <c r="K147" i="22"/>
  <c r="J147" i="22"/>
  <c r="K146" i="22"/>
  <c r="A146" i="22"/>
  <c r="K145" i="22"/>
  <c r="J145" i="22"/>
  <c r="K144" i="22"/>
  <c r="J144" i="22"/>
  <c r="K143" i="22"/>
  <c r="K142" i="22" s="1"/>
  <c r="J143" i="22"/>
  <c r="J142" i="22" s="1"/>
  <c r="A142" i="22"/>
  <c r="K137" i="22"/>
  <c r="J137" i="22"/>
  <c r="A137" i="22"/>
  <c r="K136" i="22"/>
  <c r="J136" i="22"/>
  <c r="K135" i="22"/>
  <c r="J135" i="22"/>
  <c r="K134" i="22"/>
  <c r="J134" i="22"/>
  <c r="K133" i="22"/>
  <c r="J133" i="22"/>
  <c r="K132" i="22"/>
  <c r="J132" i="22"/>
  <c r="K131" i="22"/>
  <c r="J131" i="22"/>
  <c r="K130" i="22"/>
  <c r="J130" i="22"/>
  <c r="J129" i="22" s="1"/>
  <c r="A129" i="22"/>
  <c r="K127" i="22"/>
  <c r="J127" i="22"/>
  <c r="A127" i="22"/>
  <c r="K126" i="22"/>
  <c r="J126" i="22"/>
  <c r="K124" i="22"/>
  <c r="J124" i="22"/>
  <c r="A124" i="22"/>
  <c r="K113" i="22"/>
  <c r="J113" i="22"/>
  <c r="K112" i="22"/>
  <c r="J112" i="22"/>
  <c r="K111" i="22"/>
  <c r="J111" i="22"/>
  <c r="K110" i="22"/>
  <c r="J110" i="22"/>
  <c r="K109" i="22"/>
  <c r="J109" i="22"/>
  <c r="K108" i="22"/>
  <c r="J108" i="22"/>
  <c r="K107" i="22"/>
  <c r="J107" i="22"/>
  <c r="K106" i="22"/>
  <c r="J106" i="22"/>
  <c r="A103" i="22"/>
  <c r="A123" i="22" s="1"/>
  <c r="A57" i="22"/>
  <c r="A56" i="22"/>
  <c r="K55" i="22"/>
  <c r="J55" i="22"/>
  <c r="K54" i="22"/>
  <c r="J54" i="22"/>
  <c r="A52" i="22"/>
  <c r="A55" i="22" s="1"/>
  <c r="K16" i="22"/>
  <c r="J16" i="22"/>
  <c r="K15" i="22"/>
  <c r="J15" i="22"/>
  <c r="K14" i="22"/>
  <c r="J14" i="22"/>
  <c r="K13" i="22"/>
  <c r="J13" i="22"/>
  <c r="K12" i="22"/>
  <c r="J12" i="22"/>
  <c r="A11" i="22"/>
  <c r="A10" i="22"/>
  <c r="A32" i="22" s="1"/>
  <c r="C6" i="22"/>
  <c r="B9" i="22" s="1"/>
  <c r="I101" i="21"/>
  <c r="I98" i="21" s="1"/>
  <c r="I100" i="21"/>
  <c r="I99" i="21"/>
  <c r="I90" i="21"/>
  <c r="I89" i="21"/>
  <c r="I88" i="21"/>
  <c r="I87" i="21"/>
  <c r="I86" i="21"/>
  <c r="I81" i="21"/>
  <c r="I80" i="21"/>
  <c r="I79" i="21"/>
  <c r="I71" i="21"/>
  <c r="I70" i="21"/>
  <c r="I63" i="21"/>
  <c r="I62" i="21"/>
  <c r="I61" i="21"/>
  <c r="I60" i="21"/>
  <c r="I59" i="21"/>
  <c r="I58" i="21"/>
  <c r="I57" i="21"/>
  <c r="I56" i="21"/>
  <c r="A52" i="21"/>
  <c r="A91" i="21" s="1"/>
  <c r="A46" i="21"/>
  <c r="A47" i="21" s="1"/>
  <c r="A33" i="21"/>
  <c r="A32" i="21"/>
  <c r="A23" i="21"/>
  <c r="I16" i="21"/>
  <c r="I15" i="21"/>
  <c r="I14" i="21"/>
  <c r="I13" i="21"/>
  <c r="I12" i="21"/>
  <c r="A10" i="21"/>
  <c r="A50" i="21" s="1"/>
  <c r="A51" i="21" s="1"/>
  <c r="C6" i="21"/>
  <c r="B9" i="21" s="1"/>
  <c r="I102" i="20"/>
  <c r="I100" i="20"/>
  <c r="I99" i="20"/>
  <c r="I98" i="20"/>
  <c r="I97" i="20" s="1"/>
  <c r="I90" i="20"/>
  <c r="I89" i="20"/>
  <c r="I88" i="20"/>
  <c r="I87" i="20"/>
  <c r="I86" i="20"/>
  <c r="I85" i="20"/>
  <c r="I81" i="20"/>
  <c r="I80" i="20"/>
  <c r="I79" i="20"/>
  <c r="I77" i="20"/>
  <c r="I71" i="20"/>
  <c r="I70" i="20"/>
  <c r="I63" i="20"/>
  <c r="I62" i="20"/>
  <c r="I61" i="20"/>
  <c r="I60" i="20"/>
  <c r="I59" i="20"/>
  <c r="I58" i="20"/>
  <c r="I57" i="20"/>
  <c r="I56" i="20"/>
  <c r="A52" i="20"/>
  <c r="A46" i="20"/>
  <c r="A49" i="20" s="1"/>
  <c r="I45" i="20"/>
  <c r="A40" i="20"/>
  <c r="A44" i="20" s="1"/>
  <c r="I39" i="20"/>
  <c r="I38" i="20"/>
  <c r="I31" i="20"/>
  <c r="I30" i="20"/>
  <c r="I29" i="20"/>
  <c r="I16" i="20"/>
  <c r="I15" i="20"/>
  <c r="I14" i="20"/>
  <c r="I13" i="20"/>
  <c r="I12" i="20"/>
  <c r="A11" i="20"/>
  <c r="A20" i="20" s="1"/>
  <c r="A10" i="20"/>
  <c r="A50" i="20" s="1"/>
  <c r="A51" i="20" s="1"/>
  <c r="C6" i="20"/>
  <c r="B9" i="20" s="1"/>
  <c r="I163" i="19"/>
  <c r="I162" i="19"/>
  <c r="I161" i="19"/>
  <c r="I160" i="19"/>
  <c r="I159" i="19"/>
  <c r="I158" i="19"/>
  <c r="I157" i="19"/>
  <c r="I156" i="19"/>
  <c r="I155" i="19"/>
  <c r="I154" i="19"/>
  <c r="I153" i="19"/>
  <c r="I152" i="19"/>
  <c r="I151" i="19"/>
  <c r="I146" i="19"/>
  <c r="I144" i="19"/>
  <c r="I143" i="19"/>
  <c r="I142" i="19"/>
  <c r="I141" i="19" s="1"/>
  <c r="I137" i="19"/>
  <c r="I136" i="19"/>
  <c r="I135" i="19"/>
  <c r="I134" i="19"/>
  <c r="I128" i="19"/>
  <c r="I127" i="19"/>
  <c r="I126" i="19"/>
  <c r="I124" i="19"/>
  <c r="I113" i="19"/>
  <c r="I112" i="19"/>
  <c r="I111" i="19"/>
  <c r="I110" i="19"/>
  <c r="I109" i="19"/>
  <c r="I108" i="19"/>
  <c r="I107" i="19"/>
  <c r="I106" i="19"/>
  <c r="A103" i="19"/>
  <c r="A138" i="19" s="1"/>
  <c r="I101" i="19"/>
  <c r="I100" i="19"/>
  <c r="I99" i="19"/>
  <c r="I98" i="19"/>
  <c r="I97" i="19"/>
  <c r="I96" i="19"/>
  <c r="I95" i="19"/>
  <c r="I78" i="19"/>
  <c r="I77" i="19"/>
  <c r="I76" i="19"/>
  <c r="I75" i="19"/>
  <c r="I73" i="19" s="1"/>
  <c r="I74" i="19"/>
  <c r="A56" i="19"/>
  <c r="A51" i="19"/>
  <c r="A47" i="19"/>
  <c r="A46" i="19"/>
  <c r="A32" i="19"/>
  <c r="A28" i="19"/>
  <c r="A23" i="19"/>
  <c r="A24" i="19" s="1"/>
  <c r="A19" i="19"/>
  <c r="A15" i="19"/>
  <c r="A11" i="19"/>
  <c r="A22" i="19" s="1"/>
  <c r="A10" i="19"/>
  <c r="A40" i="19" s="1"/>
  <c r="C6" i="19"/>
  <c r="B9" i="19" s="1"/>
  <c r="I160" i="18"/>
  <c r="I158" i="18"/>
  <c r="I156" i="18"/>
  <c r="I155" i="18"/>
  <c r="I153" i="18"/>
  <c r="A152" i="18"/>
  <c r="A154" i="18" s="1"/>
  <c r="I147" i="18"/>
  <c r="I145" i="18"/>
  <c r="I144" i="18"/>
  <c r="I142" i="18" s="1"/>
  <c r="I143" i="18"/>
  <c r="I137" i="18"/>
  <c r="I136" i="18"/>
  <c r="I135" i="18"/>
  <c r="I134" i="18"/>
  <c r="I128" i="18"/>
  <c r="I127" i="18"/>
  <c r="I126" i="18"/>
  <c r="I124" i="18"/>
  <c r="I113" i="18"/>
  <c r="I112" i="18"/>
  <c r="I111" i="18"/>
  <c r="I110" i="18"/>
  <c r="I109" i="18"/>
  <c r="I108" i="18"/>
  <c r="I107" i="18"/>
  <c r="I106" i="18"/>
  <c r="A103" i="18"/>
  <c r="A138" i="18" s="1"/>
  <c r="A83" i="18"/>
  <c r="A81" i="18"/>
  <c r="A79" i="18"/>
  <c r="I78" i="18"/>
  <c r="I77" i="18"/>
  <c r="I76" i="18"/>
  <c r="I75" i="18"/>
  <c r="I74" i="18"/>
  <c r="I73" i="18"/>
  <c r="A73" i="18"/>
  <c r="A78" i="18" s="1"/>
  <c r="A57" i="18"/>
  <c r="A72" i="18" s="1"/>
  <c r="A56" i="18"/>
  <c r="A94" i="18" s="1"/>
  <c r="A96" i="18" s="1"/>
  <c r="A10" i="18"/>
  <c r="A52" i="18" s="1"/>
  <c r="B9" i="18"/>
  <c r="C6" i="18"/>
  <c r="K154" i="17"/>
  <c r="J154" i="17"/>
  <c r="K153" i="17"/>
  <c r="J153" i="17"/>
  <c r="K152" i="17"/>
  <c r="J152" i="17"/>
  <c r="K151" i="17"/>
  <c r="K150" i="17" s="1"/>
  <c r="J151" i="17"/>
  <c r="J150" i="17" s="1"/>
  <c r="K149" i="17"/>
  <c r="J149" i="17"/>
  <c r="K148" i="17"/>
  <c r="J148" i="17"/>
  <c r="K147" i="17"/>
  <c r="J147" i="17"/>
  <c r="K140" i="17"/>
  <c r="J140" i="17"/>
  <c r="K139" i="17"/>
  <c r="J139" i="17"/>
  <c r="K138" i="17"/>
  <c r="J138" i="17"/>
  <c r="K137" i="17"/>
  <c r="J137" i="17"/>
  <c r="K136" i="17"/>
  <c r="J136" i="17"/>
  <c r="K135" i="17"/>
  <c r="J135" i="17"/>
  <c r="K134" i="17"/>
  <c r="J134" i="17"/>
  <c r="K133" i="17"/>
  <c r="J133" i="17"/>
  <c r="J132" i="17" s="1"/>
  <c r="K131" i="17"/>
  <c r="J131" i="17"/>
  <c r="K130" i="17"/>
  <c r="J130" i="17"/>
  <c r="K129" i="17"/>
  <c r="J129" i="17"/>
  <c r="K127" i="17"/>
  <c r="J127" i="17"/>
  <c r="K125" i="17"/>
  <c r="J125" i="17"/>
  <c r="K124" i="17"/>
  <c r="J124" i="17"/>
  <c r="K123" i="17"/>
  <c r="J123" i="17"/>
  <c r="K116" i="17"/>
  <c r="J116" i="17"/>
  <c r="K115" i="17"/>
  <c r="J115" i="17"/>
  <c r="K114" i="17"/>
  <c r="J114" i="17"/>
  <c r="K113" i="17"/>
  <c r="J113" i="17"/>
  <c r="K112" i="17"/>
  <c r="J112" i="17"/>
  <c r="K111" i="17"/>
  <c r="J111" i="17"/>
  <c r="K110" i="17"/>
  <c r="J110" i="17"/>
  <c r="K109" i="17"/>
  <c r="J109" i="17"/>
  <c r="K108" i="17"/>
  <c r="J108" i="17"/>
  <c r="K107" i="17"/>
  <c r="J107" i="17"/>
  <c r="K106" i="17"/>
  <c r="J106" i="17"/>
  <c r="A104" i="17"/>
  <c r="A146" i="17" s="1"/>
  <c r="A57" i="17"/>
  <c r="A71" i="17" s="1"/>
  <c r="A56" i="17"/>
  <c r="A10" i="17"/>
  <c r="A46" i="17" s="1"/>
  <c r="C6" i="17"/>
  <c r="B9" i="17" s="1"/>
  <c r="K164" i="16"/>
  <c r="J164" i="16"/>
  <c r="K163" i="16"/>
  <c r="J163" i="16"/>
  <c r="K162" i="16"/>
  <c r="J162" i="16"/>
  <c r="J161" i="16" s="1"/>
  <c r="K161" i="16"/>
  <c r="K139" i="16"/>
  <c r="J139" i="16"/>
  <c r="K138" i="16"/>
  <c r="J138" i="16"/>
  <c r="K137" i="16"/>
  <c r="J137" i="16"/>
  <c r="K136" i="16"/>
  <c r="J136" i="16"/>
  <c r="K135" i="16"/>
  <c r="J135" i="16"/>
  <c r="K134" i="16"/>
  <c r="J134" i="16"/>
  <c r="K133" i="16"/>
  <c r="J133" i="16"/>
  <c r="K131" i="16"/>
  <c r="J131" i="16"/>
  <c r="K130" i="16"/>
  <c r="J130" i="16"/>
  <c r="K125" i="16"/>
  <c r="J125" i="16"/>
  <c r="K124" i="16"/>
  <c r="J124" i="16"/>
  <c r="K111" i="16"/>
  <c r="J111" i="16"/>
  <c r="K110" i="16"/>
  <c r="J110" i="16"/>
  <c r="K109" i="16"/>
  <c r="J109" i="16"/>
  <c r="K108" i="16"/>
  <c r="J108" i="16"/>
  <c r="A104" i="16"/>
  <c r="A171" i="16" s="1"/>
  <c r="A56" i="16"/>
  <c r="A94" i="16" s="1"/>
  <c r="A10" i="16"/>
  <c r="A11" i="16" s="1"/>
  <c r="C6" i="16"/>
  <c r="B9" i="16" s="1"/>
  <c r="K180" i="15"/>
  <c r="J180" i="15"/>
  <c r="K179" i="15"/>
  <c r="J179" i="15"/>
  <c r="K178" i="15"/>
  <c r="J178" i="15"/>
  <c r="K177" i="15"/>
  <c r="J177" i="15"/>
  <c r="K176" i="15"/>
  <c r="J176" i="15"/>
  <c r="K175" i="15"/>
  <c r="J175" i="15"/>
  <c r="K174" i="15"/>
  <c r="J174" i="15"/>
  <c r="K172" i="15"/>
  <c r="J172" i="15"/>
  <c r="K169" i="15"/>
  <c r="J169" i="15"/>
  <c r="K161" i="15"/>
  <c r="J161" i="15"/>
  <c r="K160" i="15"/>
  <c r="J160" i="15"/>
  <c r="J158" i="15" s="1"/>
  <c r="K159" i="15"/>
  <c r="K158" i="15" s="1"/>
  <c r="J159" i="15"/>
  <c r="K136" i="15"/>
  <c r="J136" i="15"/>
  <c r="K135" i="15"/>
  <c r="J135" i="15"/>
  <c r="K134" i="15"/>
  <c r="J134" i="15"/>
  <c r="K133" i="15"/>
  <c r="J133" i="15"/>
  <c r="K132" i="15"/>
  <c r="J132" i="15"/>
  <c r="K131" i="15"/>
  <c r="J131" i="15"/>
  <c r="K127" i="15"/>
  <c r="J127" i="15"/>
  <c r="K123" i="15"/>
  <c r="J123" i="15"/>
  <c r="K122" i="15"/>
  <c r="J122" i="15"/>
  <c r="K111" i="15"/>
  <c r="J111" i="15"/>
  <c r="K110" i="15"/>
  <c r="J110" i="15"/>
  <c r="K109" i="15"/>
  <c r="J109" i="15"/>
  <c r="A104" i="15"/>
  <c r="A162" i="15" s="1"/>
  <c r="A57" i="15"/>
  <c r="A72" i="15" s="1"/>
  <c r="A56" i="15"/>
  <c r="A94" i="15" s="1"/>
  <c r="K54" i="15"/>
  <c r="J54" i="15"/>
  <c r="K45" i="15"/>
  <c r="J45" i="15"/>
  <c r="K39" i="15"/>
  <c r="J39" i="15"/>
  <c r="K38" i="15"/>
  <c r="J38" i="15"/>
  <c r="A10" i="15"/>
  <c r="A40" i="15" s="1"/>
  <c r="C6" i="15"/>
  <c r="B9" i="15" s="1"/>
  <c r="K163" i="14"/>
  <c r="J163" i="14"/>
  <c r="K162" i="14"/>
  <c r="J162" i="14"/>
  <c r="K161" i="14"/>
  <c r="J161" i="14"/>
  <c r="K160" i="14"/>
  <c r="J160" i="14"/>
  <c r="K159" i="14"/>
  <c r="J159" i="14"/>
  <c r="K158" i="14"/>
  <c r="J158" i="14"/>
  <c r="K157" i="14"/>
  <c r="J157" i="14"/>
  <c r="K156" i="14"/>
  <c r="J156" i="14"/>
  <c r="K155" i="14"/>
  <c r="J155" i="14"/>
  <c r="K154" i="14"/>
  <c r="J154" i="14"/>
  <c r="K153" i="14"/>
  <c r="J153" i="14"/>
  <c r="J151" i="14" s="1"/>
  <c r="K152" i="14"/>
  <c r="J152" i="14"/>
  <c r="K150" i="14"/>
  <c r="J150" i="14"/>
  <c r="K146" i="14"/>
  <c r="J146" i="14"/>
  <c r="K144" i="14"/>
  <c r="J144" i="14"/>
  <c r="K143" i="14"/>
  <c r="J143" i="14"/>
  <c r="K142" i="14"/>
  <c r="J142" i="14"/>
  <c r="J141" i="14" s="1"/>
  <c r="K137" i="14"/>
  <c r="J137" i="14"/>
  <c r="K136" i="14"/>
  <c r="J136" i="14"/>
  <c r="K135" i="14"/>
  <c r="J135" i="14"/>
  <c r="K134" i="14"/>
  <c r="J134" i="14"/>
  <c r="K133" i="14"/>
  <c r="J133" i="14"/>
  <c r="K132" i="14"/>
  <c r="J132" i="14"/>
  <c r="K131" i="14"/>
  <c r="J131" i="14"/>
  <c r="K130" i="14"/>
  <c r="K129" i="14" s="1"/>
  <c r="J130" i="14"/>
  <c r="K128" i="14"/>
  <c r="J128" i="14"/>
  <c r="K127" i="14"/>
  <c r="J127" i="14"/>
  <c r="K126" i="14"/>
  <c r="J126" i="14"/>
  <c r="K124" i="14"/>
  <c r="J124" i="14"/>
  <c r="K113" i="14"/>
  <c r="J113" i="14"/>
  <c r="K112" i="14"/>
  <c r="J112" i="14"/>
  <c r="K111" i="14"/>
  <c r="J111" i="14"/>
  <c r="K110" i="14"/>
  <c r="J110" i="14"/>
  <c r="K109" i="14"/>
  <c r="J109" i="14"/>
  <c r="K108" i="14"/>
  <c r="J108" i="14"/>
  <c r="K107" i="14"/>
  <c r="J107" i="14"/>
  <c r="K106" i="14"/>
  <c r="J106" i="14"/>
  <c r="A103" i="14"/>
  <c r="A145" i="14" s="1"/>
  <c r="A57" i="14"/>
  <c r="A71" i="14" s="1"/>
  <c r="A56" i="14"/>
  <c r="A73" i="14" s="1"/>
  <c r="K55" i="14"/>
  <c r="J55" i="14"/>
  <c r="K45" i="14"/>
  <c r="J45" i="14"/>
  <c r="K39" i="14"/>
  <c r="J39" i="14"/>
  <c r="K38" i="14"/>
  <c r="J38" i="14"/>
  <c r="K16" i="14"/>
  <c r="J16" i="14"/>
  <c r="K15" i="14"/>
  <c r="J15" i="14"/>
  <c r="K14" i="14"/>
  <c r="J14" i="14"/>
  <c r="K13" i="14"/>
  <c r="J13" i="14"/>
  <c r="K12" i="14"/>
  <c r="J12" i="14"/>
  <c r="A10" i="14"/>
  <c r="A52" i="14" s="1"/>
  <c r="C6" i="14"/>
  <c r="B9" i="14" s="1"/>
  <c r="K164" i="13"/>
  <c r="J164" i="13"/>
  <c r="K163" i="13"/>
  <c r="J163" i="13"/>
  <c r="K162" i="13"/>
  <c r="J162" i="13"/>
  <c r="K161" i="13"/>
  <c r="J161" i="13"/>
  <c r="K160" i="13"/>
  <c r="J160" i="13"/>
  <c r="K159" i="13"/>
  <c r="J159" i="13"/>
  <c r="K158" i="13"/>
  <c r="J158" i="13"/>
  <c r="K157" i="13"/>
  <c r="J157" i="13"/>
  <c r="K156" i="13"/>
  <c r="J156" i="13"/>
  <c r="K155" i="13"/>
  <c r="J155" i="13"/>
  <c r="K154" i="13"/>
  <c r="J154" i="13"/>
  <c r="K153" i="13"/>
  <c r="J153" i="13"/>
  <c r="K151" i="13"/>
  <c r="J151" i="13"/>
  <c r="K147" i="13"/>
  <c r="J147" i="13"/>
  <c r="K145" i="13"/>
  <c r="J145" i="13"/>
  <c r="K144" i="13"/>
  <c r="J144" i="13"/>
  <c r="K143" i="13"/>
  <c r="K142" i="13" s="1"/>
  <c r="J143" i="13"/>
  <c r="J142" i="13"/>
  <c r="K137" i="13"/>
  <c r="J137" i="13"/>
  <c r="K136" i="13"/>
  <c r="J136" i="13"/>
  <c r="K135" i="13"/>
  <c r="J135" i="13"/>
  <c r="K134" i="13"/>
  <c r="J134" i="13"/>
  <c r="K133" i="13"/>
  <c r="J133" i="13"/>
  <c r="K132" i="13"/>
  <c r="J132" i="13"/>
  <c r="K128" i="13"/>
  <c r="J128" i="13"/>
  <c r="K127" i="13"/>
  <c r="J127" i="13"/>
  <c r="K126" i="13"/>
  <c r="J126" i="13"/>
  <c r="K124" i="13"/>
  <c r="J124" i="13"/>
  <c r="A103" i="13"/>
  <c r="A146" i="13" s="1"/>
  <c r="A56" i="13"/>
  <c r="A94" i="13" s="1"/>
  <c r="K55" i="13"/>
  <c r="J55" i="13"/>
  <c r="K45" i="13"/>
  <c r="J45" i="13"/>
  <c r="K39" i="13"/>
  <c r="J39" i="13"/>
  <c r="K38" i="13"/>
  <c r="J38" i="13"/>
  <c r="K16" i="13"/>
  <c r="J16" i="13"/>
  <c r="K15" i="13"/>
  <c r="J15" i="13"/>
  <c r="K14" i="13"/>
  <c r="J14" i="13"/>
  <c r="K13" i="13"/>
  <c r="J13" i="13"/>
  <c r="K12" i="13"/>
  <c r="J12" i="13"/>
  <c r="A10" i="13"/>
  <c r="A52" i="13" s="1"/>
  <c r="C6" i="13"/>
  <c r="B9" i="13" s="1"/>
  <c r="K163" i="12"/>
  <c r="J163" i="12"/>
  <c r="K162" i="12"/>
  <c r="J162" i="12"/>
  <c r="K161" i="12"/>
  <c r="J161" i="12"/>
  <c r="K160" i="12"/>
  <c r="J160" i="12"/>
  <c r="K159" i="12"/>
  <c r="J159" i="12"/>
  <c r="K158" i="12"/>
  <c r="J158" i="12"/>
  <c r="K157" i="12"/>
  <c r="J157" i="12"/>
  <c r="K156" i="12"/>
  <c r="J156" i="12"/>
  <c r="K155" i="12"/>
  <c r="J155" i="12"/>
  <c r="K154" i="12"/>
  <c r="J154" i="12"/>
  <c r="K152" i="12"/>
  <c r="J152" i="12"/>
  <c r="K149" i="12"/>
  <c r="J149" i="12"/>
  <c r="K148" i="12"/>
  <c r="J148" i="12"/>
  <c r="K147" i="12"/>
  <c r="J147" i="12"/>
  <c r="K146" i="12"/>
  <c r="K145" i="12" s="1"/>
  <c r="J146" i="12"/>
  <c r="J145" i="12"/>
  <c r="K144" i="12"/>
  <c r="J144" i="12"/>
  <c r="K143" i="12"/>
  <c r="J143" i="12"/>
  <c r="K142" i="12"/>
  <c r="K141" i="12" s="1"/>
  <c r="J142" i="12"/>
  <c r="J141" i="12"/>
  <c r="K137" i="12"/>
  <c r="J137" i="12"/>
  <c r="K136" i="12"/>
  <c r="J136" i="12"/>
  <c r="K135" i="12"/>
  <c r="J135" i="12"/>
  <c r="K134" i="12"/>
  <c r="J134" i="12"/>
  <c r="K133" i="12"/>
  <c r="J133" i="12"/>
  <c r="K132" i="12"/>
  <c r="J132" i="12"/>
  <c r="K131" i="12"/>
  <c r="J131" i="12"/>
  <c r="J129" i="12" s="1"/>
  <c r="K130" i="12"/>
  <c r="K129" i="12" s="1"/>
  <c r="J130" i="12"/>
  <c r="K128" i="12"/>
  <c r="J128" i="12"/>
  <c r="K127" i="12"/>
  <c r="J127" i="12"/>
  <c r="K126" i="12"/>
  <c r="J126" i="12"/>
  <c r="K124" i="12"/>
  <c r="J124" i="12"/>
  <c r="K121" i="12"/>
  <c r="J121" i="12"/>
  <c r="K120" i="12"/>
  <c r="J120" i="12"/>
  <c r="K117" i="12"/>
  <c r="J117" i="12"/>
  <c r="K113" i="12"/>
  <c r="J113" i="12"/>
  <c r="K112" i="12"/>
  <c r="J112" i="12"/>
  <c r="K111" i="12"/>
  <c r="J111" i="12"/>
  <c r="K110" i="12"/>
  <c r="J110" i="12"/>
  <c r="K109" i="12"/>
  <c r="J109" i="12"/>
  <c r="K108" i="12"/>
  <c r="J108" i="12"/>
  <c r="K107" i="12"/>
  <c r="J107" i="12"/>
  <c r="K106" i="12"/>
  <c r="J106" i="12"/>
  <c r="A103" i="12"/>
  <c r="A151" i="12" s="1"/>
  <c r="A57" i="12"/>
  <c r="A72" i="12" s="1"/>
  <c r="A56" i="12"/>
  <c r="A94" i="12" s="1"/>
  <c r="A11" i="12"/>
  <c r="A22" i="12" s="1"/>
  <c r="A10" i="12"/>
  <c r="A46" i="12" s="1"/>
  <c r="C6" i="12"/>
  <c r="B9" i="12" s="1"/>
  <c r="K158" i="11"/>
  <c r="J158" i="11"/>
  <c r="K156" i="11"/>
  <c r="J156" i="11"/>
  <c r="K154" i="11"/>
  <c r="J154" i="11"/>
  <c r="K153" i="11"/>
  <c r="J153" i="11"/>
  <c r="K151" i="11"/>
  <c r="J151" i="11"/>
  <c r="K150" i="11"/>
  <c r="J150" i="11"/>
  <c r="K149" i="11"/>
  <c r="J149" i="11"/>
  <c r="K148" i="11"/>
  <c r="J148" i="11"/>
  <c r="K147" i="11"/>
  <c r="J147" i="11"/>
  <c r="K146" i="11"/>
  <c r="J146" i="11"/>
  <c r="J144" i="11" s="1"/>
  <c r="K145" i="11"/>
  <c r="K144" i="11" s="1"/>
  <c r="J145" i="11"/>
  <c r="K143" i="11"/>
  <c r="J143" i="11"/>
  <c r="K142" i="11"/>
  <c r="J142" i="11"/>
  <c r="J140" i="11" s="1"/>
  <c r="K141" i="11"/>
  <c r="K140" i="11" s="1"/>
  <c r="J141" i="11"/>
  <c r="K135" i="11"/>
  <c r="J135" i="11"/>
  <c r="K134" i="11"/>
  <c r="J134" i="11"/>
  <c r="K133" i="11"/>
  <c r="J133" i="11"/>
  <c r="K132" i="11"/>
  <c r="J132" i="11"/>
  <c r="K131" i="11"/>
  <c r="J131" i="11"/>
  <c r="J129" i="11" s="1"/>
  <c r="K130" i="11"/>
  <c r="K129" i="11" s="1"/>
  <c r="J130" i="11"/>
  <c r="K127" i="11"/>
  <c r="J127" i="11"/>
  <c r="K126" i="11"/>
  <c r="J126" i="11"/>
  <c r="K124" i="11"/>
  <c r="J124" i="11"/>
  <c r="K121" i="11"/>
  <c r="J121" i="11"/>
  <c r="K120" i="11"/>
  <c r="J120" i="11"/>
  <c r="K117" i="11"/>
  <c r="J117" i="11"/>
  <c r="K113" i="11"/>
  <c r="J113" i="11"/>
  <c r="K112" i="11"/>
  <c r="J112" i="11"/>
  <c r="K111" i="11"/>
  <c r="J111" i="11"/>
  <c r="K110" i="11"/>
  <c r="J110" i="11"/>
  <c r="K109" i="11"/>
  <c r="J109" i="11"/>
  <c r="K108" i="11"/>
  <c r="J108" i="11"/>
  <c r="K107" i="11"/>
  <c r="J107" i="11"/>
  <c r="K106" i="11"/>
  <c r="J106" i="11"/>
  <c r="A103" i="11"/>
  <c r="A144" i="11" s="1"/>
  <c r="A57" i="11"/>
  <c r="A72" i="11" s="1"/>
  <c r="A56" i="11"/>
  <c r="A94" i="11" s="1"/>
  <c r="A10" i="11"/>
  <c r="A52" i="11" s="1"/>
  <c r="C6" i="11"/>
  <c r="B9" i="11" s="1"/>
  <c r="K168" i="10"/>
  <c r="J168" i="10"/>
  <c r="K166" i="10"/>
  <c r="J166" i="10"/>
  <c r="K163" i="10"/>
  <c r="J163" i="10"/>
  <c r="K128" i="10"/>
  <c r="J128" i="10"/>
  <c r="K127" i="10"/>
  <c r="J127" i="10"/>
  <c r="K126" i="10"/>
  <c r="J126" i="10"/>
  <c r="A103" i="10"/>
  <c r="A123" i="10" s="1"/>
  <c r="A61" i="10"/>
  <c r="A59" i="10"/>
  <c r="A57" i="10"/>
  <c r="A71" i="10" s="1"/>
  <c r="A56" i="10"/>
  <c r="A73" i="10" s="1"/>
  <c r="A10" i="10"/>
  <c r="A32" i="10" s="1"/>
  <c r="C6" i="10"/>
  <c r="B9" i="10" s="1"/>
  <c r="K167" i="9"/>
  <c r="J167" i="9"/>
  <c r="K166" i="9"/>
  <c r="J166" i="9"/>
  <c r="K165" i="9"/>
  <c r="J165" i="9"/>
  <c r="K164" i="9"/>
  <c r="J164" i="9"/>
  <c r="K163" i="9"/>
  <c r="J163" i="9"/>
  <c r="K162" i="9"/>
  <c r="J162" i="9"/>
  <c r="K160" i="9"/>
  <c r="J160" i="9"/>
  <c r="K157" i="9"/>
  <c r="J157" i="9"/>
  <c r="K137" i="9"/>
  <c r="J137" i="9"/>
  <c r="K136" i="9"/>
  <c r="J136" i="9"/>
  <c r="K135" i="9"/>
  <c r="J135" i="9"/>
  <c r="K134" i="9"/>
  <c r="J134" i="9"/>
  <c r="K131" i="9"/>
  <c r="J131" i="9"/>
  <c r="K128" i="9"/>
  <c r="J128" i="9"/>
  <c r="K127" i="9"/>
  <c r="J127" i="9"/>
  <c r="K126" i="9"/>
  <c r="J126" i="9"/>
  <c r="A103" i="9"/>
  <c r="A145" i="9" s="1"/>
  <c r="K73" i="9"/>
  <c r="A57" i="9"/>
  <c r="A72" i="9" s="1"/>
  <c r="A56" i="9"/>
  <c r="A94" i="9" s="1"/>
  <c r="A46" i="9"/>
  <c r="A10" i="9"/>
  <c r="A52" i="9" s="1"/>
  <c r="C6" i="9"/>
  <c r="B9" i="9" s="1"/>
  <c r="K168" i="8"/>
  <c r="J168" i="8"/>
  <c r="K167" i="8"/>
  <c r="J167" i="8"/>
  <c r="K166" i="8"/>
  <c r="J166" i="8"/>
  <c r="K165" i="8"/>
  <c r="J165" i="8"/>
  <c r="K164" i="8"/>
  <c r="J164" i="8"/>
  <c r="K163" i="8"/>
  <c r="J163" i="8"/>
  <c r="K161" i="8"/>
  <c r="J161" i="8"/>
  <c r="K158" i="8"/>
  <c r="J158" i="8"/>
  <c r="A149" i="8"/>
  <c r="A138" i="8"/>
  <c r="K137" i="8"/>
  <c r="J137" i="8"/>
  <c r="K136" i="8"/>
  <c r="J136" i="8"/>
  <c r="K135" i="8"/>
  <c r="J135" i="8"/>
  <c r="K134" i="8"/>
  <c r="J134" i="8"/>
  <c r="K128" i="8"/>
  <c r="J128" i="8"/>
  <c r="K127" i="8"/>
  <c r="J127" i="8"/>
  <c r="K126" i="8"/>
  <c r="J126" i="8"/>
  <c r="K113" i="8"/>
  <c r="J113" i="8"/>
  <c r="K112" i="8"/>
  <c r="J112" i="8"/>
  <c r="K109" i="8"/>
  <c r="J109" i="8"/>
  <c r="K108" i="8"/>
  <c r="J108" i="8"/>
  <c r="K107" i="8"/>
  <c r="J107" i="8"/>
  <c r="A103" i="8"/>
  <c r="A146" i="8" s="1"/>
  <c r="A148" i="8" s="1"/>
  <c r="A78" i="8"/>
  <c r="A74" i="8"/>
  <c r="K73" i="8"/>
  <c r="A57" i="8"/>
  <c r="A56" i="8"/>
  <c r="A73" i="8" s="1"/>
  <c r="A23" i="8"/>
  <c r="A30" i="8" s="1"/>
  <c r="A11" i="8"/>
  <c r="A21" i="8" s="1"/>
  <c r="A10" i="8"/>
  <c r="B9" i="8"/>
  <c r="C6" i="8"/>
  <c r="A129" i="7"/>
  <c r="A136" i="7" s="1"/>
  <c r="A123" i="7"/>
  <c r="A128" i="7" s="1"/>
  <c r="A103" i="7"/>
  <c r="A156" i="7" s="1"/>
  <c r="L73" i="7"/>
  <c r="A56" i="7"/>
  <c r="A94" i="7" s="1"/>
  <c r="A32" i="7"/>
  <c r="A38" i="7" s="1"/>
  <c r="A10" i="7"/>
  <c r="A46" i="7" s="1"/>
  <c r="B9" i="7"/>
  <c r="I9" i="7" s="1"/>
  <c r="C6" i="7"/>
  <c r="A104" i="6"/>
  <c r="A121" i="6" s="1"/>
  <c r="A103" i="6"/>
  <c r="A154" i="6" s="1"/>
  <c r="A79" i="6"/>
  <c r="A93" i="6" s="1"/>
  <c r="A56" i="6"/>
  <c r="A73" i="6" s="1"/>
  <c r="A10" i="6"/>
  <c r="A52" i="6" s="1"/>
  <c r="C6" i="6"/>
  <c r="B9" i="6" s="1"/>
  <c r="K182" i="5"/>
  <c r="J182" i="5"/>
  <c r="K181" i="5"/>
  <c r="J181" i="5"/>
  <c r="K180" i="5"/>
  <c r="J180" i="5"/>
  <c r="K179" i="5"/>
  <c r="J179" i="5"/>
  <c r="K178" i="5"/>
  <c r="J178" i="5"/>
  <c r="K177" i="5"/>
  <c r="J177" i="5"/>
  <c r="K175" i="5"/>
  <c r="J175" i="5"/>
  <c r="K172" i="5"/>
  <c r="J172" i="5"/>
  <c r="A160" i="5"/>
  <c r="A162" i="5" s="1"/>
  <c r="K137" i="5"/>
  <c r="J137" i="5"/>
  <c r="K136" i="5"/>
  <c r="J136" i="5"/>
  <c r="K135" i="5"/>
  <c r="J135" i="5"/>
  <c r="K128" i="5"/>
  <c r="J128" i="5"/>
  <c r="K127" i="5"/>
  <c r="J127" i="5"/>
  <c r="K126" i="5"/>
  <c r="J126" i="5"/>
  <c r="K113" i="5"/>
  <c r="J113" i="5"/>
  <c r="K112" i="5"/>
  <c r="J112" i="5"/>
  <c r="K108" i="5"/>
  <c r="J108" i="5"/>
  <c r="A103" i="5"/>
  <c r="A164" i="5" s="1"/>
  <c r="A56" i="5"/>
  <c r="A57" i="5" s="1"/>
  <c r="A41" i="5"/>
  <c r="A32" i="5"/>
  <c r="A11" i="5"/>
  <c r="A10" i="5"/>
  <c r="A40" i="5" s="1"/>
  <c r="B9" i="5"/>
  <c r="C6" i="5"/>
  <c r="A144" i="4"/>
  <c r="A140" i="4"/>
  <c r="A138" i="4"/>
  <c r="A136" i="4"/>
  <c r="K132" i="4"/>
  <c r="J132" i="4"/>
  <c r="K131" i="4"/>
  <c r="J131" i="4"/>
  <c r="A131" i="4"/>
  <c r="A129" i="4"/>
  <c r="A123" i="4"/>
  <c r="A125" i="4" s="1"/>
  <c r="A103" i="4"/>
  <c r="A157" i="4" s="1"/>
  <c r="A166" i="4" s="1"/>
  <c r="L102" i="4"/>
  <c r="L101" i="4"/>
  <c r="L100" i="4"/>
  <c r="C81" i="4"/>
  <c r="C81" i="5" s="1"/>
  <c r="C81" i="6" s="1"/>
  <c r="C81" i="7" s="1"/>
  <c r="C81" i="8" s="1"/>
  <c r="C81" i="9" s="1"/>
  <c r="C81" i="10" s="1"/>
  <c r="C81" i="11" s="1"/>
  <c r="C81" i="12" s="1"/>
  <c r="C81" i="13" s="1"/>
  <c r="C81" i="14" s="1"/>
  <c r="C81" i="15" s="1"/>
  <c r="C81" i="16" s="1"/>
  <c r="C81" i="17" s="1"/>
  <c r="C81" i="18" s="1"/>
  <c r="C81" i="19" s="1"/>
  <c r="C81" i="22" s="1"/>
  <c r="C29" i="23" s="1"/>
  <c r="C80" i="4"/>
  <c r="C80" i="5" s="1"/>
  <c r="C80" i="6" s="1"/>
  <c r="C80" i="7" s="1"/>
  <c r="C80" i="8" s="1"/>
  <c r="C80" i="9" s="1"/>
  <c r="C80" i="10" s="1"/>
  <c r="C80" i="11" s="1"/>
  <c r="C80" i="12" s="1"/>
  <c r="C80" i="13" s="1"/>
  <c r="C80" i="14" s="1"/>
  <c r="C80" i="15" s="1"/>
  <c r="C80" i="16" s="1"/>
  <c r="C80" i="17" s="1"/>
  <c r="C80" i="18" s="1"/>
  <c r="C80" i="19" s="1"/>
  <c r="C80" i="22" s="1"/>
  <c r="C28" i="23" s="1"/>
  <c r="A57" i="4"/>
  <c r="A56" i="4"/>
  <c r="A73" i="4" s="1"/>
  <c r="A74" i="4" s="1"/>
  <c r="A40" i="4"/>
  <c r="A45" i="4" s="1"/>
  <c r="A23" i="4"/>
  <c r="A31" i="4" s="1"/>
  <c r="A10" i="4"/>
  <c r="A32" i="4" s="1"/>
  <c r="C6" i="4"/>
  <c r="B9" i="4" s="1"/>
  <c r="A138" i="3"/>
  <c r="A152" i="3" s="1"/>
  <c r="K131" i="3"/>
  <c r="J131" i="3"/>
  <c r="A103" i="3"/>
  <c r="A104" i="3" s="1"/>
  <c r="C82" i="3"/>
  <c r="C82" i="4" s="1"/>
  <c r="C82" i="5" s="1"/>
  <c r="C82" i="6" s="1"/>
  <c r="C82" i="7" s="1"/>
  <c r="C82" i="8" s="1"/>
  <c r="C82" i="9" s="1"/>
  <c r="C82" i="10" s="1"/>
  <c r="C82" i="11" s="1"/>
  <c r="C82" i="12" s="1"/>
  <c r="C82" i="13" s="1"/>
  <c r="C82" i="14" s="1"/>
  <c r="C82" i="15" s="1"/>
  <c r="C82" i="16" s="1"/>
  <c r="C82" i="17" s="1"/>
  <c r="C82" i="18" s="1"/>
  <c r="C82" i="19" s="1"/>
  <c r="C82" i="22" s="1"/>
  <c r="C30" i="23" s="1"/>
  <c r="A56" i="3"/>
  <c r="A94" i="3" s="1"/>
  <c r="A46" i="3"/>
  <c r="A50" i="3" s="1"/>
  <c r="A10" i="3"/>
  <c r="A52" i="3" s="1"/>
  <c r="C6" i="3"/>
  <c r="B9" i="3" s="1"/>
  <c r="E36" i="2"/>
  <c r="F36" i="2" s="1"/>
  <c r="K129" i="22" l="1"/>
  <c r="I152" i="18"/>
  <c r="K132" i="17"/>
  <c r="K151" i="14"/>
  <c r="K141" i="14"/>
  <c r="J129" i="14"/>
  <c r="A40" i="7"/>
  <c r="H9" i="7"/>
  <c r="A11" i="7"/>
  <c r="A21" i="7" s="1"/>
  <c r="A57" i="7"/>
  <c r="A71" i="7" s="1"/>
  <c r="A23" i="7"/>
  <c r="A73" i="7"/>
  <c r="G62" i="25"/>
  <c r="F58" i="25"/>
  <c r="H58" i="25" s="1"/>
  <c r="I58" i="25" s="1"/>
  <c r="G36" i="2"/>
  <c r="H36" i="2" s="1"/>
  <c r="J68" i="7"/>
  <c r="L68" i="7" s="1"/>
  <c r="I21" i="8"/>
  <c r="I124" i="10"/>
  <c r="I47" i="8"/>
  <c r="J47" i="8" s="1"/>
  <c r="H65" i="18"/>
  <c r="I65" i="18" s="1"/>
  <c r="J67" i="6"/>
  <c r="J83" i="6"/>
  <c r="I97" i="12"/>
  <c r="K97" i="12" s="1"/>
  <c r="I96" i="5"/>
  <c r="J96" i="5" s="1"/>
  <c r="I114" i="5"/>
  <c r="K114" i="5" s="1"/>
  <c r="J26" i="6"/>
  <c r="H102" i="31"/>
  <c r="I102" i="31" s="1"/>
  <c r="I53" i="5"/>
  <c r="I59" i="5"/>
  <c r="K59" i="5" s="1"/>
  <c r="I69" i="11"/>
  <c r="J69" i="11" s="1"/>
  <c r="I74" i="14"/>
  <c r="J74" i="14" s="1"/>
  <c r="J130" i="6"/>
  <c r="I48" i="4"/>
  <c r="I74" i="4"/>
  <c r="I82" i="4"/>
  <c r="I136" i="4"/>
  <c r="I146" i="4"/>
  <c r="K146" i="4" s="1"/>
  <c r="I150" i="4"/>
  <c r="I154" i="4"/>
  <c r="K154" i="4" s="1"/>
  <c r="I160" i="4"/>
  <c r="K160" i="4" s="1"/>
  <c r="I164" i="4"/>
  <c r="K164" i="4" s="1"/>
  <c r="I37" i="5"/>
  <c r="J37" i="5" s="1"/>
  <c r="I41" i="5"/>
  <c r="K41" i="5" s="1"/>
  <c r="I45" i="5"/>
  <c r="I61" i="5"/>
  <c r="K61" i="5" s="1"/>
  <c r="I63" i="5"/>
  <c r="K63" i="5" s="1"/>
  <c r="I65" i="5"/>
  <c r="K65" i="5" s="1"/>
  <c r="I167" i="4"/>
  <c r="K167" i="4" s="1"/>
  <c r="J98" i="6"/>
  <c r="I60" i="9"/>
  <c r="I67" i="10"/>
  <c r="I24" i="11"/>
  <c r="J24" i="11" s="1"/>
  <c r="I85" i="13"/>
  <c r="K85" i="13" s="1"/>
  <c r="I109" i="13"/>
  <c r="K109" i="13" s="1"/>
  <c r="I19" i="14"/>
  <c r="I90" i="15"/>
  <c r="J90" i="15" s="1"/>
  <c r="I142" i="15"/>
  <c r="H69" i="31"/>
  <c r="I69" i="31" s="1"/>
  <c r="I67" i="5"/>
  <c r="I69" i="5"/>
  <c r="I71" i="5"/>
  <c r="K71" i="5" s="1"/>
  <c r="I81" i="5"/>
  <c r="K81" i="5" s="1"/>
  <c r="I83" i="5"/>
  <c r="I85" i="5"/>
  <c r="J85" i="5" s="1"/>
  <c r="I87" i="5"/>
  <c r="J87" i="5" s="1"/>
  <c r="I89" i="5"/>
  <c r="I91" i="5"/>
  <c r="I105" i="5"/>
  <c r="J105" i="5" s="1"/>
  <c r="I119" i="5"/>
  <c r="K119" i="5" s="1"/>
  <c r="I121" i="5"/>
  <c r="I125" i="5"/>
  <c r="J29" i="6"/>
  <c r="L29" i="6" s="1"/>
  <c r="J47" i="6"/>
  <c r="J51" i="6"/>
  <c r="J59" i="6"/>
  <c r="J61" i="6"/>
  <c r="L61" i="6" s="1"/>
  <c r="J63" i="6"/>
  <c r="J65" i="6"/>
  <c r="J69" i="6"/>
  <c r="J71" i="6"/>
  <c r="J81" i="6"/>
  <c r="K81" i="6" s="1"/>
  <c r="J85" i="6"/>
  <c r="J87" i="6"/>
  <c r="J89" i="6"/>
  <c r="K89" i="6" s="1"/>
  <c r="J91" i="6"/>
  <c r="J113" i="6"/>
  <c r="J133" i="6"/>
  <c r="J149" i="6"/>
  <c r="J153" i="6"/>
  <c r="J161" i="6"/>
  <c r="L161" i="6" s="1"/>
  <c r="J165" i="6"/>
  <c r="J171" i="6"/>
  <c r="J33" i="7"/>
  <c r="L33" i="7" s="1"/>
  <c r="J95" i="7"/>
  <c r="J99" i="7"/>
  <c r="J109" i="7"/>
  <c r="K109" i="7" s="1"/>
  <c r="J113" i="7"/>
  <c r="L113" i="7" s="1"/>
  <c r="J125" i="7"/>
  <c r="L125" i="7" s="1"/>
  <c r="J129" i="7"/>
  <c r="J139" i="7"/>
  <c r="J161" i="7"/>
  <c r="L161" i="7" s="1"/>
  <c r="I35" i="8"/>
  <c r="K35" i="8" s="1"/>
  <c r="I75" i="8"/>
  <c r="J75" i="8" s="1"/>
  <c r="I81" i="8"/>
  <c r="K81" i="8" s="1"/>
  <c r="I85" i="8"/>
  <c r="J85" i="8" s="1"/>
  <c r="I89" i="8"/>
  <c r="J89" i="8" s="1"/>
  <c r="I143" i="8"/>
  <c r="K143" i="8" s="1"/>
  <c r="I19" i="9"/>
  <c r="K19" i="9" s="1"/>
  <c r="I39" i="9"/>
  <c r="I51" i="9"/>
  <c r="I83" i="9"/>
  <c r="K83" i="9" s="1"/>
  <c r="I87" i="9"/>
  <c r="K87" i="9" s="1"/>
  <c r="I91" i="9"/>
  <c r="I143" i="9"/>
  <c r="J143" i="9" s="1"/>
  <c r="I34" i="10"/>
  <c r="K34" i="10" s="1"/>
  <c r="I76" i="10"/>
  <c r="J76" i="10" s="1"/>
  <c r="I98" i="10"/>
  <c r="K98" i="10" s="1"/>
  <c r="I102" i="10"/>
  <c r="K102" i="10" s="1"/>
  <c r="I154" i="10"/>
  <c r="I162" i="10"/>
  <c r="J162" i="10" s="1"/>
  <c r="I33" i="11"/>
  <c r="I61" i="11"/>
  <c r="I65" i="11"/>
  <c r="J65" i="11" s="1"/>
  <c r="I77" i="11"/>
  <c r="J77" i="11" s="1"/>
  <c r="I83" i="11"/>
  <c r="I87" i="11"/>
  <c r="I91" i="11"/>
  <c r="K91" i="11" s="1"/>
  <c r="I115" i="11"/>
  <c r="K115" i="11" s="1"/>
  <c r="I139" i="11"/>
  <c r="I13" i="12"/>
  <c r="I33" i="12"/>
  <c r="I59" i="12"/>
  <c r="K59" i="12" s="1"/>
  <c r="I63" i="12"/>
  <c r="I67" i="12"/>
  <c r="I71" i="12"/>
  <c r="K71" i="12" s="1"/>
  <c r="I101" i="12"/>
  <c r="K101" i="12" s="1"/>
  <c r="I105" i="12"/>
  <c r="I18" i="13"/>
  <c r="K18" i="13" s="1"/>
  <c r="I76" i="16"/>
  <c r="K76" i="16" s="1"/>
  <c r="I95" i="17"/>
  <c r="J95" i="17" s="1"/>
  <c r="H11" i="32"/>
  <c r="I11" i="32" s="1"/>
  <c r="H15" i="32"/>
  <c r="I15" i="32" s="1"/>
  <c r="I17" i="4"/>
  <c r="I31" i="4"/>
  <c r="I61" i="4"/>
  <c r="J61" i="4" s="1"/>
  <c r="I89" i="4"/>
  <c r="I95" i="4"/>
  <c r="J95" i="4" s="1"/>
  <c r="I111" i="4"/>
  <c r="I172" i="4"/>
  <c r="K172" i="4" s="1"/>
  <c r="I14" i="5"/>
  <c r="I18" i="5"/>
  <c r="K18" i="5" s="1"/>
  <c r="I26" i="5"/>
  <c r="I50" i="5"/>
  <c r="I76" i="5"/>
  <c r="I98" i="5"/>
  <c r="J98" i="5" s="1"/>
  <c r="I100" i="5"/>
  <c r="I102" i="5"/>
  <c r="I132" i="5"/>
  <c r="I168" i="5"/>
  <c r="J168" i="5" s="1"/>
  <c r="I176" i="5"/>
  <c r="J12" i="6"/>
  <c r="J16" i="6"/>
  <c r="J22" i="6"/>
  <c r="J38" i="6"/>
  <c r="J44" i="6"/>
  <c r="J96" i="6"/>
  <c r="J100" i="6"/>
  <c r="K100" i="6" s="1"/>
  <c r="J102" i="6"/>
  <c r="J120" i="6"/>
  <c r="J124" i="6"/>
  <c r="J128" i="6"/>
  <c r="J136" i="6"/>
  <c r="J168" i="6"/>
  <c r="L168" i="6" s="1"/>
  <c r="J176" i="6"/>
  <c r="J14" i="7"/>
  <c r="J24" i="7"/>
  <c r="K24" i="7" s="1"/>
  <c r="J26" i="7"/>
  <c r="J28" i="7"/>
  <c r="J30" i="7"/>
  <c r="J52" i="7"/>
  <c r="J60" i="7"/>
  <c r="L60" i="7" s="1"/>
  <c r="J64" i="7"/>
  <c r="J72" i="7"/>
  <c r="L72" i="7" s="1"/>
  <c r="J74" i="7"/>
  <c r="K74" i="7" s="1"/>
  <c r="J82" i="7"/>
  <c r="L82" i="7" s="1"/>
  <c r="J86" i="7"/>
  <c r="J90" i="7"/>
  <c r="J120" i="7"/>
  <c r="L120" i="7" s="1"/>
  <c r="I76" i="13"/>
  <c r="K76" i="13" s="1"/>
  <c r="I54" i="14"/>
  <c r="J54" i="14" s="1"/>
  <c r="I78" i="14"/>
  <c r="J78" i="14" s="1"/>
  <c r="I99" i="15"/>
  <c r="J99" i="15" s="1"/>
  <c r="I102" i="16"/>
  <c r="I15" i="17"/>
  <c r="K15" i="17" s="1"/>
  <c r="H18" i="18"/>
  <c r="I18" i="18" s="1"/>
  <c r="H70" i="19"/>
  <c r="I70" i="19" s="1"/>
  <c r="H27" i="20"/>
  <c r="I27" i="20" s="1"/>
  <c r="H33" i="20"/>
  <c r="I33" i="20" s="1"/>
  <c r="H83" i="21"/>
  <c r="I83" i="21" s="1"/>
  <c r="I68" i="22"/>
  <c r="K68" i="22" s="1"/>
  <c r="H51" i="25"/>
  <c r="I51" i="25" s="1"/>
  <c r="J152" i="7"/>
  <c r="L152" i="7" s="1"/>
  <c r="I28" i="8"/>
  <c r="K28" i="8" s="1"/>
  <c r="I58" i="8"/>
  <c r="K58" i="8" s="1"/>
  <c r="I62" i="8"/>
  <c r="I66" i="8"/>
  <c r="I70" i="8"/>
  <c r="I98" i="8"/>
  <c r="I102" i="8"/>
  <c r="I104" i="8"/>
  <c r="I122" i="8"/>
  <c r="J122" i="8" s="1"/>
  <c r="I154" i="8"/>
  <c r="I34" i="9"/>
  <c r="I64" i="9"/>
  <c r="J64" i="9" s="1"/>
  <c r="I68" i="9"/>
  <c r="I72" i="9"/>
  <c r="I74" i="9"/>
  <c r="J74" i="9" s="1"/>
  <c r="I78" i="9"/>
  <c r="J78" i="9" s="1"/>
  <c r="I96" i="9"/>
  <c r="J96" i="9" s="1"/>
  <c r="I100" i="9"/>
  <c r="I154" i="9"/>
  <c r="I19" i="10"/>
  <c r="K19" i="10" s="1"/>
  <c r="I45" i="10"/>
  <c r="I51" i="10"/>
  <c r="I63" i="10"/>
  <c r="I71" i="10"/>
  <c r="I81" i="10"/>
  <c r="I85" i="10"/>
  <c r="I89" i="10"/>
  <c r="I171" i="10"/>
  <c r="K171" i="10" s="1"/>
  <c r="I16" i="11"/>
  <c r="K16" i="11" s="1"/>
  <c r="I42" i="11"/>
  <c r="J42" i="11" s="1"/>
  <c r="I54" i="11"/>
  <c r="I96" i="11"/>
  <c r="K96" i="11" s="1"/>
  <c r="I100" i="11"/>
  <c r="K100" i="11" s="1"/>
  <c r="I22" i="12"/>
  <c r="I50" i="12"/>
  <c r="K50" i="12" s="1"/>
  <c r="I80" i="12"/>
  <c r="I84" i="12"/>
  <c r="J84" i="12" s="1"/>
  <c r="I88" i="12"/>
  <c r="K88" i="12" s="1"/>
  <c r="I92" i="12"/>
  <c r="I35" i="13"/>
  <c r="I59" i="13"/>
  <c r="I63" i="13"/>
  <c r="I67" i="13"/>
  <c r="I71" i="13"/>
  <c r="I81" i="13"/>
  <c r="K81" i="13" s="1"/>
  <c r="I89" i="13"/>
  <c r="I31" i="14"/>
  <c r="I41" i="14"/>
  <c r="J41" i="14" s="1"/>
  <c r="I61" i="14"/>
  <c r="I65" i="14"/>
  <c r="J65" i="14" s="1"/>
  <c r="I69" i="14"/>
  <c r="I83" i="14"/>
  <c r="I87" i="14"/>
  <c r="K87" i="14" s="1"/>
  <c r="I91" i="14"/>
  <c r="K91" i="14" s="1"/>
  <c r="I101" i="14"/>
  <c r="J101" i="14" s="1"/>
  <c r="I115" i="14"/>
  <c r="K115" i="14" s="1"/>
  <c r="I16" i="15"/>
  <c r="I48" i="15"/>
  <c r="K48" i="15" s="1"/>
  <c r="I64" i="15"/>
  <c r="I72" i="15"/>
  <c r="J72" i="15" s="1"/>
  <c r="I82" i="15"/>
  <c r="K82" i="15" s="1"/>
  <c r="I19" i="16"/>
  <c r="K19" i="16" s="1"/>
  <c r="I49" i="16"/>
  <c r="K49" i="16" s="1"/>
  <c r="I59" i="16"/>
  <c r="K59" i="16" s="1"/>
  <c r="I67" i="16"/>
  <c r="J67" i="16" s="1"/>
  <c r="I85" i="16"/>
  <c r="K85" i="16" s="1"/>
  <c r="I145" i="16"/>
  <c r="K145" i="16" s="1"/>
  <c r="I30" i="17"/>
  <c r="I64" i="17"/>
  <c r="K64" i="17" s="1"/>
  <c r="I72" i="17"/>
  <c r="K72" i="17" s="1"/>
  <c r="I82" i="17"/>
  <c r="K82" i="17" s="1"/>
  <c r="I158" i="17"/>
  <c r="K158" i="17" s="1"/>
  <c r="H78" i="21"/>
  <c r="I78" i="21" s="1"/>
  <c r="H92" i="21"/>
  <c r="I92" i="21" s="1"/>
  <c r="I29" i="22"/>
  <c r="J29" i="22" s="1"/>
  <c r="I87" i="22"/>
  <c r="J87" i="22" s="1"/>
  <c r="I21" i="23"/>
  <c r="K21" i="23" s="1"/>
  <c r="H18" i="28"/>
  <c r="I18" i="28" s="1"/>
  <c r="H29" i="29"/>
  <c r="I29" i="29" s="1"/>
  <c r="H45" i="29"/>
  <c r="I45" i="29" s="1"/>
  <c r="H93" i="31"/>
  <c r="I93" i="31" s="1"/>
  <c r="H105" i="31"/>
  <c r="I105" i="31" s="1"/>
  <c r="H81" i="31"/>
  <c r="I81" i="31" s="1"/>
  <c r="H85" i="31"/>
  <c r="I85" i="31" s="1"/>
  <c r="H89" i="31"/>
  <c r="I89" i="31" s="1"/>
  <c r="H95" i="31"/>
  <c r="I95" i="31" s="1"/>
  <c r="H107" i="31"/>
  <c r="I107" i="31" s="1"/>
  <c r="H109" i="31"/>
  <c r="I109" i="31" s="1"/>
  <c r="I102" i="3"/>
  <c r="J102" i="3" s="1"/>
  <c r="I125" i="4"/>
  <c r="I16" i="5"/>
  <c r="K16" i="5" s="1"/>
  <c r="I22" i="5"/>
  <c r="I28" i="5"/>
  <c r="I58" i="5"/>
  <c r="I60" i="5"/>
  <c r="I62" i="5"/>
  <c r="I64" i="5"/>
  <c r="K64" i="5" s="1"/>
  <c r="I66" i="5"/>
  <c r="I68" i="5"/>
  <c r="K68" i="5" s="1"/>
  <c r="I70" i="5"/>
  <c r="K70" i="5" s="1"/>
  <c r="I72" i="5"/>
  <c r="K72" i="5" s="1"/>
  <c r="I80" i="5"/>
  <c r="I82" i="5"/>
  <c r="I84" i="5"/>
  <c r="I86" i="5"/>
  <c r="K86" i="5" s="1"/>
  <c r="I88" i="5"/>
  <c r="I90" i="5"/>
  <c r="I92" i="5"/>
  <c r="K92" i="5" s="1"/>
  <c r="I120" i="5"/>
  <c r="I122" i="5"/>
  <c r="I130" i="5"/>
  <c r="I134" i="5"/>
  <c r="I166" i="5"/>
  <c r="K166" i="5" s="1"/>
  <c r="I184" i="5"/>
  <c r="J20" i="6"/>
  <c r="J24" i="6"/>
  <c r="K24" i="6" s="1"/>
  <c r="J28" i="6"/>
  <c r="K28" i="6" s="1"/>
  <c r="J42" i="6"/>
  <c r="J58" i="6"/>
  <c r="J60" i="6"/>
  <c r="J62" i="6"/>
  <c r="L62" i="6" s="1"/>
  <c r="J64" i="6"/>
  <c r="L64" i="6" s="1"/>
  <c r="J66" i="6"/>
  <c r="J68" i="6"/>
  <c r="J70" i="6"/>
  <c r="J72" i="6"/>
  <c r="L72" i="6" s="1"/>
  <c r="J80" i="6"/>
  <c r="J82" i="6"/>
  <c r="J84" i="6"/>
  <c r="J86" i="6"/>
  <c r="J88" i="6"/>
  <c r="J90" i="6"/>
  <c r="J92" i="6"/>
  <c r="L92" i="6" s="1"/>
  <c r="J106" i="6"/>
  <c r="J122" i="6"/>
  <c r="J132" i="6"/>
  <c r="J138" i="6"/>
  <c r="J164" i="6"/>
  <c r="J166" i="6"/>
  <c r="J170" i="6"/>
  <c r="J172" i="6"/>
  <c r="L172" i="6" s="1"/>
  <c r="J174" i="6"/>
  <c r="J180" i="6"/>
  <c r="J12" i="7"/>
  <c r="L12" i="7" s="1"/>
  <c r="J16" i="7"/>
  <c r="J48" i="7"/>
  <c r="J50" i="7"/>
  <c r="J54" i="7"/>
  <c r="J58" i="7"/>
  <c r="L58" i="7" s="1"/>
  <c r="J62" i="7"/>
  <c r="J66" i="7"/>
  <c r="J70" i="7"/>
  <c r="J76" i="7"/>
  <c r="K76" i="7" s="1"/>
  <c r="J78" i="7"/>
  <c r="K78" i="7" s="1"/>
  <c r="J80" i="7"/>
  <c r="J84" i="7"/>
  <c r="L84" i="7" s="1"/>
  <c r="J88" i="7"/>
  <c r="L88" i="7" s="1"/>
  <c r="J92" i="7"/>
  <c r="J96" i="7"/>
  <c r="L96" i="7" s="1"/>
  <c r="J98" i="7"/>
  <c r="K98" i="7" s="1"/>
  <c r="J100" i="7"/>
  <c r="J102" i="7"/>
  <c r="J106" i="7"/>
  <c r="J108" i="7"/>
  <c r="J110" i="7"/>
  <c r="J112" i="7"/>
  <c r="J118" i="7"/>
  <c r="K118" i="7" s="1"/>
  <c r="J136" i="7"/>
  <c r="L136" i="7" s="1"/>
  <c r="J138" i="7"/>
  <c r="J146" i="7"/>
  <c r="J168" i="7"/>
  <c r="K168" i="7" s="1"/>
  <c r="I12" i="8"/>
  <c r="K12" i="8" s="1"/>
  <c r="I22" i="8"/>
  <c r="I26" i="8"/>
  <c r="J26" i="8" s="1"/>
  <c r="I48" i="8"/>
  <c r="K48" i="8" s="1"/>
  <c r="I52" i="8"/>
  <c r="I54" i="8"/>
  <c r="I60" i="8"/>
  <c r="I64" i="8"/>
  <c r="I68" i="8"/>
  <c r="I72" i="8"/>
  <c r="J72" i="8" s="1"/>
  <c r="I74" i="8"/>
  <c r="J74" i="8" s="1"/>
  <c r="I76" i="8"/>
  <c r="J76" i="8" s="1"/>
  <c r="I78" i="8"/>
  <c r="J78" i="8" s="1"/>
  <c r="I80" i="8"/>
  <c r="J80" i="8" s="1"/>
  <c r="I82" i="8"/>
  <c r="I84" i="8"/>
  <c r="K84" i="8" s="1"/>
  <c r="I86" i="8"/>
  <c r="I88" i="8"/>
  <c r="I90" i="8"/>
  <c r="I92" i="8"/>
  <c r="I96" i="8"/>
  <c r="K96" i="8" s="1"/>
  <c r="I100" i="8"/>
  <c r="I110" i="8"/>
  <c r="I114" i="8"/>
  <c r="J114" i="8" s="1"/>
  <c r="I118" i="8"/>
  <c r="K118" i="8" s="1"/>
  <c r="I120" i="8"/>
  <c r="I124" i="8"/>
  <c r="I132" i="8"/>
  <c r="I140" i="8"/>
  <c r="I144" i="8"/>
  <c r="I152" i="8"/>
  <c r="J152" i="8" s="1"/>
  <c r="I20" i="9"/>
  <c r="I22" i="9"/>
  <c r="I36" i="9"/>
  <c r="J36" i="9" s="1"/>
  <c r="I38" i="9"/>
  <c r="I42" i="9"/>
  <c r="I44" i="9"/>
  <c r="K44" i="9" s="1"/>
  <c r="I48" i="9"/>
  <c r="I52" i="9"/>
  <c r="I58" i="9"/>
  <c r="I62" i="9"/>
  <c r="I66" i="9"/>
  <c r="I70" i="9"/>
  <c r="I76" i="9"/>
  <c r="J76" i="9" s="1"/>
  <c r="I80" i="9"/>
  <c r="K80" i="9" s="1"/>
  <c r="I82" i="9"/>
  <c r="J82" i="9" s="1"/>
  <c r="I84" i="9"/>
  <c r="J84" i="9" s="1"/>
  <c r="I86" i="9"/>
  <c r="I88" i="9"/>
  <c r="I90" i="9"/>
  <c r="I92" i="9"/>
  <c r="J92" i="9" s="1"/>
  <c r="I98" i="9"/>
  <c r="I102" i="9"/>
  <c r="J102" i="9" s="1"/>
  <c r="I124" i="9"/>
  <c r="J124" i="9" s="1"/>
  <c r="I140" i="9"/>
  <c r="I146" i="9"/>
  <c r="J146" i="9" s="1"/>
  <c r="I148" i="9"/>
  <c r="I150" i="9"/>
  <c r="J150" i="9" s="1"/>
  <c r="I158" i="9"/>
  <c r="I15" i="10"/>
  <c r="I37" i="10"/>
  <c r="I43" i="10"/>
  <c r="I47" i="10"/>
  <c r="K47" i="10" s="1"/>
  <c r="I49" i="10"/>
  <c r="I53" i="10"/>
  <c r="I55" i="10"/>
  <c r="I59" i="10"/>
  <c r="J59" i="10" s="1"/>
  <c r="I61" i="10"/>
  <c r="I65" i="10"/>
  <c r="K65" i="10" s="1"/>
  <c r="I69" i="10"/>
  <c r="I75" i="10"/>
  <c r="I77" i="10"/>
  <c r="I83" i="10"/>
  <c r="J83" i="10" s="1"/>
  <c r="I87" i="10"/>
  <c r="J87" i="10" s="1"/>
  <c r="I91" i="10"/>
  <c r="I95" i="10"/>
  <c r="J95" i="10" s="1"/>
  <c r="I97" i="10"/>
  <c r="I99" i="10"/>
  <c r="J99" i="10" s="1"/>
  <c r="I101" i="10"/>
  <c r="K101" i="10" s="1"/>
  <c r="I131" i="10"/>
  <c r="I135" i="10"/>
  <c r="K135" i="10" s="1"/>
  <c r="I137" i="10"/>
  <c r="K137" i="10" s="1"/>
  <c r="I165" i="10"/>
  <c r="I167" i="10"/>
  <c r="I169" i="10"/>
  <c r="I173" i="10"/>
  <c r="J173" i="10" s="1"/>
  <c r="I12" i="11"/>
  <c r="I14" i="11"/>
  <c r="J14" i="11" s="1"/>
  <c r="I18" i="11"/>
  <c r="K18" i="11" s="1"/>
  <c r="I20" i="11"/>
  <c r="J20" i="11" s="1"/>
  <c r="I22" i="11"/>
  <c r="J22" i="11" s="1"/>
  <c r="I26" i="11"/>
  <c r="I28" i="11"/>
  <c r="I30" i="11"/>
  <c r="I34" i="11"/>
  <c r="I36" i="11"/>
  <c r="J36" i="11" s="1"/>
  <c r="I38" i="11"/>
  <c r="I48" i="11"/>
  <c r="J48" i="11" s="1"/>
  <c r="I50" i="11"/>
  <c r="I52" i="11"/>
  <c r="I58" i="11"/>
  <c r="I60" i="11"/>
  <c r="J60" i="11" s="1"/>
  <c r="I62" i="11"/>
  <c r="I64" i="11"/>
  <c r="I66" i="11"/>
  <c r="I68" i="11"/>
  <c r="J68" i="11" s="1"/>
  <c r="I70" i="11"/>
  <c r="K70" i="11" s="1"/>
  <c r="I72" i="11"/>
  <c r="K72" i="11" s="1"/>
  <c r="I80" i="11"/>
  <c r="I82" i="11"/>
  <c r="K82" i="11" s="1"/>
  <c r="I84" i="11"/>
  <c r="I86" i="11"/>
  <c r="K86" i="11" s="1"/>
  <c r="I88" i="11"/>
  <c r="K88" i="11" s="1"/>
  <c r="I90" i="11"/>
  <c r="K90" i="11" s="1"/>
  <c r="I92" i="11"/>
  <c r="I98" i="11"/>
  <c r="I102" i="11"/>
  <c r="I118" i="11"/>
  <c r="J118" i="11" s="1"/>
  <c r="I122" i="11"/>
  <c r="K122" i="11" s="1"/>
  <c r="I14" i="12"/>
  <c r="I18" i="12"/>
  <c r="K18" i="12" s="1"/>
  <c r="I20" i="12"/>
  <c r="K20" i="12" s="1"/>
  <c r="I26" i="12"/>
  <c r="I28" i="12"/>
  <c r="I30" i="12"/>
  <c r="K30" i="12" s="1"/>
  <c r="I38" i="12"/>
  <c r="I52" i="12"/>
  <c r="I58" i="12"/>
  <c r="I60" i="12"/>
  <c r="K60" i="12" s="1"/>
  <c r="I62" i="12"/>
  <c r="K62" i="12" s="1"/>
  <c r="I64" i="12"/>
  <c r="I66" i="12"/>
  <c r="I68" i="12"/>
  <c r="K68" i="12" s="1"/>
  <c r="I70" i="12"/>
  <c r="K70" i="12" s="1"/>
  <c r="I72" i="12"/>
  <c r="K72" i="12" s="1"/>
  <c r="I78" i="12"/>
  <c r="J78" i="12" s="1"/>
  <c r="I82" i="12"/>
  <c r="I86" i="12"/>
  <c r="J86" i="12" s="1"/>
  <c r="I90" i="12"/>
  <c r="K90" i="12" s="1"/>
  <c r="I96" i="12"/>
  <c r="K96" i="12" s="1"/>
  <c r="I98" i="12"/>
  <c r="I100" i="12"/>
  <c r="K100" i="12" s="1"/>
  <c r="I102" i="12"/>
  <c r="J102" i="12" s="1"/>
  <c r="I114" i="12"/>
  <c r="K114" i="12" s="1"/>
  <c r="I19" i="13"/>
  <c r="K19" i="13" s="1"/>
  <c r="I33" i="13"/>
  <c r="J33" i="13" s="1"/>
  <c r="I61" i="13"/>
  <c r="I65" i="13"/>
  <c r="K65" i="13" s="1"/>
  <c r="I69" i="13"/>
  <c r="K69" i="13" s="1"/>
  <c r="I75" i="13"/>
  <c r="J75" i="13" s="1"/>
  <c r="I77" i="13"/>
  <c r="I83" i="13"/>
  <c r="K83" i="13" s="1"/>
  <c r="I87" i="13"/>
  <c r="K87" i="13" s="1"/>
  <c r="I91" i="13"/>
  <c r="K91" i="13" s="1"/>
  <c r="I95" i="13"/>
  <c r="J95" i="13" s="1"/>
  <c r="I105" i="13"/>
  <c r="J105" i="13" s="1"/>
  <c r="I107" i="13"/>
  <c r="K107" i="13" s="1"/>
  <c r="I111" i="13"/>
  <c r="I113" i="13"/>
  <c r="J113" i="13" s="1"/>
  <c r="I115" i="13"/>
  <c r="I17" i="14"/>
  <c r="K17" i="14" s="1"/>
  <c r="I25" i="14"/>
  <c r="K25" i="14" s="1"/>
  <c r="I27" i="14"/>
  <c r="I29" i="14"/>
  <c r="K29" i="14" s="1"/>
  <c r="I33" i="14"/>
  <c r="J33" i="14" s="1"/>
  <c r="I35" i="14"/>
  <c r="I37" i="14"/>
  <c r="I43" i="14"/>
  <c r="J43" i="14" s="1"/>
  <c r="I59" i="14"/>
  <c r="J59" i="14" s="1"/>
  <c r="I63" i="14"/>
  <c r="J63" i="14" s="1"/>
  <c r="I67" i="14"/>
  <c r="K67" i="14" s="1"/>
  <c r="I71" i="14"/>
  <c r="I75" i="14"/>
  <c r="J75" i="14" s="1"/>
  <c r="I77" i="14"/>
  <c r="J77" i="14" s="1"/>
  <c r="I81" i="14"/>
  <c r="I85" i="14"/>
  <c r="K85" i="14" s="1"/>
  <c r="I89" i="14"/>
  <c r="K89" i="14" s="1"/>
  <c r="I97" i="14"/>
  <c r="J97" i="14" s="1"/>
  <c r="I117" i="14"/>
  <c r="K117" i="14" s="1"/>
  <c r="I121" i="14"/>
  <c r="K121" i="14" s="1"/>
  <c r="I139" i="14"/>
  <c r="K139" i="14" s="1"/>
  <c r="I12" i="15"/>
  <c r="I14" i="15"/>
  <c r="J14" i="15" s="1"/>
  <c r="I34" i="15"/>
  <c r="I36" i="15"/>
  <c r="I42" i="15"/>
  <c r="K42" i="15" s="1"/>
  <c r="I50" i="15"/>
  <c r="K50" i="15" s="1"/>
  <c r="I58" i="15"/>
  <c r="K58" i="15" s="1"/>
  <c r="I60" i="15"/>
  <c r="K60" i="15" s="1"/>
  <c r="I62" i="15"/>
  <c r="K62" i="15" s="1"/>
  <c r="I66" i="15"/>
  <c r="K66" i="15" s="1"/>
  <c r="I68" i="15"/>
  <c r="I70" i="15"/>
  <c r="I74" i="15"/>
  <c r="I76" i="15"/>
  <c r="K76" i="15" s="1"/>
  <c r="I78" i="15"/>
  <c r="K78" i="15" s="1"/>
  <c r="I80" i="15"/>
  <c r="I84" i="15"/>
  <c r="J84" i="15" s="1"/>
  <c r="I86" i="15"/>
  <c r="I88" i="15"/>
  <c r="I92" i="15"/>
  <c r="I96" i="15"/>
  <c r="J96" i="15" s="1"/>
  <c r="I98" i="15"/>
  <c r="K98" i="15" s="1"/>
  <c r="I100" i="15"/>
  <c r="I102" i="15"/>
  <c r="K102" i="15" s="1"/>
  <c r="I106" i="15"/>
  <c r="J106" i="15" s="1"/>
  <c r="I108" i="15"/>
  <c r="J108" i="15" s="1"/>
  <c r="I112" i="15"/>
  <c r="I126" i="15"/>
  <c r="I128" i="15"/>
  <c r="K128" i="15" s="1"/>
  <c r="I140" i="15"/>
  <c r="K140" i="15" s="1"/>
  <c r="I146" i="15"/>
  <c r="I25" i="16"/>
  <c r="K25" i="16" s="1"/>
  <c r="I27" i="16"/>
  <c r="I29" i="16"/>
  <c r="K29" i="16" s="1"/>
  <c r="I31" i="16"/>
  <c r="J31" i="16" s="1"/>
  <c r="I61" i="16"/>
  <c r="I63" i="16"/>
  <c r="J63" i="16" s="1"/>
  <c r="I65" i="16"/>
  <c r="J65" i="16" s="1"/>
  <c r="I69" i="16"/>
  <c r="K69" i="16" s="1"/>
  <c r="I71" i="16"/>
  <c r="I75" i="16"/>
  <c r="J75" i="16" s="1"/>
  <c r="I77" i="16"/>
  <c r="J77" i="16" s="1"/>
  <c r="I81" i="16"/>
  <c r="K81" i="16" s="1"/>
  <c r="I83" i="16"/>
  <c r="I87" i="16"/>
  <c r="I89" i="16"/>
  <c r="K89" i="16" s="1"/>
  <c r="I91" i="16"/>
  <c r="K91" i="16" s="1"/>
  <c r="I95" i="16"/>
  <c r="J95" i="16" s="1"/>
  <c r="I97" i="16"/>
  <c r="J97" i="16" s="1"/>
  <c r="I99" i="16"/>
  <c r="K99" i="16" s="1"/>
  <c r="I101" i="16"/>
  <c r="K101" i="16" s="1"/>
  <c r="I103" i="16"/>
  <c r="J103" i="16" s="1"/>
  <c r="I143" i="16"/>
  <c r="J143" i="16" s="1"/>
  <c r="I147" i="16"/>
  <c r="K147" i="16" s="1"/>
  <c r="I149" i="16"/>
  <c r="K149" i="16" s="1"/>
  <c r="I151" i="16"/>
  <c r="I153" i="16"/>
  <c r="I155" i="16"/>
  <c r="K155" i="16" s="1"/>
  <c r="I157" i="16"/>
  <c r="K157" i="16" s="1"/>
  <c r="I159" i="16"/>
  <c r="J159" i="16" s="1"/>
  <c r="I173" i="16"/>
  <c r="I175" i="16"/>
  <c r="K175" i="16" s="1"/>
  <c r="I177" i="16"/>
  <c r="K177" i="16" s="1"/>
  <c r="I179" i="16"/>
  <c r="I24" i="17"/>
  <c r="K24" i="17" s="1"/>
  <c r="I26" i="17"/>
  <c r="K26" i="17" s="1"/>
  <c r="I28" i="17"/>
  <c r="K28" i="17" s="1"/>
  <c r="I54" i="17"/>
  <c r="I58" i="17"/>
  <c r="I60" i="17"/>
  <c r="K60" i="17" s="1"/>
  <c r="I62" i="17"/>
  <c r="K62" i="17" s="1"/>
  <c r="I66" i="17"/>
  <c r="I68" i="17"/>
  <c r="I70" i="17"/>
  <c r="K70" i="17" s="1"/>
  <c r="I74" i="17"/>
  <c r="K74" i="17" s="1"/>
  <c r="I76" i="17"/>
  <c r="I78" i="17"/>
  <c r="K78" i="17" s="1"/>
  <c r="I80" i="17"/>
  <c r="K80" i="17" s="1"/>
  <c r="I84" i="17"/>
  <c r="K84" i="17" s="1"/>
  <c r="I86" i="17"/>
  <c r="K86" i="17" s="1"/>
  <c r="I88" i="17"/>
  <c r="I90" i="17"/>
  <c r="J90" i="17" s="1"/>
  <c r="I92" i="17"/>
  <c r="K92" i="17" s="1"/>
  <c r="I96" i="17"/>
  <c r="I98" i="17"/>
  <c r="I100" i="17"/>
  <c r="K100" i="17" s="1"/>
  <c r="I102" i="17"/>
  <c r="J102" i="17" s="1"/>
  <c r="I104" i="17"/>
  <c r="I128" i="17"/>
  <c r="I142" i="17"/>
  <c r="K142" i="17" s="1"/>
  <c r="I144" i="17"/>
  <c r="K144" i="17" s="1"/>
  <c r="H15" i="18"/>
  <c r="I15" i="18" s="1"/>
  <c r="H19" i="18"/>
  <c r="I19" i="18" s="1"/>
  <c r="H31" i="18"/>
  <c r="I31" i="18" s="1"/>
  <c r="H33" i="18"/>
  <c r="I33" i="18" s="1"/>
  <c r="H37" i="18"/>
  <c r="I37" i="18" s="1"/>
  <c r="H41" i="18"/>
  <c r="I41" i="18" s="1"/>
  <c r="H45" i="18"/>
  <c r="I45" i="18" s="1"/>
  <c r="H47" i="18"/>
  <c r="I47" i="18" s="1"/>
  <c r="H55" i="18"/>
  <c r="I55" i="18" s="1"/>
  <c r="H59" i="18"/>
  <c r="I59" i="18" s="1"/>
  <c r="H67" i="18"/>
  <c r="I67" i="18" s="1"/>
  <c r="H91" i="18"/>
  <c r="I91" i="18" s="1"/>
  <c r="H101" i="18"/>
  <c r="I101" i="18" s="1"/>
  <c r="H103" i="18"/>
  <c r="H27" i="19"/>
  <c r="I27" i="19" s="1"/>
  <c r="H43" i="19"/>
  <c r="I43" i="19" s="1"/>
  <c r="H47" i="19"/>
  <c r="I47" i="19" s="1"/>
  <c r="H51" i="19"/>
  <c r="I51" i="19" s="1"/>
  <c r="H53" i="19"/>
  <c r="I53" i="19" s="1"/>
  <c r="H55" i="19"/>
  <c r="I55" i="19" s="1"/>
  <c r="H65" i="19"/>
  <c r="I65" i="19" s="1"/>
  <c r="H81" i="19"/>
  <c r="I81" i="19" s="1"/>
  <c r="H83" i="19"/>
  <c r="I83" i="19" s="1"/>
  <c r="H91" i="19"/>
  <c r="I91" i="19" s="1"/>
  <c r="H103" i="19"/>
  <c r="H105" i="19"/>
  <c r="I105" i="19" s="1"/>
  <c r="H117" i="19"/>
  <c r="I117" i="19" s="1"/>
  <c r="H121" i="19"/>
  <c r="I121" i="19" s="1"/>
  <c r="H131" i="19"/>
  <c r="I131" i="19" s="1"/>
  <c r="H18" i="20"/>
  <c r="I18" i="20" s="1"/>
  <c r="H22" i="20"/>
  <c r="I22" i="20" s="1"/>
  <c r="H64" i="20"/>
  <c r="I64" i="20" s="1"/>
  <c r="H68" i="20"/>
  <c r="I68" i="20" s="1"/>
  <c r="H92" i="20"/>
  <c r="I92" i="20" s="1"/>
  <c r="H20" i="21"/>
  <c r="I20" i="21" s="1"/>
  <c r="H22" i="21"/>
  <c r="I22" i="21" s="1"/>
  <c r="H30" i="21"/>
  <c r="I30" i="21" s="1"/>
  <c r="H34" i="21"/>
  <c r="I34" i="21" s="1"/>
  <c r="H48" i="21"/>
  <c r="I48" i="21" s="1"/>
  <c r="H54" i="21"/>
  <c r="I54" i="21" s="1"/>
  <c r="H64" i="21"/>
  <c r="I64" i="21" s="1"/>
  <c r="H68" i="21"/>
  <c r="I68" i="21" s="1"/>
  <c r="H74" i="21"/>
  <c r="I74" i="21" s="1"/>
  <c r="H96" i="21"/>
  <c r="I96" i="21" s="1"/>
  <c r="H106" i="21"/>
  <c r="I106" i="21" s="1"/>
  <c r="I21" i="22"/>
  <c r="K21" i="22" s="1"/>
  <c r="I31" i="22"/>
  <c r="J31" i="22" s="1"/>
  <c r="I33" i="22"/>
  <c r="K33" i="22" s="1"/>
  <c r="I35" i="22"/>
  <c r="I37" i="22"/>
  <c r="K37" i="22" s="1"/>
  <c r="I39" i="22"/>
  <c r="I43" i="22"/>
  <c r="J43" i="22" s="1"/>
  <c r="I45" i="22"/>
  <c r="J45" i="22" s="1"/>
  <c r="I47" i="22"/>
  <c r="K47" i="22" s="1"/>
  <c r="I49" i="22"/>
  <c r="J49" i="22" s="1"/>
  <c r="I53" i="22"/>
  <c r="I59" i="22"/>
  <c r="J59" i="22" s="1"/>
  <c r="I61" i="22"/>
  <c r="I63" i="22"/>
  <c r="J63" i="22" s="1"/>
  <c r="I65" i="22"/>
  <c r="I67" i="22"/>
  <c r="K67" i="22" s="1"/>
  <c r="I69" i="22"/>
  <c r="I71" i="22"/>
  <c r="K71" i="22" s="1"/>
  <c r="I75" i="22"/>
  <c r="J75" i="22" s="1"/>
  <c r="I81" i="22"/>
  <c r="K81" i="22" s="1"/>
  <c r="I83" i="22"/>
  <c r="J83" i="22" s="1"/>
  <c r="I85" i="22"/>
  <c r="I89" i="22"/>
  <c r="I91" i="22"/>
  <c r="J91" i="22" s="1"/>
  <c r="I95" i="22"/>
  <c r="J95" i="22" s="1"/>
  <c r="I99" i="22"/>
  <c r="J99" i="22" s="1"/>
  <c r="I119" i="22"/>
  <c r="I125" i="22"/>
  <c r="K125" i="22" s="1"/>
  <c r="K123" i="22" s="1"/>
  <c r="I13" i="23"/>
  <c r="K13" i="23" s="1"/>
  <c r="I15" i="23"/>
  <c r="I17" i="23"/>
  <c r="K17" i="23" s="1"/>
  <c r="I19" i="23"/>
  <c r="K19" i="23" s="1"/>
  <c r="I23" i="23"/>
  <c r="K23" i="23" s="1"/>
  <c r="I25" i="23"/>
  <c r="K25" i="23" s="1"/>
  <c r="I29" i="23"/>
  <c r="J29" i="23" s="1"/>
  <c r="I31" i="23"/>
  <c r="K31" i="23" s="1"/>
  <c r="I33" i="23"/>
  <c r="J33" i="23" s="1"/>
  <c r="I35" i="23"/>
  <c r="I37" i="23"/>
  <c r="J37" i="23" s="1"/>
  <c r="I39" i="23"/>
  <c r="K39" i="23" s="1"/>
  <c r="H18" i="24"/>
  <c r="I18" i="24" s="1"/>
  <c r="H20" i="24"/>
  <c r="I20" i="24" s="1"/>
  <c r="H26" i="24"/>
  <c r="I26" i="24" s="1"/>
  <c r="H30" i="24"/>
  <c r="I30" i="24" s="1"/>
  <c r="H34" i="24"/>
  <c r="I34" i="24" s="1"/>
  <c r="H44" i="24"/>
  <c r="I44" i="24" s="1"/>
  <c r="H64" i="24"/>
  <c r="H66" i="24"/>
  <c r="I66" i="24" s="1"/>
  <c r="H26" i="25"/>
  <c r="I26" i="25" s="1"/>
  <c r="H50" i="25"/>
  <c r="I50" i="25" s="1"/>
  <c r="H52" i="25"/>
  <c r="H56" i="25"/>
  <c r="H22" i="26"/>
  <c r="I22" i="26" s="1"/>
  <c r="H28" i="28"/>
  <c r="H30" i="28"/>
  <c r="I30" i="28" s="1"/>
  <c r="H13" i="29"/>
  <c r="I13" i="29" s="1"/>
  <c r="H15" i="29"/>
  <c r="I15" i="29" s="1"/>
  <c r="H19" i="29"/>
  <c r="I19" i="29" s="1"/>
  <c r="H21" i="30"/>
  <c r="I21" i="30" s="1"/>
  <c r="H23" i="30"/>
  <c r="I23" i="30" s="1"/>
  <c r="H17" i="31"/>
  <c r="I17" i="31" s="1"/>
  <c r="H19" i="31"/>
  <c r="I19" i="31" s="1"/>
  <c r="H29" i="31"/>
  <c r="I29" i="31" s="1"/>
  <c r="H37" i="31"/>
  <c r="I37" i="31" s="1"/>
  <c r="H45" i="31"/>
  <c r="I45" i="31" s="1"/>
  <c r="H55" i="31"/>
  <c r="I55" i="31" s="1"/>
  <c r="H63" i="31"/>
  <c r="I63" i="31" s="1"/>
  <c r="H75" i="31"/>
  <c r="I75" i="31" s="1"/>
  <c r="H77" i="31"/>
  <c r="I77" i="31" s="1"/>
  <c r="I21" i="3"/>
  <c r="I125" i="3"/>
  <c r="I36" i="4"/>
  <c r="I58" i="4"/>
  <c r="J58" i="4" s="1"/>
  <c r="I68" i="4"/>
  <c r="J68" i="4" s="1"/>
  <c r="I70" i="4"/>
  <c r="I72" i="4"/>
  <c r="I78" i="4"/>
  <c r="I84" i="4"/>
  <c r="J84" i="4" s="1"/>
  <c r="I86" i="4"/>
  <c r="I88" i="4"/>
  <c r="J88" i="4" s="1"/>
  <c r="I90" i="4"/>
  <c r="J90" i="4" s="1"/>
  <c r="I92" i="4"/>
  <c r="I98" i="4"/>
  <c r="I110" i="4"/>
  <c r="I114" i="4"/>
  <c r="K114" i="4" s="1"/>
  <c r="I118" i="4"/>
  <c r="J118" i="4" s="1"/>
  <c r="I130" i="4"/>
  <c r="I140" i="4"/>
  <c r="I144" i="4"/>
  <c r="J144" i="4" s="1"/>
  <c r="I148" i="4"/>
  <c r="I152" i="4"/>
  <c r="I158" i="4"/>
  <c r="I162" i="4"/>
  <c r="K162" i="4" s="1"/>
  <c r="I166" i="4"/>
  <c r="I168" i="4"/>
  <c r="I13" i="5"/>
  <c r="I33" i="5"/>
  <c r="I43" i="5"/>
  <c r="I47" i="5"/>
  <c r="I51" i="5"/>
  <c r="I55" i="5"/>
  <c r="J55" i="5" s="1"/>
  <c r="I95" i="5"/>
  <c r="I97" i="5"/>
  <c r="I99" i="5"/>
  <c r="K99" i="5" s="1"/>
  <c r="I101" i="5"/>
  <c r="I111" i="5"/>
  <c r="K111" i="5" s="1"/>
  <c r="I115" i="5"/>
  <c r="I173" i="5"/>
  <c r="J15" i="6"/>
  <c r="J35" i="6"/>
  <c r="J45" i="6"/>
  <c r="J49" i="6"/>
  <c r="J53" i="6"/>
  <c r="J95" i="6"/>
  <c r="J97" i="6"/>
  <c r="J99" i="6"/>
  <c r="J101" i="6"/>
  <c r="J105" i="6"/>
  <c r="J109" i="6"/>
  <c r="J115" i="6"/>
  <c r="J119" i="6"/>
  <c r="J127" i="6"/>
  <c r="J129" i="6"/>
  <c r="J135" i="6"/>
  <c r="J151" i="6"/>
  <c r="J155" i="6"/>
  <c r="J159" i="6"/>
  <c r="J173" i="6"/>
  <c r="J179" i="6"/>
  <c r="L179" i="6" s="1"/>
  <c r="J15" i="7"/>
  <c r="J21" i="7"/>
  <c r="J35" i="7"/>
  <c r="J43" i="7"/>
  <c r="K43" i="7" s="1"/>
  <c r="J45" i="7"/>
  <c r="K45" i="7" s="1"/>
  <c r="J59" i="7"/>
  <c r="J61" i="7"/>
  <c r="J63" i="7"/>
  <c r="J65" i="7"/>
  <c r="J67" i="7"/>
  <c r="J69" i="7"/>
  <c r="L69" i="7" s="1"/>
  <c r="J71" i="7"/>
  <c r="K71" i="7" s="1"/>
  <c r="J75" i="7"/>
  <c r="K75" i="7" s="1"/>
  <c r="J77" i="7"/>
  <c r="K77" i="7" s="1"/>
  <c r="J81" i="7"/>
  <c r="J83" i="7"/>
  <c r="K83" i="7" s="1"/>
  <c r="J85" i="7"/>
  <c r="J87" i="7"/>
  <c r="J89" i="7"/>
  <c r="J91" i="7"/>
  <c r="J97" i="7"/>
  <c r="K97" i="7" s="1"/>
  <c r="J101" i="7"/>
  <c r="J105" i="7"/>
  <c r="L105" i="7" s="1"/>
  <c r="J111" i="7"/>
  <c r="K111" i="7" s="1"/>
  <c r="J115" i="7"/>
  <c r="J117" i="7"/>
  <c r="K117" i="7" s="1"/>
  <c r="J137" i="7"/>
  <c r="L137" i="7" s="1"/>
  <c r="J141" i="7"/>
  <c r="J145" i="7"/>
  <c r="J153" i="7"/>
  <c r="J155" i="7"/>
  <c r="L155" i="7" s="1"/>
  <c r="J157" i="7"/>
  <c r="L157" i="7" s="1"/>
  <c r="I19" i="8"/>
  <c r="I29" i="8"/>
  <c r="I31" i="8"/>
  <c r="I33" i="8"/>
  <c r="K33" i="8" s="1"/>
  <c r="I37" i="8"/>
  <c r="I39" i="8"/>
  <c r="I43" i="8"/>
  <c r="K43" i="8" s="1"/>
  <c r="I59" i="8"/>
  <c r="I61" i="8"/>
  <c r="I63" i="8"/>
  <c r="I65" i="8"/>
  <c r="J65" i="8" s="1"/>
  <c r="I67" i="8"/>
  <c r="I69" i="8"/>
  <c r="I71" i="8"/>
  <c r="I77" i="8"/>
  <c r="J77" i="8" s="1"/>
  <c r="I83" i="8"/>
  <c r="I87" i="8"/>
  <c r="I91" i="8"/>
  <c r="I95" i="8"/>
  <c r="I97" i="8"/>
  <c r="K97" i="8" s="1"/>
  <c r="I99" i="8"/>
  <c r="I101" i="8"/>
  <c r="I105" i="8"/>
  <c r="K105" i="8" s="1"/>
  <c r="I119" i="8"/>
  <c r="J119" i="8" s="1"/>
  <c r="I133" i="8"/>
  <c r="I139" i="8"/>
  <c r="I141" i="8"/>
  <c r="I155" i="8"/>
  <c r="I157" i="8"/>
  <c r="I13" i="9"/>
  <c r="I33" i="9"/>
  <c r="J33" i="9" s="1"/>
  <c r="I35" i="9"/>
  <c r="I47" i="9"/>
  <c r="J47" i="9" s="1"/>
  <c r="I59" i="9"/>
  <c r="K59" i="9" s="1"/>
  <c r="I61" i="9"/>
  <c r="K61" i="9" s="1"/>
  <c r="I63" i="9"/>
  <c r="I65" i="9"/>
  <c r="J65" i="9" s="1"/>
  <c r="I67" i="9"/>
  <c r="I69" i="9"/>
  <c r="I71" i="9"/>
  <c r="K71" i="9" s="1"/>
  <c r="I75" i="9"/>
  <c r="J75" i="9" s="1"/>
  <c r="I77" i="9"/>
  <c r="J77" i="9" s="1"/>
  <c r="I81" i="9"/>
  <c r="I85" i="9"/>
  <c r="J85" i="9" s="1"/>
  <c r="I89" i="9"/>
  <c r="J89" i="9" s="1"/>
  <c r="I95" i="9"/>
  <c r="K95" i="9" s="1"/>
  <c r="I97" i="9"/>
  <c r="J97" i="9" s="1"/>
  <c r="I99" i="9"/>
  <c r="J99" i="9" s="1"/>
  <c r="I101" i="9"/>
  <c r="K101" i="9" s="1"/>
  <c r="I159" i="9"/>
  <c r="I26" i="10"/>
  <c r="I28" i="10"/>
  <c r="I30" i="10"/>
  <c r="J30" i="10" s="1"/>
  <c r="I36" i="10"/>
  <c r="K36" i="10" s="1"/>
  <c r="I48" i="10"/>
  <c r="I58" i="10"/>
  <c r="I60" i="10"/>
  <c r="J60" i="10" s="1"/>
  <c r="I62" i="10"/>
  <c r="I64" i="10"/>
  <c r="K64" i="10" s="1"/>
  <c r="I66" i="10"/>
  <c r="J66" i="10" s="1"/>
  <c r="I68" i="10"/>
  <c r="I70" i="10"/>
  <c r="K70" i="10" s="1"/>
  <c r="I72" i="10"/>
  <c r="I74" i="10"/>
  <c r="I78" i="10"/>
  <c r="I80" i="10"/>
  <c r="I82" i="10"/>
  <c r="I84" i="10"/>
  <c r="K84" i="10" s="1"/>
  <c r="I86" i="10"/>
  <c r="I88" i="10"/>
  <c r="I90" i="10"/>
  <c r="J90" i="10" s="1"/>
  <c r="I92" i="10"/>
  <c r="I96" i="10"/>
  <c r="I100" i="10"/>
  <c r="K100" i="10" s="1"/>
  <c r="I156" i="10"/>
  <c r="K156" i="10" s="1"/>
  <c r="I158" i="10"/>
  <c r="I160" i="10"/>
  <c r="I59" i="11"/>
  <c r="J59" i="11" s="1"/>
  <c r="I63" i="11"/>
  <c r="J63" i="11" s="1"/>
  <c r="I67" i="11"/>
  <c r="J67" i="11" s="1"/>
  <c r="I71" i="11"/>
  <c r="I81" i="11"/>
  <c r="I85" i="11"/>
  <c r="J85" i="11" s="1"/>
  <c r="I89" i="11"/>
  <c r="J89" i="11" s="1"/>
  <c r="I95" i="11"/>
  <c r="I97" i="11"/>
  <c r="J97" i="11" s="1"/>
  <c r="I99" i="11"/>
  <c r="I101" i="11"/>
  <c r="I103" i="11"/>
  <c r="I105" i="11"/>
  <c r="K105" i="11" s="1"/>
  <c r="I125" i="11"/>
  <c r="I39" i="12"/>
  <c r="I49" i="12"/>
  <c r="J49" i="12" s="1"/>
  <c r="I51" i="12"/>
  <c r="K51" i="12" s="1"/>
  <c r="I61" i="12"/>
  <c r="I65" i="12"/>
  <c r="K65" i="12" s="1"/>
  <c r="I69" i="12"/>
  <c r="J69" i="12" s="1"/>
  <c r="I77" i="12"/>
  <c r="J77" i="12" s="1"/>
  <c r="I81" i="12"/>
  <c r="I83" i="12"/>
  <c r="I85" i="12"/>
  <c r="I87" i="12"/>
  <c r="K87" i="12" s="1"/>
  <c r="I89" i="12"/>
  <c r="K89" i="12" s="1"/>
  <c r="I91" i="12"/>
  <c r="J91" i="12" s="1"/>
  <c r="I95" i="12"/>
  <c r="K95" i="12" s="1"/>
  <c r="I99" i="12"/>
  <c r="K99" i="12" s="1"/>
  <c r="I103" i="12"/>
  <c r="I115" i="12"/>
  <c r="I34" i="13"/>
  <c r="K34" i="13" s="1"/>
  <c r="I36" i="13"/>
  <c r="I58" i="13"/>
  <c r="I60" i="13"/>
  <c r="J60" i="13" s="1"/>
  <c r="I62" i="13"/>
  <c r="K62" i="13" s="1"/>
  <c r="I64" i="13"/>
  <c r="I66" i="13"/>
  <c r="I68" i="13"/>
  <c r="I70" i="13"/>
  <c r="K70" i="13" s="1"/>
  <c r="I72" i="13"/>
  <c r="I74" i="13"/>
  <c r="I78" i="13"/>
  <c r="K78" i="13" s="1"/>
  <c r="I80" i="13"/>
  <c r="K80" i="13" s="1"/>
  <c r="I82" i="13"/>
  <c r="J82" i="13" s="1"/>
  <c r="I84" i="13"/>
  <c r="K84" i="13" s="1"/>
  <c r="I86" i="13"/>
  <c r="K86" i="13" s="1"/>
  <c r="I88" i="13"/>
  <c r="K88" i="13" s="1"/>
  <c r="I90" i="13"/>
  <c r="I92" i="13"/>
  <c r="I96" i="13"/>
  <c r="J96" i="13" s="1"/>
  <c r="I148" i="13"/>
  <c r="K148" i="13" s="1"/>
  <c r="I150" i="13"/>
  <c r="I48" i="14"/>
  <c r="K48" i="14" s="1"/>
  <c r="I50" i="14"/>
  <c r="J50" i="14" s="1"/>
  <c r="I58" i="14"/>
  <c r="K58" i="14" s="1"/>
  <c r="I60" i="14"/>
  <c r="I62" i="14"/>
  <c r="I64" i="14"/>
  <c r="K64" i="14" s="1"/>
  <c r="I66" i="14"/>
  <c r="K66" i="14" s="1"/>
  <c r="I68" i="14"/>
  <c r="I70" i="14"/>
  <c r="K70" i="14" s="1"/>
  <c r="I72" i="14"/>
  <c r="K72" i="14" s="1"/>
  <c r="I76" i="14"/>
  <c r="J76" i="14" s="1"/>
  <c r="I80" i="14"/>
  <c r="I82" i="14"/>
  <c r="I84" i="14"/>
  <c r="K84" i="14" s="1"/>
  <c r="I86" i="14"/>
  <c r="K86" i="14" s="1"/>
  <c r="I88" i="14"/>
  <c r="K88" i="14" s="1"/>
  <c r="I90" i="14"/>
  <c r="J90" i="14" s="1"/>
  <c r="I92" i="14"/>
  <c r="K92" i="14" s="1"/>
  <c r="I98" i="14"/>
  <c r="J98" i="14" s="1"/>
  <c r="I100" i="14"/>
  <c r="J100" i="14" s="1"/>
  <c r="I27" i="15"/>
  <c r="K27" i="15" s="1"/>
  <c r="I29" i="15"/>
  <c r="K29" i="15" s="1"/>
  <c r="I31" i="15"/>
  <c r="I43" i="15"/>
  <c r="I59" i="15"/>
  <c r="K59" i="15" s="1"/>
  <c r="I61" i="15"/>
  <c r="K61" i="15" s="1"/>
  <c r="I63" i="15"/>
  <c r="I65" i="15"/>
  <c r="I67" i="15"/>
  <c r="K67" i="15" s="1"/>
  <c r="I69" i="15"/>
  <c r="K69" i="15" s="1"/>
  <c r="I71" i="15"/>
  <c r="I75" i="15"/>
  <c r="I77" i="15"/>
  <c r="J77" i="15" s="1"/>
  <c r="I81" i="15"/>
  <c r="K81" i="15" s="1"/>
  <c r="I83" i="15"/>
  <c r="I85" i="15"/>
  <c r="I87" i="15"/>
  <c r="K87" i="15" s="1"/>
  <c r="I89" i="15"/>
  <c r="K89" i="15" s="1"/>
  <c r="I91" i="15"/>
  <c r="K91" i="15" s="1"/>
  <c r="I95" i="15"/>
  <c r="J95" i="15" s="1"/>
  <c r="I97" i="15"/>
  <c r="I101" i="15"/>
  <c r="J101" i="15" s="1"/>
  <c r="I103" i="15"/>
  <c r="I113" i="15"/>
  <c r="K113" i="15" s="1"/>
  <c r="I119" i="15"/>
  <c r="K119" i="15" s="1"/>
  <c r="I129" i="15"/>
  <c r="I137" i="15"/>
  <c r="I141" i="15"/>
  <c r="K141" i="15" s="1"/>
  <c r="I147" i="15"/>
  <c r="K147" i="15" s="1"/>
  <c r="I151" i="15"/>
  <c r="I153" i="15"/>
  <c r="K153" i="15" s="1"/>
  <c r="I155" i="15"/>
  <c r="K155" i="15" s="1"/>
  <c r="I173" i="15"/>
  <c r="K173" i="15" s="1"/>
  <c r="I18" i="16"/>
  <c r="K18" i="16" s="1"/>
  <c r="I22" i="16"/>
  <c r="K22" i="16" s="1"/>
  <c r="I36" i="16"/>
  <c r="K36" i="16" s="1"/>
  <c r="I48" i="16"/>
  <c r="J48" i="16" s="1"/>
  <c r="I54" i="16"/>
  <c r="I58" i="16"/>
  <c r="J58" i="16" s="1"/>
  <c r="I60" i="16"/>
  <c r="J60" i="16" s="1"/>
  <c r="I62" i="16"/>
  <c r="K62" i="16" s="1"/>
  <c r="I64" i="16"/>
  <c r="I66" i="16"/>
  <c r="I68" i="16"/>
  <c r="K68" i="16" s="1"/>
  <c r="I70" i="16"/>
  <c r="K70" i="16" s="1"/>
  <c r="I72" i="16"/>
  <c r="K72" i="16" s="1"/>
  <c r="I74" i="16"/>
  <c r="I78" i="16"/>
  <c r="K78" i="16" s="1"/>
  <c r="I80" i="16"/>
  <c r="K80" i="16" s="1"/>
  <c r="I82" i="16"/>
  <c r="K82" i="16" s="1"/>
  <c r="I84" i="16"/>
  <c r="I86" i="16"/>
  <c r="J86" i="16" s="1"/>
  <c r="I88" i="16"/>
  <c r="K88" i="16" s="1"/>
  <c r="I90" i="16"/>
  <c r="I92" i="16"/>
  <c r="J92" i="16" s="1"/>
  <c r="I96" i="16"/>
  <c r="K96" i="16" s="1"/>
  <c r="I98" i="16"/>
  <c r="K98" i="16" s="1"/>
  <c r="I100" i="16"/>
  <c r="I166" i="16"/>
  <c r="K166" i="16" s="1"/>
  <c r="I170" i="16"/>
  <c r="K170" i="16" s="1"/>
  <c r="I13" i="17"/>
  <c r="K13" i="17" s="1"/>
  <c r="I17" i="17"/>
  <c r="I19" i="17"/>
  <c r="I21" i="17"/>
  <c r="K21" i="17" s="1"/>
  <c r="I27" i="17"/>
  <c r="J27" i="17" s="1"/>
  <c r="I59" i="17"/>
  <c r="K59" i="17" s="1"/>
  <c r="I61" i="17"/>
  <c r="K61" i="17" s="1"/>
  <c r="I63" i="17"/>
  <c r="J63" i="17" s="1"/>
  <c r="I65" i="17"/>
  <c r="J65" i="17" s="1"/>
  <c r="I67" i="17"/>
  <c r="I69" i="17"/>
  <c r="I71" i="17"/>
  <c r="J71" i="17" s="1"/>
  <c r="I75" i="17"/>
  <c r="J75" i="17" s="1"/>
  <c r="I77" i="17"/>
  <c r="I81" i="17"/>
  <c r="I83" i="17"/>
  <c r="K83" i="17" s="1"/>
  <c r="I85" i="17"/>
  <c r="I87" i="17"/>
  <c r="I89" i="17"/>
  <c r="I91" i="17"/>
  <c r="J91" i="17" s="1"/>
  <c r="I97" i="17"/>
  <c r="I99" i="17"/>
  <c r="I101" i="17"/>
  <c r="J101" i="17" s="1"/>
  <c r="I103" i="17"/>
  <c r="J103" i="17" s="1"/>
  <c r="I105" i="17"/>
  <c r="I117" i="17"/>
  <c r="K117" i="17" s="1"/>
  <c r="I157" i="17"/>
  <c r="I161" i="17"/>
  <c r="H24" i="18"/>
  <c r="I24" i="18" s="1"/>
  <c r="H28" i="18"/>
  <c r="I28" i="18" s="1"/>
  <c r="H36" i="18"/>
  <c r="I36" i="18" s="1"/>
  <c r="H42" i="18"/>
  <c r="I42" i="18" s="1"/>
  <c r="H50" i="18"/>
  <c r="I50" i="18" s="1"/>
  <c r="H62" i="18"/>
  <c r="I62" i="18" s="1"/>
  <c r="H66" i="18"/>
  <c r="I66" i="18" s="1"/>
  <c r="H68" i="18"/>
  <c r="I68" i="18" s="1"/>
  <c r="H70" i="18"/>
  <c r="I70" i="18" s="1"/>
  <c r="H72" i="18"/>
  <c r="I72" i="18" s="1"/>
  <c r="H92" i="18"/>
  <c r="I92" i="18" s="1"/>
  <c r="H100" i="18"/>
  <c r="I100" i="18" s="1"/>
  <c r="H114" i="18"/>
  <c r="I114" i="18" s="1"/>
  <c r="H118" i="18"/>
  <c r="I118" i="18" s="1"/>
  <c r="H122" i="18"/>
  <c r="I122" i="18" s="1"/>
  <c r="H130" i="18"/>
  <c r="I130" i="18" s="1"/>
  <c r="H12" i="19"/>
  <c r="I12" i="19" s="1"/>
  <c r="H18" i="19"/>
  <c r="I18" i="19" s="1"/>
  <c r="H34" i="19"/>
  <c r="I34" i="19" s="1"/>
  <c r="H38" i="19"/>
  <c r="I38" i="19" s="1"/>
  <c r="H44" i="19"/>
  <c r="I44" i="19" s="1"/>
  <c r="H48" i="19"/>
  <c r="I48" i="19" s="1"/>
  <c r="H50" i="19"/>
  <c r="I50" i="19" s="1"/>
  <c r="H58" i="19"/>
  <c r="I58" i="19" s="1"/>
  <c r="H62" i="19"/>
  <c r="I62" i="19" s="1"/>
  <c r="H64" i="19"/>
  <c r="I64" i="19" s="1"/>
  <c r="H68" i="19"/>
  <c r="I68" i="19" s="1"/>
  <c r="H92" i="19"/>
  <c r="I92" i="19" s="1"/>
  <c r="H140" i="19"/>
  <c r="I140" i="19" s="1"/>
  <c r="H148" i="19"/>
  <c r="I148" i="19" s="1"/>
  <c r="H17" i="20"/>
  <c r="I17" i="20" s="1"/>
  <c r="H21" i="20"/>
  <c r="I21" i="20" s="1"/>
  <c r="H25" i="20"/>
  <c r="I25" i="20" s="1"/>
  <c r="H35" i="20"/>
  <c r="I35" i="20" s="1"/>
  <c r="H41" i="20"/>
  <c r="I41" i="20" s="1"/>
  <c r="H67" i="20"/>
  <c r="I67" i="20" s="1"/>
  <c r="H73" i="20"/>
  <c r="I73" i="20" s="1"/>
  <c r="H83" i="20"/>
  <c r="I83" i="20" s="1"/>
  <c r="H93" i="20"/>
  <c r="I93" i="20" s="1"/>
  <c r="H95" i="20"/>
  <c r="I95" i="20" s="1"/>
  <c r="H105" i="20"/>
  <c r="I105" i="20" s="1"/>
  <c r="H43" i="21"/>
  <c r="I43" i="21" s="1"/>
  <c r="H45" i="21"/>
  <c r="I45" i="21" s="1"/>
  <c r="H67" i="21"/>
  <c r="I67" i="21" s="1"/>
  <c r="H73" i="21"/>
  <c r="I73" i="21" s="1"/>
  <c r="H93" i="21"/>
  <c r="I93" i="21" s="1"/>
  <c r="H95" i="21"/>
  <c r="I95" i="21" s="1"/>
  <c r="H97" i="21"/>
  <c r="I97" i="21" s="1"/>
  <c r="H109" i="21"/>
  <c r="I109" i="21" s="1"/>
  <c r="H111" i="21"/>
  <c r="I111" i="21" s="1"/>
  <c r="I18" i="22"/>
  <c r="K18" i="22" s="1"/>
  <c r="I20" i="22"/>
  <c r="I22" i="22"/>
  <c r="I24" i="22"/>
  <c r="J24" i="22" s="1"/>
  <c r="I26" i="22"/>
  <c r="I28" i="22"/>
  <c r="I30" i="22"/>
  <c r="I42" i="22"/>
  <c r="K42" i="22" s="1"/>
  <c r="I58" i="22"/>
  <c r="K58" i="22" s="1"/>
  <c r="I60" i="22"/>
  <c r="J60" i="22" s="1"/>
  <c r="I62" i="22"/>
  <c r="I64" i="22"/>
  <c r="K64" i="22" s="1"/>
  <c r="I66" i="22"/>
  <c r="K66" i="22" s="1"/>
  <c r="I70" i="22"/>
  <c r="J70" i="22" s="1"/>
  <c r="I72" i="22"/>
  <c r="I74" i="22"/>
  <c r="J74" i="22" s="1"/>
  <c r="I76" i="22"/>
  <c r="J76" i="22" s="1"/>
  <c r="I78" i="22"/>
  <c r="J78" i="22" s="1"/>
  <c r="I80" i="22"/>
  <c r="I82" i="22"/>
  <c r="K82" i="22" s="1"/>
  <c r="I84" i="22"/>
  <c r="K84" i="22" s="1"/>
  <c r="I86" i="22"/>
  <c r="I88" i="22"/>
  <c r="K88" i="22" s="1"/>
  <c r="I90" i="22"/>
  <c r="K90" i="22" s="1"/>
  <c r="I92" i="22"/>
  <c r="K92" i="22" s="1"/>
  <c r="I98" i="22"/>
  <c r="J98" i="22" s="1"/>
  <c r="I118" i="22"/>
  <c r="I120" i="22"/>
  <c r="K120" i="22" s="1"/>
  <c r="I122" i="22"/>
  <c r="J122" i="22" s="1"/>
  <c r="I12" i="23"/>
  <c r="I14" i="23"/>
  <c r="J14" i="23" s="1"/>
  <c r="I16" i="23"/>
  <c r="K16" i="23" s="1"/>
  <c r="I18" i="23"/>
  <c r="J18" i="23" s="1"/>
  <c r="I20" i="23"/>
  <c r="I22" i="23"/>
  <c r="I24" i="23"/>
  <c r="J24" i="23" s="1"/>
  <c r="I26" i="23"/>
  <c r="K26" i="23" s="1"/>
  <c r="I28" i="23"/>
  <c r="I30" i="23"/>
  <c r="K30" i="23" s="1"/>
  <c r="I32" i="23"/>
  <c r="K32" i="23" s="1"/>
  <c r="I34" i="23"/>
  <c r="K34" i="23" s="1"/>
  <c r="I36" i="23"/>
  <c r="I38" i="23"/>
  <c r="I40" i="23"/>
  <c r="K40" i="23" s="1"/>
  <c r="H15" i="24"/>
  <c r="I15" i="24" s="1"/>
  <c r="H17" i="24"/>
  <c r="I17" i="24" s="1"/>
  <c r="H21" i="24"/>
  <c r="I21" i="24" s="1"/>
  <c r="H33" i="24"/>
  <c r="I33" i="24" s="1"/>
  <c r="H39" i="24"/>
  <c r="I39" i="24" s="1"/>
  <c r="H45" i="24"/>
  <c r="I45" i="24" s="1"/>
  <c r="H49" i="24"/>
  <c r="I49" i="24" s="1"/>
  <c r="H59" i="24"/>
  <c r="I59" i="24" s="1"/>
  <c r="H61" i="24"/>
  <c r="I61" i="24" s="1"/>
  <c r="I60" i="24" s="1"/>
  <c r="H65" i="24"/>
  <c r="I65" i="24" s="1"/>
  <c r="H25" i="25"/>
  <c r="I25" i="25" s="1"/>
  <c r="H27" i="25"/>
  <c r="I27" i="25" s="1"/>
  <c r="H31" i="25"/>
  <c r="I31" i="25" s="1"/>
  <c r="H33" i="25"/>
  <c r="I33" i="25" s="1"/>
  <c r="H53" i="25"/>
  <c r="I53" i="25" s="1"/>
  <c r="H55" i="25"/>
  <c r="I55" i="25" s="1"/>
  <c r="H59" i="25"/>
  <c r="I59" i="25" s="1"/>
  <c r="H61" i="25"/>
  <c r="I61" i="25" s="1"/>
  <c r="I60" i="25" s="1"/>
  <c r="H65" i="25"/>
  <c r="I65" i="25" s="1"/>
  <c r="H23" i="28"/>
  <c r="I23" i="28" s="1"/>
  <c r="H29" i="28"/>
  <c r="I29" i="28" s="1"/>
  <c r="I28" i="28" s="1"/>
  <c r="H35" i="28"/>
  <c r="I35" i="28" s="1"/>
  <c r="H14" i="29"/>
  <c r="I14" i="29" s="1"/>
  <c r="H24" i="29"/>
  <c r="I24" i="29" s="1"/>
  <c r="H12" i="30"/>
  <c r="I12" i="30" s="1"/>
  <c r="H16" i="30"/>
  <c r="I16" i="30" s="1"/>
  <c r="H18" i="31"/>
  <c r="I18" i="31" s="1"/>
  <c r="H26" i="31"/>
  <c r="I26" i="31" s="1"/>
  <c r="H28" i="31"/>
  <c r="I28" i="31" s="1"/>
  <c r="H30" i="31"/>
  <c r="I30" i="31" s="1"/>
  <c r="H32" i="31"/>
  <c r="I32" i="31" s="1"/>
  <c r="H42" i="31"/>
  <c r="I42" i="31" s="1"/>
  <c r="H44" i="31"/>
  <c r="I44" i="31" s="1"/>
  <c r="H46" i="31"/>
  <c r="I46" i="31" s="1"/>
  <c r="H68" i="31"/>
  <c r="I68" i="31" s="1"/>
  <c r="H70" i="31"/>
  <c r="I70" i="31" s="1"/>
  <c r="H74" i="31"/>
  <c r="I74" i="31" s="1"/>
  <c r="H80" i="31"/>
  <c r="I80" i="31" s="1"/>
  <c r="H98" i="31"/>
  <c r="I98" i="31" s="1"/>
  <c r="H110" i="31"/>
  <c r="I110" i="31" s="1"/>
  <c r="H12" i="32"/>
  <c r="I12" i="32" s="1"/>
  <c r="H14" i="32"/>
  <c r="I14" i="32" s="1"/>
  <c r="H16" i="32"/>
  <c r="I16" i="32" s="1"/>
  <c r="I78" i="3"/>
  <c r="J78" i="3" s="1"/>
  <c r="I156" i="3"/>
  <c r="I166" i="3"/>
  <c r="I18" i="3"/>
  <c r="I28" i="3"/>
  <c r="I30" i="3"/>
  <c r="I34" i="3"/>
  <c r="I52" i="3"/>
  <c r="I62" i="3"/>
  <c r="J62" i="3" s="1"/>
  <c r="I74" i="3"/>
  <c r="J74" i="3" s="1"/>
  <c r="I82" i="3"/>
  <c r="I86" i="3"/>
  <c r="I90" i="3"/>
  <c r="K90" i="3" s="1"/>
  <c r="I98" i="3"/>
  <c r="J98" i="3" s="1"/>
  <c r="I100" i="3"/>
  <c r="J100" i="3" s="1"/>
  <c r="I108" i="3"/>
  <c r="I112" i="3"/>
  <c r="I124" i="3"/>
  <c r="I130" i="3"/>
  <c r="I134" i="3"/>
  <c r="K134" i="3" s="1"/>
  <c r="I138" i="3"/>
  <c r="I140" i="3"/>
  <c r="I142" i="3"/>
  <c r="I144" i="3"/>
  <c r="K144" i="3" s="1"/>
  <c r="I154" i="3"/>
  <c r="J154" i="3" s="1"/>
  <c r="I158" i="3"/>
  <c r="I160" i="3"/>
  <c r="I162" i="3"/>
  <c r="J162" i="3" s="1"/>
  <c r="I164" i="3"/>
  <c r="I168" i="3"/>
  <c r="I13" i="4"/>
  <c r="I15" i="4"/>
  <c r="K15" i="4" s="1"/>
  <c r="I19" i="4"/>
  <c r="J19" i="4" s="1"/>
  <c r="I21" i="4"/>
  <c r="I43" i="4"/>
  <c r="I51" i="4"/>
  <c r="J51" i="4" s="1"/>
  <c r="I53" i="4"/>
  <c r="I59" i="4"/>
  <c r="J59" i="4" s="1"/>
  <c r="I63" i="4"/>
  <c r="J63" i="4" s="1"/>
  <c r="I65" i="4"/>
  <c r="I67" i="4"/>
  <c r="I69" i="4"/>
  <c r="I71" i="4"/>
  <c r="I75" i="4"/>
  <c r="I77" i="4"/>
  <c r="J77" i="4" s="1"/>
  <c r="I81" i="4"/>
  <c r="I83" i="4"/>
  <c r="I85" i="4"/>
  <c r="K85" i="4" s="1"/>
  <c r="I87" i="4"/>
  <c r="J87" i="4" s="1"/>
  <c r="I91" i="4"/>
  <c r="I97" i="4"/>
  <c r="J97" i="4" s="1"/>
  <c r="I99" i="4"/>
  <c r="I101" i="4"/>
  <c r="I105" i="4"/>
  <c r="I107" i="4"/>
  <c r="K107" i="4" s="1"/>
  <c r="I109" i="4"/>
  <c r="I113" i="4"/>
  <c r="I117" i="4"/>
  <c r="I121" i="4"/>
  <c r="K121" i="4" s="1"/>
  <c r="I123" i="4"/>
  <c r="I139" i="4"/>
  <c r="I159" i="4"/>
  <c r="J159" i="4" s="1"/>
  <c r="I122" i="3"/>
  <c r="K122" i="3" s="1"/>
  <c r="I132" i="3"/>
  <c r="I15" i="3"/>
  <c r="I17" i="3"/>
  <c r="K17" i="3" s="1"/>
  <c r="I19" i="3"/>
  <c r="K19" i="3" s="1"/>
  <c r="I27" i="3"/>
  <c r="I29" i="3"/>
  <c r="I31" i="3"/>
  <c r="K31" i="3" s="1"/>
  <c r="I47" i="3"/>
  <c r="I49" i="3"/>
  <c r="I51" i="3"/>
  <c r="I59" i="3"/>
  <c r="K59" i="3" s="1"/>
  <c r="I63" i="3"/>
  <c r="I65" i="3"/>
  <c r="I67" i="3"/>
  <c r="I69" i="3"/>
  <c r="K69" i="3" s="1"/>
  <c r="I77" i="3"/>
  <c r="J77" i="3" s="1"/>
  <c r="I83" i="3"/>
  <c r="I87" i="3"/>
  <c r="I91" i="3"/>
  <c r="J91" i="3" s="1"/>
  <c r="I97" i="3"/>
  <c r="J97" i="3" s="1"/>
  <c r="I101" i="3"/>
  <c r="J101" i="3" s="1"/>
  <c r="I105" i="3"/>
  <c r="I107" i="3"/>
  <c r="K107" i="3" s="1"/>
  <c r="I109" i="3"/>
  <c r="I111" i="3"/>
  <c r="I113" i="3"/>
  <c r="I115" i="3"/>
  <c r="K115" i="3" s="1"/>
  <c r="I117" i="3"/>
  <c r="I119" i="3"/>
  <c r="I121" i="3"/>
  <c r="I133" i="3"/>
  <c r="J133" i="3" s="1"/>
  <c r="I135" i="3"/>
  <c r="I143" i="3"/>
  <c r="I28" i="4"/>
  <c r="K28" i="4" s="1"/>
  <c r="I34" i="4"/>
  <c r="I52" i="4"/>
  <c r="I54" i="4"/>
  <c r="J54" i="4" s="1"/>
  <c r="I60" i="4"/>
  <c r="K60" i="4" s="1"/>
  <c r="I62" i="4"/>
  <c r="I64" i="4"/>
  <c r="J64" i="4" s="1"/>
  <c r="I66" i="4"/>
  <c r="I76" i="4"/>
  <c r="K76" i="4" s="1"/>
  <c r="I80" i="4"/>
  <c r="K80" i="4" s="1"/>
  <c r="I96" i="4"/>
  <c r="I100" i="4"/>
  <c r="I102" i="4"/>
  <c r="J102" i="4" s="1"/>
  <c r="I126" i="4"/>
  <c r="I134" i="4"/>
  <c r="I42" i="4"/>
  <c r="I14" i="3"/>
  <c r="J14" i="3" s="1"/>
  <c r="I48" i="3"/>
  <c r="I60" i="3"/>
  <c r="I66" i="3"/>
  <c r="K66" i="3" s="1"/>
  <c r="I146" i="3"/>
  <c r="I148" i="3"/>
  <c r="I150" i="3"/>
  <c r="I152" i="3"/>
  <c r="K152" i="3" s="1"/>
  <c r="I129" i="4"/>
  <c r="J37" i="7"/>
  <c r="J39" i="7"/>
  <c r="L39" i="7" s="1"/>
  <c r="I14" i="8"/>
  <c r="I18" i="8"/>
  <c r="K18" i="8" s="1"/>
  <c r="I20" i="3"/>
  <c r="J20" i="3" s="1"/>
  <c r="I22" i="3"/>
  <c r="I24" i="3"/>
  <c r="I26" i="3"/>
  <c r="K26" i="3" s="1"/>
  <c r="I36" i="3"/>
  <c r="K36" i="3" s="1"/>
  <c r="I38" i="3"/>
  <c r="I42" i="3"/>
  <c r="I44" i="3"/>
  <c r="I53" i="3"/>
  <c r="K53" i="3" s="1"/>
  <c r="I55" i="3"/>
  <c r="I68" i="3"/>
  <c r="I70" i="3"/>
  <c r="I76" i="3"/>
  <c r="J76" i="3" s="1"/>
  <c r="I81" i="3"/>
  <c r="I84" i="3"/>
  <c r="I88" i="3"/>
  <c r="J88" i="3" s="1"/>
  <c r="I92" i="3"/>
  <c r="K92" i="3" s="1"/>
  <c r="I104" i="3"/>
  <c r="I128" i="3"/>
  <c r="I137" i="3"/>
  <c r="I170" i="3"/>
  <c r="J170" i="3" s="1"/>
  <c r="I172" i="3"/>
  <c r="I24" i="4"/>
  <c r="I26" i="4"/>
  <c r="I44" i="4"/>
  <c r="K44" i="4" s="1"/>
  <c r="I50" i="4"/>
  <c r="I138" i="4"/>
  <c r="I20" i="5"/>
  <c r="I42" i="5"/>
  <c r="K42" i="5" s="1"/>
  <c r="I44" i="5"/>
  <c r="I48" i="5"/>
  <c r="K48" i="5" s="1"/>
  <c r="I109" i="5"/>
  <c r="I139" i="5"/>
  <c r="J139" i="5" s="1"/>
  <c r="I141" i="5"/>
  <c r="I143" i="5"/>
  <c r="K143" i="5" s="1"/>
  <c r="I145" i="5"/>
  <c r="K145" i="5" s="1"/>
  <c r="I147" i="5"/>
  <c r="K147" i="5" s="1"/>
  <c r="I149" i="5"/>
  <c r="J13" i="6"/>
  <c r="J34" i="6"/>
  <c r="L34" i="6" s="1"/>
  <c r="J39" i="6"/>
  <c r="J41" i="6"/>
  <c r="J48" i="6"/>
  <c r="L48" i="6" s="1"/>
  <c r="J50" i="6"/>
  <c r="J54" i="6"/>
  <c r="J76" i="6"/>
  <c r="K76" i="6" s="1"/>
  <c r="J78" i="6"/>
  <c r="K78" i="6" s="1"/>
  <c r="J110" i="6"/>
  <c r="J112" i="6"/>
  <c r="L112" i="6" s="1"/>
  <c r="J125" i="6"/>
  <c r="J18" i="7"/>
  <c r="J20" i="7"/>
  <c r="J22" i="7"/>
  <c r="L22" i="7" s="1"/>
  <c r="J44" i="7"/>
  <c r="J107" i="7"/>
  <c r="L107" i="7" s="1"/>
  <c r="I139" i="9"/>
  <c r="I106" i="4"/>
  <c r="J106" i="4" s="1"/>
  <c r="I115" i="4"/>
  <c r="K115" i="4" s="1"/>
  <c r="I122" i="4"/>
  <c r="K122" i="4" s="1"/>
  <c r="I127" i="4"/>
  <c r="I142" i="4"/>
  <c r="J142" i="4" s="1"/>
  <c r="I147" i="4"/>
  <c r="I156" i="4"/>
  <c r="J156" i="4" s="1"/>
  <c r="I163" i="4"/>
  <c r="I19" i="5"/>
  <c r="J19" i="5" s="1"/>
  <c r="I21" i="5"/>
  <c r="J21" i="5" s="1"/>
  <c r="I35" i="5"/>
  <c r="I39" i="5"/>
  <c r="J39" i="5" s="1"/>
  <c r="I54" i="5"/>
  <c r="I75" i="5"/>
  <c r="K75" i="5" s="1"/>
  <c r="I77" i="5"/>
  <c r="I110" i="5"/>
  <c r="K110" i="5" s="1"/>
  <c r="I118" i="5"/>
  <c r="K118" i="5" s="1"/>
  <c r="I161" i="5"/>
  <c r="I163" i="5"/>
  <c r="K163" i="5" s="1"/>
  <c r="I165" i="5"/>
  <c r="J165" i="5" s="1"/>
  <c r="I167" i="5"/>
  <c r="I169" i="5"/>
  <c r="I171" i="5"/>
  <c r="J171" i="5" s="1"/>
  <c r="I174" i="5"/>
  <c r="J17" i="6"/>
  <c r="J19" i="6"/>
  <c r="J21" i="6"/>
  <c r="L21" i="6" s="1"/>
  <c r="J25" i="6"/>
  <c r="J31" i="6"/>
  <c r="J36" i="6"/>
  <c r="J107" i="6"/>
  <c r="L107" i="6" s="1"/>
  <c r="J126" i="6"/>
  <c r="J137" i="6"/>
  <c r="J141" i="6"/>
  <c r="L141" i="6" s="1"/>
  <c r="J144" i="6"/>
  <c r="J146" i="6"/>
  <c r="K146" i="6" s="1"/>
  <c r="J148" i="6"/>
  <c r="L148" i="6" s="1"/>
  <c r="J150" i="6"/>
  <c r="L150" i="6" s="1"/>
  <c r="J156" i="6"/>
  <c r="K156" i="6" s="1"/>
  <c r="J162" i="6"/>
  <c r="J27" i="7"/>
  <c r="L27" i="7" s="1"/>
  <c r="J36" i="7"/>
  <c r="J38" i="7"/>
  <c r="L38" i="7" s="1"/>
  <c r="J41" i="7"/>
  <c r="K41" i="7" s="1"/>
  <c r="J114" i="7"/>
  <c r="L114" i="7" s="1"/>
  <c r="J121" i="7"/>
  <c r="J128" i="7"/>
  <c r="L128" i="7" s="1"/>
  <c r="J131" i="7"/>
  <c r="K131" i="7" s="1"/>
  <c r="J133" i="7"/>
  <c r="J144" i="7"/>
  <c r="L144" i="7" s="1"/>
  <c r="J147" i="7"/>
  <c r="K147" i="7" s="1"/>
  <c r="J149" i="7"/>
  <c r="J160" i="7"/>
  <c r="J163" i="7"/>
  <c r="K163" i="7" s="1"/>
  <c r="J165" i="7"/>
  <c r="I53" i="9"/>
  <c r="I13" i="3"/>
  <c r="I25" i="3"/>
  <c r="K25" i="3" s="1"/>
  <c r="I39" i="3"/>
  <c r="K39" i="3" s="1"/>
  <c r="I41" i="3"/>
  <c r="I45" i="3"/>
  <c r="K45" i="3" s="1"/>
  <c r="I58" i="3"/>
  <c r="K58" i="3" s="1"/>
  <c r="I61" i="3"/>
  <c r="K61" i="3" s="1"/>
  <c r="I71" i="3"/>
  <c r="I75" i="3"/>
  <c r="J75" i="3" s="1"/>
  <c r="I95" i="3"/>
  <c r="K95" i="3" s="1"/>
  <c r="I103" i="3"/>
  <c r="I123" i="3"/>
  <c r="I127" i="3"/>
  <c r="I129" i="3"/>
  <c r="I155" i="3"/>
  <c r="K155" i="3" s="1"/>
  <c r="I159" i="3"/>
  <c r="I161" i="3"/>
  <c r="K161" i="3" s="1"/>
  <c r="I165" i="3"/>
  <c r="K165" i="3" s="1"/>
  <c r="I167" i="3"/>
  <c r="I169" i="3"/>
  <c r="I171" i="3"/>
  <c r="I173" i="3"/>
  <c r="K173" i="3" s="1"/>
  <c r="I27" i="4"/>
  <c r="K27" i="4" s="1"/>
  <c r="I30" i="4"/>
  <c r="I38" i="4"/>
  <c r="I41" i="4"/>
  <c r="K41" i="4" s="1"/>
  <c r="I47" i="4"/>
  <c r="J47" i="4" s="1"/>
  <c r="I119" i="4"/>
  <c r="I12" i="5"/>
  <c r="K12" i="5" s="1"/>
  <c r="I124" i="5"/>
  <c r="K124" i="5" s="1"/>
  <c r="I140" i="5"/>
  <c r="K140" i="5" s="1"/>
  <c r="I142" i="5"/>
  <c r="I144" i="5"/>
  <c r="I146" i="5"/>
  <c r="K146" i="5" s="1"/>
  <c r="I148" i="5"/>
  <c r="I150" i="5"/>
  <c r="I152" i="5"/>
  <c r="J14" i="6"/>
  <c r="L14" i="6" s="1"/>
  <c r="J75" i="6"/>
  <c r="K75" i="6" s="1"/>
  <c r="J145" i="6"/>
  <c r="K145" i="6" s="1"/>
  <c r="J163" i="6"/>
  <c r="K163" i="6" s="1"/>
  <c r="J178" i="6"/>
  <c r="L178" i="6" s="1"/>
  <c r="J123" i="7"/>
  <c r="J170" i="7"/>
  <c r="L170" i="7" s="1"/>
  <c r="I21" i="9"/>
  <c r="J21" i="9" s="1"/>
  <c r="I27" i="9"/>
  <c r="I29" i="9"/>
  <c r="I49" i="9"/>
  <c r="J49" i="9" s="1"/>
  <c r="I130" i="9"/>
  <c r="I12" i="10"/>
  <c r="I14" i="10"/>
  <c r="J14" i="10" s="1"/>
  <c r="I17" i="10"/>
  <c r="K17" i="10" s="1"/>
  <c r="I20" i="10"/>
  <c r="K20" i="10" s="1"/>
  <c r="I22" i="10"/>
  <c r="K22" i="10" s="1"/>
  <c r="I24" i="10"/>
  <c r="J24" i="10" s="1"/>
  <c r="I31" i="10"/>
  <c r="J31" i="10" s="1"/>
  <c r="I33" i="10"/>
  <c r="K33" i="10" s="1"/>
  <c r="I35" i="10"/>
  <c r="I38" i="10"/>
  <c r="I42" i="10"/>
  <c r="K42" i="10" s="1"/>
  <c r="I44" i="10"/>
  <c r="K44" i="10" s="1"/>
  <c r="I139" i="10"/>
  <c r="J139" i="10" s="1"/>
  <c r="I141" i="10"/>
  <c r="I143" i="10"/>
  <c r="K143" i="10" s="1"/>
  <c r="I145" i="10"/>
  <c r="K145" i="10" s="1"/>
  <c r="I147" i="10"/>
  <c r="J147" i="10" s="1"/>
  <c r="I149" i="10"/>
  <c r="J149" i="10" s="1"/>
  <c r="J119" i="7"/>
  <c r="K119" i="7" s="1"/>
  <c r="I16" i="8"/>
  <c r="K16" i="8" s="1"/>
  <c r="I44" i="8"/>
  <c r="K44" i="8" s="1"/>
  <c r="I16" i="9"/>
  <c r="J16" i="9" s="1"/>
  <c r="I41" i="9"/>
  <c r="I55" i="9"/>
  <c r="K55" i="9" s="1"/>
  <c r="I106" i="9"/>
  <c r="I108" i="9"/>
  <c r="K108" i="9" s="1"/>
  <c r="I110" i="9"/>
  <c r="J110" i="9" s="1"/>
  <c r="I112" i="9"/>
  <c r="J112" i="9" s="1"/>
  <c r="I114" i="9"/>
  <c r="J114" i="9" s="1"/>
  <c r="I118" i="9"/>
  <c r="J118" i="9" s="1"/>
  <c r="I120" i="9"/>
  <c r="K120" i="9" s="1"/>
  <c r="I122" i="9"/>
  <c r="K122" i="9" s="1"/>
  <c r="I141" i="9"/>
  <c r="I147" i="9"/>
  <c r="K147" i="9" s="1"/>
  <c r="I105" i="10"/>
  <c r="K105" i="10" s="1"/>
  <c r="I107" i="10"/>
  <c r="I109" i="10"/>
  <c r="I111" i="10"/>
  <c r="J111" i="10" s="1"/>
  <c r="I113" i="10"/>
  <c r="J113" i="10" s="1"/>
  <c r="I115" i="10"/>
  <c r="I117" i="10"/>
  <c r="I119" i="10"/>
  <c r="J119" i="10" s="1"/>
  <c r="I121" i="10"/>
  <c r="K121" i="10" s="1"/>
  <c r="I125" i="10"/>
  <c r="K125" i="10" s="1"/>
  <c r="I130" i="10"/>
  <c r="K130" i="10" s="1"/>
  <c r="I134" i="10"/>
  <c r="K134" i="10" s="1"/>
  <c r="I157" i="10"/>
  <c r="J157" i="10" s="1"/>
  <c r="I159" i="10"/>
  <c r="J159" i="10" s="1"/>
  <c r="I16" i="12"/>
  <c r="K16" i="12" s="1"/>
  <c r="I21" i="13"/>
  <c r="K21" i="13" s="1"/>
  <c r="I106" i="13"/>
  <c r="K106" i="13" s="1"/>
  <c r="I108" i="13"/>
  <c r="K108" i="13" s="1"/>
  <c r="I110" i="13"/>
  <c r="K110" i="13" s="1"/>
  <c r="I112" i="13"/>
  <c r="J112" i="13" s="1"/>
  <c r="I114" i="13"/>
  <c r="K114" i="13" s="1"/>
  <c r="I118" i="13"/>
  <c r="K118" i="13" s="1"/>
  <c r="I120" i="13"/>
  <c r="J120" i="13" s="1"/>
  <c r="I122" i="13"/>
  <c r="K122" i="13" s="1"/>
  <c r="I125" i="13"/>
  <c r="K125" i="13" s="1"/>
  <c r="K123" i="13" s="1"/>
  <c r="I130" i="13"/>
  <c r="K130" i="13" s="1"/>
  <c r="I119" i="14"/>
  <c r="K119" i="14" s="1"/>
  <c r="I45" i="17"/>
  <c r="K45" i="17" s="1"/>
  <c r="I121" i="17"/>
  <c r="K121" i="17" s="1"/>
  <c r="H14" i="18"/>
  <c r="I14" i="18" s="1"/>
  <c r="H27" i="18"/>
  <c r="I27" i="18" s="1"/>
  <c r="H51" i="18"/>
  <c r="I51" i="18" s="1"/>
  <c r="J124" i="7"/>
  <c r="J127" i="7"/>
  <c r="J132" i="7"/>
  <c r="J135" i="7"/>
  <c r="L135" i="7" s="1"/>
  <c r="J140" i="7"/>
  <c r="L140" i="7" s="1"/>
  <c r="J143" i="7"/>
  <c r="K143" i="7" s="1"/>
  <c r="J148" i="7"/>
  <c r="K148" i="7" s="1"/>
  <c r="J151" i="7"/>
  <c r="K151" i="7" s="1"/>
  <c r="J159" i="7"/>
  <c r="L159" i="7" s="1"/>
  <c r="J164" i="7"/>
  <c r="J167" i="7"/>
  <c r="I15" i="8"/>
  <c r="K15" i="8" s="1"/>
  <c r="I17" i="8"/>
  <c r="J17" i="8" s="1"/>
  <c r="I20" i="8"/>
  <c r="I24" i="8"/>
  <c r="I25" i="8"/>
  <c r="K25" i="8" s="1"/>
  <c r="I27" i="8"/>
  <c r="J27" i="8" s="1"/>
  <c r="I50" i="8"/>
  <c r="I111" i="8"/>
  <c r="J111" i="8" s="1"/>
  <c r="I130" i="8"/>
  <c r="K130" i="8" s="1"/>
  <c r="I145" i="8"/>
  <c r="K145" i="8" s="1"/>
  <c r="I149" i="8"/>
  <c r="I151" i="8"/>
  <c r="I159" i="8"/>
  <c r="K159" i="8" s="1"/>
  <c r="I170" i="8"/>
  <c r="I15" i="9"/>
  <c r="I17" i="9"/>
  <c r="J17" i="9" s="1"/>
  <c r="I54" i="9"/>
  <c r="J54" i="9" s="1"/>
  <c r="I103" i="9"/>
  <c r="I152" i="9"/>
  <c r="I161" i="9"/>
  <c r="K161" i="9" s="1"/>
  <c r="I13" i="10"/>
  <c r="K13" i="10" s="1"/>
  <c r="I16" i="10"/>
  <c r="I18" i="10"/>
  <c r="I21" i="10"/>
  <c r="K21" i="10" s="1"/>
  <c r="I25" i="10"/>
  <c r="K25" i="10" s="1"/>
  <c r="I27" i="10"/>
  <c r="I39" i="10"/>
  <c r="J39" i="10" s="1"/>
  <c r="I41" i="10"/>
  <c r="I133" i="10"/>
  <c r="K133" i="10" s="1"/>
  <c r="I140" i="10"/>
  <c r="I142" i="10"/>
  <c r="K142" i="10" s="1"/>
  <c r="I144" i="10"/>
  <c r="J144" i="10" s="1"/>
  <c r="I146" i="10"/>
  <c r="K146" i="10" s="1"/>
  <c r="I148" i="10"/>
  <c r="I150" i="10"/>
  <c r="J150" i="10" s="1"/>
  <c r="I152" i="10"/>
  <c r="K152" i="10" s="1"/>
  <c r="I35" i="11"/>
  <c r="K35" i="11" s="1"/>
  <c r="I37" i="11"/>
  <c r="I39" i="11"/>
  <c r="I41" i="11"/>
  <c r="K41" i="11" s="1"/>
  <c r="I43" i="11"/>
  <c r="K43" i="11" s="1"/>
  <c r="I45" i="11"/>
  <c r="I47" i="11"/>
  <c r="K47" i="11" s="1"/>
  <c r="I49" i="11"/>
  <c r="K49" i="11" s="1"/>
  <c r="I51" i="11"/>
  <c r="K51" i="11" s="1"/>
  <c r="I53" i="11"/>
  <c r="I55" i="11"/>
  <c r="J55" i="11" s="1"/>
  <c r="I74" i="11"/>
  <c r="J74" i="11" s="1"/>
  <c r="I76" i="11"/>
  <c r="J76" i="11" s="1"/>
  <c r="I78" i="11"/>
  <c r="J78" i="11" s="1"/>
  <c r="I15" i="12"/>
  <c r="K15" i="12" s="1"/>
  <c r="I21" i="12"/>
  <c r="K21" i="12" s="1"/>
  <c r="I24" i="12"/>
  <c r="K24" i="12" s="1"/>
  <c r="I42" i="12"/>
  <c r="I44" i="12"/>
  <c r="J44" i="12" s="1"/>
  <c r="I48" i="12"/>
  <c r="I76" i="12"/>
  <c r="J76" i="12" s="1"/>
  <c r="I104" i="12"/>
  <c r="I118" i="12"/>
  <c r="K118" i="12" s="1"/>
  <c r="I122" i="12"/>
  <c r="J122" i="12" s="1"/>
  <c r="I125" i="12"/>
  <c r="K125" i="12" s="1"/>
  <c r="K123" i="12" s="1"/>
  <c r="I165" i="12"/>
  <c r="J165" i="12" s="1"/>
  <c r="I20" i="13"/>
  <c r="J20" i="13" s="1"/>
  <c r="I41" i="13"/>
  <c r="J41" i="13" s="1"/>
  <c r="I43" i="13"/>
  <c r="K43" i="13" s="1"/>
  <c r="I48" i="13"/>
  <c r="I50" i="13"/>
  <c r="K50" i="13" s="1"/>
  <c r="I97" i="13"/>
  <c r="J97" i="13" s="1"/>
  <c r="I38" i="16"/>
  <c r="K38" i="16" s="1"/>
  <c r="I12" i="12"/>
  <c r="K12" i="12" s="1"/>
  <c r="I35" i="12"/>
  <c r="K35" i="12" s="1"/>
  <c r="I37" i="12"/>
  <c r="K37" i="12" s="1"/>
  <c r="I54" i="12"/>
  <c r="K54" i="12" s="1"/>
  <c r="I75" i="12"/>
  <c r="J75" i="12" s="1"/>
  <c r="I139" i="12"/>
  <c r="K139" i="12" s="1"/>
  <c r="I164" i="12"/>
  <c r="K164" i="12" s="1"/>
  <c r="I17" i="13"/>
  <c r="K17" i="13" s="1"/>
  <c r="I42" i="13"/>
  <c r="I44" i="13"/>
  <c r="K44" i="13" s="1"/>
  <c r="I47" i="13"/>
  <c r="I49" i="13"/>
  <c r="J49" i="13" s="1"/>
  <c r="I51" i="13"/>
  <c r="I53" i="13"/>
  <c r="K53" i="13" s="1"/>
  <c r="I100" i="13"/>
  <c r="J100" i="13" s="1"/>
  <c r="I102" i="13"/>
  <c r="J102" i="13" s="1"/>
  <c r="I114" i="15"/>
  <c r="K114" i="15" s="1"/>
  <c r="I116" i="15"/>
  <c r="I121" i="15"/>
  <c r="K121" i="15" s="1"/>
  <c r="I149" i="15"/>
  <c r="K149" i="15" s="1"/>
  <c r="I12" i="16"/>
  <c r="K12" i="16" s="1"/>
  <c r="I14" i="16"/>
  <c r="I16" i="16"/>
  <c r="K16" i="16" s="1"/>
  <c r="I34" i="16"/>
  <c r="K34" i="16" s="1"/>
  <c r="I51" i="16"/>
  <c r="K51" i="16" s="1"/>
  <c r="I107" i="16"/>
  <c r="I113" i="16"/>
  <c r="K113" i="16" s="1"/>
  <c r="I115" i="16"/>
  <c r="K115" i="16" s="1"/>
  <c r="I117" i="16"/>
  <c r="K117" i="16" s="1"/>
  <c r="I121" i="16"/>
  <c r="K121" i="16" s="1"/>
  <c r="I123" i="16"/>
  <c r="K123" i="16" s="1"/>
  <c r="I142" i="16"/>
  <c r="K142" i="16" s="1"/>
  <c r="I144" i="16"/>
  <c r="I146" i="16"/>
  <c r="K146" i="16" s="1"/>
  <c r="I148" i="16"/>
  <c r="K148" i="16" s="1"/>
  <c r="I150" i="16"/>
  <c r="K150" i="16" s="1"/>
  <c r="I152" i="16"/>
  <c r="I154" i="16"/>
  <c r="J154" i="16" s="1"/>
  <c r="I156" i="16"/>
  <c r="J156" i="16" s="1"/>
  <c r="I158" i="16"/>
  <c r="J158" i="16" s="1"/>
  <c r="I160" i="16"/>
  <c r="I168" i="16"/>
  <c r="K168" i="16" s="1"/>
  <c r="I172" i="16"/>
  <c r="K172" i="16" s="1"/>
  <c r="I174" i="16"/>
  <c r="K174" i="16" s="1"/>
  <c r="I176" i="16"/>
  <c r="J176" i="16" s="1"/>
  <c r="I178" i="16"/>
  <c r="K178" i="16" s="1"/>
  <c r="I12" i="17"/>
  <c r="K12" i="17" s="1"/>
  <c r="I33" i="17"/>
  <c r="K33" i="17" s="1"/>
  <c r="I35" i="17"/>
  <c r="K35" i="17" s="1"/>
  <c r="I37" i="17"/>
  <c r="K37" i="17" s="1"/>
  <c r="I39" i="17"/>
  <c r="J39" i="17" s="1"/>
  <c r="I41" i="17"/>
  <c r="K41" i="17" s="1"/>
  <c r="I43" i="17"/>
  <c r="K43" i="17" s="1"/>
  <c r="H12" i="18"/>
  <c r="I12" i="18" s="1"/>
  <c r="H63" i="18"/>
  <c r="I63" i="18" s="1"/>
  <c r="H81" i="18"/>
  <c r="I81" i="18" s="1"/>
  <c r="H148" i="18"/>
  <c r="I148" i="18" s="1"/>
  <c r="H150" i="18"/>
  <c r="I150" i="18" s="1"/>
  <c r="H20" i="19"/>
  <c r="I20" i="19" s="1"/>
  <c r="H29" i="19"/>
  <c r="I29" i="19" s="1"/>
  <c r="H49" i="19"/>
  <c r="I49" i="19" s="1"/>
  <c r="H54" i="19"/>
  <c r="I54" i="19" s="1"/>
  <c r="I117" i="13"/>
  <c r="J117" i="13" s="1"/>
  <c r="I119" i="13"/>
  <c r="K119" i="13" s="1"/>
  <c r="I121" i="13"/>
  <c r="J121" i="13" s="1"/>
  <c r="I131" i="13"/>
  <c r="K131" i="13" s="1"/>
  <c r="I149" i="13"/>
  <c r="J149" i="13" s="1"/>
  <c r="I18" i="14"/>
  <c r="I20" i="14"/>
  <c r="J20" i="14" s="1"/>
  <c r="I22" i="14"/>
  <c r="K22" i="14" s="1"/>
  <c r="I24" i="14"/>
  <c r="K24" i="14" s="1"/>
  <c r="I26" i="14"/>
  <c r="I28" i="14"/>
  <c r="J28" i="14" s="1"/>
  <c r="I30" i="14"/>
  <c r="J30" i="14" s="1"/>
  <c r="I34" i="14"/>
  <c r="K34" i="14" s="1"/>
  <c r="I36" i="14"/>
  <c r="K36" i="14" s="1"/>
  <c r="I42" i="14"/>
  <c r="J42" i="14" s="1"/>
  <c r="I44" i="14"/>
  <c r="K44" i="14" s="1"/>
  <c r="I47" i="14"/>
  <c r="J47" i="14" s="1"/>
  <c r="I49" i="14"/>
  <c r="I51" i="14"/>
  <c r="J51" i="14" s="1"/>
  <c r="I53" i="14"/>
  <c r="K53" i="14" s="1"/>
  <c r="I28" i="15"/>
  <c r="K28" i="15" s="1"/>
  <c r="I49" i="15"/>
  <c r="K49" i="15" s="1"/>
  <c r="I51" i="15"/>
  <c r="J51" i="15" s="1"/>
  <c r="I53" i="15"/>
  <c r="J53" i="15" s="1"/>
  <c r="I120" i="15"/>
  <c r="K120" i="15" s="1"/>
  <c r="I148" i="15"/>
  <c r="J148" i="15" s="1"/>
  <c r="I150" i="15"/>
  <c r="K150" i="15" s="1"/>
  <c r="I154" i="15"/>
  <c r="K154" i="15" s="1"/>
  <c r="I157" i="15"/>
  <c r="K157" i="15" s="1"/>
  <c r="I181" i="15"/>
  <c r="K181" i="15" s="1"/>
  <c r="I183" i="15"/>
  <c r="J183" i="15" s="1"/>
  <c r="I185" i="15"/>
  <c r="J185" i="15" s="1"/>
  <c r="I21" i="16"/>
  <c r="K21" i="16" s="1"/>
  <c r="I37" i="16"/>
  <c r="J37" i="16" s="1"/>
  <c r="I42" i="16"/>
  <c r="J42" i="16" s="1"/>
  <c r="I44" i="16"/>
  <c r="J44" i="16" s="1"/>
  <c r="I50" i="16"/>
  <c r="J50" i="16" s="1"/>
  <c r="I104" i="16"/>
  <c r="I128" i="16"/>
  <c r="I47" i="17"/>
  <c r="J47" i="17" s="1"/>
  <c r="I49" i="17"/>
  <c r="K49" i="17" s="1"/>
  <c r="I51" i="17"/>
  <c r="K51" i="17" s="1"/>
  <c r="I120" i="17"/>
  <c r="K120" i="17" s="1"/>
  <c r="H13" i="18"/>
  <c r="I13" i="18" s="1"/>
  <c r="H22" i="18"/>
  <c r="I22" i="18" s="1"/>
  <c r="H48" i="18"/>
  <c r="I48" i="18" s="1"/>
  <c r="H58" i="18"/>
  <c r="I58" i="18" s="1"/>
  <c r="H64" i="18"/>
  <c r="I64" i="18" s="1"/>
  <c r="H85" i="18"/>
  <c r="I85" i="18" s="1"/>
  <c r="H97" i="18"/>
  <c r="I97" i="18" s="1"/>
  <c r="H99" i="18"/>
  <c r="I99" i="18" s="1"/>
  <c r="H102" i="18"/>
  <c r="I102" i="18" s="1"/>
  <c r="H104" i="18"/>
  <c r="H131" i="18"/>
  <c r="I131" i="18" s="1"/>
  <c r="H133" i="18"/>
  <c r="I133" i="18" s="1"/>
  <c r="H141" i="18"/>
  <c r="I141" i="18" s="1"/>
  <c r="H15" i="19"/>
  <c r="I15" i="19" s="1"/>
  <c r="H17" i="19"/>
  <c r="I17" i="19" s="1"/>
  <c r="H24" i="19"/>
  <c r="I24" i="19" s="1"/>
  <c r="H26" i="19"/>
  <c r="I26" i="19" s="1"/>
  <c r="H33" i="19"/>
  <c r="I33" i="19" s="1"/>
  <c r="H45" i="19"/>
  <c r="I45" i="19" s="1"/>
  <c r="H60" i="19"/>
  <c r="I60" i="19" s="1"/>
  <c r="H72" i="19"/>
  <c r="I72" i="19" s="1"/>
  <c r="I103" i="14"/>
  <c r="I105" i="14"/>
  <c r="K105" i="14" s="1"/>
  <c r="I140" i="14"/>
  <c r="J140" i="14" s="1"/>
  <c r="I13" i="15"/>
  <c r="K13" i="15" s="1"/>
  <c r="I15" i="15"/>
  <c r="K15" i="15" s="1"/>
  <c r="I17" i="15"/>
  <c r="K17" i="15" s="1"/>
  <c r="I19" i="15"/>
  <c r="J19" i="15" s="1"/>
  <c r="I21" i="15"/>
  <c r="K21" i="15" s="1"/>
  <c r="I25" i="15"/>
  <c r="K25" i="15" s="1"/>
  <c r="I30" i="15"/>
  <c r="J30" i="15" s="1"/>
  <c r="I55" i="15"/>
  <c r="K55" i="15" s="1"/>
  <c r="I143" i="15"/>
  <c r="K143" i="15" s="1"/>
  <c r="I145" i="15"/>
  <c r="K145" i="15" s="1"/>
  <c r="I156" i="15"/>
  <c r="K156" i="15" s="1"/>
  <c r="I163" i="15"/>
  <c r="K163" i="15" s="1"/>
  <c r="I165" i="15"/>
  <c r="K165" i="15" s="1"/>
  <c r="I167" i="15"/>
  <c r="J167" i="15" s="1"/>
  <c r="I170" i="15"/>
  <c r="J170" i="15" s="1"/>
  <c r="I39" i="16"/>
  <c r="K39" i="16" s="1"/>
  <c r="I47" i="16"/>
  <c r="K47" i="16" s="1"/>
  <c r="I25" i="17"/>
  <c r="J25" i="17" s="1"/>
  <c r="I159" i="17"/>
  <c r="J159" i="17" s="1"/>
  <c r="H49" i="18"/>
  <c r="I49" i="18" s="1"/>
  <c r="H54" i="18"/>
  <c r="I54" i="18" s="1"/>
  <c r="H71" i="18"/>
  <c r="I71" i="18" s="1"/>
  <c r="H84" i="18"/>
  <c r="I84" i="18" s="1"/>
  <c r="H88" i="18"/>
  <c r="I88" i="18" s="1"/>
  <c r="H90" i="18"/>
  <c r="I90" i="18" s="1"/>
  <c r="H132" i="18"/>
  <c r="I132" i="18" s="1"/>
  <c r="H16" i="19"/>
  <c r="I16" i="19" s="1"/>
  <c r="H25" i="19"/>
  <c r="I25" i="19" s="1"/>
  <c r="H59" i="19"/>
  <c r="I59" i="19" s="1"/>
  <c r="H63" i="19"/>
  <c r="I63" i="19" s="1"/>
  <c r="H71" i="19"/>
  <c r="I71" i="19" s="1"/>
  <c r="H80" i="19"/>
  <c r="I80" i="19" s="1"/>
  <c r="H84" i="19"/>
  <c r="I84" i="19" s="1"/>
  <c r="H88" i="19"/>
  <c r="I88" i="19" s="1"/>
  <c r="H133" i="19"/>
  <c r="I133" i="19" s="1"/>
  <c r="H139" i="19"/>
  <c r="I139" i="19" s="1"/>
  <c r="H69" i="21"/>
  <c r="I69" i="21" s="1"/>
  <c r="I44" i="22"/>
  <c r="J44" i="22" s="1"/>
  <c r="I140" i="22"/>
  <c r="J140" i="22" s="1"/>
  <c r="H27" i="24"/>
  <c r="I27" i="24" s="1"/>
  <c r="H35" i="24"/>
  <c r="I35" i="24" s="1"/>
  <c r="H37" i="24"/>
  <c r="I37" i="24" s="1"/>
  <c r="H53" i="24"/>
  <c r="I53" i="24" s="1"/>
  <c r="H39" i="25"/>
  <c r="I39" i="25" s="1"/>
  <c r="H43" i="25"/>
  <c r="I43" i="25" s="1"/>
  <c r="H45" i="25"/>
  <c r="I45" i="25" s="1"/>
  <c r="H47" i="25"/>
  <c r="I47" i="25" s="1"/>
  <c r="H48" i="25"/>
  <c r="I48" i="25" s="1"/>
  <c r="H63" i="25"/>
  <c r="I63" i="25" s="1"/>
  <c r="I62" i="25" s="1"/>
  <c r="H66" i="25"/>
  <c r="I66" i="25" s="1"/>
  <c r="H13" i="26"/>
  <c r="I13" i="26" s="1"/>
  <c r="H30" i="26"/>
  <c r="I30" i="26" s="1"/>
  <c r="H15" i="28"/>
  <c r="I15" i="28" s="1"/>
  <c r="H11" i="29"/>
  <c r="I11" i="29" s="1"/>
  <c r="H17" i="29"/>
  <c r="I17" i="29" s="1"/>
  <c r="H18" i="29"/>
  <c r="I18" i="29" s="1"/>
  <c r="H26" i="29"/>
  <c r="I26" i="29" s="1"/>
  <c r="H34" i="29"/>
  <c r="I34" i="29" s="1"/>
  <c r="H38" i="29"/>
  <c r="I38" i="29" s="1"/>
  <c r="H41" i="29"/>
  <c r="I41" i="29" s="1"/>
  <c r="H43" i="29"/>
  <c r="I43" i="29" s="1"/>
  <c r="H48" i="29"/>
  <c r="I48" i="29" s="1"/>
  <c r="H51" i="29"/>
  <c r="I51" i="29" s="1"/>
  <c r="H14" i="30"/>
  <c r="I14" i="30" s="1"/>
  <c r="H20" i="30"/>
  <c r="I20" i="30" s="1"/>
  <c r="H14" i="31"/>
  <c r="I14" i="31" s="1"/>
  <c r="H23" i="31"/>
  <c r="I23" i="31" s="1"/>
  <c r="H24" i="31"/>
  <c r="I24" i="31" s="1"/>
  <c r="H62" i="31"/>
  <c r="I62" i="31" s="1"/>
  <c r="H94" i="31"/>
  <c r="I94" i="31" s="1"/>
  <c r="H104" i="31"/>
  <c r="I104" i="31" s="1"/>
  <c r="H10" i="32"/>
  <c r="I10" i="32" s="1"/>
  <c r="H85" i="19"/>
  <c r="I85" i="19" s="1"/>
  <c r="H122" i="19"/>
  <c r="I122" i="19" s="1"/>
  <c r="H130" i="19"/>
  <c r="I130" i="19" s="1"/>
  <c r="H43" i="20"/>
  <c r="I43" i="20" s="1"/>
  <c r="H48" i="20"/>
  <c r="I48" i="20" s="1"/>
  <c r="H54" i="20"/>
  <c r="I54" i="20" s="1"/>
  <c r="H74" i="20"/>
  <c r="I74" i="20" s="1"/>
  <c r="H84" i="20"/>
  <c r="I84" i="20" s="1"/>
  <c r="H106" i="20"/>
  <c r="I106" i="20" s="1"/>
  <c r="H110" i="20"/>
  <c r="I110" i="20" s="1"/>
  <c r="H17" i="21"/>
  <c r="I17" i="21" s="1"/>
  <c r="H28" i="21"/>
  <c r="I28" i="21" s="1"/>
  <c r="H103" i="21"/>
  <c r="I103" i="21" s="1"/>
  <c r="I104" i="22"/>
  <c r="I114" i="22"/>
  <c r="J114" i="22" s="1"/>
  <c r="H90" i="19"/>
  <c r="I90" i="19" s="1"/>
  <c r="H102" i="19"/>
  <c r="I102" i="19" s="1"/>
  <c r="I94" i="19" s="1"/>
  <c r="H26" i="20"/>
  <c r="I26" i="20" s="1"/>
  <c r="H34" i="20"/>
  <c r="I34" i="20" s="1"/>
  <c r="H42" i="20"/>
  <c r="I42" i="20" s="1"/>
  <c r="H44" i="20"/>
  <c r="I44" i="20" s="1"/>
  <c r="H47" i="20"/>
  <c r="I47" i="20" s="1"/>
  <c r="H51" i="20"/>
  <c r="I51" i="20" s="1"/>
  <c r="I50" i="20" s="1"/>
  <c r="H103" i="20"/>
  <c r="I103" i="20" s="1"/>
  <c r="H25" i="21"/>
  <c r="I25" i="21" s="1"/>
  <c r="H27" i="21"/>
  <c r="I27" i="21" s="1"/>
  <c r="H29" i="21"/>
  <c r="I29" i="21" s="1"/>
  <c r="H31" i="21"/>
  <c r="I31" i="21" s="1"/>
  <c r="H36" i="21"/>
  <c r="I36" i="21" s="1"/>
  <c r="H38" i="21"/>
  <c r="I38" i="21" s="1"/>
  <c r="H75" i="21"/>
  <c r="I75" i="21" s="1"/>
  <c r="H104" i="21"/>
  <c r="I104" i="21" s="1"/>
  <c r="I25" i="22"/>
  <c r="K25" i="22" s="1"/>
  <c r="I27" i="22"/>
  <c r="J27" i="22" s="1"/>
  <c r="I34" i="22"/>
  <c r="J34" i="22" s="1"/>
  <c r="I77" i="22"/>
  <c r="J77" i="22" s="1"/>
  <c r="I103" i="22"/>
  <c r="I115" i="22"/>
  <c r="J115" i="22" s="1"/>
  <c r="I139" i="22"/>
  <c r="K139" i="22" s="1"/>
  <c r="I141" i="22"/>
  <c r="K141" i="22" s="1"/>
  <c r="H12" i="24"/>
  <c r="I12" i="24" s="1"/>
  <c r="H22" i="24"/>
  <c r="I22" i="24" s="1"/>
  <c r="H38" i="24"/>
  <c r="I38" i="24" s="1"/>
  <c r="H41" i="24"/>
  <c r="I41" i="24" s="1"/>
  <c r="H52" i="24"/>
  <c r="H54" i="24"/>
  <c r="I54" i="24" s="1"/>
  <c r="H28" i="25"/>
  <c r="I28" i="25" s="1"/>
  <c r="H36" i="25"/>
  <c r="I36" i="25" s="1"/>
  <c r="H38" i="25"/>
  <c r="I38" i="25" s="1"/>
  <c r="H12" i="26"/>
  <c r="I12" i="26" s="1"/>
  <c r="H14" i="26"/>
  <c r="I14" i="26" s="1"/>
  <c r="H16" i="26"/>
  <c r="I16" i="26" s="1"/>
  <c r="H25" i="26"/>
  <c r="I25" i="26" s="1"/>
  <c r="H29" i="26"/>
  <c r="I29" i="26" s="1"/>
  <c r="H20" i="28"/>
  <c r="I20" i="28" s="1"/>
  <c r="H26" i="28"/>
  <c r="I26" i="28" s="1"/>
  <c r="H31" i="28"/>
  <c r="H33" i="28"/>
  <c r="I33" i="28" s="1"/>
  <c r="H36" i="28"/>
  <c r="I36" i="28" s="1"/>
  <c r="H28" i="29"/>
  <c r="I28" i="29" s="1"/>
  <c r="H36" i="29"/>
  <c r="I36" i="29" s="1"/>
  <c r="H40" i="29"/>
  <c r="I40" i="29" s="1"/>
  <c r="H47" i="29"/>
  <c r="I47" i="29" s="1"/>
  <c r="H49" i="29"/>
  <c r="I49" i="29" s="1"/>
  <c r="H13" i="30"/>
  <c r="I13" i="30" s="1"/>
  <c r="H11" i="31"/>
  <c r="I11" i="31" s="1"/>
  <c r="H16" i="31"/>
  <c r="I16" i="31" s="1"/>
  <c r="H22" i="31"/>
  <c r="I22" i="31" s="1"/>
  <c r="H35" i="31"/>
  <c r="I35" i="31" s="1"/>
  <c r="H50" i="31"/>
  <c r="I50" i="31" s="1"/>
  <c r="H54" i="31"/>
  <c r="I54" i="31" s="1"/>
  <c r="H64" i="31"/>
  <c r="I64" i="31" s="1"/>
  <c r="H82" i="31"/>
  <c r="I82" i="31" s="1"/>
  <c r="H88" i="31"/>
  <c r="I88" i="31" s="1"/>
  <c r="H92" i="31"/>
  <c r="I92" i="31" s="1"/>
  <c r="H101" i="31"/>
  <c r="I101" i="31" s="1"/>
  <c r="H106" i="31"/>
  <c r="I106" i="31" s="1"/>
  <c r="I16" i="3"/>
  <c r="J16" i="3" s="1"/>
  <c r="I37" i="3"/>
  <c r="K37" i="3" s="1"/>
  <c r="I54" i="3"/>
  <c r="I64" i="3"/>
  <c r="K64" i="3" s="1"/>
  <c r="I72" i="3"/>
  <c r="I80" i="3"/>
  <c r="K80" i="3" s="1"/>
  <c r="I85" i="3"/>
  <c r="K51" i="6"/>
  <c r="K120" i="6"/>
  <c r="K133" i="6"/>
  <c r="L24" i="7"/>
  <c r="K16" i="6"/>
  <c r="K153" i="6"/>
  <c r="I33" i="3"/>
  <c r="K33" i="3" s="1"/>
  <c r="I50" i="3"/>
  <c r="K50" i="3" s="1"/>
  <c r="I35" i="3"/>
  <c r="J35" i="3" s="1"/>
  <c r="I43" i="3"/>
  <c r="J43" i="3" s="1"/>
  <c r="K89" i="4"/>
  <c r="J89" i="4"/>
  <c r="I126" i="3"/>
  <c r="I151" i="5"/>
  <c r="K151" i="5" s="1"/>
  <c r="I153" i="5"/>
  <c r="I155" i="5"/>
  <c r="I157" i="5"/>
  <c r="I159" i="5"/>
  <c r="K159" i="5" s="1"/>
  <c r="I162" i="5"/>
  <c r="J18" i="6"/>
  <c r="L18" i="6" s="1"/>
  <c r="J30" i="6"/>
  <c r="J52" i="6"/>
  <c r="J74" i="6"/>
  <c r="K74" i="6" s="1"/>
  <c r="J117" i="6"/>
  <c r="J142" i="6"/>
  <c r="J154" i="6"/>
  <c r="J169" i="6"/>
  <c r="K169" i="6" s="1"/>
  <c r="J13" i="7"/>
  <c r="K13" i="7" s="1"/>
  <c r="J19" i="7"/>
  <c r="J29" i="7"/>
  <c r="L29" i="7" s="1"/>
  <c r="J53" i="7"/>
  <c r="J122" i="7"/>
  <c r="J126" i="7"/>
  <c r="J130" i="7"/>
  <c r="J134" i="7"/>
  <c r="J142" i="7"/>
  <c r="J154" i="7"/>
  <c r="J158" i="7"/>
  <c r="J162" i="7"/>
  <c r="J166" i="7"/>
  <c r="I42" i="8"/>
  <c r="J42" i="8" s="1"/>
  <c r="I110" i="3"/>
  <c r="K110" i="3" s="1"/>
  <c r="I118" i="3"/>
  <c r="J118" i="3" s="1"/>
  <c r="I136" i="3"/>
  <c r="I147" i="3"/>
  <c r="K147" i="3" s="1"/>
  <c r="I151" i="3"/>
  <c r="K151" i="3" s="1"/>
  <c r="I163" i="3"/>
  <c r="I12" i="4"/>
  <c r="I16" i="4"/>
  <c r="J16" i="4" s="1"/>
  <c r="I20" i="4"/>
  <c r="K20" i="4" s="1"/>
  <c r="I29" i="4"/>
  <c r="J29" i="4" s="1"/>
  <c r="I35" i="4"/>
  <c r="J35" i="4" s="1"/>
  <c r="I39" i="4"/>
  <c r="K39" i="4" s="1"/>
  <c r="I45" i="4"/>
  <c r="I135" i="4"/>
  <c r="K135" i="4" s="1"/>
  <c r="I155" i="4"/>
  <c r="I17" i="5"/>
  <c r="J17" i="5" s="1"/>
  <c r="I30" i="5"/>
  <c r="K30" i="5" s="1"/>
  <c r="I78" i="5"/>
  <c r="J78" i="5" s="1"/>
  <c r="I106" i="5"/>
  <c r="J106" i="5" s="1"/>
  <c r="I117" i="5"/>
  <c r="J117" i="5" s="1"/>
  <c r="J77" i="6"/>
  <c r="K77" i="6" s="1"/>
  <c r="J47" i="7"/>
  <c r="L47" i="7" s="1"/>
  <c r="J55" i="7"/>
  <c r="J104" i="7"/>
  <c r="J156" i="7"/>
  <c r="I13" i="8"/>
  <c r="J13" i="8" s="1"/>
  <c r="J34" i="10"/>
  <c r="I96" i="3"/>
  <c r="J96" i="3" s="1"/>
  <c r="I120" i="3"/>
  <c r="I154" i="5"/>
  <c r="K154" i="5" s="1"/>
  <c r="I156" i="5"/>
  <c r="I158" i="5"/>
  <c r="K158" i="5" s="1"/>
  <c r="J37" i="6"/>
  <c r="K37" i="6" s="1"/>
  <c r="J55" i="6"/>
  <c r="J108" i="6"/>
  <c r="J118" i="6"/>
  <c r="L118" i="6" s="1"/>
  <c r="J131" i="6"/>
  <c r="J140" i="6"/>
  <c r="L140" i="6" s="1"/>
  <c r="J147" i="6"/>
  <c r="L147" i="6" s="1"/>
  <c r="J157" i="6"/>
  <c r="J160" i="6"/>
  <c r="K160" i="6" s="1"/>
  <c r="J25" i="7"/>
  <c r="K25" i="7" s="1"/>
  <c r="J42" i="7"/>
  <c r="K42" i="7" s="1"/>
  <c r="K67" i="10"/>
  <c r="J67" i="10"/>
  <c r="I89" i="3"/>
  <c r="J89" i="3" s="1"/>
  <c r="I99" i="3"/>
  <c r="I106" i="3"/>
  <c r="K106" i="3" s="1"/>
  <c r="I114" i="3"/>
  <c r="K114" i="3" s="1"/>
  <c r="I141" i="3"/>
  <c r="J141" i="3" s="1"/>
  <c r="I145" i="3"/>
  <c r="I149" i="3"/>
  <c r="K149" i="3" s="1"/>
  <c r="I153" i="3"/>
  <c r="I14" i="4"/>
  <c r="I18" i="4"/>
  <c r="K18" i="4" s="1"/>
  <c r="I22" i="4"/>
  <c r="J22" i="4" s="1"/>
  <c r="I25" i="4"/>
  <c r="J25" i="4" s="1"/>
  <c r="I33" i="4"/>
  <c r="K33" i="4" s="1"/>
  <c r="I37" i="4"/>
  <c r="J37" i="4" s="1"/>
  <c r="I49" i="4"/>
  <c r="J49" i="4" s="1"/>
  <c r="I55" i="4"/>
  <c r="I143" i="4"/>
  <c r="I149" i="4"/>
  <c r="K149" i="4" s="1"/>
  <c r="I153" i="4"/>
  <c r="K153" i="4" s="1"/>
  <c r="J154" i="4"/>
  <c r="I15" i="5"/>
  <c r="I24" i="5"/>
  <c r="I49" i="5"/>
  <c r="I74" i="5"/>
  <c r="J74" i="5" s="1"/>
  <c r="I107" i="5"/>
  <c r="K107" i="5" s="1"/>
  <c r="I131" i="5"/>
  <c r="J131" i="5" s="1"/>
  <c r="I133" i="5"/>
  <c r="K133" i="5" s="1"/>
  <c r="J27" i="6"/>
  <c r="J33" i="6"/>
  <c r="J43" i="6"/>
  <c r="J111" i="6"/>
  <c r="L111" i="6" s="1"/>
  <c r="J114" i="6"/>
  <c r="K114" i="6" s="1"/>
  <c r="J121" i="6"/>
  <c r="L121" i="6" s="1"/>
  <c r="J134" i="6"/>
  <c r="J139" i="6"/>
  <c r="L139" i="6" s="1"/>
  <c r="J143" i="6"/>
  <c r="J152" i="6"/>
  <c r="L152" i="6" s="1"/>
  <c r="J167" i="6"/>
  <c r="J175" i="6"/>
  <c r="K175" i="6" s="1"/>
  <c r="J17" i="7"/>
  <c r="K17" i="7" s="1"/>
  <c r="J31" i="7"/>
  <c r="J34" i="7"/>
  <c r="J49" i="7"/>
  <c r="K49" i="7" s="1"/>
  <c r="J51" i="7"/>
  <c r="J103" i="7"/>
  <c r="I103" i="8"/>
  <c r="I117" i="8"/>
  <c r="I147" i="8"/>
  <c r="K147" i="8" s="1"/>
  <c r="I153" i="8"/>
  <c r="J153" i="8" s="1"/>
  <c r="I50" i="9"/>
  <c r="J50" i="9" s="1"/>
  <c r="I133" i="9"/>
  <c r="K133" i="9" s="1"/>
  <c r="I144" i="9"/>
  <c r="J144" i="9" s="1"/>
  <c r="I153" i="9"/>
  <c r="J153" i="9" s="1"/>
  <c r="I156" i="9"/>
  <c r="K156" i="9" s="1"/>
  <c r="I104" i="10"/>
  <c r="I106" i="10"/>
  <c r="K106" i="10" s="1"/>
  <c r="I108" i="10"/>
  <c r="J108" i="10" s="1"/>
  <c r="I110" i="10"/>
  <c r="J110" i="10" s="1"/>
  <c r="I112" i="10"/>
  <c r="J112" i="10" s="1"/>
  <c r="I114" i="10"/>
  <c r="J114" i="10" s="1"/>
  <c r="I118" i="10"/>
  <c r="K118" i="10" s="1"/>
  <c r="I120" i="10"/>
  <c r="J120" i="10" s="1"/>
  <c r="I122" i="10"/>
  <c r="I132" i="10"/>
  <c r="K132" i="10" s="1"/>
  <c r="I13" i="11"/>
  <c r="K13" i="11" s="1"/>
  <c r="I15" i="11"/>
  <c r="K15" i="11" s="1"/>
  <c r="I17" i="11"/>
  <c r="I19" i="11"/>
  <c r="K19" i="11" s="1"/>
  <c r="I21" i="11"/>
  <c r="J21" i="11" s="1"/>
  <c r="I25" i="11"/>
  <c r="J25" i="11" s="1"/>
  <c r="I27" i="11"/>
  <c r="I29" i="11"/>
  <c r="K29" i="11" s="1"/>
  <c r="I31" i="11"/>
  <c r="K31" i="11" s="1"/>
  <c r="I44" i="11"/>
  <c r="K44" i="11" s="1"/>
  <c r="I75" i="11"/>
  <c r="J75" i="11" s="1"/>
  <c r="I104" i="11"/>
  <c r="I19" i="12"/>
  <c r="J19" i="12" s="1"/>
  <c r="I25" i="12"/>
  <c r="K25" i="12" s="1"/>
  <c r="I27" i="12"/>
  <c r="K27" i="12" s="1"/>
  <c r="I29" i="12"/>
  <c r="K29" i="12" s="1"/>
  <c r="I31" i="12"/>
  <c r="J31" i="12" s="1"/>
  <c r="I36" i="12"/>
  <c r="K36" i="12" s="1"/>
  <c r="I41" i="12"/>
  <c r="K41" i="12" s="1"/>
  <c r="I43" i="12"/>
  <c r="J43" i="12" s="1"/>
  <c r="I45" i="12"/>
  <c r="J45" i="12" s="1"/>
  <c r="I47" i="12"/>
  <c r="K47" i="12" s="1"/>
  <c r="I55" i="12"/>
  <c r="I74" i="12"/>
  <c r="J74" i="12" s="1"/>
  <c r="I140" i="12"/>
  <c r="K140" i="12" s="1"/>
  <c r="I30" i="8"/>
  <c r="I34" i="8"/>
  <c r="I38" i="8"/>
  <c r="I41" i="8"/>
  <c r="I12" i="9"/>
  <c r="I18" i="9"/>
  <c r="I24" i="9"/>
  <c r="J24" i="9" s="1"/>
  <c r="I31" i="9"/>
  <c r="K31" i="9" s="1"/>
  <c r="I41" i="15"/>
  <c r="K41" i="15" s="1"/>
  <c r="J69" i="16"/>
  <c r="I55" i="8"/>
  <c r="I26" i="9"/>
  <c r="I28" i="9"/>
  <c r="K28" i="9" s="1"/>
  <c r="I43" i="9"/>
  <c r="K43" i="9" s="1"/>
  <c r="I105" i="9"/>
  <c r="I107" i="9"/>
  <c r="J107" i="9" s="1"/>
  <c r="I109" i="9"/>
  <c r="J109" i="9" s="1"/>
  <c r="I111" i="9"/>
  <c r="J111" i="9" s="1"/>
  <c r="I113" i="9"/>
  <c r="I115" i="9"/>
  <c r="J115" i="9" s="1"/>
  <c r="I117" i="9"/>
  <c r="K117" i="9" s="1"/>
  <c r="I119" i="9"/>
  <c r="I121" i="9"/>
  <c r="I132" i="9"/>
  <c r="K132" i="9" s="1"/>
  <c r="I29" i="10"/>
  <c r="J29" i="10" s="1"/>
  <c r="I50" i="10"/>
  <c r="I54" i="10"/>
  <c r="I103" i="10"/>
  <c r="I136" i="10"/>
  <c r="J136" i="10" s="1"/>
  <c r="I153" i="10"/>
  <c r="I114" i="11"/>
  <c r="I119" i="12"/>
  <c r="J119" i="12" s="1"/>
  <c r="I25" i="13"/>
  <c r="K25" i="13" s="1"/>
  <c r="I27" i="13"/>
  <c r="I29" i="13"/>
  <c r="J29" i="13" s="1"/>
  <c r="I31" i="13"/>
  <c r="K31" i="13" s="1"/>
  <c r="I115" i="15"/>
  <c r="K115" i="15" s="1"/>
  <c r="J81" i="16"/>
  <c r="I36" i="8"/>
  <c r="I45" i="8"/>
  <c r="I51" i="8"/>
  <c r="I115" i="8"/>
  <c r="J115" i="8" s="1"/>
  <c r="I121" i="8"/>
  <c r="I142" i="8"/>
  <c r="J142" i="8" s="1"/>
  <c r="I160" i="8"/>
  <c r="I25" i="9"/>
  <c r="I30" i="9"/>
  <c r="K30" i="9" s="1"/>
  <c r="I37" i="9"/>
  <c r="J37" i="9" s="1"/>
  <c r="I45" i="9"/>
  <c r="K64" i="9"/>
  <c r="I104" i="9"/>
  <c r="I125" i="9"/>
  <c r="K125" i="9" s="1"/>
  <c r="I142" i="9"/>
  <c r="I151" i="9"/>
  <c r="J151" i="9" s="1"/>
  <c r="I52" i="10"/>
  <c r="I164" i="10"/>
  <c r="J164" i="10" s="1"/>
  <c r="I170" i="10"/>
  <c r="J170" i="10" s="1"/>
  <c r="I172" i="10"/>
  <c r="J172" i="10" s="1"/>
  <c r="I119" i="11"/>
  <c r="K119" i="11" s="1"/>
  <c r="I17" i="12"/>
  <c r="I34" i="12"/>
  <c r="K34" i="12" s="1"/>
  <c r="I53" i="12"/>
  <c r="J53" i="12" s="1"/>
  <c r="I22" i="13"/>
  <c r="K22" i="13" s="1"/>
  <c r="I24" i="13"/>
  <c r="K24" i="13" s="1"/>
  <c r="I26" i="13"/>
  <c r="J26" i="13" s="1"/>
  <c r="I28" i="13"/>
  <c r="K28" i="13" s="1"/>
  <c r="I30" i="13"/>
  <c r="J30" i="13" s="1"/>
  <c r="I37" i="13"/>
  <c r="K37" i="13" s="1"/>
  <c r="I54" i="13"/>
  <c r="J54" i="13" s="1"/>
  <c r="I96" i="14"/>
  <c r="J96" i="14" s="1"/>
  <c r="I99" i="13"/>
  <c r="J99" i="13" s="1"/>
  <c r="I104" i="13"/>
  <c r="I140" i="13"/>
  <c r="J140" i="13" s="1"/>
  <c r="I166" i="13"/>
  <c r="J166" i="13" s="1"/>
  <c r="I95" i="14"/>
  <c r="J95" i="14" s="1"/>
  <c r="I102" i="14"/>
  <c r="J102" i="14" s="1"/>
  <c r="I118" i="14"/>
  <c r="K118" i="14" s="1"/>
  <c r="I148" i="14"/>
  <c r="J148" i="14" s="1"/>
  <c r="I33" i="15"/>
  <c r="K33" i="15" s="1"/>
  <c r="I35" i="15"/>
  <c r="K35" i="15" s="1"/>
  <c r="I37" i="15"/>
  <c r="K37" i="15" s="1"/>
  <c r="I44" i="15"/>
  <c r="J44" i="15" s="1"/>
  <c r="I47" i="15"/>
  <c r="J47" i="15" s="1"/>
  <c r="I118" i="15"/>
  <c r="K118" i="15" s="1"/>
  <c r="I125" i="15"/>
  <c r="J125" i="15" s="1"/>
  <c r="I164" i="15"/>
  <c r="J164" i="15" s="1"/>
  <c r="I166" i="15"/>
  <c r="J166" i="15" s="1"/>
  <c r="I171" i="15"/>
  <c r="J171" i="15" s="1"/>
  <c r="I24" i="16"/>
  <c r="K24" i="16" s="1"/>
  <c r="I26" i="16"/>
  <c r="K26" i="16" s="1"/>
  <c r="I28" i="16"/>
  <c r="K28" i="16" s="1"/>
  <c r="I30" i="16"/>
  <c r="K30" i="16" s="1"/>
  <c r="I53" i="16"/>
  <c r="K53" i="16" s="1"/>
  <c r="I55" i="16"/>
  <c r="K55" i="16" s="1"/>
  <c r="I106" i="16"/>
  <c r="K106" i="16" s="1"/>
  <c r="I112" i="16"/>
  <c r="J112" i="16" s="1"/>
  <c r="I114" i="16"/>
  <c r="K114" i="16" s="1"/>
  <c r="I116" i="16"/>
  <c r="K116" i="16" s="1"/>
  <c r="I118" i="16"/>
  <c r="J118" i="16" s="1"/>
  <c r="I120" i="16"/>
  <c r="J120" i="16" s="1"/>
  <c r="I122" i="16"/>
  <c r="K122" i="16" s="1"/>
  <c r="I167" i="16"/>
  <c r="K167" i="16" s="1"/>
  <c r="I48" i="17"/>
  <c r="J48" i="17" s="1"/>
  <c r="I50" i="17"/>
  <c r="J50" i="17" s="1"/>
  <c r="I122" i="17"/>
  <c r="J122" i="17" s="1"/>
  <c r="H20" i="18"/>
  <c r="I20" i="18" s="1"/>
  <c r="H29" i="18"/>
  <c r="I29" i="18" s="1"/>
  <c r="H38" i="18"/>
  <c r="I38" i="18" s="1"/>
  <c r="I99" i="14"/>
  <c r="J99" i="14" s="1"/>
  <c r="I104" i="14"/>
  <c r="I18" i="15"/>
  <c r="K18" i="15" s="1"/>
  <c r="I20" i="15"/>
  <c r="K20" i="15" s="1"/>
  <c r="I22" i="15"/>
  <c r="K22" i="15" s="1"/>
  <c r="I24" i="15"/>
  <c r="J24" i="15" s="1"/>
  <c r="I107" i="15"/>
  <c r="J107" i="15" s="1"/>
  <c r="I138" i="15"/>
  <c r="J138" i="15" s="1"/>
  <c r="I13" i="16"/>
  <c r="K13" i="16" s="1"/>
  <c r="I15" i="16"/>
  <c r="K15" i="16" s="1"/>
  <c r="I20" i="16"/>
  <c r="I33" i="16"/>
  <c r="K33" i="16" s="1"/>
  <c r="I41" i="16"/>
  <c r="K41" i="16" s="1"/>
  <c r="I43" i="16"/>
  <c r="J43" i="16" s="1"/>
  <c r="I45" i="16"/>
  <c r="K45" i="16" s="1"/>
  <c r="I105" i="16"/>
  <c r="I127" i="16"/>
  <c r="K127" i="16" s="1"/>
  <c r="I169" i="16"/>
  <c r="J169" i="16" s="1"/>
  <c r="I14" i="17"/>
  <c r="J14" i="17" s="1"/>
  <c r="I16" i="17"/>
  <c r="K16" i="17" s="1"/>
  <c r="I18" i="17"/>
  <c r="K18" i="17" s="1"/>
  <c r="I20" i="17"/>
  <c r="J20" i="17" s="1"/>
  <c r="I22" i="17"/>
  <c r="J22" i="17" s="1"/>
  <c r="I29" i="17"/>
  <c r="J29" i="17" s="1"/>
  <c r="I34" i="17"/>
  <c r="J34" i="17" s="1"/>
  <c r="I36" i="17"/>
  <c r="J36" i="17" s="1"/>
  <c r="I38" i="17"/>
  <c r="J38" i="17" s="1"/>
  <c r="I42" i="17"/>
  <c r="K42" i="17" s="1"/>
  <c r="I53" i="17"/>
  <c r="K53" i="17" s="1"/>
  <c r="I143" i="17"/>
  <c r="J143" i="17" s="1"/>
  <c r="H16" i="18"/>
  <c r="I16" i="18" s="1"/>
  <c r="H21" i="18"/>
  <c r="I21" i="18" s="1"/>
  <c r="H25" i="18"/>
  <c r="I25" i="18" s="1"/>
  <c r="H30" i="18"/>
  <c r="I30" i="18" s="1"/>
  <c r="H34" i="18"/>
  <c r="I34" i="18" s="1"/>
  <c r="H39" i="18"/>
  <c r="I39" i="18" s="1"/>
  <c r="H43" i="18"/>
  <c r="I43" i="18" s="1"/>
  <c r="I98" i="13"/>
  <c r="J98" i="13" s="1"/>
  <c r="I101" i="13"/>
  <c r="J101" i="13" s="1"/>
  <c r="I103" i="13"/>
  <c r="I139" i="13"/>
  <c r="K139" i="13" s="1"/>
  <c r="I141" i="13"/>
  <c r="K141" i="13" s="1"/>
  <c r="I165" i="13"/>
  <c r="K165" i="13" s="1"/>
  <c r="I21" i="14"/>
  <c r="K21" i="14" s="1"/>
  <c r="I114" i="14"/>
  <c r="I120" i="14"/>
  <c r="J120" i="14" s="1"/>
  <c r="I122" i="14"/>
  <c r="J122" i="14" s="1"/>
  <c r="I125" i="14"/>
  <c r="K125" i="14" s="1"/>
  <c r="K123" i="14" s="1"/>
  <c r="I147" i="14"/>
  <c r="I149" i="14"/>
  <c r="K149" i="14" s="1"/>
  <c r="I26" i="15"/>
  <c r="J26" i="15" s="1"/>
  <c r="I144" i="15"/>
  <c r="J144" i="15" s="1"/>
  <c r="I152" i="15"/>
  <c r="I182" i="15"/>
  <c r="K182" i="15" s="1"/>
  <c r="I184" i="15"/>
  <c r="K184" i="15" s="1"/>
  <c r="I17" i="16"/>
  <c r="J17" i="16" s="1"/>
  <c r="I35" i="16"/>
  <c r="J35" i="16" s="1"/>
  <c r="I129" i="16"/>
  <c r="J129" i="16" s="1"/>
  <c r="I140" i="16"/>
  <c r="J140" i="16" s="1"/>
  <c r="J132" i="16" s="1"/>
  <c r="I31" i="17"/>
  <c r="K31" i="17" s="1"/>
  <c r="I44" i="17"/>
  <c r="I55" i="17"/>
  <c r="K55" i="17" s="1"/>
  <c r="I118" i="17"/>
  <c r="K118" i="17" s="1"/>
  <c r="I145" i="17"/>
  <c r="J145" i="17" s="1"/>
  <c r="I160" i="17"/>
  <c r="H17" i="18"/>
  <c r="I17" i="18" s="1"/>
  <c r="H26" i="18"/>
  <c r="I26" i="18" s="1"/>
  <c r="H35" i="18"/>
  <c r="I35" i="18" s="1"/>
  <c r="H44" i="18"/>
  <c r="I44" i="18" s="1"/>
  <c r="H61" i="18"/>
  <c r="I61" i="18" s="1"/>
  <c r="H83" i="18"/>
  <c r="I83" i="18" s="1"/>
  <c r="H86" i="18"/>
  <c r="I86" i="18" s="1"/>
  <c r="H89" i="18"/>
  <c r="I89" i="18" s="1"/>
  <c r="H95" i="18"/>
  <c r="I95" i="18" s="1"/>
  <c r="H98" i="18"/>
  <c r="I98" i="18" s="1"/>
  <c r="H105" i="18"/>
  <c r="I105" i="18" s="1"/>
  <c r="H119" i="18"/>
  <c r="I119" i="18" s="1"/>
  <c r="H121" i="18"/>
  <c r="I121" i="18" s="1"/>
  <c r="H140" i="18"/>
  <c r="I140" i="18" s="1"/>
  <c r="H13" i="19"/>
  <c r="I13" i="19" s="1"/>
  <c r="H19" i="19"/>
  <c r="I19" i="19" s="1"/>
  <c r="H28" i="19"/>
  <c r="I28" i="19" s="1"/>
  <c r="H31" i="19"/>
  <c r="I31" i="19" s="1"/>
  <c r="H36" i="19"/>
  <c r="I36" i="19" s="1"/>
  <c r="H39" i="19"/>
  <c r="I39" i="19" s="1"/>
  <c r="H66" i="19"/>
  <c r="I66" i="19" s="1"/>
  <c r="H69" i="19"/>
  <c r="I69" i="19" s="1"/>
  <c r="H86" i="19"/>
  <c r="I86" i="19" s="1"/>
  <c r="H89" i="19"/>
  <c r="I89" i="19" s="1"/>
  <c r="H24" i="20"/>
  <c r="I24" i="20" s="1"/>
  <c r="H75" i="20"/>
  <c r="I75" i="20" s="1"/>
  <c r="H33" i="21"/>
  <c r="I33" i="21" s="1"/>
  <c r="H55" i="21"/>
  <c r="I55" i="21" s="1"/>
  <c r="H94" i="21"/>
  <c r="I94" i="21" s="1"/>
  <c r="I36" i="22"/>
  <c r="J36" i="22" s="1"/>
  <c r="I38" i="22"/>
  <c r="K38" i="22" s="1"/>
  <c r="H57" i="24"/>
  <c r="H19" i="26"/>
  <c r="I19" i="26" s="1"/>
  <c r="H25" i="30"/>
  <c r="I25" i="30" s="1"/>
  <c r="H20" i="31"/>
  <c r="I20" i="31" s="1"/>
  <c r="H114" i="19"/>
  <c r="I114" i="19" s="1"/>
  <c r="H132" i="19"/>
  <c r="I132" i="19" s="1"/>
  <c r="H147" i="19"/>
  <c r="I147" i="19" s="1"/>
  <c r="H149" i="19"/>
  <c r="I149" i="19" s="1"/>
  <c r="H19" i="20"/>
  <c r="I19" i="20" s="1"/>
  <c r="H28" i="20"/>
  <c r="I28" i="20" s="1"/>
  <c r="H36" i="20"/>
  <c r="I36" i="20" s="1"/>
  <c r="H69" i="20"/>
  <c r="I69" i="20" s="1"/>
  <c r="H72" i="20"/>
  <c r="I72" i="20" s="1"/>
  <c r="H96" i="20"/>
  <c r="I96" i="20" s="1"/>
  <c r="H109" i="20"/>
  <c r="I109" i="20" s="1"/>
  <c r="H19" i="21"/>
  <c r="I19" i="21" s="1"/>
  <c r="H42" i="21"/>
  <c r="I42" i="21" s="1"/>
  <c r="H84" i="21"/>
  <c r="I84" i="21" s="1"/>
  <c r="H107" i="21"/>
  <c r="I107" i="21" s="1"/>
  <c r="H53" i="18"/>
  <c r="I53" i="18" s="1"/>
  <c r="H60" i="18"/>
  <c r="I60" i="18" s="1"/>
  <c r="H69" i="18"/>
  <c r="I69" i="18" s="1"/>
  <c r="H87" i="18"/>
  <c r="I87" i="18" s="1"/>
  <c r="H96" i="18"/>
  <c r="I96" i="18" s="1"/>
  <c r="H115" i="18"/>
  <c r="I115" i="18" s="1"/>
  <c r="H117" i="18"/>
  <c r="I117" i="18" s="1"/>
  <c r="H125" i="18"/>
  <c r="I125" i="18" s="1"/>
  <c r="I123" i="18" s="1"/>
  <c r="H14" i="19"/>
  <c r="I14" i="19" s="1"/>
  <c r="H21" i="19"/>
  <c r="I21" i="19" s="1"/>
  <c r="H30" i="19"/>
  <c r="I30" i="19" s="1"/>
  <c r="H35" i="19"/>
  <c r="I35" i="19" s="1"/>
  <c r="H37" i="19"/>
  <c r="I37" i="19" s="1"/>
  <c r="H42" i="19"/>
  <c r="I42" i="19" s="1"/>
  <c r="H61" i="19"/>
  <c r="I61" i="19" s="1"/>
  <c r="H67" i="19"/>
  <c r="I67" i="19" s="1"/>
  <c r="H82" i="19"/>
  <c r="I82" i="19" s="1"/>
  <c r="H87" i="19"/>
  <c r="I87" i="19" s="1"/>
  <c r="H104" i="19"/>
  <c r="H118" i="19"/>
  <c r="I118" i="19" s="1"/>
  <c r="H120" i="19"/>
  <c r="I120" i="19" s="1"/>
  <c r="H20" i="20"/>
  <c r="I20" i="20" s="1"/>
  <c r="H37" i="20"/>
  <c r="I37" i="20" s="1"/>
  <c r="H49" i="20"/>
  <c r="I49" i="20" s="1"/>
  <c r="H55" i="20"/>
  <c r="I55" i="20" s="1"/>
  <c r="H66" i="20"/>
  <c r="I66" i="20" s="1"/>
  <c r="H94" i="20"/>
  <c r="I94" i="20" s="1"/>
  <c r="H104" i="20"/>
  <c r="I104" i="20" s="1"/>
  <c r="H108" i="20"/>
  <c r="I108" i="20" s="1"/>
  <c r="H18" i="21"/>
  <c r="I18" i="21" s="1"/>
  <c r="H21" i="21"/>
  <c r="I21" i="21" s="1"/>
  <c r="H24" i="21"/>
  <c r="I24" i="21" s="1"/>
  <c r="H37" i="21"/>
  <c r="I37" i="21" s="1"/>
  <c r="H41" i="21"/>
  <c r="I41" i="21" s="1"/>
  <c r="H47" i="21"/>
  <c r="I47" i="21" s="1"/>
  <c r="H49" i="21"/>
  <c r="I49" i="21" s="1"/>
  <c r="H51" i="21"/>
  <c r="I51" i="21" s="1"/>
  <c r="I50" i="21" s="1"/>
  <c r="H66" i="21"/>
  <c r="I66" i="21" s="1"/>
  <c r="H72" i="21"/>
  <c r="I72" i="21" s="1"/>
  <c r="H77" i="21"/>
  <c r="I77" i="21" s="1"/>
  <c r="H85" i="21"/>
  <c r="I85" i="21" s="1"/>
  <c r="H105" i="21"/>
  <c r="I105" i="21" s="1"/>
  <c r="H110" i="21"/>
  <c r="I110" i="21" s="1"/>
  <c r="I17" i="22"/>
  <c r="K17" i="22" s="1"/>
  <c r="I19" i="22"/>
  <c r="J19" i="22" s="1"/>
  <c r="H13" i="24"/>
  <c r="I13" i="24" s="1"/>
  <c r="H57" i="25"/>
  <c r="H24" i="30"/>
  <c r="I24" i="30" s="1"/>
  <c r="H12" i="31"/>
  <c r="I12" i="31" s="1"/>
  <c r="H33" i="31"/>
  <c r="I33" i="31" s="1"/>
  <c r="H59" i="31"/>
  <c r="I59" i="31" s="1"/>
  <c r="H73" i="31"/>
  <c r="I73" i="31" s="1"/>
  <c r="I41" i="22"/>
  <c r="I97" i="22"/>
  <c r="J97" i="22" s="1"/>
  <c r="I102" i="22"/>
  <c r="J102" i="22" s="1"/>
  <c r="H25" i="24"/>
  <c r="I25" i="24" s="1"/>
  <c r="H28" i="24"/>
  <c r="I28" i="24" s="1"/>
  <c r="H31" i="24"/>
  <c r="I31" i="24" s="1"/>
  <c r="H36" i="24"/>
  <c r="I36" i="24" s="1"/>
  <c r="H42" i="24"/>
  <c r="I42" i="24" s="1"/>
  <c r="H47" i="24"/>
  <c r="I47" i="24" s="1"/>
  <c r="H50" i="24"/>
  <c r="I50" i="24" s="1"/>
  <c r="H56" i="24"/>
  <c r="H63" i="24"/>
  <c r="I63" i="24" s="1"/>
  <c r="I62" i="24" s="1"/>
  <c r="H29" i="25"/>
  <c r="I29" i="25" s="1"/>
  <c r="H34" i="25"/>
  <c r="I34" i="25" s="1"/>
  <c r="H37" i="25"/>
  <c r="I37" i="25" s="1"/>
  <c r="H41" i="25"/>
  <c r="I41" i="25" s="1"/>
  <c r="H44" i="25"/>
  <c r="I44" i="25" s="1"/>
  <c r="H49" i="25"/>
  <c r="I49" i="25" s="1"/>
  <c r="H62" i="25"/>
  <c r="H64" i="25"/>
  <c r="H18" i="26"/>
  <c r="I18" i="26" s="1"/>
  <c r="H21" i="26"/>
  <c r="I21" i="26" s="1"/>
  <c r="H12" i="28"/>
  <c r="I12" i="28" s="1"/>
  <c r="H34" i="28"/>
  <c r="I34" i="28" s="1"/>
  <c r="H30" i="29"/>
  <c r="I30" i="29" s="1"/>
  <c r="H35" i="29"/>
  <c r="I35" i="29" s="1"/>
  <c r="H42" i="29"/>
  <c r="I42" i="29" s="1"/>
  <c r="H52" i="29"/>
  <c r="I52" i="29" s="1"/>
  <c r="H15" i="30"/>
  <c r="I15" i="30" s="1"/>
  <c r="H31" i="31"/>
  <c r="I31" i="31" s="1"/>
  <c r="H36" i="31"/>
  <c r="I36" i="31" s="1"/>
  <c r="H38" i="31"/>
  <c r="I38" i="31" s="1"/>
  <c r="H48" i="31"/>
  <c r="I48" i="31" s="1"/>
  <c r="H49" i="31"/>
  <c r="I49" i="31" s="1"/>
  <c r="H56" i="31"/>
  <c r="I56" i="31" s="1"/>
  <c r="H72" i="31"/>
  <c r="I72" i="31" s="1"/>
  <c r="H78" i="31"/>
  <c r="I78" i="31" s="1"/>
  <c r="H83" i="31"/>
  <c r="I83" i="31" s="1"/>
  <c r="H86" i="31"/>
  <c r="I86" i="31" s="1"/>
  <c r="H100" i="31"/>
  <c r="I100" i="31" s="1"/>
  <c r="H41" i="31"/>
  <c r="I41" i="31" s="1"/>
  <c r="H52" i="31"/>
  <c r="I52" i="31" s="1"/>
  <c r="H58" i="31"/>
  <c r="I58" i="31" s="1"/>
  <c r="H76" i="31"/>
  <c r="I76" i="31" s="1"/>
  <c r="H79" i="31"/>
  <c r="I79" i="31" s="1"/>
  <c r="H87" i="31"/>
  <c r="I87" i="31" s="1"/>
  <c r="H97" i="31"/>
  <c r="I97" i="31" s="1"/>
  <c r="H99" i="31"/>
  <c r="I99" i="31" s="1"/>
  <c r="H112" i="31"/>
  <c r="I112" i="31" s="1"/>
  <c r="I48" i="22"/>
  <c r="I50" i="22"/>
  <c r="I51" i="22"/>
  <c r="J51" i="22" s="1"/>
  <c r="I96" i="22"/>
  <c r="J96" i="22" s="1"/>
  <c r="I101" i="22"/>
  <c r="J101" i="22" s="1"/>
  <c r="I105" i="22"/>
  <c r="H14" i="24"/>
  <c r="I14" i="24" s="1"/>
  <c r="H16" i="24"/>
  <c r="I16" i="24" s="1"/>
  <c r="H19" i="24"/>
  <c r="I19" i="24" s="1"/>
  <c r="H24" i="24"/>
  <c r="I24" i="24" s="1"/>
  <c r="H29" i="24"/>
  <c r="I29" i="24" s="1"/>
  <c r="H43" i="24"/>
  <c r="I43" i="24" s="1"/>
  <c r="H48" i="24"/>
  <c r="I48" i="24" s="1"/>
  <c r="H51" i="24"/>
  <c r="I51" i="24" s="1"/>
  <c r="H60" i="24"/>
  <c r="H24" i="25"/>
  <c r="I24" i="25" s="1"/>
  <c r="H30" i="25"/>
  <c r="I30" i="25" s="1"/>
  <c r="H35" i="25"/>
  <c r="I35" i="25" s="1"/>
  <c r="H42" i="25"/>
  <c r="I42" i="25" s="1"/>
  <c r="H54" i="25"/>
  <c r="I54" i="25" s="1"/>
  <c r="H60" i="25"/>
  <c r="H15" i="26"/>
  <c r="I15" i="26" s="1"/>
  <c r="H24" i="26"/>
  <c r="I24" i="26" s="1"/>
  <c r="H27" i="26"/>
  <c r="I27" i="26" s="1"/>
  <c r="I26" i="26" s="1"/>
  <c r="H13" i="28"/>
  <c r="I13" i="28" s="1"/>
  <c r="H14" i="28"/>
  <c r="I14" i="28" s="1"/>
  <c r="H19" i="28"/>
  <c r="I19" i="28" s="1"/>
  <c r="H22" i="28"/>
  <c r="I22" i="28" s="1"/>
  <c r="H24" i="28"/>
  <c r="I24" i="28" s="1"/>
  <c r="H27" i="28"/>
  <c r="I27" i="28" s="1"/>
  <c r="H37" i="28"/>
  <c r="I37" i="28" s="1"/>
  <c r="H22" i="29"/>
  <c r="I22" i="29" s="1"/>
  <c r="H23" i="29"/>
  <c r="I23" i="29" s="1"/>
  <c r="H31" i="29"/>
  <c r="I31" i="29" s="1"/>
  <c r="H32" i="29"/>
  <c r="I32" i="29" s="1"/>
  <c r="H37" i="29"/>
  <c r="I37" i="29" s="1"/>
  <c r="H46" i="29"/>
  <c r="I46" i="29" s="1"/>
  <c r="H11" i="30"/>
  <c r="I11" i="30" s="1"/>
  <c r="H18" i="30"/>
  <c r="I18" i="30" s="1"/>
  <c r="H15" i="31"/>
  <c r="I15" i="31" s="1"/>
  <c r="H27" i="31"/>
  <c r="I27" i="31" s="1"/>
  <c r="H34" i="31"/>
  <c r="I34" i="31" s="1"/>
  <c r="H40" i="31"/>
  <c r="I40" i="31" s="1"/>
  <c r="H57" i="31"/>
  <c r="I57" i="31" s="1"/>
  <c r="H66" i="31"/>
  <c r="I66" i="31" s="1"/>
  <c r="H71" i="31"/>
  <c r="I71" i="31" s="1"/>
  <c r="H84" i="31"/>
  <c r="I84" i="31" s="1"/>
  <c r="H96" i="31"/>
  <c r="I96" i="31" s="1"/>
  <c r="H108" i="31"/>
  <c r="I108" i="31" s="1"/>
  <c r="H13" i="32"/>
  <c r="I13" i="32" s="1"/>
  <c r="A100" i="3"/>
  <c r="A97" i="3"/>
  <c r="A96" i="3"/>
  <c r="A102" i="3"/>
  <c r="A99" i="3"/>
  <c r="A101" i="3"/>
  <c r="A98" i="3"/>
  <c r="A95" i="3"/>
  <c r="A54" i="3"/>
  <c r="A55" i="3"/>
  <c r="A53" i="3"/>
  <c r="J165" i="3"/>
  <c r="A38" i="4"/>
  <c r="A36" i="4"/>
  <c r="A34" i="4"/>
  <c r="A39" i="4"/>
  <c r="A37" i="4"/>
  <c r="A35" i="4"/>
  <c r="A33" i="4"/>
  <c r="K14" i="3"/>
  <c r="A122" i="3"/>
  <c r="A120" i="3"/>
  <c r="A118" i="3"/>
  <c r="A116" i="3"/>
  <c r="A114" i="3"/>
  <c r="A112" i="3"/>
  <c r="A110" i="3"/>
  <c r="A108" i="3"/>
  <c r="A106" i="3"/>
  <c r="A121" i="3"/>
  <c r="A119" i="3"/>
  <c r="A117" i="3"/>
  <c r="A115" i="3"/>
  <c r="A113" i="3"/>
  <c r="A111" i="3"/>
  <c r="A109" i="3"/>
  <c r="A107" i="3"/>
  <c r="A105" i="3"/>
  <c r="J12" i="3"/>
  <c r="K12" i="3"/>
  <c r="J18" i="4"/>
  <c r="J33" i="4"/>
  <c r="A23" i="3"/>
  <c r="A40" i="3"/>
  <c r="A47" i="3"/>
  <c r="A49" i="3"/>
  <c r="A51" i="3"/>
  <c r="A73" i="3"/>
  <c r="J95" i="3"/>
  <c r="A123" i="3"/>
  <c r="A129" i="3"/>
  <c r="A11" i="4"/>
  <c r="A24" i="4"/>
  <c r="A26" i="4"/>
  <c r="A28" i="4"/>
  <c r="A30" i="4"/>
  <c r="A41" i="4"/>
  <c r="J41" i="4"/>
  <c r="A43" i="4"/>
  <c r="A76" i="4"/>
  <c r="I103" i="4"/>
  <c r="I108" i="4"/>
  <c r="I124" i="4"/>
  <c r="A137" i="4"/>
  <c r="A135" i="4"/>
  <c r="A133" i="4"/>
  <c r="A130" i="4"/>
  <c r="A132" i="4"/>
  <c r="I133" i="4"/>
  <c r="A145" i="4"/>
  <c r="A143" i="4"/>
  <c r="A141" i="4"/>
  <c r="A139" i="4"/>
  <c r="I141" i="4"/>
  <c r="A146" i="4"/>
  <c r="I157" i="4"/>
  <c r="A162" i="4"/>
  <c r="I165" i="4"/>
  <c r="I25" i="5"/>
  <c r="I29" i="5"/>
  <c r="A38" i="5"/>
  <c r="A36" i="5"/>
  <c r="A34" i="5"/>
  <c r="A39" i="5"/>
  <c r="A37" i="5"/>
  <c r="A35" i="5"/>
  <c r="A33" i="5"/>
  <c r="I34" i="5"/>
  <c r="I38" i="5"/>
  <c r="K67" i="5"/>
  <c r="J67" i="5"/>
  <c r="J76" i="5"/>
  <c r="K76" i="5"/>
  <c r="K132" i="5"/>
  <c r="J132" i="5"/>
  <c r="K139" i="5"/>
  <c r="K65" i="6"/>
  <c r="L65" i="6"/>
  <c r="A157" i="6"/>
  <c r="A155" i="6"/>
  <c r="A156" i="6"/>
  <c r="A11" i="3"/>
  <c r="A32" i="3"/>
  <c r="A57" i="3"/>
  <c r="A79" i="3"/>
  <c r="A139" i="3"/>
  <c r="A141" i="3"/>
  <c r="A143" i="3"/>
  <c r="A145" i="3"/>
  <c r="A147" i="3"/>
  <c r="A149" i="3"/>
  <c r="A151" i="3"/>
  <c r="A153" i="3"/>
  <c r="A157" i="3"/>
  <c r="A163" i="3"/>
  <c r="A46" i="4"/>
  <c r="A52" i="4"/>
  <c r="K48" i="4"/>
  <c r="J48" i="4"/>
  <c r="K102" i="4"/>
  <c r="A127" i="4"/>
  <c r="A160" i="4"/>
  <c r="A168" i="4"/>
  <c r="A21" i="5"/>
  <c r="A19" i="5"/>
  <c r="A17" i="5"/>
  <c r="A15" i="5"/>
  <c r="A13" i="5"/>
  <c r="A22" i="5"/>
  <c r="A20" i="5"/>
  <c r="A18" i="5"/>
  <c r="A16" i="5"/>
  <c r="A14" i="5"/>
  <c r="A12" i="5"/>
  <c r="K14" i="5"/>
  <c r="J14" i="5"/>
  <c r="A71" i="5"/>
  <c r="A69" i="5"/>
  <c r="A67" i="5"/>
  <c r="A65" i="5"/>
  <c r="A63" i="5"/>
  <c r="A61" i="5"/>
  <c r="A59" i="5"/>
  <c r="A72" i="5"/>
  <c r="A70" i="5"/>
  <c r="A68" i="5"/>
  <c r="A66" i="5"/>
  <c r="A64" i="5"/>
  <c r="A62" i="5"/>
  <c r="A60" i="5"/>
  <c r="A58" i="5"/>
  <c r="K26" i="6"/>
  <c r="L26" i="6"/>
  <c r="K85" i="6"/>
  <c r="L85" i="6"/>
  <c r="L96" i="6"/>
  <c r="K96" i="6"/>
  <c r="K124" i="6"/>
  <c r="J21" i="8"/>
  <c r="K21" i="8"/>
  <c r="A48" i="3"/>
  <c r="A25" i="4"/>
  <c r="A27" i="4"/>
  <c r="A29" i="4"/>
  <c r="A42" i="4"/>
  <c r="A44" i="4"/>
  <c r="A71" i="4"/>
  <c r="A69" i="4"/>
  <c r="A67" i="4"/>
  <c r="A65" i="4"/>
  <c r="A63" i="4"/>
  <c r="A61" i="4"/>
  <c r="A59" i="4"/>
  <c r="A72" i="4"/>
  <c r="A70" i="4"/>
  <c r="A68" i="4"/>
  <c r="A66" i="4"/>
  <c r="A64" i="4"/>
  <c r="A62" i="4"/>
  <c r="A60" i="4"/>
  <c r="A58" i="4"/>
  <c r="J60" i="4"/>
  <c r="I104" i="4"/>
  <c r="I112" i="4"/>
  <c r="I120" i="4"/>
  <c r="I128" i="4"/>
  <c r="A134" i="4"/>
  <c r="I137" i="4"/>
  <c r="A142" i="4"/>
  <c r="I145" i="4"/>
  <c r="A158" i="4"/>
  <c r="I161" i="4"/>
  <c r="I169" i="4"/>
  <c r="A44" i="5"/>
  <c r="A42" i="5"/>
  <c r="A45" i="5"/>
  <c r="A43" i="5"/>
  <c r="I27" i="5"/>
  <c r="I31" i="5"/>
  <c r="I36" i="5"/>
  <c r="J41" i="5"/>
  <c r="J83" i="5"/>
  <c r="K83" i="5"/>
  <c r="J91" i="5"/>
  <c r="K91" i="5"/>
  <c r="A168" i="5"/>
  <c r="A166" i="5"/>
  <c r="A169" i="5"/>
  <c r="A167" i="5"/>
  <c r="A165" i="5"/>
  <c r="A55" i="6"/>
  <c r="A53" i="6"/>
  <c r="A54" i="6"/>
  <c r="K165" i="6"/>
  <c r="L165" i="6"/>
  <c r="L99" i="7"/>
  <c r="K99" i="7"/>
  <c r="A168" i="7"/>
  <c r="A166" i="7"/>
  <c r="A164" i="7"/>
  <c r="A162" i="7"/>
  <c r="A160" i="7"/>
  <c r="A158" i="7"/>
  <c r="A167" i="7"/>
  <c r="A165" i="7"/>
  <c r="A163" i="7"/>
  <c r="A161" i="7"/>
  <c r="A159" i="7"/>
  <c r="A157" i="7"/>
  <c r="A140" i="3"/>
  <c r="A142" i="3"/>
  <c r="A144" i="3"/>
  <c r="A146" i="3"/>
  <c r="A148" i="3"/>
  <c r="A150" i="3"/>
  <c r="A77" i="4"/>
  <c r="A75" i="4"/>
  <c r="A78" i="4"/>
  <c r="K82" i="4"/>
  <c r="J82" i="4"/>
  <c r="A169" i="4"/>
  <c r="A167" i="4"/>
  <c r="A165" i="4"/>
  <c r="A163" i="4"/>
  <c r="A161" i="4"/>
  <c r="A159" i="4"/>
  <c r="K118" i="4"/>
  <c r="A128" i="4"/>
  <c r="A126" i="4"/>
  <c r="A124" i="4"/>
  <c r="A164" i="4"/>
  <c r="J121" i="5"/>
  <c r="K121" i="5"/>
  <c r="K171" i="5"/>
  <c r="A78" i="6"/>
  <c r="A74" i="6"/>
  <c r="A77" i="6"/>
  <c r="A76" i="6"/>
  <c r="A75" i="6"/>
  <c r="L98" i="6"/>
  <c r="K98" i="6"/>
  <c r="A51" i="7"/>
  <c r="A49" i="7"/>
  <c r="A47" i="7"/>
  <c r="A50" i="7"/>
  <c r="A48" i="7"/>
  <c r="A101" i="7"/>
  <c r="A99" i="7"/>
  <c r="A97" i="7"/>
  <c r="A95" i="7"/>
  <c r="A102" i="7"/>
  <c r="A100" i="7"/>
  <c r="A98" i="7"/>
  <c r="A96" i="7"/>
  <c r="A23" i="6"/>
  <c r="A84" i="6"/>
  <c r="A88" i="6"/>
  <c r="A92" i="6"/>
  <c r="A110" i="6"/>
  <c r="A113" i="6"/>
  <c r="A116" i="6"/>
  <c r="A120" i="6"/>
  <c r="A125" i="7"/>
  <c r="A127" i="7"/>
  <c r="A131" i="7"/>
  <c r="A133" i="7"/>
  <c r="A135" i="7"/>
  <c r="A137" i="7"/>
  <c r="A71" i="8"/>
  <c r="A69" i="8"/>
  <c r="A67" i="8"/>
  <c r="A65" i="8"/>
  <c r="A63" i="8"/>
  <c r="A61" i="8"/>
  <c r="A59" i="8"/>
  <c r="A72" i="8"/>
  <c r="A70" i="8"/>
  <c r="A68" i="8"/>
  <c r="A66" i="8"/>
  <c r="A64" i="8"/>
  <c r="A62" i="8"/>
  <c r="A60" i="8"/>
  <c r="A58" i="8"/>
  <c r="K51" i="9"/>
  <c r="J51" i="9"/>
  <c r="J71" i="9"/>
  <c r="A38" i="10"/>
  <c r="A36" i="10"/>
  <c r="A34" i="10"/>
  <c r="A39" i="10"/>
  <c r="A37" i="10"/>
  <c r="A35" i="10"/>
  <c r="A33" i="10"/>
  <c r="J98" i="10"/>
  <c r="A128" i="10"/>
  <c r="A125" i="10"/>
  <c r="A127" i="10"/>
  <c r="A126" i="10"/>
  <c r="A124" i="10"/>
  <c r="A52" i="5"/>
  <c r="A79" i="5"/>
  <c r="J86" i="5"/>
  <c r="A94" i="5"/>
  <c r="A104" i="5"/>
  <c r="J111" i="5"/>
  <c r="J114" i="5"/>
  <c r="A138" i="5"/>
  <c r="A161" i="5"/>
  <c r="A163" i="5"/>
  <c r="L16" i="6"/>
  <c r="A32" i="6"/>
  <c r="L47" i="6"/>
  <c r="L51" i="6"/>
  <c r="A57" i="6"/>
  <c r="K63" i="6"/>
  <c r="K67" i="6"/>
  <c r="A80" i="6"/>
  <c r="A81" i="6"/>
  <c r="A82" i="6"/>
  <c r="A83" i="6"/>
  <c r="K83" i="6"/>
  <c r="L84" i="6"/>
  <c r="A87" i="6"/>
  <c r="A91" i="6"/>
  <c r="A105" i="6"/>
  <c r="A106" i="6"/>
  <c r="A107" i="6"/>
  <c r="K107" i="6"/>
  <c r="A109" i="6"/>
  <c r="A115" i="6"/>
  <c r="A119" i="6"/>
  <c r="L120" i="6"/>
  <c r="A123" i="6"/>
  <c r="L133" i="6"/>
  <c r="A138" i="6"/>
  <c r="L153" i="6"/>
  <c r="A164" i="6"/>
  <c r="K168" i="6"/>
  <c r="A12" i="7"/>
  <c r="A14" i="7"/>
  <c r="A16" i="7"/>
  <c r="A18" i="7"/>
  <c r="A20" i="7"/>
  <c r="A22" i="7"/>
  <c r="A33" i="7"/>
  <c r="K33" i="7"/>
  <c r="A35" i="7"/>
  <c r="A37" i="7"/>
  <c r="A39" i="7"/>
  <c r="A52" i="7"/>
  <c r="A58" i="7"/>
  <c r="A60" i="7"/>
  <c r="K60" i="7"/>
  <c r="A62" i="7"/>
  <c r="A64" i="7"/>
  <c r="A66" i="7"/>
  <c r="A68" i="7"/>
  <c r="A70" i="7"/>
  <c r="A72" i="7"/>
  <c r="A79" i="7"/>
  <c r="K82" i="7"/>
  <c r="K88" i="7"/>
  <c r="A40" i="8"/>
  <c r="A46" i="8"/>
  <c r="A52" i="8"/>
  <c r="A12" i="8"/>
  <c r="A14" i="8"/>
  <c r="A16" i="8"/>
  <c r="A18" i="8"/>
  <c r="A20" i="8"/>
  <c r="A22" i="8"/>
  <c r="A24" i="8"/>
  <c r="A26" i="8"/>
  <c r="A28" i="8"/>
  <c r="A32" i="8"/>
  <c r="J33" i="8"/>
  <c r="I49" i="8"/>
  <c r="I53" i="8"/>
  <c r="A77" i="8"/>
  <c r="A76" i="8"/>
  <c r="A75" i="8"/>
  <c r="K80" i="8"/>
  <c r="K85" i="8"/>
  <c r="I131" i="8"/>
  <c r="I162" i="8"/>
  <c r="A54" i="9"/>
  <c r="A55" i="9"/>
  <c r="A53" i="9"/>
  <c r="I14" i="9"/>
  <c r="A102" i="9"/>
  <c r="A100" i="9"/>
  <c r="A98" i="9"/>
  <c r="A96" i="9"/>
  <c r="A101" i="9"/>
  <c r="A99" i="9"/>
  <c r="A97" i="9"/>
  <c r="A95" i="9"/>
  <c r="A79" i="4"/>
  <c r="A94" i="4"/>
  <c r="A104" i="4"/>
  <c r="A147" i="4"/>
  <c r="A151" i="4"/>
  <c r="A46" i="5"/>
  <c r="J59" i="5"/>
  <c r="J61" i="5"/>
  <c r="J63" i="5"/>
  <c r="J65" i="5"/>
  <c r="J71" i="5"/>
  <c r="A73" i="5"/>
  <c r="A170" i="5"/>
  <c r="L67" i="6"/>
  <c r="L83" i="6"/>
  <c r="A86" i="6"/>
  <c r="L87" i="6"/>
  <c r="A90" i="6"/>
  <c r="A94" i="6"/>
  <c r="A112" i="6"/>
  <c r="A114" i="6"/>
  <c r="A118" i="6"/>
  <c r="A122" i="6"/>
  <c r="A129" i="6"/>
  <c r="A158" i="6"/>
  <c r="A25" i="7"/>
  <c r="A27" i="7"/>
  <c r="A29" i="7"/>
  <c r="A42" i="7"/>
  <c r="A104" i="7"/>
  <c r="A124" i="7"/>
  <c r="A126" i="7"/>
  <c r="A130" i="7"/>
  <c r="A132" i="7"/>
  <c r="A134" i="7"/>
  <c r="A138" i="7"/>
  <c r="A146" i="7"/>
  <c r="A150" i="7"/>
  <c r="A31" i="8"/>
  <c r="A29" i="8"/>
  <c r="A27" i="8"/>
  <c r="A25" i="8"/>
  <c r="K70" i="8"/>
  <c r="J70" i="8"/>
  <c r="A147" i="8"/>
  <c r="I148" i="8"/>
  <c r="A50" i="9"/>
  <c r="A48" i="9"/>
  <c r="A51" i="9"/>
  <c r="A49" i="9"/>
  <c r="A47" i="9"/>
  <c r="J147" i="9"/>
  <c r="A78" i="10"/>
  <c r="A76" i="10"/>
  <c r="A74" i="10"/>
  <c r="A77" i="10"/>
  <c r="A75" i="10"/>
  <c r="J105" i="10"/>
  <c r="K119" i="10"/>
  <c r="A23" i="5"/>
  <c r="A123" i="5"/>
  <c r="A129" i="5"/>
  <c r="A11" i="6"/>
  <c r="A40" i="6"/>
  <c r="A46" i="6"/>
  <c r="A85" i="6"/>
  <c r="A89" i="6"/>
  <c r="A108" i="6"/>
  <c r="A111" i="6"/>
  <c r="A117" i="6"/>
  <c r="A13" i="7"/>
  <c r="A15" i="7"/>
  <c r="A17" i="7"/>
  <c r="A19" i="7"/>
  <c r="A34" i="7"/>
  <c r="A36" i="7"/>
  <c r="A59" i="7"/>
  <c r="A61" i="7"/>
  <c r="A63" i="7"/>
  <c r="A65" i="7"/>
  <c r="A67" i="7"/>
  <c r="A69" i="7"/>
  <c r="A13" i="8"/>
  <c r="A15" i="8"/>
  <c r="A17" i="8"/>
  <c r="A19" i="8"/>
  <c r="I106" i="8"/>
  <c r="I125" i="8"/>
  <c r="A144" i="8"/>
  <c r="A142" i="8"/>
  <c r="A140" i="8"/>
  <c r="A145" i="8"/>
  <c r="A143" i="8"/>
  <c r="A141" i="8"/>
  <c r="A139" i="8"/>
  <c r="K85" i="9"/>
  <c r="A147" i="9"/>
  <c r="A148" i="9"/>
  <c r="A146" i="9"/>
  <c r="K118" i="9"/>
  <c r="A104" i="9"/>
  <c r="K143" i="9"/>
  <c r="K24" i="10"/>
  <c r="A52" i="10"/>
  <c r="A58" i="10"/>
  <c r="A60" i="10"/>
  <c r="A62" i="10"/>
  <c r="A64" i="10"/>
  <c r="A66" i="10"/>
  <c r="A68" i="10"/>
  <c r="A70" i="10"/>
  <c r="A72" i="10"/>
  <c r="K76" i="10"/>
  <c r="J102" i="10"/>
  <c r="J171" i="10"/>
  <c r="A54" i="11"/>
  <c r="A55" i="11"/>
  <c r="A53" i="11"/>
  <c r="J43" i="11"/>
  <c r="J51" i="11"/>
  <c r="K68" i="11"/>
  <c r="A148" i="11"/>
  <c r="A147" i="11"/>
  <c r="A146" i="11"/>
  <c r="A149" i="11"/>
  <c r="A145" i="11"/>
  <c r="K13" i="12"/>
  <c r="J13" i="12"/>
  <c r="J80" i="12"/>
  <c r="K80" i="12"/>
  <c r="A54" i="13"/>
  <c r="A55" i="13"/>
  <c r="A53" i="13"/>
  <c r="J18" i="13"/>
  <c r="A79" i="8"/>
  <c r="A94" i="8"/>
  <c r="A156" i="8"/>
  <c r="A23" i="9"/>
  <c r="A40" i="9"/>
  <c r="A59" i="9"/>
  <c r="A61" i="9"/>
  <c r="A63" i="9"/>
  <c r="A65" i="9"/>
  <c r="A67" i="9"/>
  <c r="A69" i="9"/>
  <c r="A71" i="9"/>
  <c r="A73" i="9"/>
  <c r="A155" i="9"/>
  <c r="A46" i="10"/>
  <c r="A79" i="10"/>
  <c r="A94" i="10"/>
  <c r="K153" i="10"/>
  <c r="J153" i="10"/>
  <c r="J16" i="11"/>
  <c r="K87" i="11"/>
  <c r="J87" i="11"/>
  <c r="K44" i="12"/>
  <c r="A101" i="12"/>
  <c r="A99" i="12"/>
  <c r="A97" i="12"/>
  <c r="A95" i="12"/>
  <c r="A102" i="12"/>
  <c r="A100" i="12"/>
  <c r="A98" i="12"/>
  <c r="A96" i="12"/>
  <c r="A165" i="12"/>
  <c r="A162" i="12"/>
  <c r="A158" i="12"/>
  <c r="A154" i="12"/>
  <c r="A152" i="12"/>
  <c r="A161" i="12"/>
  <c r="A157" i="12"/>
  <c r="A164" i="12"/>
  <c r="A160" i="12"/>
  <c r="A156" i="12"/>
  <c r="A163" i="12"/>
  <c r="A159" i="12"/>
  <c r="A155" i="12"/>
  <c r="A153" i="12"/>
  <c r="J27" i="13"/>
  <c r="K27" i="13"/>
  <c r="K35" i="13"/>
  <c r="J35" i="13"/>
  <c r="A104" i="8"/>
  <c r="A150" i="8"/>
  <c r="A11" i="9"/>
  <c r="A32" i="9"/>
  <c r="A123" i="9"/>
  <c r="A129" i="9"/>
  <c r="A138" i="9"/>
  <c r="A149" i="9"/>
  <c r="A23" i="10"/>
  <c r="A40" i="10"/>
  <c r="A63" i="10"/>
  <c r="A65" i="10"/>
  <c r="A67" i="10"/>
  <c r="A69" i="10"/>
  <c r="A161" i="10"/>
  <c r="A129" i="10"/>
  <c r="A151" i="10"/>
  <c r="A155" i="10"/>
  <c r="A138" i="10"/>
  <c r="A104" i="10"/>
  <c r="J130" i="10"/>
  <c r="K157" i="10"/>
  <c r="K36" i="11"/>
  <c r="A101" i="11"/>
  <c r="A99" i="11"/>
  <c r="A97" i="11"/>
  <c r="A95" i="11"/>
  <c r="A102" i="11"/>
  <c r="A100" i="11"/>
  <c r="A98" i="11"/>
  <c r="A96" i="11"/>
  <c r="K61" i="11"/>
  <c r="J61" i="11"/>
  <c r="K65" i="11"/>
  <c r="K67" i="12"/>
  <c r="J67" i="12"/>
  <c r="J100" i="12"/>
  <c r="A123" i="8"/>
  <c r="A129" i="8"/>
  <c r="A58" i="9"/>
  <c r="A60" i="9"/>
  <c r="A62" i="9"/>
  <c r="A64" i="9"/>
  <c r="A66" i="9"/>
  <c r="A68" i="9"/>
  <c r="A70" i="9"/>
  <c r="A79" i="9"/>
  <c r="A11" i="10"/>
  <c r="A50" i="12"/>
  <c r="A48" i="12"/>
  <c r="A51" i="12"/>
  <c r="A49" i="12"/>
  <c r="A47" i="12"/>
  <c r="J125" i="12"/>
  <c r="J123" i="12" s="1"/>
  <c r="A46" i="11"/>
  <c r="A138" i="11"/>
  <c r="A139" i="11" s="1"/>
  <c r="A13" i="12"/>
  <c r="A15" i="12"/>
  <c r="A17" i="12"/>
  <c r="A19" i="12"/>
  <c r="A21" i="12"/>
  <c r="A23" i="12"/>
  <c r="A40" i="12"/>
  <c r="A59" i="12"/>
  <c r="A61" i="12"/>
  <c r="A63" i="12"/>
  <c r="A65" i="12"/>
  <c r="A67" i="12"/>
  <c r="A69" i="12"/>
  <c r="A71" i="12"/>
  <c r="A73" i="12"/>
  <c r="A129" i="12"/>
  <c r="A23" i="13"/>
  <c r="A46" i="13"/>
  <c r="A57" i="13"/>
  <c r="A79" i="13"/>
  <c r="A150" i="14"/>
  <c r="A148" i="14"/>
  <c r="A149" i="14"/>
  <c r="A147" i="14"/>
  <c r="A146" i="14"/>
  <c r="K34" i="15"/>
  <c r="J34" i="15"/>
  <c r="A102" i="15"/>
  <c r="A100" i="15"/>
  <c r="A98" i="15"/>
  <c r="A96" i="15"/>
  <c r="A103" i="15"/>
  <c r="A101" i="15"/>
  <c r="A99" i="15"/>
  <c r="A97" i="15"/>
  <c r="A95" i="15"/>
  <c r="A23" i="11"/>
  <c r="A40" i="11"/>
  <c r="A59" i="11"/>
  <c r="A61" i="11"/>
  <c r="A63" i="11"/>
  <c r="A65" i="11"/>
  <c r="A67" i="11"/>
  <c r="A69" i="11"/>
  <c r="A71" i="11"/>
  <c r="A73" i="11"/>
  <c r="J96" i="11"/>
  <c r="J100" i="11"/>
  <c r="A150" i="11"/>
  <c r="A32" i="12"/>
  <c r="A79" i="12"/>
  <c r="A123" i="12"/>
  <c r="A138" i="12"/>
  <c r="A32" i="13"/>
  <c r="A102" i="13"/>
  <c r="A98" i="13"/>
  <c r="A101" i="13"/>
  <c r="A97" i="13"/>
  <c r="A100" i="13"/>
  <c r="A96" i="13"/>
  <c r="A99" i="13"/>
  <c r="A95" i="13"/>
  <c r="K105" i="13"/>
  <c r="J107" i="13"/>
  <c r="K149" i="13"/>
  <c r="K30" i="14"/>
  <c r="K47" i="14"/>
  <c r="A78" i="14"/>
  <c r="A74" i="14"/>
  <c r="A77" i="14"/>
  <c r="A76" i="14"/>
  <c r="A75" i="14"/>
  <c r="K64" i="15"/>
  <c r="J64" i="15"/>
  <c r="K68" i="15"/>
  <c r="J68" i="15"/>
  <c r="K100" i="15"/>
  <c r="J100" i="15"/>
  <c r="J128" i="15"/>
  <c r="J146" i="15"/>
  <c r="K146" i="15"/>
  <c r="J133" i="10"/>
  <c r="A11" i="11"/>
  <c r="A32" i="11"/>
  <c r="A79" i="11"/>
  <c r="J86" i="11"/>
  <c r="A123" i="11"/>
  <c r="A12" i="12"/>
  <c r="A14" i="12"/>
  <c r="A16" i="12"/>
  <c r="A18" i="12"/>
  <c r="A20" i="12"/>
  <c r="J20" i="12"/>
  <c r="A52" i="12"/>
  <c r="J54" i="12"/>
  <c r="A58" i="12"/>
  <c r="A60" i="12"/>
  <c r="A62" i="12"/>
  <c r="A64" i="12"/>
  <c r="A66" i="12"/>
  <c r="A68" i="12"/>
  <c r="A70" i="12"/>
  <c r="J97" i="12"/>
  <c r="A104" i="12"/>
  <c r="A141" i="12"/>
  <c r="A145" i="12"/>
  <c r="A11" i="13"/>
  <c r="A40" i="13"/>
  <c r="A54" i="14"/>
  <c r="A55" i="14"/>
  <c r="A53" i="14"/>
  <c r="K59" i="14"/>
  <c r="A44" i="15"/>
  <c r="A42" i="15"/>
  <c r="A45" i="15"/>
  <c r="A43" i="15"/>
  <c r="A41" i="15"/>
  <c r="J88" i="15"/>
  <c r="K88" i="15"/>
  <c r="J112" i="15"/>
  <c r="K112" i="15"/>
  <c r="J140" i="15"/>
  <c r="K185" i="15"/>
  <c r="A58" i="11"/>
  <c r="A60" i="11"/>
  <c r="A62" i="11"/>
  <c r="A64" i="11"/>
  <c r="A66" i="11"/>
  <c r="A68" i="11"/>
  <c r="A70" i="11"/>
  <c r="A104" i="11"/>
  <c r="A129" i="11"/>
  <c r="A140" i="11"/>
  <c r="A73" i="13"/>
  <c r="A151" i="13"/>
  <c r="A149" i="13"/>
  <c r="A150" i="13"/>
  <c r="A148" i="13"/>
  <c r="A147" i="13"/>
  <c r="J110" i="13"/>
  <c r="J130" i="13"/>
  <c r="K19" i="14"/>
  <c r="J19" i="14"/>
  <c r="J31" i="14"/>
  <c r="K31" i="14"/>
  <c r="J69" i="14"/>
  <c r="K69" i="14"/>
  <c r="J22" i="15"/>
  <c r="J67" i="15"/>
  <c r="K99" i="15"/>
  <c r="A166" i="15"/>
  <c r="A164" i="15"/>
  <c r="A167" i="15"/>
  <c r="A165" i="15"/>
  <c r="A163" i="15"/>
  <c r="J142" i="15"/>
  <c r="K142" i="15"/>
  <c r="A22" i="16"/>
  <c r="A20" i="16"/>
  <c r="A18" i="16"/>
  <c r="A21" i="16"/>
  <c r="A19" i="16"/>
  <c r="A17" i="16"/>
  <c r="A16" i="16"/>
  <c r="A14" i="16"/>
  <c r="A12" i="16"/>
  <c r="A15" i="16"/>
  <c r="A13" i="16"/>
  <c r="A104" i="13"/>
  <c r="A138" i="13"/>
  <c r="A152" i="13"/>
  <c r="A23" i="14"/>
  <c r="A46" i="14"/>
  <c r="A79" i="14"/>
  <c r="A94" i="14"/>
  <c r="A104" i="14"/>
  <c r="A151" i="14"/>
  <c r="A52" i="15"/>
  <c r="J55" i="15"/>
  <c r="A59" i="15"/>
  <c r="A61" i="15"/>
  <c r="A63" i="15"/>
  <c r="A65" i="15"/>
  <c r="A67" i="15"/>
  <c r="A69" i="15"/>
  <c r="A71" i="15"/>
  <c r="A73" i="15"/>
  <c r="J21" i="16"/>
  <c r="J62" i="16"/>
  <c r="A179" i="16"/>
  <c r="A177" i="16"/>
  <c r="A175" i="16"/>
  <c r="A173" i="16"/>
  <c r="A178" i="16"/>
  <c r="A176" i="16"/>
  <c r="A174" i="16"/>
  <c r="A172" i="16"/>
  <c r="J123" i="16"/>
  <c r="K47" i="17"/>
  <c r="J74" i="17"/>
  <c r="A129" i="13"/>
  <c r="A32" i="14"/>
  <c r="A58" i="14"/>
  <c r="A60" i="14"/>
  <c r="A62" i="14"/>
  <c r="A64" i="14"/>
  <c r="A66" i="14"/>
  <c r="A68" i="14"/>
  <c r="A70" i="14"/>
  <c r="A72" i="14"/>
  <c r="A129" i="14"/>
  <c r="A23" i="15"/>
  <c r="A46" i="15"/>
  <c r="J78" i="15"/>
  <c r="A105" i="15"/>
  <c r="A124" i="15"/>
  <c r="K44" i="16"/>
  <c r="J88" i="16"/>
  <c r="K156" i="16"/>
  <c r="A50" i="17"/>
  <c r="A48" i="17"/>
  <c r="A51" i="17"/>
  <c r="A49" i="17"/>
  <c r="A47" i="17"/>
  <c r="J85" i="13"/>
  <c r="A123" i="13"/>
  <c r="A11" i="14"/>
  <c r="A40" i="14"/>
  <c r="J85" i="14"/>
  <c r="J115" i="14"/>
  <c r="J121" i="14"/>
  <c r="A123" i="14"/>
  <c r="A138" i="14"/>
  <c r="A11" i="15"/>
  <c r="A32" i="15"/>
  <c r="A58" i="15"/>
  <c r="J58" i="15"/>
  <c r="A60" i="15"/>
  <c r="A62" i="15"/>
  <c r="A64" i="15"/>
  <c r="A66" i="15"/>
  <c r="A68" i="15"/>
  <c r="A70" i="15"/>
  <c r="A139" i="15"/>
  <c r="A168" i="15"/>
  <c r="A52" i="16"/>
  <c r="A32" i="16"/>
  <c r="A40" i="16"/>
  <c r="A23" i="16"/>
  <c r="A46" i="16"/>
  <c r="K50" i="16"/>
  <c r="J59" i="16"/>
  <c r="J101" i="16"/>
  <c r="J114" i="16"/>
  <c r="J122" i="16"/>
  <c r="K27" i="17"/>
  <c r="A142" i="13"/>
  <c r="A59" i="14"/>
  <c r="A61" i="14"/>
  <c r="A63" i="14"/>
  <c r="A65" i="14"/>
  <c r="A67" i="14"/>
  <c r="A69" i="14"/>
  <c r="A141" i="14"/>
  <c r="A79" i="15"/>
  <c r="A130" i="15"/>
  <c r="A158" i="15"/>
  <c r="J41" i="16"/>
  <c r="A102" i="16"/>
  <c r="A100" i="16"/>
  <c r="A98" i="16"/>
  <c r="A96" i="16"/>
  <c r="A103" i="16"/>
  <c r="A101" i="16"/>
  <c r="A99" i="16"/>
  <c r="A97" i="16"/>
  <c r="A95" i="16"/>
  <c r="J127" i="16"/>
  <c r="J155" i="16"/>
  <c r="J12" i="17"/>
  <c r="K34" i="17"/>
  <c r="J53" i="17"/>
  <c r="A73" i="16"/>
  <c r="A161" i="16"/>
  <c r="A165" i="16"/>
  <c r="A23" i="17"/>
  <c r="A40" i="17"/>
  <c r="J82" i="17"/>
  <c r="J49" i="16"/>
  <c r="A57" i="16"/>
  <c r="J80" i="16"/>
  <c r="A141" i="16"/>
  <c r="J168" i="16"/>
  <c r="A11" i="17"/>
  <c r="A32" i="17"/>
  <c r="A94" i="17"/>
  <c r="A79" i="17"/>
  <c r="A58" i="17"/>
  <c r="A60" i="17"/>
  <c r="A62" i="17"/>
  <c r="J62" i="17"/>
  <c r="A64" i="17"/>
  <c r="A66" i="17"/>
  <c r="A68" i="17"/>
  <c r="A70" i="17"/>
  <c r="A72" i="17"/>
  <c r="A105" i="16"/>
  <c r="A126" i="16"/>
  <c r="A52" i="17"/>
  <c r="A149" i="17"/>
  <c r="A148" i="17"/>
  <c r="A147" i="17"/>
  <c r="K122" i="17"/>
  <c r="A53" i="18"/>
  <c r="A55" i="18"/>
  <c r="A54" i="18"/>
  <c r="A140" i="19"/>
  <c r="A139" i="19"/>
  <c r="A79" i="16"/>
  <c r="A132" i="16"/>
  <c r="A59" i="17"/>
  <c r="A61" i="17"/>
  <c r="A63" i="17"/>
  <c r="A65" i="17"/>
  <c r="A67" i="17"/>
  <c r="A69" i="17"/>
  <c r="A73" i="17"/>
  <c r="A132" i="17"/>
  <c r="A150" i="17"/>
  <c r="A156" i="17"/>
  <c r="A61" i="18"/>
  <c r="A65" i="18"/>
  <c r="A69" i="18"/>
  <c r="A74" i="18"/>
  <c r="A75" i="18"/>
  <c r="A76" i="18"/>
  <c r="A77" i="18"/>
  <c r="A90" i="18"/>
  <c r="A86" i="18"/>
  <c r="A93" i="18"/>
  <c r="A89" i="18"/>
  <c r="A85" i="18"/>
  <c r="A82" i="18"/>
  <c r="A92" i="18"/>
  <c r="A88" i="18"/>
  <c r="A84" i="18"/>
  <c r="A80" i="18"/>
  <c r="A87" i="18"/>
  <c r="A139" i="18"/>
  <c r="A141" i="18"/>
  <c r="A153" i="18"/>
  <c r="A36" i="19"/>
  <c r="A39" i="19"/>
  <c r="A35" i="19"/>
  <c r="A38" i="19"/>
  <c r="A34" i="19"/>
  <c r="A104" i="19"/>
  <c r="A105" i="17"/>
  <c r="A126" i="17"/>
  <c r="A141" i="17"/>
  <c r="A40" i="18"/>
  <c r="A58" i="18"/>
  <c r="A62" i="18"/>
  <c r="A66" i="18"/>
  <c r="A70" i="18"/>
  <c r="A163" i="18"/>
  <c r="A157" i="18"/>
  <c r="A156" i="18"/>
  <c r="A155" i="18"/>
  <c r="A164" i="18"/>
  <c r="A159" i="18"/>
  <c r="A158" i="18"/>
  <c r="A161" i="18"/>
  <c r="A160" i="18"/>
  <c r="A162" i="18"/>
  <c r="A123" i="19"/>
  <c r="A145" i="19"/>
  <c r="A141" i="19"/>
  <c r="A151" i="19"/>
  <c r="H119" i="19"/>
  <c r="I119" i="19" s="1"/>
  <c r="H125" i="19"/>
  <c r="I125" i="19" s="1"/>
  <c r="I123" i="19" s="1"/>
  <c r="A23" i="18"/>
  <c r="A32" i="18"/>
  <c r="A46" i="18"/>
  <c r="A99" i="18"/>
  <c r="A95" i="18"/>
  <c r="A102" i="18"/>
  <c r="A98" i="18"/>
  <c r="A101" i="18"/>
  <c r="A97" i="18"/>
  <c r="A59" i="18"/>
  <c r="A63" i="18"/>
  <c r="A67" i="18"/>
  <c r="A71" i="18"/>
  <c r="H80" i="18"/>
  <c r="I80" i="18" s="1"/>
  <c r="H120" i="18"/>
  <c r="I120" i="18" s="1"/>
  <c r="H139" i="18"/>
  <c r="I139" i="18" s="1"/>
  <c r="H149" i="18"/>
  <c r="I149" i="18" s="1"/>
  <c r="H22" i="19"/>
  <c r="I22" i="19" s="1"/>
  <c r="A37" i="19"/>
  <c r="H41" i="19"/>
  <c r="I41" i="19" s="1"/>
  <c r="A50" i="19"/>
  <c r="A49" i="19"/>
  <c r="A48" i="19"/>
  <c r="A94" i="19"/>
  <c r="A57" i="19"/>
  <c r="A79" i="19"/>
  <c r="A73" i="19"/>
  <c r="H115" i="19"/>
  <c r="I115" i="19" s="1"/>
  <c r="A129" i="19"/>
  <c r="A11" i="18"/>
  <c r="A60" i="18"/>
  <c r="A64" i="18"/>
  <c r="A68" i="18"/>
  <c r="H82" i="18"/>
  <c r="I82" i="18" s="1"/>
  <c r="A91" i="18"/>
  <c r="A100" i="18"/>
  <c r="A140" i="18"/>
  <c r="A45" i="19"/>
  <c r="A41" i="19"/>
  <c r="A44" i="19"/>
  <c r="A43" i="19"/>
  <c r="A31" i="19"/>
  <c r="A27" i="19"/>
  <c r="A30" i="19"/>
  <c r="A26" i="19"/>
  <c r="A29" i="19"/>
  <c r="A25" i="19"/>
  <c r="A33" i="19"/>
  <c r="A42" i="19"/>
  <c r="A95" i="21"/>
  <c r="A94" i="21"/>
  <c r="A97" i="21"/>
  <c r="A93" i="21"/>
  <c r="A92" i="21"/>
  <c r="A96" i="21"/>
  <c r="A12" i="20"/>
  <c r="A13" i="20"/>
  <c r="A14" i="20"/>
  <c r="A15" i="20"/>
  <c r="A16" i="20"/>
  <c r="A17" i="20"/>
  <c r="A21" i="20"/>
  <c r="A41" i="20"/>
  <c r="A45" i="20"/>
  <c r="A47" i="20"/>
  <c r="A107" i="20"/>
  <c r="A101" i="20"/>
  <c r="A97" i="20"/>
  <c r="A76" i="20"/>
  <c r="A91" i="20"/>
  <c r="A31" i="21"/>
  <c r="A27" i="21"/>
  <c r="A30" i="21"/>
  <c r="A26" i="21"/>
  <c r="A29" i="21"/>
  <c r="A25" i="21"/>
  <c r="A14" i="22"/>
  <c r="A21" i="22"/>
  <c r="A19" i="22"/>
  <c r="A17" i="22"/>
  <c r="A13" i="22"/>
  <c r="A16" i="22"/>
  <c r="A12" i="22"/>
  <c r="A15" i="22"/>
  <c r="A26" i="23"/>
  <c r="A24" i="23"/>
  <c r="A22" i="23"/>
  <c r="A20" i="23"/>
  <c r="A18" i="23"/>
  <c r="A16" i="23"/>
  <c r="A14" i="23"/>
  <c r="A12" i="23"/>
  <c r="A23" i="23"/>
  <c r="A19" i="23"/>
  <c r="A15" i="23"/>
  <c r="A51" i="24"/>
  <c r="A47" i="24"/>
  <c r="A50" i="24"/>
  <c r="A49" i="24"/>
  <c r="A48" i="24"/>
  <c r="A64" i="24"/>
  <c r="A60" i="24"/>
  <c r="A61" i="24" s="1"/>
  <c r="A62" i="24"/>
  <c r="A63" i="24" s="1"/>
  <c r="A57" i="24"/>
  <c r="A25" i="26"/>
  <c r="A24" i="26"/>
  <c r="A57" i="31"/>
  <c r="A60" i="31"/>
  <c r="A56" i="31"/>
  <c r="A59" i="31"/>
  <c r="A55" i="31"/>
  <c r="A54" i="31"/>
  <c r="A58" i="31"/>
  <c r="A12" i="19"/>
  <c r="A16" i="19"/>
  <c r="A20" i="19"/>
  <c r="A52" i="19"/>
  <c r="A18" i="20"/>
  <c r="A22" i="20"/>
  <c r="A42" i="20"/>
  <c r="A48" i="20"/>
  <c r="A36" i="21"/>
  <c r="A39" i="21"/>
  <c r="A35" i="21"/>
  <c r="A38" i="21"/>
  <c r="A34" i="21"/>
  <c r="A38" i="22"/>
  <c r="A36" i="22"/>
  <c r="A34" i="22"/>
  <c r="A20" i="22"/>
  <c r="A35" i="22"/>
  <c r="A39" i="22"/>
  <c r="A17" i="23"/>
  <c r="A25" i="23"/>
  <c r="A123" i="18"/>
  <c r="A142" i="18"/>
  <c r="A146" i="18"/>
  <c r="A13" i="19"/>
  <c r="A17" i="19"/>
  <c r="A21" i="19"/>
  <c r="A19" i="20"/>
  <c r="A23" i="20"/>
  <c r="A43" i="20"/>
  <c r="H78" i="20"/>
  <c r="I78" i="20" s="1"/>
  <c r="I76" i="20" s="1"/>
  <c r="H26" i="21"/>
  <c r="I26" i="21" s="1"/>
  <c r="A28" i="21"/>
  <c r="H39" i="21"/>
  <c r="I39" i="21" s="1"/>
  <c r="K44" i="22"/>
  <c r="A72" i="22"/>
  <c r="A70" i="22"/>
  <c r="A68" i="22"/>
  <c r="A67" i="22"/>
  <c r="A65" i="22"/>
  <c r="A63" i="22"/>
  <c r="A61" i="22"/>
  <c r="A59" i="22"/>
  <c r="A69" i="22"/>
  <c r="A66" i="22"/>
  <c r="A64" i="22"/>
  <c r="A62" i="22"/>
  <c r="A60" i="22"/>
  <c r="A58" i="22"/>
  <c r="A71" i="22"/>
  <c r="A104" i="18"/>
  <c r="A129" i="18"/>
  <c r="A14" i="19"/>
  <c r="A18" i="19"/>
  <c r="A32" i="20"/>
  <c r="A53" i="20"/>
  <c r="A82" i="20"/>
  <c r="A24" i="21"/>
  <c r="H35" i="21"/>
  <c r="I35" i="21" s="1"/>
  <c r="A37" i="21"/>
  <c r="H44" i="21"/>
  <c r="I44" i="21" s="1"/>
  <c r="A49" i="21"/>
  <c r="A48" i="21"/>
  <c r="A108" i="21"/>
  <c r="A76" i="21"/>
  <c r="A53" i="21"/>
  <c r="A102" i="21"/>
  <c r="A98" i="21"/>
  <c r="A82" i="21"/>
  <c r="A18" i="22"/>
  <c r="A22" i="22"/>
  <c r="A33" i="22"/>
  <c r="A37" i="22"/>
  <c r="A54" i="22"/>
  <c r="A53" i="22"/>
  <c r="A13" i="23"/>
  <c r="A21" i="23"/>
  <c r="A46" i="22"/>
  <c r="A94" i="22"/>
  <c r="A79" i="22"/>
  <c r="I117" i="22"/>
  <c r="I121" i="22"/>
  <c r="A145" i="22"/>
  <c r="A144" i="22"/>
  <c r="A143" i="22"/>
  <c r="A149" i="22"/>
  <c r="A148" i="22"/>
  <c r="A151" i="22"/>
  <c r="A147" i="22"/>
  <c r="A150" i="22"/>
  <c r="A55" i="24"/>
  <c r="A54" i="24"/>
  <c r="A53" i="24"/>
  <c r="A11" i="21"/>
  <c r="A23" i="22"/>
  <c r="A40" i="22"/>
  <c r="A73" i="22"/>
  <c r="A30" i="23"/>
  <c r="A41" i="23"/>
  <c r="A39" i="23"/>
  <c r="A37" i="23"/>
  <c r="A35" i="23"/>
  <c r="A33" i="23"/>
  <c r="A31" i="23"/>
  <c r="A28" i="23"/>
  <c r="A32" i="23"/>
  <c r="A36" i="23"/>
  <c r="A40" i="23"/>
  <c r="A50" i="25"/>
  <c r="A49" i="25"/>
  <c r="A48" i="25"/>
  <c r="A47" i="25"/>
  <c r="A19" i="26"/>
  <c r="A18" i="26"/>
  <c r="A40" i="21"/>
  <c r="K87" i="22"/>
  <c r="I100" i="22"/>
  <c r="J100" i="22" s="1"/>
  <c r="A126" i="22"/>
  <c r="A128" i="22"/>
  <c r="A125" i="22"/>
  <c r="A136" i="22"/>
  <c r="A132" i="22"/>
  <c r="A135" i="22"/>
  <c r="A131" i="22"/>
  <c r="A134" i="22"/>
  <c r="A130" i="22"/>
  <c r="A133" i="22"/>
  <c r="J146" i="22"/>
  <c r="K152" i="22"/>
  <c r="J152" i="22"/>
  <c r="K29" i="23"/>
  <c r="A19" i="24"/>
  <c r="A15" i="24"/>
  <c r="A22" i="24"/>
  <c r="A18" i="24"/>
  <c r="A14" i="24"/>
  <c r="A21" i="24"/>
  <c r="A17" i="24"/>
  <c r="A13" i="24"/>
  <c r="H55" i="24"/>
  <c r="I55" i="24" s="1"/>
  <c r="A51" i="25"/>
  <c r="A104" i="22"/>
  <c r="A138" i="22"/>
  <c r="A66" i="25"/>
  <c r="A65" i="25"/>
  <c r="H12" i="29"/>
  <c r="I12" i="29" s="1"/>
  <c r="A87" i="31"/>
  <c r="A83" i="31"/>
  <c r="A79" i="31"/>
  <c r="A75" i="31"/>
  <c r="A71" i="31"/>
  <c r="A86" i="31"/>
  <c r="A82" i="31"/>
  <c r="A78" i="31"/>
  <c r="A74" i="31"/>
  <c r="A70" i="31"/>
  <c r="A89" i="31"/>
  <c r="A85" i="31"/>
  <c r="A81" i="31"/>
  <c r="A77" i="31"/>
  <c r="A73" i="31"/>
  <c r="A69" i="31"/>
  <c r="A84" i="31"/>
  <c r="A68" i="31"/>
  <c r="A88" i="31"/>
  <c r="A72" i="31"/>
  <c r="A76" i="31"/>
  <c r="A152" i="22"/>
  <c r="A40" i="24"/>
  <c r="A11" i="25"/>
  <c r="A23" i="25"/>
  <c r="A32" i="25"/>
  <c r="A28" i="26"/>
  <c r="A11" i="26"/>
  <c r="A26" i="26"/>
  <c r="A27" i="26" s="1"/>
  <c r="A20" i="26"/>
  <c r="H32" i="28"/>
  <c r="H16" i="29"/>
  <c r="I16" i="29" s="1"/>
  <c r="H25" i="29"/>
  <c r="I25" i="29" s="1"/>
  <c r="A31" i="29"/>
  <c r="A30" i="29"/>
  <c r="A29" i="29"/>
  <c r="A47" i="29"/>
  <c r="A46" i="29"/>
  <c r="A49" i="29"/>
  <c r="A48" i="29"/>
  <c r="A23" i="24"/>
  <c r="A32" i="24"/>
  <c r="A40" i="25"/>
  <c r="A52" i="25"/>
  <c r="H16" i="28"/>
  <c r="I16" i="28" s="1"/>
  <c r="A37" i="28"/>
  <c r="A33" i="28"/>
  <c r="A36" i="28"/>
  <c r="A35" i="28"/>
  <c r="H20" i="29"/>
  <c r="I20" i="29" s="1"/>
  <c r="A18" i="30"/>
  <c r="A14" i="30"/>
  <c r="A17" i="30"/>
  <c r="A13" i="30"/>
  <c r="A16" i="30"/>
  <c r="A12" i="30"/>
  <c r="A11" i="30"/>
  <c r="A15" i="30"/>
  <c r="A57" i="25"/>
  <c r="A15" i="28"/>
  <c r="A25" i="28"/>
  <c r="A11" i="29"/>
  <c r="A15" i="29"/>
  <c r="A24" i="29"/>
  <c r="H17" i="30"/>
  <c r="I17" i="30" s="1"/>
  <c r="A23" i="30"/>
  <c r="A26" i="30"/>
  <c r="A22" i="30"/>
  <c r="A25" i="30"/>
  <c r="A21" i="30"/>
  <c r="A22" i="31"/>
  <c r="A18" i="31"/>
  <c r="A14" i="31"/>
  <c r="A21" i="31"/>
  <c r="A17" i="31"/>
  <c r="A13" i="31"/>
  <c r="A24" i="31"/>
  <c r="A20" i="31"/>
  <c r="A16" i="31"/>
  <c r="A12" i="31"/>
  <c r="H21" i="31"/>
  <c r="I21" i="31" s="1"/>
  <c r="A23" i="31"/>
  <c r="H47" i="31"/>
  <c r="I47" i="31" s="1"/>
  <c r="H60" i="31"/>
  <c r="I60" i="31" s="1"/>
  <c r="H91" i="31"/>
  <c r="I91" i="31" s="1"/>
  <c r="H103" i="31"/>
  <c r="I103" i="31" s="1"/>
  <c r="A12" i="28"/>
  <c r="A16" i="28"/>
  <c r="A21" i="28"/>
  <c r="A42" i="29"/>
  <c r="A41" i="29"/>
  <c r="A40" i="29"/>
  <c r="A17" i="28"/>
  <c r="A22" i="29"/>
  <c r="H22" i="30"/>
  <c r="I22" i="30" s="1"/>
  <c r="H26" i="30"/>
  <c r="I26" i="30" s="1"/>
  <c r="H13" i="31"/>
  <c r="I13" i="31" s="1"/>
  <c r="H43" i="31"/>
  <c r="I43" i="31" s="1"/>
  <c r="H51" i="31"/>
  <c r="I51" i="31" s="1"/>
  <c r="H65" i="31"/>
  <c r="I65" i="31" s="1"/>
  <c r="H111" i="31"/>
  <c r="I111" i="31" s="1"/>
  <c r="A51" i="29"/>
  <c r="J20" i="10" l="1"/>
  <c r="K101" i="15"/>
  <c r="K33" i="14"/>
  <c r="K28" i="14"/>
  <c r="J18" i="11"/>
  <c r="A77" i="7"/>
  <c r="A78" i="7"/>
  <c r="A74" i="7"/>
  <c r="A76" i="7"/>
  <c r="A75" i="7"/>
  <c r="K157" i="7"/>
  <c r="A31" i="7"/>
  <c r="A30" i="7"/>
  <c r="A28" i="7"/>
  <c r="A26" i="7"/>
  <c r="A24" i="7"/>
  <c r="A44" i="7"/>
  <c r="A43" i="7"/>
  <c r="A41" i="7"/>
  <c r="A45" i="7"/>
  <c r="J25" i="23"/>
  <c r="K63" i="22"/>
  <c r="J106" i="13"/>
  <c r="K51" i="14"/>
  <c r="K162" i="10"/>
  <c r="J39" i="16"/>
  <c r="J150" i="15"/>
  <c r="J148" i="13"/>
  <c r="J67" i="14"/>
  <c r="K113" i="13"/>
  <c r="J143" i="10"/>
  <c r="K68" i="7"/>
  <c r="K120" i="7"/>
  <c r="K105" i="5"/>
  <c r="J99" i="16"/>
  <c r="J19" i="16"/>
  <c r="J58" i="14"/>
  <c r="K183" i="15"/>
  <c r="K19" i="15"/>
  <c r="J88" i="13"/>
  <c r="J62" i="13"/>
  <c r="J59" i="12"/>
  <c r="K113" i="10"/>
  <c r="J87" i="9"/>
  <c r="L89" i="6"/>
  <c r="K29" i="6"/>
  <c r="F116" i="18"/>
  <c r="H116" i="18" s="1"/>
  <c r="I116" i="18" s="1"/>
  <c r="I104" i="18" s="1"/>
  <c r="G119" i="16"/>
  <c r="I119" i="16" s="1"/>
  <c r="J119" i="16" s="1"/>
  <c r="G116" i="14"/>
  <c r="I116" i="14" s="1"/>
  <c r="K116" i="14" s="1"/>
  <c r="G116" i="12"/>
  <c r="I116" i="12" s="1"/>
  <c r="K116" i="12" s="1"/>
  <c r="G116" i="10"/>
  <c r="I116" i="10" s="1"/>
  <c r="J116" i="10" s="1"/>
  <c r="G116" i="8"/>
  <c r="I116" i="8" s="1"/>
  <c r="F58" i="24"/>
  <c r="H58" i="24" s="1"/>
  <c r="I58" i="24" s="1"/>
  <c r="I57" i="24" s="1"/>
  <c r="F65" i="21"/>
  <c r="H65" i="21" s="1"/>
  <c r="I65" i="21" s="1"/>
  <c r="F65" i="20"/>
  <c r="H65" i="20" s="1"/>
  <c r="I65" i="20" s="1"/>
  <c r="I53" i="20" s="1"/>
  <c r="F116" i="19"/>
  <c r="H116" i="19" s="1"/>
  <c r="I116" i="19" s="1"/>
  <c r="I104" i="19" s="1"/>
  <c r="G117" i="15"/>
  <c r="I117" i="15" s="1"/>
  <c r="K117" i="15" s="1"/>
  <c r="G116" i="9"/>
  <c r="I116" i="9" s="1"/>
  <c r="J116" i="9" s="1"/>
  <c r="G116" i="5"/>
  <c r="I116" i="5" s="1"/>
  <c r="K116" i="5" s="1"/>
  <c r="G116" i="22"/>
  <c r="I116" i="22" s="1"/>
  <c r="K116" i="22" s="1"/>
  <c r="H116" i="6"/>
  <c r="J116" i="6" s="1"/>
  <c r="G116" i="4"/>
  <c r="I116" i="4" s="1"/>
  <c r="G116" i="3"/>
  <c r="I116" i="3" s="1"/>
  <c r="J116" i="3" s="1"/>
  <c r="G119" i="17"/>
  <c r="I119" i="17" s="1"/>
  <c r="K119" i="17" s="1"/>
  <c r="K105" i="17" s="1"/>
  <c r="G116" i="13"/>
  <c r="I116" i="13" s="1"/>
  <c r="K116" i="13" s="1"/>
  <c r="G116" i="11"/>
  <c r="I116" i="11" s="1"/>
  <c r="K116" i="11" s="1"/>
  <c r="H116" i="7"/>
  <c r="J116" i="7" s="1"/>
  <c r="K116" i="7" s="1"/>
  <c r="G139" i="3"/>
  <c r="I139" i="3" s="1"/>
  <c r="G62" i="24"/>
  <c r="H62" i="24" s="1"/>
  <c r="G101" i="20"/>
  <c r="H150" i="17"/>
  <c r="H164" i="5"/>
  <c r="H157" i="3"/>
  <c r="I157" i="3" s="1"/>
  <c r="H146" i="22"/>
  <c r="H145" i="14"/>
  <c r="H145" i="12"/>
  <c r="H155" i="10"/>
  <c r="I158" i="6"/>
  <c r="J158" i="6" s="1"/>
  <c r="G102" i="21"/>
  <c r="G145" i="19"/>
  <c r="H162" i="15"/>
  <c r="H146" i="13"/>
  <c r="H144" i="11"/>
  <c r="H149" i="9"/>
  <c r="I150" i="7"/>
  <c r="J150" i="7" s="1"/>
  <c r="G146" i="18"/>
  <c r="H165" i="16"/>
  <c r="H150" i="8"/>
  <c r="H151" i="4"/>
  <c r="I151" i="4" s="1"/>
  <c r="J167" i="16"/>
  <c r="K166" i="13"/>
  <c r="K120" i="14"/>
  <c r="J29" i="11"/>
  <c r="K108" i="10"/>
  <c r="K128" i="7"/>
  <c r="K112" i="6"/>
  <c r="J19" i="11"/>
  <c r="K153" i="9"/>
  <c r="J29" i="12"/>
  <c r="J132" i="10"/>
  <c r="K39" i="7"/>
  <c r="L39" i="6"/>
  <c r="K152" i="6"/>
  <c r="K20" i="3"/>
  <c r="J70" i="12"/>
  <c r="J19" i="13"/>
  <c r="K124" i="9"/>
  <c r="L71" i="6"/>
  <c r="J19" i="9"/>
  <c r="K58" i="7"/>
  <c r="K172" i="6"/>
  <c r="J72" i="5"/>
  <c r="K61" i="6"/>
  <c r="J166" i="5"/>
  <c r="J42" i="5"/>
  <c r="J22" i="16"/>
  <c r="J17" i="14"/>
  <c r="J137" i="10"/>
  <c r="J115" i="11"/>
  <c r="J87" i="12"/>
  <c r="K25" i="11"/>
  <c r="K48" i="11"/>
  <c r="K173" i="10"/>
  <c r="J39" i="23"/>
  <c r="K95" i="17"/>
  <c r="J89" i="14"/>
  <c r="J153" i="15"/>
  <c r="J62" i="12"/>
  <c r="J105" i="11"/>
  <c r="J47" i="12"/>
  <c r="J44" i="11"/>
  <c r="J81" i="8"/>
  <c r="K86" i="12"/>
  <c r="K20" i="11"/>
  <c r="K118" i="11"/>
  <c r="K60" i="11"/>
  <c r="K22" i="7"/>
  <c r="K71" i="6"/>
  <c r="K72" i="8"/>
  <c r="K27" i="8"/>
  <c r="K165" i="5"/>
  <c r="J64" i="5"/>
  <c r="J147" i="5"/>
  <c r="J36" i="3"/>
  <c r="J122" i="3"/>
  <c r="K84" i="6"/>
  <c r="J61" i="17"/>
  <c r="J82" i="11"/>
  <c r="J72" i="17"/>
  <c r="J85" i="16"/>
  <c r="J87" i="13"/>
  <c r="J101" i="12"/>
  <c r="J90" i="11"/>
  <c r="J36" i="12"/>
  <c r="K87" i="10"/>
  <c r="K150" i="9"/>
  <c r="K82" i="9"/>
  <c r="K36" i="9"/>
  <c r="K99" i="10"/>
  <c r="J59" i="9"/>
  <c r="K161" i="7"/>
  <c r="J51" i="16"/>
  <c r="K88" i="4"/>
  <c r="J164" i="4"/>
  <c r="K42" i="16"/>
  <c r="J163" i="15"/>
  <c r="J118" i="13"/>
  <c r="J139" i="12"/>
  <c r="K140" i="14"/>
  <c r="K138" i="14" s="1"/>
  <c r="K42" i="14"/>
  <c r="K150" i="10"/>
  <c r="K149" i="10"/>
  <c r="J48" i="5"/>
  <c r="K156" i="4"/>
  <c r="K34" i="22"/>
  <c r="K121" i="13"/>
  <c r="J50" i="13"/>
  <c r="J142" i="10"/>
  <c r="K20" i="13"/>
  <c r="J44" i="13"/>
  <c r="K55" i="11"/>
  <c r="J88" i="22"/>
  <c r="J139" i="22"/>
  <c r="J120" i="17"/>
  <c r="J35" i="12"/>
  <c r="J16" i="12"/>
  <c r="K20" i="14"/>
  <c r="K51" i="15"/>
  <c r="J53" i="13"/>
  <c r="J118" i="12"/>
  <c r="J15" i="12"/>
  <c r="J47" i="11"/>
  <c r="J46" i="11" s="1"/>
  <c r="J125" i="9"/>
  <c r="K14" i="10"/>
  <c r="L45" i="7"/>
  <c r="K122" i="22"/>
  <c r="J141" i="22"/>
  <c r="J21" i="22"/>
  <c r="J178" i="16"/>
  <c r="J119" i="14"/>
  <c r="K154" i="16"/>
  <c r="K60" i="16"/>
  <c r="J154" i="15"/>
  <c r="J21" i="12"/>
  <c r="J49" i="11"/>
  <c r="J42" i="10"/>
  <c r="K110" i="9"/>
  <c r="K97" i="9"/>
  <c r="J163" i="5"/>
  <c r="K47" i="8"/>
  <c r="K18" i="23"/>
  <c r="J58" i="22"/>
  <c r="J37" i="17"/>
  <c r="J146" i="16"/>
  <c r="J121" i="16"/>
  <c r="J48" i="14"/>
  <c r="K120" i="13"/>
  <c r="J152" i="10"/>
  <c r="J44" i="14"/>
  <c r="J40" i="14" s="1"/>
  <c r="J22" i="14"/>
  <c r="K85" i="11"/>
  <c r="K111" i="10"/>
  <c r="K31" i="10"/>
  <c r="K49" i="9"/>
  <c r="J18" i="8"/>
  <c r="L156" i="6"/>
  <c r="K50" i="6"/>
  <c r="K21" i="6"/>
  <c r="K87" i="5"/>
  <c r="J16" i="17"/>
  <c r="K97" i="16"/>
  <c r="J70" i="14"/>
  <c r="J113" i="16"/>
  <c r="J72" i="12"/>
  <c r="K53" i="15"/>
  <c r="K52" i="15" s="1"/>
  <c r="K63" i="11"/>
  <c r="K144" i="10"/>
  <c r="J90" i="12"/>
  <c r="L50" i="6"/>
  <c r="J146" i="4"/>
  <c r="K113" i="7"/>
  <c r="J15" i="11"/>
  <c r="K120" i="10"/>
  <c r="K51" i="22"/>
  <c r="K112" i="10"/>
  <c r="K170" i="3"/>
  <c r="K19" i="22"/>
  <c r="J55" i="16"/>
  <c r="J121" i="15"/>
  <c r="J41" i="15"/>
  <c r="J53" i="14"/>
  <c r="J52" i="14" s="1"/>
  <c r="K122" i="12"/>
  <c r="J21" i="13"/>
  <c r="K158" i="16"/>
  <c r="J150" i="16"/>
  <c r="J15" i="16"/>
  <c r="K112" i="13"/>
  <c r="J131" i="13"/>
  <c r="J129" i="13" s="1"/>
  <c r="K41" i="13"/>
  <c r="J87" i="15"/>
  <c r="K86" i="16"/>
  <c r="K147" i="10"/>
  <c r="K61" i="4"/>
  <c r="K58" i="4"/>
  <c r="K65" i="16"/>
  <c r="J21" i="17"/>
  <c r="J92" i="14"/>
  <c r="J29" i="14"/>
  <c r="J181" i="15"/>
  <c r="J60" i="12"/>
  <c r="K77" i="15"/>
  <c r="J25" i="13"/>
  <c r="K84" i="7"/>
  <c r="K72" i="7"/>
  <c r="K55" i="5"/>
  <c r="K101" i="17"/>
  <c r="K30" i="15"/>
  <c r="J12" i="16"/>
  <c r="J119" i="13"/>
  <c r="K24" i="23"/>
  <c r="J42" i="22"/>
  <c r="K90" i="17"/>
  <c r="J42" i="17"/>
  <c r="J68" i="16"/>
  <c r="K170" i="15"/>
  <c r="J125" i="13"/>
  <c r="J123" i="13" s="1"/>
  <c r="K37" i="23"/>
  <c r="K114" i="22"/>
  <c r="J64" i="22"/>
  <c r="K71" i="17"/>
  <c r="J142" i="16"/>
  <c r="J64" i="14"/>
  <c r="J31" i="17"/>
  <c r="J78" i="13"/>
  <c r="J156" i="15"/>
  <c r="K108" i="15"/>
  <c r="K65" i="14"/>
  <c r="K165" i="12"/>
  <c r="K83" i="10"/>
  <c r="K87" i="6"/>
  <c r="J70" i="5"/>
  <c r="L83" i="7"/>
  <c r="K117" i="5"/>
  <c r="I20" i="26"/>
  <c r="K43" i="16"/>
  <c r="K164" i="15"/>
  <c r="K44" i="15"/>
  <c r="J141" i="13"/>
  <c r="K144" i="7"/>
  <c r="K24" i="15"/>
  <c r="J41" i="11"/>
  <c r="J12" i="5"/>
  <c r="J26" i="3"/>
  <c r="J26" i="16"/>
  <c r="K148" i="14"/>
  <c r="K111" i="8"/>
  <c r="K170" i="7"/>
  <c r="L25" i="7"/>
  <c r="L55" i="6"/>
  <c r="K22" i="4"/>
  <c r="K115" i="10"/>
  <c r="J115" i="10"/>
  <c r="K106" i="9"/>
  <c r="J106" i="9"/>
  <c r="K12" i="10"/>
  <c r="J12" i="10"/>
  <c r="J167" i="3"/>
  <c r="K167" i="3"/>
  <c r="K17" i="6"/>
  <c r="J75" i="4"/>
  <c r="K75" i="4"/>
  <c r="J112" i="3"/>
  <c r="K112" i="3"/>
  <c r="K68" i="13"/>
  <c r="J68" i="13"/>
  <c r="J85" i="12"/>
  <c r="K85" i="12"/>
  <c r="K81" i="9"/>
  <c r="J81" i="9"/>
  <c r="K91" i="7"/>
  <c r="L91" i="7"/>
  <c r="K63" i="7"/>
  <c r="L63" i="7"/>
  <c r="L151" i="6"/>
  <c r="L119" i="6"/>
  <c r="L101" i="6"/>
  <c r="K101" i="6"/>
  <c r="L15" i="6"/>
  <c r="K15" i="6"/>
  <c r="K33" i="5"/>
  <c r="J33" i="5"/>
  <c r="J119" i="22"/>
  <c r="K119" i="22"/>
  <c r="K98" i="12"/>
  <c r="J98" i="12"/>
  <c r="J66" i="11"/>
  <c r="K66" i="11"/>
  <c r="J58" i="11"/>
  <c r="K58" i="11"/>
  <c r="K38" i="11"/>
  <c r="J38" i="11"/>
  <c r="K28" i="11"/>
  <c r="J28" i="11"/>
  <c r="J169" i="10"/>
  <c r="K169" i="10"/>
  <c r="K97" i="10"/>
  <c r="J97" i="10"/>
  <c r="K37" i="10"/>
  <c r="J37" i="10"/>
  <c r="J88" i="9"/>
  <c r="K88" i="9"/>
  <c r="J62" i="9"/>
  <c r="K62" i="9"/>
  <c r="J22" i="9"/>
  <c r="K22" i="9"/>
  <c r="J140" i="8"/>
  <c r="K140" i="8"/>
  <c r="K86" i="8"/>
  <c r="J86" i="8"/>
  <c r="K68" i="8"/>
  <c r="J68" i="8"/>
  <c r="L108" i="7"/>
  <c r="K108" i="7"/>
  <c r="L70" i="7"/>
  <c r="K70" i="7"/>
  <c r="L54" i="7"/>
  <c r="K54" i="7"/>
  <c r="L170" i="6"/>
  <c r="K170" i="6"/>
  <c r="L132" i="6"/>
  <c r="L90" i="6"/>
  <c r="K90" i="6"/>
  <c r="L82" i="6"/>
  <c r="K82" i="6"/>
  <c r="L68" i="6"/>
  <c r="L24" i="6"/>
  <c r="K134" i="5"/>
  <c r="J134" i="5"/>
  <c r="K84" i="5"/>
  <c r="J84" i="5"/>
  <c r="K62" i="5"/>
  <c r="J62" i="5"/>
  <c r="K22" i="5"/>
  <c r="J22" i="5"/>
  <c r="K67" i="13"/>
  <c r="J67" i="13"/>
  <c r="K92" i="12"/>
  <c r="J92" i="12"/>
  <c r="J54" i="11"/>
  <c r="K54" i="11"/>
  <c r="J89" i="10"/>
  <c r="K89" i="10"/>
  <c r="K63" i="10"/>
  <c r="J63" i="10"/>
  <c r="J154" i="9"/>
  <c r="K154" i="9"/>
  <c r="K34" i="9"/>
  <c r="J34" i="9"/>
  <c r="K66" i="8"/>
  <c r="J66" i="8"/>
  <c r="L90" i="7"/>
  <c r="K90" i="7"/>
  <c r="K30" i="7"/>
  <c r="L30" i="7"/>
  <c r="L14" i="7"/>
  <c r="K14" i="7"/>
  <c r="L136" i="6"/>
  <c r="K136" i="6"/>
  <c r="K116" i="6"/>
  <c r="L116" i="6"/>
  <c r="K44" i="6"/>
  <c r="K12" i="6"/>
  <c r="L12" i="6"/>
  <c r="K102" i="5"/>
  <c r="J102" i="5"/>
  <c r="K50" i="5"/>
  <c r="J50" i="5"/>
  <c r="K105" i="12"/>
  <c r="J105" i="12"/>
  <c r="K63" i="12"/>
  <c r="J63" i="12"/>
  <c r="K139" i="11"/>
  <c r="K138" i="11" s="1"/>
  <c r="J139" i="11"/>
  <c r="J138" i="11" s="1"/>
  <c r="K83" i="11"/>
  <c r="J83" i="11"/>
  <c r="J33" i="11"/>
  <c r="K33" i="11"/>
  <c r="K91" i="9"/>
  <c r="J91" i="9"/>
  <c r="J39" i="9"/>
  <c r="K39" i="9"/>
  <c r="L95" i="7"/>
  <c r="K95" i="7"/>
  <c r="L113" i="6"/>
  <c r="K113" i="6"/>
  <c r="L69" i="6"/>
  <c r="K59" i="6"/>
  <c r="L59" i="6"/>
  <c r="K125" i="5"/>
  <c r="K123" i="5" s="1"/>
  <c r="J125" i="5"/>
  <c r="K69" i="5"/>
  <c r="J69" i="5"/>
  <c r="K45" i="5"/>
  <c r="J45" i="5"/>
  <c r="K136" i="4"/>
  <c r="J136" i="4"/>
  <c r="K130" i="6"/>
  <c r="L130" i="6"/>
  <c r="K53" i="5"/>
  <c r="J53" i="5"/>
  <c r="K124" i="10"/>
  <c r="J124" i="10"/>
  <c r="K91" i="22"/>
  <c r="J16" i="23"/>
  <c r="K59" i="22"/>
  <c r="J90" i="22"/>
  <c r="J82" i="22"/>
  <c r="J142" i="17"/>
  <c r="J26" i="17"/>
  <c r="J105" i="14"/>
  <c r="J175" i="16"/>
  <c r="J155" i="15"/>
  <c r="J29" i="16"/>
  <c r="J27" i="15"/>
  <c r="K43" i="14"/>
  <c r="J116" i="13"/>
  <c r="K148" i="15"/>
  <c r="J50" i="12"/>
  <c r="J18" i="12"/>
  <c r="J17" i="15"/>
  <c r="J36" i="14"/>
  <c r="J114" i="15"/>
  <c r="J30" i="12"/>
  <c r="K24" i="11"/>
  <c r="K60" i="13"/>
  <c r="J100" i="10"/>
  <c r="K114" i="9"/>
  <c r="J80" i="9"/>
  <c r="K33" i="9"/>
  <c r="K102" i="9"/>
  <c r="K89" i="8"/>
  <c r="J35" i="8"/>
  <c r="J12" i="8"/>
  <c r="K12" i="7"/>
  <c r="J22" i="10"/>
  <c r="J167" i="4"/>
  <c r="K136" i="7"/>
  <c r="K151" i="6"/>
  <c r="K96" i="5"/>
  <c r="K33" i="6"/>
  <c r="J160" i="4"/>
  <c r="K49" i="14"/>
  <c r="J49" i="14"/>
  <c r="K18" i="14"/>
  <c r="J18" i="14"/>
  <c r="K124" i="7"/>
  <c r="L124" i="7"/>
  <c r="K107" i="10"/>
  <c r="J107" i="10"/>
  <c r="K35" i="10"/>
  <c r="J35" i="10"/>
  <c r="K31" i="6"/>
  <c r="K167" i="5"/>
  <c r="J167" i="5"/>
  <c r="J65" i="4"/>
  <c r="K65" i="4"/>
  <c r="K115" i="12"/>
  <c r="J115" i="12"/>
  <c r="J95" i="11"/>
  <c r="K95" i="11"/>
  <c r="K62" i="10"/>
  <c r="J62" i="10"/>
  <c r="K69" i="9"/>
  <c r="J69" i="9"/>
  <c r="K141" i="8"/>
  <c r="J141" i="8"/>
  <c r="K78" i="4"/>
  <c r="J78" i="4"/>
  <c r="K35" i="22"/>
  <c r="J35" i="22"/>
  <c r="J86" i="15"/>
  <c r="K86" i="15"/>
  <c r="J71" i="14"/>
  <c r="K71" i="14"/>
  <c r="K82" i="12"/>
  <c r="J82" i="12"/>
  <c r="K80" i="11"/>
  <c r="J80" i="11"/>
  <c r="K148" i="9"/>
  <c r="J148" i="9"/>
  <c r="J67" i="22"/>
  <c r="J121" i="17"/>
  <c r="J70" i="17"/>
  <c r="J64" i="17"/>
  <c r="J60" i="17"/>
  <c r="J78" i="16"/>
  <c r="J36" i="16"/>
  <c r="J174" i="16"/>
  <c r="J147" i="16"/>
  <c r="J91" i="14"/>
  <c r="K63" i="17"/>
  <c r="J33" i="17"/>
  <c r="J15" i="17"/>
  <c r="K37" i="16"/>
  <c r="J113" i="15"/>
  <c r="J76" i="15"/>
  <c r="J72" i="14"/>
  <c r="J51" i="17"/>
  <c r="J117" i="16"/>
  <c r="J96" i="16"/>
  <c r="K77" i="16"/>
  <c r="J50" i="15"/>
  <c r="K90" i="15"/>
  <c r="J49" i="15"/>
  <c r="K14" i="15"/>
  <c r="J84" i="14"/>
  <c r="K50" i="14"/>
  <c r="J108" i="13"/>
  <c r="J86" i="13"/>
  <c r="J68" i="12"/>
  <c r="J12" i="12"/>
  <c r="J88" i="11"/>
  <c r="J135" i="10"/>
  <c r="J59" i="15"/>
  <c r="J125" i="10"/>
  <c r="J145" i="8"/>
  <c r="J44" i="8"/>
  <c r="J61" i="9"/>
  <c r="L44" i="6"/>
  <c r="K119" i="6"/>
  <c r="J92" i="5"/>
  <c r="K69" i="6"/>
  <c r="K85" i="5"/>
  <c r="K90" i="4"/>
  <c r="K152" i="7"/>
  <c r="J140" i="5"/>
  <c r="J114" i="4"/>
  <c r="J172" i="4"/>
  <c r="J55" i="12"/>
  <c r="J52" i="12" s="1"/>
  <c r="K55" i="12"/>
  <c r="J27" i="11"/>
  <c r="K27" i="11"/>
  <c r="K17" i="11"/>
  <c r="J17" i="11"/>
  <c r="K122" i="10"/>
  <c r="J122" i="10"/>
  <c r="K26" i="14"/>
  <c r="J26" i="14"/>
  <c r="K51" i="13"/>
  <c r="J51" i="13"/>
  <c r="J170" i="8"/>
  <c r="K170" i="8"/>
  <c r="K148" i="5"/>
  <c r="J148" i="5"/>
  <c r="L137" i="6"/>
  <c r="K137" i="6"/>
  <c r="K28" i="3"/>
  <c r="J28" i="3"/>
  <c r="J81" i="11"/>
  <c r="K81" i="11"/>
  <c r="K88" i="10"/>
  <c r="J88" i="10"/>
  <c r="J80" i="10"/>
  <c r="K80" i="10"/>
  <c r="J159" i="9"/>
  <c r="K159" i="9"/>
  <c r="K95" i="8"/>
  <c r="J95" i="8"/>
  <c r="K31" i="8"/>
  <c r="J31" i="8"/>
  <c r="K53" i="6"/>
  <c r="L53" i="6"/>
  <c r="K101" i="5"/>
  <c r="J101" i="5"/>
  <c r="K115" i="13"/>
  <c r="J115" i="13"/>
  <c r="K102" i="11"/>
  <c r="J102" i="11"/>
  <c r="K53" i="10"/>
  <c r="J53" i="10"/>
  <c r="J81" i="22"/>
  <c r="J21" i="23"/>
  <c r="J120" i="22"/>
  <c r="K24" i="22"/>
  <c r="J17" i="23"/>
  <c r="K27" i="22"/>
  <c r="J119" i="17"/>
  <c r="J41" i="17"/>
  <c r="J170" i="16"/>
  <c r="J89" i="16"/>
  <c r="J117" i="14"/>
  <c r="J83" i="13"/>
  <c r="J141" i="15"/>
  <c r="J48" i="15"/>
  <c r="J46" i="15" s="1"/>
  <c r="J116" i="12"/>
  <c r="J98" i="15"/>
  <c r="J66" i="15"/>
  <c r="K69" i="12"/>
  <c r="K59" i="11"/>
  <c r="K159" i="10"/>
  <c r="K49" i="12"/>
  <c r="K139" i="10"/>
  <c r="J122" i="9"/>
  <c r="J95" i="9"/>
  <c r="J118" i="8"/>
  <c r="J70" i="10"/>
  <c r="K132" i="6"/>
  <c r="L60" i="6"/>
  <c r="K159" i="4"/>
  <c r="L71" i="7"/>
  <c r="K161" i="6"/>
  <c r="J65" i="10"/>
  <c r="L108" i="6"/>
  <c r="K108" i="6"/>
  <c r="J136" i="3"/>
  <c r="K136" i="3"/>
  <c r="K142" i="7"/>
  <c r="L142" i="7"/>
  <c r="L98" i="7"/>
  <c r="I76" i="21"/>
  <c r="J114" i="3"/>
  <c r="K89" i="3"/>
  <c r="K143" i="17"/>
  <c r="K36" i="17"/>
  <c r="K169" i="16"/>
  <c r="K165" i="16" s="1"/>
  <c r="J116" i="16"/>
  <c r="J55" i="17"/>
  <c r="J15" i="15"/>
  <c r="J43" i="13"/>
  <c r="K43" i="12"/>
  <c r="J27" i="12"/>
  <c r="K49" i="13"/>
  <c r="J35" i="11"/>
  <c r="J106" i="10"/>
  <c r="J30" i="9"/>
  <c r="J15" i="8"/>
  <c r="J124" i="5"/>
  <c r="J123" i="5" s="1"/>
  <c r="K38" i="7"/>
  <c r="K144" i="6"/>
  <c r="J145" i="5"/>
  <c r="K39" i="5"/>
  <c r="J115" i="3"/>
  <c r="J59" i="3"/>
  <c r="J17" i="3"/>
  <c r="J134" i="3"/>
  <c r="J66" i="3"/>
  <c r="K39" i="17"/>
  <c r="J120" i="15"/>
  <c r="K117" i="13"/>
  <c r="J41" i="12"/>
  <c r="J116" i="11"/>
  <c r="J146" i="10"/>
  <c r="J134" i="10"/>
  <c r="K114" i="10"/>
  <c r="K112" i="9"/>
  <c r="K17" i="9"/>
  <c r="L146" i="6"/>
  <c r="L54" i="6"/>
  <c r="J149" i="4"/>
  <c r="K106" i="4"/>
  <c r="J110" i="5"/>
  <c r="J28" i="4"/>
  <c r="J107" i="3"/>
  <c r="J53" i="3"/>
  <c r="K62" i="3"/>
  <c r="K91" i="3"/>
  <c r="J80" i="17"/>
  <c r="K60" i="6"/>
  <c r="K88" i="3"/>
  <c r="K145" i="17"/>
  <c r="J125" i="14"/>
  <c r="J123" i="14" s="1"/>
  <c r="K170" i="10"/>
  <c r="L151" i="7"/>
  <c r="J69" i="13"/>
  <c r="K29" i="17"/>
  <c r="J33" i="16"/>
  <c r="J21" i="14"/>
  <c r="K24" i="9"/>
  <c r="L131" i="7"/>
  <c r="K83" i="22"/>
  <c r="J84" i="22"/>
  <c r="J47" i="22"/>
  <c r="J37" i="22"/>
  <c r="J26" i="23"/>
  <c r="J91" i="16"/>
  <c r="J38" i="16"/>
  <c r="K103" i="17"/>
  <c r="J84" i="17"/>
  <c r="J157" i="16"/>
  <c r="J149" i="16"/>
  <c r="J70" i="16"/>
  <c r="K25" i="17"/>
  <c r="J177" i="16"/>
  <c r="J148" i="16"/>
  <c r="K48" i="16"/>
  <c r="K46" i="16" s="1"/>
  <c r="J173" i="15"/>
  <c r="J149" i="15"/>
  <c r="K31" i="16"/>
  <c r="J25" i="15"/>
  <c r="K167" i="15"/>
  <c r="J69" i="15"/>
  <c r="J114" i="13"/>
  <c r="J61" i="15"/>
  <c r="J24" i="14"/>
  <c r="K164" i="10"/>
  <c r="J51" i="12"/>
  <c r="J25" i="10"/>
  <c r="K90" i="10"/>
  <c r="J33" i="10"/>
  <c r="K119" i="8"/>
  <c r="J117" i="9"/>
  <c r="K54" i="9"/>
  <c r="J159" i="8"/>
  <c r="J16" i="8"/>
  <c r="J25" i="8"/>
  <c r="L31" i="6"/>
  <c r="J146" i="5"/>
  <c r="K27" i="7"/>
  <c r="K14" i="6"/>
  <c r="K114" i="7"/>
  <c r="J58" i="3"/>
  <c r="J19" i="23"/>
  <c r="J115" i="4"/>
  <c r="K135" i="7"/>
  <c r="L111" i="7"/>
  <c r="J34" i="23"/>
  <c r="J125" i="22"/>
  <c r="J123" i="22" s="1"/>
  <c r="J92" i="22"/>
  <c r="J31" i="23"/>
  <c r="J25" i="22"/>
  <c r="J18" i="22"/>
  <c r="J66" i="22"/>
  <c r="J92" i="17"/>
  <c r="J28" i="17"/>
  <c r="J172" i="16"/>
  <c r="K65" i="17"/>
  <c r="J80" i="13"/>
  <c r="J13" i="17"/>
  <c r="J157" i="15"/>
  <c r="J147" i="15"/>
  <c r="J89" i="15"/>
  <c r="J66" i="14"/>
  <c r="J49" i="17"/>
  <c r="J115" i="16"/>
  <c r="J98" i="16"/>
  <c r="J122" i="13"/>
  <c r="J28" i="15"/>
  <c r="J34" i="14"/>
  <c r="J86" i="14"/>
  <c r="J34" i="13"/>
  <c r="J17" i="13"/>
  <c r="J140" i="12"/>
  <c r="J138" i="12" s="1"/>
  <c r="K31" i="12"/>
  <c r="J70" i="13"/>
  <c r="K30" i="13"/>
  <c r="J119" i="11"/>
  <c r="J156" i="10"/>
  <c r="J145" i="10"/>
  <c r="J120" i="9"/>
  <c r="J121" i="10"/>
  <c r="J118" i="5"/>
  <c r="J64" i="10"/>
  <c r="J55" i="9"/>
  <c r="L17" i="6"/>
  <c r="K68" i="4"/>
  <c r="K148" i="6"/>
  <c r="J19" i="3"/>
  <c r="J173" i="3"/>
  <c r="J144" i="17"/>
  <c r="K75" i="17"/>
  <c r="J45" i="17"/>
  <c r="J34" i="16"/>
  <c r="K14" i="17"/>
  <c r="J45" i="16"/>
  <c r="J40" i="16" s="1"/>
  <c r="J145" i="15"/>
  <c r="J119" i="15"/>
  <c r="K140" i="16"/>
  <c r="K132" i="16" s="1"/>
  <c r="J29" i="15"/>
  <c r="J95" i="12"/>
  <c r="K122" i="14"/>
  <c r="J22" i="13"/>
  <c r="J97" i="8"/>
  <c r="K97" i="11"/>
  <c r="K21" i="9"/>
  <c r="J75" i="5"/>
  <c r="J44" i="10"/>
  <c r="K118" i="6"/>
  <c r="K21" i="5"/>
  <c r="K84" i="4"/>
  <c r="I23" i="26"/>
  <c r="K102" i="17"/>
  <c r="K42" i="8"/>
  <c r="K140" i="6"/>
  <c r="J39" i="4"/>
  <c r="J161" i="3"/>
  <c r="J37" i="3"/>
  <c r="K95" i="15"/>
  <c r="J105" i="8"/>
  <c r="L163" i="7"/>
  <c r="K162" i="3"/>
  <c r="J144" i="3"/>
  <c r="K36" i="22"/>
  <c r="J18" i="17"/>
  <c r="J53" i="16"/>
  <c r="J24" i="16"/>
  <c r="J13" i="16"/>
  <c r="L148" i="7"/>
  <c r="J80" i="3"/>
  <c r="K35" i="3"/>
  <c r="K65" i="8"/>
  <c r="J17" i="10"/>
  <c r="J121" i="4"/>
  <c r="J44" i="4"/>
  <c r="J43" i="8"/>
  <c r="K155" i="7"/>
  <c r="K133" i="3"/>
  <c r="K144" i="4"/>
  <c r="K125" i="15"/>
  <c r="J118" i="14"/>
  <c r="J45" i="3"/>
  <c r="K97" i="4"/>
  <c r="L147" i="7"/>
  <c r="L41" i="7"/>
  <c r="L43" i="7"/>
  <c r="J16" i="16"/>
  <c r="I138" i="18"/>
  <c r="K112" i="16"/>
  <c r="J13" i="11"/>
  <c r="K17" i="8"/>
  <c r="K140" i="7"/>
  <c r="K37" i="4"/>
  <c r="J155" i="3"/>
  <c r="J27" i="4"/>
  <c r="J39" i="3"/>
  <c r="K50" i="17"/>
  <c r="J20" i="15"/>
  <c r="K17" i="16"/>
  <c r="L42" i="7"/>
  <c r="J122" i="4"/>
  <c r="J61" i="3"/>
  <c r="J50" i="3"/>
  <c r="K47" i="4"/>
  <c r="K138" i="15"/>
  <c r="K144" i="15"/>
  <c r="K19" i="12"/>
  <c r="J156" i="9"/>
  <c r="J28" i="9"/>
  <c r="L17" i="7"/>
  <c r="K35" i="16"/>
  <c r="J37" i="15"/>
  <c r="J25" i="12"/>
  <c r="J34" i="12"/>
  <c r="K29" i="10"/>
  <c r="K109" i="9"/>
  <c r="K16" i="3"/>
  <c r="J133" i="9"/>
  <c r="J107" i="5"/>
  <c r="K118" i="3"/>
  <c r="I17" i="28"/>
  <c r="K140" i="13"/>
  <c r="K138" i="13" s="1"/>
  <c r="K78" i="5"/>
  <c r="J139" i="13"/>
  <c r="J138" i="13" s="1"/>
  <c r="K144" i="9"/>
  <c r="J43" i="9"/>
  <c r="J28" i="8"/>
  <c r="K136" i="10"/>
  <c r="K131" i="5"/>
  <c r="K19" i="4"/>
  <c r="J152" i="3"/>
  <c r="J147" i="8"/>
  <c r="L13" i="7"/>
  <c r="K35" i="4"/>
  <c r="K159" i="17"/>
  <c r="J18" i="9"/>
  <c r="K18" i="9"/>
  <c r="K118" i="16"/>
  <c r="J165" i="15"/>
  <c r="K47" i="15"/>
  <c r="K46" i="15" s="1"/>
  <c r="J13" i="15"/>
  <c r="J24" i="13"/>
  <c r="K43" i="3"/>
  <c r="I57" i="25"/>
  <c r="J81" i="15"/>
  <c r="K87" i="4"/>
  <c r="K48" i="17"/>
  <c r="J54" i="10"/>
  <c r="K54" i="10"/>
  <c r="J121" i="9"/>
  <c r="K121" i="9"/>
  <c r="J113" i="9"/>
  <c r="K113" i="9"/>
  <c r="J105" i="9"/>
  <c r="K105" i="9"/>
  <c r="K26" i="9"/>
  <c r="J26" i="9"/>
  <c r="J49" i="5"/>
  <c r="K49" i="5"/>
  <c r="J39" i="11"/>
  <c r="K39" i="11"/>
  <c r="J18" i="10"/>
  <c r="K18" i="10"/>
  <c r="J152" i="9"/>
  <c r="K152" i="9"/>
  <c r="K15" i="9"/>
  <c r="J15" i="9"/>
  <c r="J50" i="8"/>
  <c r="K50" i="8"/>
  <c r="K127" i="7"/>
  <c r="L127" i="7"/>
  <c r="K117" i="10"/>
  <c r="J117" i="10"/>
  <c r="J109" i="10"/>
  <c r="K109" i="10"/>
  <c r="J141" i="9"/>
  <c r="K141" i="9"/>
  <c r="K141" i="10"/>
  <c r="J141" i="10"/>
  <c r="J38" i="10"/>
  <c r="K38" i="10"/>
  <c r="K29" i="9"/>
  <c r="J29" i="9"/>
  <c r="K142" i="5"/>
  <c r="J142" i="5"/>
  <c r="J139" i="9"/>
  <c r="K139" i="9"/>
  <c r="L125" i="6"/>
  <c r="K125" i="6"/>
  <c r="K41" i="6"/>
  <c r="L41" i="6"/>
  <c r="J141" i="5"/>
  <c r="K141" i="5"/>
  <c r="K50" i="4"/>
  <c r="J50" i="4"/>
  <c r="K55" i="3"/>
  <c r="J55" i="3"/>
  <c r="J48" i="3"/>
  <c r="K48" i="3"/>
  <c r="K126" i="4"/>
  <c r="J126" i="4"/>
  <c r="J62" i="4"/>
  <c r="K62" i="4"/>
  <c r="J34" i="4"/>
  <c r="K34" i="4"/>
  <c r="J135" i="3"/>
  <c r="K135" i="3"/>
  <c r="K117" i="3"/>
  <c r="J117" i="3"/>
  <c r="K109" i="3"/>
  <c r="J109" i="3"/>
  <c r="K63" i="3"/>
  <c r="J63" i="3"/>
  <c r="K47" i="3"/>
  <c r="J47" i="3"/>
  <c r="K109" i="4"/>
  <c r="J109" i="4"/>
  <c r="J99" i="4"/>
  <c r="K99" i="4"/>
  <c r="J67" i="4"/>
  <c r="K67" i="4"/>
  <c r="J53" i="4"/>
  <c r="K53" i="4"/>
  <c r="K164" i="3"/>
  <c r="J164" i="3"/>
  <c r="J30" i="3"/>
  <c r="K30" i="3"/>
  <c r="J156" i="3"/>
  <c r="K156" i="3"/>
  <c r="K26" i="22"/>
  <c r="J26" i="22"/>
  <c r="K157" i="17"/>
  <c r="J157" i="17"/>
  <c r="K85" i="17"/>
  <c r="J85" i="17"/>
  <c r="K97" i="15"/>
  <c r="J97" i="15"/>
  <c r="J82" i="10"/>
  <c r="K82" i="10"/>
  <c r="K72" i="10"/>
  <c r="J72" i="10"/>
  <c r="K48" i="10"/>
  <c r="J48" i="10"/>
  <c r="J26" i="10"/>
  <c r="K26" i="10"/>
  <c r="K63" i="9"/>
  <c r="J63" i="9"/>
  <c r="J35" i="9"/>
  <c r="K35" i="9"/>
  <c r="J155" i="8"/>
  <c r="K155" i="8"/>
  <c r="J83" i="8"/>
  <c r="K83" i="8"/>
  <c r="J67" i="8"/>
  <c r="K67" i="8"/>
  <c r="J59" i="8"/>
  <c r="K59" i="8"/>
  <c r="L141" i="7"/>
  <c r="K141" i="7"/>
  <c r="K85" i="7"/>
  <c r="L85" i="7"/>
  <c r="L65" i="7"/>
  <c r="K65" i="7"/>
  <c r="K15" i="7"/>
  <c r="L15" i="7"/>
  <c r="K155" i="6"/>
  <c r="L155" i="6"/>
  <c r="L127" i="6"/>
  <c r="K127" i="6"/>
  <c r="L105" i="6"/>
  <c r="K105" i="6"/>
  <c r="L95" i="6"/>
  <c r="K95" i="6"/>
  <c r="K35" i="6"/>
  <c r="L35" i="6"/>
  <c r="K95" i="5"/>
  <c r="J95" i="5"/>
  <c r="J43" i="5"/>
  <c r="K43" i="5"/>
  <c r="K166" i="4"/>
  <c r="J166" i="4"/>
  <c r="J148" i="4"/>
  <c r="K148" i="4"/>
  <c r="J92" i="4"/>
  <c r="K92" i="4"/>
  <c r="K21" i="3"/>
  <c r="J21" i="3"/>
  <c r="K69" i="22"/>
  <c r="J69" i="22"/>
  <c r="K61" i="22"/>
  <c r="J61" i="22"/>
  <c r="K38" i="12"/>
  <c r="J38" i="12"/>
  <c r="K30" i="11"/>
  <c r="J30" i="11"/>
  <c r="K69" i="10"/>
  <c r="J69" i="10"/>
  <c r="K55" i="10"/>
  <c r="J55" i="10"/>
  <c r="J43" i="10"/>
  <c r="K43" i="10"/>
  <c r="J90" i="9"/>
  <c r="K90" i="9"/>
  <c r="J66" i="9"/>
  <c r="K66" i="9"/>
  <c r="J48" i="9"/>
  <c r="J46" i="9" s="1"/>
  <c r="K48" i="9"/>
  <c r="J144" i="8"/>
  <c r="K144" i="8"/>
  <c r="J120" i="8"/>
  <c r="K120" i="8"/>
  <c r="J100" i="8"/>
  <c r="K100" i="8"/>
  <c r="J88" i="8"/>
  <c r="K88" i="8"/>
  <c r="K54" i="8"/>
  <c r="J54" i="8"/>
  <c r="K22" i="8"/>
  <c r="J22" i="8"/>
  <c r="K110" i="7"/>
  <c r="L110" i="7"/>
  <c r="L100" i="7"/>
  <c r="K100" i="7"/>
  <c r="L16" i="7"/>
  <c r="K16" i="7"/>
  <c r="K92" i="6"/>
  <c r="K70" i="6"/>
  <c r="L70" i="6"/>
  <c r="K62" i="6"/>
  <c r="L28" i="6"/>
  <c r="K120" i="5"/>
  <c r="J120" i="5"/>
  <c r="K28" i="5"/>
  <c r="J28" i="5"/>
  <c r="K71" i="13"/>
  <c r="J71" i="13"/>
  <c r="K71" i="10"/>
  <c r="J71" i="10"/>
  <c r="J47" i="16"/>
  <c r="J46" i="16" s="1"/>
  <c r="J21" i="15"/>
  <c r="J143" i="15"/>
  <c r="K166" i="15"/>
  <c r="J37" i="13"/>
  <c r="J108" i="9"/>
  <c r="K39" i="10"/>
  <c r="K77" i="4"/>
  <c r="K140" i="22"/>
  <c r="K138" i="22" s="1"/>
  <c r="L43" i="6"/>
  <c r="K43" i="6"/>
  <c r="K55" i="7"/>
  <c r="L55" i="7"/>
  <c r="J12" i="4"/>
  <c r="K12" i="4"/>
  <c r="K166" i="7"/>
  <c r="L166" i="7"/>
  <c r="K122" i="7"/>
  <c r="L122" i="7"/>
  <c r="K117" i="6"/>
  <c r="L117" i="6"/>
  <c r="K18" i="6"/>
  <c r="J155" i="5"/>
  <c r="K155" i="5"/>
  <c r="K154" i="3"/>
  <c r="L143" i="7"/>
  <c r="K42" i="13"/>
  <c r="J42" i="13"/>
  <c r="J53" i="9"/>
  <c r="K53" i="9"/>
  <c r="L160" i="7"/>
  <c r="K160" i="7"/>
  <c r="L36" i="7"/>
  <c r="K36" i="7"/>
  <c r="K150" i="3"/>
  <c r="J150" i="3"/>
  <c r="I91" i="21"/>
  <c r="J19" i="10"/>
  <c r="J123" i="9"/>
  <c r="J38" i="22"/>
  <c r="K20" i="17"/>
  <c r="J28" i="16"/>
  <c r="K129" i="16"/>
  <c r="J33" i="15"/>
  <c r="J182" i="15"/>
  <c r="J149" i="14"/>
  <c r="K45" i="12"/>
  <c r="J31" i="11"/>
  <c r="K172" i="10"/>
  <c r="K111" i="9"/>
  <c r="L49" i="7"/>
  <c r="L175" i="6"/>
  <c r="J133" i="5"/>
  <c r="K74" i="5"/>
  <c r="J135" i="4"/>
  <c r="K55" i="6"/>
  <c r="J158" i="5"/>
  <c r="K13" i="8"/>
  <c r="K47" i="7"/>
  <c r="L169" i="6"/>
  <c r="J149" i="3"/>
  <c r="J106" i="3"/>
  <c r="J64" i="3"/>
  <c r="K29" i="4"/>
  <c r="K115" i="22"/>
  <c r="J106" i="16"/>
  <c r="K54" i="13"/>
  <c r="K52" i="13" s="1"/>
  <c r="K21" i="11"/>
  <c r="K26" i="13"/>
  <c r="K29" i="13"/>
  <c r="J118" i="10"/>
  <c r="K110" i="10"/>
  <c r="K151" i="9"/>
  <c r="J115" i="15"/>
  <c r="K37" i="9"/>
  <c r="K153" i="8"/>
  <c r="K115" i="9"/>
  <c r="J31" i="9"/>
  <c r="K139" i="6"/>
  <c r="K111" i="6"/>
  <c r="L33" i="6"/>
  <c r="K147" i="6"/>
  <c r="L144" i="6"/>
  <c r="J143" i="5"/>
  <c r="J69" i="3"/>
  <c r="J33" i="3"/>
  <c r="K68" i="6"/>
  <c r="K51" i="4"/>
  <c r="J130" i="8"/>
  <c r="J107" i="4"/>
  <c r="K125" i="7"/>
  <c r="J100" i="17"/>
  <c r="J44" i="9"/>
  <c r="K107" i="9"/>
  <c r="K17" i="5"/>
  <c r="L163" i="6"/>
  <c r="J162" i="4"/>
  <c r="K132" i="3"/>
  <c r="J132" i="3"/>
  <c r="K159" i="6"/>
  <c r="K70" i="15"/>
  <c r="J70" i="15"/>
  <c r="K50" i="11"/>
  <c r="J50" i="11"/>
  <c r="K165" i="10"/>
  <c r="J165" i="10"/>
  <c r="K83" i="14"/>
  <c r="J83" i="14"/>
  <c r="K59" i="13"/>
  <c r="J59" i="13"/>
  <c r="J45" i="10"/>
  <c r="K45" i="10"/>
  <c r="J68" i="9"/>
  <c r="K68" i="9"/>
  <c r="L124" i="6"/>
  <c r="K22" i="6"/>
  <c r="K17" i="4"/>
  <c r="J17" i="4"/>
  <c r="K154" i="10"/>
  <c r="K151" i="10" s="1"/>
  <c r="J154" i="10"/>
  <c r="J151" i="10" s="1"/>
  <c r="J89" i="5"/>
  <c r="K89" i="5"/>
  <c r="J60" i="9"/>
  <c r="K60" i="9"/>
  <c r="K150" i="4"/>
  <c r="J150" i="4"/>
  <c r="J118" i="17"/>
  <c r="J30" i="16"/>
  <c r="J109" i="13"/>
  <c r="J76" i="13"/>
  <c r="J58" i="8"/>
  <c r="K168" i="5"/>
  <c r="J81" i="5"/>
  <c r="L109" i="7"/>
  <c r="K70" i="22"/>
  <c r="K38" i="17"/>
  <c r="K107" i="15"/>
  <c r="J25" i="14"/>
  <c r="K171" i="15"/>
  <c r="K168" i="15" s="1"/>
  <c r="J35" i="15"/>
  <c r="K72" i="15"/>
  <c r="J184" i="15"/>
  <c r="J165" i="13"/>
  <c r="J152" i="13" s="1"/>
  <c r="K122" i="8"/>
  <c r="J83" i="9"/>
  <c r="K115" i="8"/>
  <c r="L149" i="6"/>
  <c r="L63" i="6"/>
  <c r="L22" i="6"/>
  <c r="K96" i="9"/>
  <c r="K50" i="9"/>
  <c r="K37" i="5"/>
  <c r="K95" i="4"/>
  <c r="K72" i="3"/>
  <c r="J72" i="3"/>
  <c r="K128" i="16"/>
  <c r="J128" i="16"/>
  <c r="J126" i="16" s="1"/>
  <c r="K48" i="12"/>
  <c r="J48" i="12"/>
  <c r="J41" i="10"/>
  <c r="K41" i="10"/>
  <c r="K132" i="7"/>
  <c r="L132" i="7"/>
  <c r="K41" i="9"/>
  <c r="J41" i="9"/>
  <c r="J130" i="9"/>
  <c r="K130" i="9"/>
  <c r="K129" i="9" s="1"/>
  <c r="L145" i="6"/>
  <c r="J150" i="5"/>
  <c r="K150" i="5"/>
  <c r="L44" i="7"/>
  <c r="K44" i="7"/>
  <c r="K40" i="7" s="1"/>
  <c r="K149" i="5"/>
  <c r="J149" i="5"/>
  <c r="K44" i="5"/>
  <c r="J44" i="5"/>
  <c r="K172" i="3"/>
  <c r="J172" i="3"/>
  <c r="K81" i="3"/>
  <c r="J81" i="3"/>
  <c r="K38" i="3"/>
  <c r="J38" i="3"/>
  <c r="J22" i="3"/>
  <c r="K22" i="3"/>
  <c r="K146" i="3"/>
  <c r="J146" i="3"/>
  <c r="J143" i="4"/>
  <c r="K143" i="4"/>
  <c r="K131" i="6"/>
  <c r="L131" i="6"/>
  <c r="J60" i="3"/>
  <c r="K60" i="3"/>
  <c r="J83" i="3"/>
  <c r="K83" i="3"/>
  <c r="K86" i="22"/>
  <c r="J86" i="22"/>
  <c r="K83" i="15"/>
  <c r="J83" i="15"/>
  <c r="K86" i="4"/>
  <c r="J86" i="4"/>
  <c r="J151" i="16"/>
  <c r="K151" i="16"/>
  <c r="K62" i="11"/>
  <c r="J62" i="11"/>
  <c r="K81" i="10"/>
  <c r="J81" i="10"/>
  <c r="K98" i="8"/>
  <c r="J98" i="8"/>
  <c r="L26" i="7"/>
  <c r="K26" i="7"/>
  <c r="K33" i="12"/>
  <c r="J33" i="12"/>
  <c r="L139" i="7"/>
  <c r="K139" i="7"/>
  <c r="K171" i="6"/>
  <c r="L171" i="6"/>
  <c r="K91" i="6"/>
  <c r="L91" i="6"/>
  <c r="K47" i="6"/>
  <c r="K74" i="4"/>
  <c r="J74" i="4"/>
  <c r="J17" i="22"/>
  <c r="K22" i="17"/>
  <c r="K120" i="16"/>
  <c r="J18" i="15"/>
  <c r="J118" i="15"/>
  <c r="J143" i="8"/>
  <c r="K149" i="6"/>
  <c r="L81" i="6"/>
  <c r="K59" i="10"/>
  <c r="K51" i="7"/>
  <c r="L51" i="7"/>
  <c r="L143" i="6"/>
  <c r="K143" i="6"/>
  <c r="J81" i="13"/>
  <c r="J68" i="22"/>
  <c r="K29" i="22"/>
  <c r="J76" i="16"/>
  <c r="J145" i="16"/>
  <c r="J91" i="15"/>
  <c r="K41" i="14"/>
  <c r="K26" i="15"/>
  <c r="K102" i="12"/>
  <c r="K94" i="12" s="1"/>
  <c r="J91" i="11"/>
  <c r="J28" i="13"/>
  <c r="K53" i="12"/>
  <c r="K69" i="11"/>
  <c r="J31" i="13"/>
  <c r="K119" i="12"/>
  <c r="K84" i="12"/>
  <c r="J71" i="12"/>
  <c r="J119" i="5"/>
  <c r="L100" i="6"/>
  <c r="J18" i="5"/>
  <c r="K98" i="5"/>
  <c r="L158" i="7"/>
  <c r="K158" i="7"/>
  <c r="L130" i="7"/>
  <c r="K130" i="7"/>
  <c r="L114" i="6"/>
  <c r="L160" i="6"/>
  <c r="J30" i="5"/>
  <c r="K25" i="4"/>
  <c r="K141" i="3"/>
  <c r="J110" i="3"/>
  <c r="J132" i="9"/>
  <c r="J153" i="4"/>
  <c r="J154" i="5"/>
  <c r="K29" i="7"/>
  <c r="J159" i="5"/>
  <c r="J151" i="5"/>
  <c r="J151" i="3"/>
  <c r="J20" i="4"/>
  <c r="K129" i="13"/>
  <c r="K66" i="4"/>
  <c r="J66" i="4"/>
  <c r="K143" i="3"/>
  <c r="J143" i="3"/>
  <c r="K113" i="3"/>
  <c r="J113" i="3"/>
  <c r="J87" i="3"/>
  <c r="K87" i="3"/>
  <c r="K51" i="3"/>
  <c r="J51" i="3"/>
  <c r="K83" i="4"/>
  <c r="J83" i="4"/>
  <c r="K142" i="3"/>
  <c r="J142" i="3"/>
  <c r="K22" i="23"/>
  <c r="J22" i="23"/>
  <c r="K72" i="22"/>
  <c r="J72" i="22"/>
  <c r="J99" i="17"/>
  <c r="K99" i="17"/>
  <c r="K89" i="17"/>
  <c r="J89" i="17"/>
  <c r="J69" i="17"/>
  <c r="K69" i="17"/>
  <c r="J84" i="16"/>
  <c r="K84" i="16"/>
  <c r="K66" i="16"/>
  <c r="J66" i="16"/>
  <c r="K103" i="15"/>
  <c r="J103" i="15"/>
  <c r="K85" i="15"/>
  <c r="J85" i="15"/>
  <c r="K43" i="15"/>
  <c r="J43" i="15"/>
  <c r="K92" i="13"/>
  <c r="J92" i="13"/>
  <c r="K58" i="13"/>
  <c r="J58" i="13"/>
  <c r="J83" i="12"/>
  <c r="K83" i="12"/>
  <c r="K86" i="10"/>
  <c r="J86" i="10"/>
  <c r="K67" i="9"/>
  <c r="J67" i="9"/>
  <c r="K139" i="8"/>
  <c r="J139" i="8"/>
  <c r="J63" i="8"/>
  <c r="K63" i="8"/>
  <c r="L153" i="7"/>
  <c r="K153" i="7"/>
  <c r="K81" i="7"/>
  <c r="L81" i="7"/>
  <c r="L115" i="6"/>
  <c r="K115" i="6"/>
  <c r="J51" i="5"/>
  <c r="K51" i="5"/>
  <c r="K15" i="23"/>
  <c r="J15" i="23"/>
  <c r="J89" i="22"/>
  <c r="K89" i="22"/>
  <c r="J65" i="22"/>
  <c r="K65" i="22"/>
  <c r="J98" i="17"/>
  <c r="K98" i="17"/>
  <c r="K68" i="17"/>
  <c r="J68" i="17"/>
  <c r="K173" i="16"/>
  <c r="J173" i="16"/>
  <c r="K58" i="12"/>
  <c r="J58" i="12"/>
  <c r="K167" i="10"/>
  <c r="J167" i="10"/>
  <c r="K77" i="10"/>
  <c r="J77" i="10"/>
  <c r="K49" i="10"/>
  <c r="J49" i="10"/>
  <c r="K98" i="9"/>
  <c r="J98" i="9"/>
  <c r="J86" i="9"/>
  <c r="K86" i="9"/>
  <c r="K42" i="9"/>
  <c r="J42" i="9"/>
  <c r="K64" i="8"/>
  <c r="J64" i="8"/>
  <c r="L106" i="7"/>
  <c r="K106" i="7"/>
  <c r="L66" i="7"/>
  <c r="K66" i="7"/>
  <c r="L180" i="6"/>
  <c r="L177" i="6" s="1"/>
  <c r="K180" i="6"/>
  <c r="L166" i="6"/>
  <c r="K166" i="6"/>
  <c r="L122" i="6"/>
  <c r="K122" i="6"/>
  <c r="K88" i="6"/>
  <c r="L88" i="6"/>
  <c r="L80" i="6"/>
  <c r="K80" i="6"/>
  <c r="K20" i="6"/>
  <c r="L20" i="6"/>
  <c r="K90" i="5"/>
  <c r="J90" i="5"/>
  <c r="K30" i="17"/>
  <c r="J30" i="17"/>
  <c r="J61" i="14"/>
  <c r="K61" i="14"/>
  <c r="K63" i="13"/>
  <c r="J63" i="13"/>
  <c r="K22" i="12"/>
  <c r="J22" i="12"/>
  <c r="J85" i="10"/>
  <c r="K85" i="10"/>
  <c r="J72" i="9"/>
  <c r="K72" i="9"/>
  <c r="K154" i="8"/>
  <c r="J154" i="8"/>
  <c r="J62" i="8"/>
  <c r="K62" i="8"/>
  <c r="K102" i="16"/>
  <c r="J102" i="16"/>
  <c r="L64" i="7"/>
  <c r="K64" i="7"/>
  <c r="L176" i="6"/>
  <c r="K176" i="6"/>
  <c r="L128" i="6"/>
  <c r="K128" i="6"/>
  <c r="L38" i="6"/>
  <c r="K38" i="6"/>
  <c r="J176" i="5"/>
  <c r="K176" i="5"/>
  <c r="K111" i="4"/>
  <c r="J111" i="4"/>
  <c r="J30" i="23"/>
  <c r="K43" i="22"/>
  <c r="J117" i="17"/>
  <c r="J78" i="17"/>
  <c r="K143" i="16"/>
  <c r="K92" i="16"/>
  <c r="K54" i="14"/>
  <c r="K52" i="14" s="1"/>
  <c r="J114" i="12"/>
  <c r="K91" i="12"/>
  <c r="K42" i="11"/>
  <c r="J96" i="12"/>
  <c r="J72" i="11"/>
  <c r="K30" i="10"/>
  <c r="K114" i="8"/>
  <c r="J48" i="8"/>
  <c r="J84" i="8"/>
  <c r="K146" i="9"/>
  <c r="K17" i="12"/>
  <c r="J17" i="12"/>
  <c r="K142" i="9"/>
  <c r="J142" i="9"/>
  <c r="J45" i="9"/>
  <c r="K45" i="9"/>
  <c r="L117" i="7"/>
  <c r="K42" i="4"/>
  <c r="J42" i="4"/>
  <c r="K100" i="4"/>
  <c r="J100" i="4"/>
  <c r="K121" i="3"/>
  <c r="J121" i="3"/>
  <c r="J29" i="3"/>
  <c r="K29" i="3"/>
  <c r="K105" i="4"/>
  <c r="J105" i="4"/>
  <c r="K13" i="4"/>
  <c r="J13" i="4"/>
  <c r="K108" i="3"/>
  <c r="J108" i="3"/>
  <c r="K118" i="22"/>
  <c r="J118" i="22"/>
  <c r="J80" i="22"/>
  <c r="K80" i="22"/>
  <c r="J30" i="22"/>
  <c r="K30" i="22"/>
  <c r="J81" i="17"/>
  <c r="K81" i="17"/>
  <c r="K19" i="17"/>
  <c r="J19" i="17"/>
  <c r="K74" i="16"/>
  <c r="J74" i="16"/>
  <c r="K65" i="15"/>
  <c r="J65" i="15"/>
  <c r="K62" i="14"/>
  <c r="J62" i="14"/>
  <c r="K74" i="13"/>
  <c r="J74" i="13"/>
  <c r="K39" i="12"/>
  <c r="J39" i="12"/>
  <c r="K71" i="11"/>
  <c r="J71" i="11"/>
  <c r="K96" i="10"/>
  <c r="J96" i="10"/>
  <c r="J78" i="10"/>
  <c r="K78" i="10"/>
  <c r="K68" i="10"/>
  <c r="J68" i="10"/>
  <c r="K13" i="9"/>
  <c r="J13" i="9"/>
  <c r="J71" i="8"/>
  <c r="K71" i="8"/>
  <c r="K29" i="8"/>
  <c r="J29" i="8"/>
  <c r="K101" i="7"/>
  <c r="L101" i="7"/>
  <c r="K61" i="7"/>
  <c r="L61" i="7"/>
  <c r="L49" i="6"/>
  <c r="L46" i="6" s="1"/>
  <c r="K49" i="6"/>
  <c r="K173" i="5"/>
  <c r="J173" i="5"/>
  <c r="J13" i="5"/>
  <c r="K13" i="5"/>
  <c r="K110" i="4"/>
  <c r="J110" i="4"/>
  <c r="K36" i="4"/>
  <c r="J36" i="4"/>
  <c r="K35" i="23"/>
  <c r="J35" i="23"/>
  <c r="K53" i="22"/>
  <c r="K52" i="22" s="1"/>
  <c r="J53" i="22"/>
  <c r="J52" i="22" s="1"/>
  <c r="J128" i="17"/>
  <c r="J126" i="17" s="1"/>
  <c r="K128" i="17"/>
  <c r="K126" i="17" s="1"/>
  <c r="K88" i="17"/>
  <c r="J88" i="17"/>
  <c r="K58" i="17"/>
  <c r="J58" i="17"/>
  <c r="K153" i="16"/>
  <c r="J153" i="16"/>
  <c r="K27" i="16"/>
  <c r="J27" i="16"/>
  <c r="K74" i="15"/>
  <c r="J74" i="15"/>
  <c r="J12" i="15"/>
  <c r="K12" i="15"/>
  <c r="K81" i="14"/>
  <c r="J81" i="14"/>
  <c r="K37" i="14"/>
  <c r="J37" i="14"/>
  <c r="K77" i="13"/>
  <c r="J77" i="13"/>
  <c r="K28" i="12"/>
  <c r="J28" i="12"/>
  <c r="K98" i="11"/>
  <c r="J98" i="11"/>
  <c r="K131" i="10"/>
  <c r="J131" i="10"/>
  <c r="K15" i="10"/>
  <c r="J15" i="10"/>
  <c r="J20" i="9"/>
  <c r="K20" i="9"/>
  <c r="K132" i="8"/>
  <c r="J132" i="8"/>
  <c r="K92" i="8"/>
  <c r="J92" i="8"/>
  <c r="K80" i="7"/>
  <c r="L80" i="7"/>
  <c r="L58" i="6"/>
  <c r="K58" i="6"/>
  <c r="J130" i="5"/>
  <c r="K130" i="5"/>
  <c r="K82" i="5"/>
  <c r="J82" i="5"/>
  <c r="K60" i="5"/>
  <c r="J60" i="5"/>
  <c r="J16" i="15"/>
  <c r="K16" i="15"/>
  <c r="K89" i="13"/>
  <c r="J89" i="13"/>
  <c r="K51" i="10"/>
  <c r="J51" i="10"/>
  <c r="K100" i="9"/>
  <c r="J100" i="9"/>
  <c r="K102" i="8"/>
  <c r="J102" i="8"/>
  <c r="L86" i="7"/>
  <c r="K86" i="7"/>
  <c r="L28" i="7"/>
  <c r="K28" i="7"/>
  <c r="K102" i="6"/>
  <c r="L102" i="6"/>
  <c r="K100" i="5"/>
  <c r="J100" i="5"/>
  <c r="K31" i="4"/>
  <c r="J31" i="4"/>
  <c r="K14" i="23"/>
  <c r="J33" i="22"/>
  <c r="J158" i="17"/>
  <c r="K75" i="16"/>
  <c r="K63" i="16"/>
  <c r="J62" i="15"/>
  <c r="J87" i="14"/>
  <c r="J82" i="15"/>
  <c r="J84" i="13"/>
  <c r="J65" i="12"/>
  <c r="J16" i="5"/>
  <c r="L168" i="7"/>
  <c r="J68" i="5"/>
  <c r="L118" i="7"/>
  <c r="J48" i="13"/>
  <c r="K48" i="13"/>
  <c r="J42" i="12"/>
  <c r="K42" i="12"/>
  <c r="K53" i="11"/>
  <c r="J53" i="11"/>
  <c r="K45" i="11"/>
  <c r="J45" i="11"/>
  <c r="J37" i="11"/>
  <c r="K37" i="11"/>
  <c r="J148" i="10"/>
  <c r="K148" i="10"/>
  <c r="J140" i="10"/>
  <c r="K140" i="10"/>
  <c r="K27" i="10"/>
  <c r="J27" i="10"/>
  <c r="K16" i="10"/>
  <c r="J16" i="10"/>
  <c r="K105" i="3"/>
  <c r="J105" i="3"/>
  <c r="K67" i="3"/>
  <c r="J67" i="3"/>
  <c r="K15" i="3"/>
  <c r="J15" i="3"/>
  <c r="K117" i="4"/>
  <c r="J117" i="4"/>
  <c r="J71" i="4"/>
  <c r="K71" i="4"/>
  <c r="K43" i="4"/>
  <c r="J43" i="4"/>
  <c r="K160" i="3"/>
  <c r="J160" i="3"/>
  <c r="K130" i="3"/>
  <c r="J130" i="3"/>
  <c r="K86" i="3"/>
  <c r="J86" i="3"/>
  <c r="J18" i="3"/>
  <c r="K18" i="3"/>
  <c r="K38" i="23"/>
  <c r="J38" i="23"/>
  <c r="K62" i="22"/>
  <c r="J62" i="22"/>
  <c r="K22" i="22"/>
  <c r="J22" i="22"/>
  <c r="K137" i="15"/>
  <c r="J137" i="15"/>
  <c r="J130" i="15" s="1"/>
  <c r="J75" i="15"/>
  <c r="K75" i="15"/>
  <c r="K82" i="14"/>
  <c r="J82" i="14"/>
  <c r="K66" i="13"/>
  <c r="J66" i="13"/>
  <c r="J101" i="11"/>
  <c r="K101" i="11"/>
  <c r="K160" i="10"/>
  <c r="J160" i="10"/>
  <c r="K101" i="8"/>
  <c r="J101" i="8"/>
  <c r="J91" i="8"/>
  <c r="K91" i="8"/>
  <c r="K39" i="8"/>
  <c r="J39" i="8"/>
  <c r="K89" i="7"/>
  <c r="L89" i="7"/>
  <c r="L35" i="7"/>
  <c r="K35" i="7"/>
  <c r="K173" i="6"/>
  <c r="L173" i="6"/>
  <c r="L135" i="6"/>
  <c r="L99" i="6"/>
  <c r="K99" i="6"/>
  <c r="K158" i="4"/>
  <c r="J158" i="4"/>
  <c r="K140" i="4"/>
  <c r="J140" i="4"/>
  <c r="K72" i="4"/>
  <c r="J72" i="4"/>
  <c r="K87" i="16"/>
  <c r="J87" i="16"/>
  <c r="J27" i="14"/>
  <c r="K27" i="14"/>
  <c r="K61" i="13"/>
  <c r="J61" i="13"/>
  <c r="K66" i="12"/>
  <c r="J66" i="12"/>
  <c r="K14" i="12"/>
  <c r="J14" i="12"/>
  <c r="J64" i="11"/>
  <c r="K64" i="11"/>
  <c r="K26" i="11"/>
  <c r="J26" i="11"/>
  <c r="K61" i="10"/>
  <c r="J61" i="10"/>
  <c r="J58" i="9"/>
  <c r="K58" i="9"/>
  <c r="L50" i="7"/>
  <c r="K50" i="7"/>
  <c r="K66" i="6"/>
  <c r="L66" i="6"/>
  <c r="K26" i="5"/>
  <c r="J26" i="5"/>
  <c r="J24" i="17"/>
  <c r="J166" i="16"/>
  <c r="K67" i="16"/>
  <c r="K58" i="16"/>
  <c r="K96" i="15"/>
  <c r="K90" i="14"/>
  <c r="K106" i="15"/>
  <c r="J42" i="15"/>
  <c r="K84" i="15"/>
  <c r="J88" i="12"/>
  <c r="K14" i="11"/>
  <c r="K60" i="10"/>
  <c r="J101" i="9"/>
  <c r="K95" i="10"/>
  <c r="K54" i="4"/>
  <c r="J99" i="5"/>
  <c r="K69" i="7"/>
  <c r="K135" i="6"/>
  <c r="I52" i="25"/>
  <c r="K96" i="7"/>
  <c r="L31" i="7"/>
  <c r="K31" i="7"/>
  <c r="K121" i="6"/>
  <c r="K162" i="7"/>
  <c r="L162" i="7"/>
  <c r="L134" i="7"/>
  <c r="K134" i="7"/>
  <c r="K53" i="7"/>
  <c r="L53" i="7"/>
  <c r="J162" i="5"/>
  <c r="K162" i="5"/>
  <c r="K153" i="5"/>
  <c r="J153" i="5"/>
  <c r="K155" i="4"/>
  <c r="J155" i="4"/>
  <c r="I138" i="19"/>
  <c r="L162" i="6"/>
  <c r="K162" i="6"/>
  <c r="L126" i="6"/>
  <c r="K126" i="6"/>
  <c r="L25" i="6"/>
  <c r="K25" i="6"/>
  <c r="K174" i="5"/>
  <c r="J174" i="5"/>
  <c r="J116" i="5"/>
  <c r="K54" i="5"/>
  <c r="J54" i="5"/>
  <c r="L20" i="7"/>
  <c r="K20" i="7"/>
  <c r="K110" i="6"/>
  <c r="L110" i="6"/>
  <c r="K34" i="6"/>
  <c r="K109" i="5"/>
  <c r="J109" i="5"/>
  <c r="K20" i="5"/>
  <c r="J20" i="5"/>
  <c r="K26" i="4"/>
  <c r="J26" i="4"/>
  <c r="K70" i="3"/>
  <c r="J70" i="3"/>
  <c r="K44" i="3"/>
  <c r="J44" i="3"/>
  <c r="J73" i="9"/>
  <c r="K50" i="10"/>
  <c r="J50" i="10"/>
  <c r="J119" i="9"/>
  <c r="K119" i="9"/>
  <c r="J119" i="4"/>
  <c r="K119" i="4"/>
  <c r="K30" i="4"/>
  <c r="J30" i="4"/>
  <c r="K169" i="3"/>
  <c r="J169" i="3"/>
  <c r="K159" i="3"/>
  <c r="J159" i="3"/>
  <c r="K71" i="3"/>
  <c r="J71" i="3"/>
  <c r="K41" i="3"/>
  <c r="J41" i="3"/>
  <c r="K20" i="8"/>
  <c r="J20" i="8"/>
  <c r="L164" i="7"/>
  <c r="K164" i="7"/>
  <c r="I64" i="24"/>
  <c r="I64" i="25"/>
  <c r="I108" i="21"/>
  <c r="J24" i="12"/>
  <c r="K142" i="4"/>
  <c r="J80" i="4"/>
  <c r="I17" i="26"/>
  <c r="J13" i="10"/>
  <c r="K159" i="7"/>
  <c r="J73" i="14"/>
  <c r="J73" i="8"/>
  <c r="J76" i="4"/>
  <c r="J96" i="8"/>
  <c r="L167" i="6"/>
  <c r="K167" i="6"/>
  <c r="K152" i="16"/>
  <c r="J152" i="16"/>
  <c r="K107" i="16"/>
  <c r="J107" i="16"/>
  <c r="J116" i="15"/>
  <c r="K116" i="15"/>
  <c r="K96" i="4"/>
  <c r="J96" i="4"/>
  <c r="K139" i="3"/>
  <c r="J139" i="3"/>
  <c r="K111" i="3"/>
  <c r="J111" i="3"/>
  <c r="K27" i="3"/>
  <c r="J27" i="3"/>
  <c r="K113" i="4"/>
  <c r="J113" i="4"/>
  <c r="J69" i="4"/>
  <c r="K69" i="4"/>
  <c r="J168" i="3"/>
  <c r="K168" i="3"/>
  <c r="J82" i="3"/>
  <c r="K82" i="3"/>
  <c r="K28" i="23"/>
  <c r="J28" i="23"/>
  <c r="K31" i="15"/>
  <c r="J31" i="15"/>
  <c r="K80" i="14"/>
  <c r="J80" i="14"/>
  <c r="K64" i="13"/>
  <c r="J64" i="13"/>
  <c r="K61" i="12"/>
  <c r="J61" i="12"/>
  <c r="K92" i="10"/>
  <c r="J92" i="10"/>
  <c r="K58" i="10"/>
  <c r="J58" i="10"/>
  <c r="J133" i="8"/>
  <c r="K133" i="8"/>
  <c r="K37" i="8"/>
  <c r="J37" i="8"/>
  <c r="L115" i="7"/>
  <c r="K115" i="7"/>
  <c r="K67" i="7"/>
  <c r="L67" i="7"/>
  <c r="J115" i="5"/>
  <c r="K115" i="5"/>
  <c r="K168" i="4"/>
  <c r="J168" i="4"/>
  <c r="J130" i="4"/>
  <c r="K130" i="4"/>
  <c r="J70" i="4"/>
  <c r="K70" i="4"/>
  <c r="K76" i="17"/>
  <c r="J76" i="17"/>
  <c r="K179" i="16"/>
  <c r="J179" i="16"/>
  <c r="K35" i="14"/>
  <c r="J35" i="14"/>
  <c r="K111" i="13"/>
  <c r="J111" i="13"/>
  <c r="K26" i="12"/>
  <c r="J26" i="12"/>
  <c r="K92" i="11"/>
  <c r="J92" i="11"/>
  <c r="K84" i="11"/>
  <c r="J84" i="11"/>
  <c r="K34" i="11"/>
  <c r="J34" i="11"/>
  <c r="J12" i="11"/>
  <c r="K12" i="11"/>
  <c r="K140" i="9"/>
  <c r="J140" i="9"/>
  <c r="J70" i="9"/>
  <c r="K70" i="9"/>
  <c r="K38" i="9"/>
  <c r="J38" i="9"/>
  <c r="K124" i="8"/>
  <c r="J124" i="8"/>
  <c r="J110" i="8"/>
  <c r="K110" i="8"/>
  <c r="J90" i="8"/>
  <c r="K90" i="8"/>
  <c r="J82" i="8"/>
  <c r="K82" i="8"/>
  <c r="L112" i="7"/>
  <c r="K112" i="7"/>
  <c r="L48" i="7"/>
  <c r="K48" i="7"/>
  <c r="L86" i="6"/>
  <c r="K86" i="6"/>
  <c r="K64" i="6"/>
  <c r="J184" i="5"/>
  <c r="K184" i="5"/>
  <c r="K88" i="5"/>
  <c r="J88" i="5"/>
  <c r="K80" i="5"/>
  <c r="J80" i="5"/>
  <c r="K125" i="4"/>
  <c r="J125" i="4"/>
  <c r="K159" i="16"/>
  <c r="J60" i="15"/>
  <c r="J35" i="17"/>
  <c r="J72" i="16"/>
  <c r="J18" i="16"/>
  <c r="J99" i="12"/>
  <c r="J102" i="15"/>
  <c r="K82" i="13"/>
  <c r="K63" i="14"/>
  <c r="K75" i="13"/>
  <c r="K67" i="11"/>
  <c r="J164" i="12"/>
  <c r="J151" i="12" s="1"/>
  <c r="K33" i="13"/>
  <c r="J70" i="11"/>
  <c r="K152" i="8"/>
  <c r="J114" i="11"/>
  <c r="K114" i="11"/>
  <c r="K104" i="11" s="1"/>
  <c r="J47" i="10"/>
  <c r="K34" i="7"/>
  <c r="L34" i="7"/>
  <c r="K47" i="13"/>
  <c r="J47" i="13"/>
  <c r="J134" i="4"/>
  <c r="K134" i="4"/>
  <c r="K119" i="3"/>
  <c r="J119" i="3"/>
  <c r="K65" i="3"/>
  <c r="J65" i="3"/>
  <c r="J91" i="4"/>
  <c r="K91" i="4"/>
  <c r="K158" i="3"/>
  <c r="J158" i="3"/>
  <c r="K140" i="3"/>
  <c r="J140" i="3"/>
  <c r="K166" i="3"/>
  <c r="J166" i="3"/>
  <c r="K12" i="23"/>
  <c r="J12" i="23"/>
  <c r="K20" i="22"/>
  <c r="J20" i="22"/>
  <c r="J161" i="17"/>
  <c r="K161" i="17"/>
  <c r="K97" i="17"/>
  <c r="J97" i="17"/>
  <c r="J77" i="17"/>
  <c r="K77" i="17"/>
  <c r="K17" i="17"/>
  <c r="J17" i="17"/>
  <c r="J90" i="16"/>
  <c r="K90" i="16"/>
  <c r="K64" i="16"/>
  <c r="J64" i="16"/>
  <c r="K151" i="15"/>
  <c r="J151" i="15"/>
  <c r="K63" i="15"/>
  <c r="J63" i="15"/>
  <c r="K60" i="14"/>
  <c r="J60" i="14"/>
  <c r="K90" i="13"/>
  <c r="J90" i="13"/>
  <c r="K36" i="13"/>
  <c r="J36" i="13"/>
  <c r="K81" i="12"/>
  <c r="J81" i="12"/>
  <c r="K125" i="11"/>
  <c r="K123" i="11" s="1"/>
  <c r="J125" i="11"/>
  <c r="J123" i="11" s="1"/>
  <c r="J99" i="11"/>
  <c r="K99" i="11"/>
  <c r="K158" i="10"/>
  <c r="J158" i="10"/>
  <c r="J74" i="10"/>
  <c r="K74" i="10"/>
  <c r="J28" i="10"/>
  <c r="K28" i="10"/>
  <c r="K99" i="8"/>
  <c r="J99" i="8"/>
  <c r="J69" i="8"/>
  <c r="K69" i="8"/>
  <c r="J19" i="8"/>
  <c r="K19" i="8"/>
  <c r="K87" i="7"/>
  <c r="L87" i="7"/>
  <c r="L59" i="7"/>
  <c r="K59" i="7"/>
  <c r="L97" i="6"/>
  <c r="K97" i="6"/>
  <c r="K97" i="5"/>
  <c r="J97" i="5"/>
  <c r="K152" i="4"/>
  <c r="J152" i="4"/>
  <c r="K125" i="3"/>
  <c r="J125" i="3"/>
  <c r="J85" i="22"/>
  <c r="K85" i="22"/>
  <c r="K39" i="22"/>
  <c r="J39" i="22"/>
  <c r="K96" i="17"/>
  <c r="J96" i="17"/>
  <c r="K66" i="17"/>
  <c r="J66" i="17"/>
  <c r="K83" i="16"/>
  <c r="J83" i="16"/>
  <c r="J71" i="16"/>
  <c r="K71" i="16"/>
  <c r="K126" i="15"/>
  <c r="J126" i="15"/>
  <c r="J91" i="10"/>
  <c r="K91" i="10"/>
  <c r="K75" i="10"/>
  <c r="J75" i="10"/>
  <c r="J158" i="9"/>
  <c r="K158" i="9"/>
  <c r="J60" i="8"/>
  <c r="K60" i="8"/>
  <c r="K102" i="7"/>
  <c r="L102" i="7"/>
  <c r="L92" i="7"/>
  <c r="K92" i="7"/>
  <c r="L62" i="7"/>
  <c r="K62" i="7"/>
  <c r="L174" i="6"/>
  <c r="K174" i="6"/>
  <c r="L106" i="6"/>
  <c r="K106" i="6"/>
  <c r="K72" i="6"/>
  <c r="L42" i="6"/>
  <c r="K42" i="6"/>
  <c r="K122" i="5"/>
  <c r="J122" i="5"/>
  <c r="K66" i="5"/>
  <c r="J66" i="5"/>
  <c r="J13" i="23"/>
  <c r="J71" i="22"/>
  <c r="K60" i="22"/>
  <c r="K31" i="22"/>
  <c r="J43" i="17"/>
  <c r="K176" i="16"/>
  <c r="K95" i="16"/>
  <c r="K89" i="11"/>
  <c r="K92" i="9"/>
  <c r="K84" i="9"/>
  <c r="J101" i="10"/>
  <c r="K66" i="10"/>
  <c r="K89" i="9"/>
  <c r="L159" i="6"/>
  <c r="K64" i="4"/>
  <c r="K150" i="6"/>
  <c r="K141" i="6"/>
  <c r="K36" i="6"/>
  <c r="L36" i="6"/>
  <c r="L19" i="6"/>
  <c r="K19" i="6"/>
  <c r="K169" i="5"/>
  <c r="J169" i="5"/>
  <c r="K161" i="5"/>
  <c r="J161" i="5"/>
  <c r="K77" i="5"/>
  <c r="J77" i="5"/>
  <c r="J73" i="5" s="1"/>
  <c r="J35" i="5"/>
  <c r="K35" i="5"/>
  <c r="K163" i="4"/>
  <c r="J163" i="4"/>
  <c r="K127" i="4"/>
  <c r="J127" i="4"/>
  <c r="K59" i="4"/>
  <c r="K134" i="6"/>
  <c r="L134" i="6"/>
  <c r="K160" i="16"/>
  <c r="J160" i="16"/>
  <c r="K144" i="16"/>
  <c r="J144" i="16"/>
  <c r="K119" i="16"/>
  <c r="K14" i="16"/>
  <c r="J14" i="16"/>
  <c r="K49" i="3"/>
  <c r="J49" i="3"/>
  <c r="K139" i="4"/>
  <c r="J139" i="4"/>
  <c r="K101" i="4"/>
  <c r="J101" i="4"/>
  <c r="J81" i="4"/>
  <c r="K81" i="4"/>
  <c r="K21" i="4"/>
  <c r="J21" i="4"/>
  <c r="K124" i="3"/>
  <c r="J124" i="3"/>
  <c r="K34" i="3"/>
  <c r="J34" i="3"/>
  <c r="K36" i="23"/>
  <c r="J36" i="23"/>
  <c r="K20" i="23"/>
  <c r="J20" i="23"/>
  <c r="J28" i="22"/>
  <c r="K28" i="22"/>
  <c r="K87" i="17"/>
  <c r="J87" i="17"/>
  <c r="J67" i="17"/>
  <c r="K67" i="17"/>
  <c r="K100" i="16"/>
  <c r="J100" i="16"/>
  <c r="K54" i="16"/>
  <c r="K52" i="16" s="1"/>
  <c r="J54" i="16"/>
  <c r="K129" i="15"/>
  <c r="J129" i="15"/>
  <c r="K71" i="15"/>
  <c r="J71" i="15"/>
  <c r="K68" i="14"/>
  <c r="J68" i="14"/>
  <c r="K150" i="13"/>
  <c r="K146" i="13" s="1"/>
  <c r="J150" i="13"/>
  <c r="J146" i="13" s="1"/>
  <c r="K72" i="13"/>
  <c r="J72" i="13"/>
  <c r="J157" i="8"/>
  <c r="K157" i="8"/>
  <c r="J87" i="8"/>
  <c r="K87" i="8"/>
  <c r="J61" i="8"/>
  <c r="K61" i="8"/>
  <c r="L145" i="7"/>
  <c r="K145" i="7"/>
  <c r="K21" i="7"/>
  <c r="L21" i="7"/>
  <c r="K109" i="6"/>
  <c r="L109" i="6"/>
  <c r="K45" i="6"/>
  <c r="L45" i="6"/>
  <c r="J47" i="5"/>
  <c r="K47" i="5"/>
  <c r="K98" i="4"/>
  <c r="J98" i="4"/>
  <c r="K54" i="17"/>
  <c r="K52" i="17" s="1"/>
  <c r="J54" i="17"/>
  <c r="J52" i="17" s="1"/>
  <c r="K61" i="16"/>
  <c r="J61" i="16"/>
  <c r="J92" i="15"/>
  <c r="K92" i="15"/>
  <c r="K80" i="15"/>
  <c r="J80" i="15"/>
  <c r="K36" i="15"/>
  <c r="K32" i="15" s="1"/>
  <c r="J36" i="15"/>
  <c r="K64" i="12"/>
  <c r="J64" i="12"/>
  <c r="K58" i="5"/>
  <c r="J58" i="5"/>
  <c r="K33" i="23"/>
  <c r="K49" i="22"/>
  <c r="J86" i="17"/>
  <c r="J59" i="17"/>
  <c r="K103" i="16"/>
  <c r="J82" i="16"/>
  <c r="J91" i="13"/>
  <c r="J25" i="16"/>
  <c r="J139" i="14"/>
  <c r="J138" i="14" s="1"/>
  <c r="J37" i="12"/>
  <c r="J88" i="14"/>
  <c r="J89" i="12"/>
  <c r="K22" i="11"/>
  <c r="J122" i="11"/>
  <c r="J84" i="10"/>
  <c r="K99" i="9"/>
  <c r="K65" i="9"/>
  <c r="K47" i="9"/>
  <c r="L97" i="7"/>
  <c r="K48" i="22"/>
  <c r="J48" i="22"/>
  <c r="J160" i="17"/>
  <c r="K160" i="17"/>
  <c r="J44" i="17"/>
  <c r="K44" i="17"/>
  <c r="K40" i="17" s="1"/>
  <c r="J152" i="15"/>
  <c r="K152" i="15"/>
  <c r="K147" i="14"/>
  <c r="J147" i="14"/>
  <c r="K114" i="14"/>
  <c r="J114" i="14"/>
  <c r="J23" i="23"/>
  <c r="K26" i="8"/>
  <c r="L154" i="7"/>
  <c r="K154" i="7"/>
  <c r="L126" i="7"/>
  <c r="K126" i="7"/>
  <c r="L19" i="7"/>
  <c r="K19" i="7"/>
  <c r="L142" i="6"/>
  <c r="K142" i="6"/>
  <c r="K30" i="6"/>
  <c r="L30" i="6"/>
  <c r="K157" i="5"/>
  <c r="J157" i="5"/>
  <c r="K126" i="3"/>
  <c r="J126" i="3"/>
  <c r="K14" i="4"/>
  <c r="J14" i="4"/>
  <c r="K145" i="3"/>
  <c r="J145" i="3"/>
  <c r="K99" i="3"/>
  <c r="K94" i="3" s="1"/>
  <c r="J99" i="3"/>
  <c r="J94" i="3" s="1"/>
  <c r="L157" i="6"/>
  <c r="L37" i="6"/>
  <c r="K156" i="5"/>
  <c r="J156" i="5"/>
  <c r="K120" i="3"/>
  <c r="J120" i="3"/>
  <c r="K149" i="8"/>
  <c r="J149" i="8"/>
  <c r="K167" i="7"/>
  <c r="L167" i="7"/>
  <c r="K27" i="9"/>
  <c r="J27" i="9"/>
  <c r="K152" i="5"/>
  <c r="J152" i="5"/>
  <c r="K144" i="5"/>
  <c r="J144" i="5"/>
  <c r="K38" i="4"/>
  <c r="J38" i="4"/>
  <c r="K171" i="3"/>
  <c r="J171" i="3"/>
  <c r="K127" i="3"/>
  <c r="J127" i="3"/>
  <c r="K13" i="3"/>
  <c r="J13" i="3"/>
  <c r="L18" i="7"/>
  <c r="K18" i="7"/>
  <c r="K48" i="6"/>
  <c r="L13" i="6"/>
  <c r="K13" i="6"/>
  <c r="K24" i="4"/>
  <c r="J24" i="4"/>
  <c r="K128" i="3"/>
  <c r="J128" i="3"/>
  <c r="K84" i="3"/>
  <c r="J84" i="3"/>
  <c r="K68" i="3"/>
  <c r="J68" i="3"/>
  <c r="K42" i="3"/>
  <c r="J42" i="3"/>
  <c r="K24" i="3"/>
  <c r="J24" i="3"/>
  <c r="K14" i="8"/>
  <c r="J14" i="8"/>
  <c r="L37" i="7"/>
  <c r="K37" i="7"/>
  <c r="K148" i="3"/>
  <c r="J148" i="3"/>
  <c r="K106" i="5"/>
  <c r="K16" i="4"/>
  <c r="J147" i="3"/>
  <c r="I40" i="19"/>
  <c r="K142" i="8"/>
  <c r="K157" i="6"/>
  <c r="L27" i="6"/>
  <c r="K27" i="6"/>
  <c r="K107" i="7"/>
  <c r="L119" i="7"/>
  <c r="K85" i="3"/>
  <c r="J85" i="3"/>
  <c r="K54" i="3"/>
  <c r="J54" i="3"/>
  <c r="I52" i="18"/>
  <c r="K73" i="7"/>
  <c r="I44" i="29"/>
  <c r="I52" i="19"/>
  <c r="K49" i="4"/>
  <c r="K16" i="9"/>
  <c r="K19" i="5"/>
  <c r="J85" i="4"/>
  <c r="J15" i="4"/>
  <c r="K54" i="6"/>
  <c r="K39" i="6"/>
  <c r="J92" i="3"/>
  <c r="J31" i="3"/>
  <c r="J40" i="23"/>
  <c r="J73" i="22"/>
  <c r="J73" i="3"/>
  <c r="J21" i="10"/>
  <c r="J161" i="9"/>
  <c r="J90" i="3"/>
  <c r="J25" i="3"/>
  <c r="I82" i="20"/>
  <c r="K91" i="17"/>
  <c r="I46" i="19"/>
  <c r="J65" i="13"/>
  <c r="K105" i="7"/>
  <c r="J32" i="23"/>
  <c r="J73" i="12"/>
  <c r="J83" i="17"/>
  <c r="J36" i="10"/>
  <c r="K45" i="22"/>
  <c r="K137" i="7"/>
  <c r="K123" i="9"/>
  <c r="I28" i="26"/>
  <c r="K63" i="4"/>
  <c r="K152" i="13"/>
  <c r="I90" i="31"/>
  <c r="K151" i="12"/>
  <c r="I107" i="20"/>
  <c r="I23" i="25"/>
  <c r="I91" i="20"/>
  <c r="I67" i="31"/>
  <c r="I11" i="20"/>
  <c r="I32" i="20"/>
  <c r="K11" i="13"/>
  <c r="I25" i="31"/>
  <c r="I23" i="24"/>
  <c r="I40" i="25"/>
  <c r="I53" i="21"/>
  <c r="I40" i="18"/>
  <c r="I23" i="18"/>
  <c r="I57" i="19"/>
  <c r="J94" i="13"/>
  <c r="I82" i="21"/>
  <c r="I145" i="19"/>
  <c r="I32" i="25"/>
  <c r="I32" i="18"/>
  <c r="I40" i="20"/>
  <c r="I32" i="24"/>
  <c r="I129" i="18"/>
  <c r="I46" i="18"/>
  <c r="J52" i="15"/>
  <c r="J123" i="10"/>
  <c r="J94" i="22"/>
  <c r="I11" i="19"/>
  <c r="J168" i="15"/>
  <c r="K123" i="10"/>
  <c r="J46" i="14"/>
  <c r="J11" i="14"/>
  <c r="J52" i="13"/>
  <c r="I10" i="30"/>
  <c r="I46" i="24"/>
  <c r="K73" i="6"/>
  <c r="I27" i="29"/>
  <c r="I25" i="28"/>
  <c r="I40" i="24"/>
  <c r="I101" i="20"/>
  <c r="I102" i="21"/>
  <c r="I61" i="31"/>
  <c r="I19" i="30"/>
  <c r="I11" i="18"/>
  <c r="I23" i="21"/>
  <c r="I23" i="20"/>
  <c r="I53" i="31"/>
  <c r="I9" i="32"/>
  <c r="E41" i="2" s="1"/>
  <c r="I32" i="19"/>
  <c r="I146" i="18"/>
  <c r="J145" i="9"/>
  <c r="I21" i="29"/>
  <c r="I21" i="28"/>
  <c r="I11" i="28"/>
  <c r="I46" i="21"/>
  <c r="I32" i="21"/>
  <c r="I94" i="18"/>
  <c r="I10" i="31"/>
  <c r="I39" i="29"/>
  <c r="I32" i="28"/>
  <c r="I11" i="26"/>
  <c r="I46" i="20"/>
  <c r="I11" i="21"/>
  <c r="I129" i="19"/>
  <c r="I50" i="29"/>
  <c r="I46" i="25"/>
  <c r="I52" i="24"/>
  <c r="K138" i="12"/>
  <c r="J46" i="4"/>
  <c r="I39" i="31"/>
  <c r="I40" i="21"/>
  <c r="J94" i="14"/>
  <c r="I11" i="24"/>
  <c r="I33" i="29"/>
  <c r="I10" i="29"/>
  <c r="I23" i="19"/>
  <c r="I57" i="18"/>
  <c r="J73" i="11"/>
  <c r="L121" i="7"/>
  <c r="K121" i="7"/>
  <c r="J151" i="8"/>
  <c r="K151" i="8"/>
  <c r="L165" i="7"/>
  <c r="K165" i="7"/>
  <c r="L149" i="7"/>
  <c r="K149" i="7"/>
  <c r="K146" i="7" s="1"/>
  <c r="L133" i="7"/>
  <c r="K133" i="7"/>
  <c r="K24" i="8"/>
  <c r="J24" i="8"/>
  <c r="J36" i="8"/>
  <c r="K36" i="8"/>
  <c r="J12" i="9"/>
  <c r="K12" i="9"/>
  <c r="J34" i="8"/>
  <c r="K34" i="8"/>
  <c r="J20" i="16"/>
  <c r="K20" i="16"/>
  <c r="K25" i="9"/>
  <c r="J25" i="9"/>
  <c r="K30" i="8"/>
  <c r="J30" i="8"/>
  <c r="J117" i="8"/>
  <c r="K117" i="8"/>
  <c r="K24" i="5"/>
  <c r="J24" i="5"/>
  <c r="J55" i="4"/>
  <c r="K55" i="4"/>
  <c r="K45" i="4"/>
  <c r="J45" i="4"/>
  <c r="J105" i="22"/>
  <c r="K105" i="22"/>
  <c r="J160" i="8"/>
  <c r="K160" i="8"/>
  <c r="J51" i="8"/>
  <c r="K51" i="8"/>
  <c r="K41" i="8"/>
  <c r="J41" i="8"/>
  <c r="J15" i="5"/>
  <c r="K15" i="5"/>
  <c r="K50" i="22"/>
  <c r="J50" i="22"/>
  <c r="J41" i="22"/>
  <c r="J40" i="22" s="1"/>
  <c r="K41" i="22"/>
  <c r="J121" i="8"/>
  <c r="K121" i="8"/>
  <c r="K45" i="8"/>
  <c r="J45" i="8"/>
  <c r="J55" i="8"/>
  <c r="K55" i="8"/>
  <c r="J38" i="8"/>
  <c r="K38" i="8"/>
  <c r="A23" i="28"/>
  <c r="A22" i="28"/>
  <c r="A24" i="28"/>
  <c r="A54" i="25"/>
  <c r="A53" i="25"/>
  <c r="A55" i="25"/>
  <c r="A16" i="26"/>
  <c r="A12" i="26"/>
  <c r="A15" i="26"/>
  <c r="A14" i="26"/>
  <c r="A13" i="26"/>
  <c r="A22" i="25"/>
  <c r="A21" i="25"/>
  <c r="A20" i="25"/>
  <c r="A19" i="25"/>
  <c r="A18" i="25"/>
  <c r="A17" i="25"/>
  <c r="A16" i="25"/>
  <c r="A15" i="25"/>
  <c r="A14" i="25"/>
  <c r="A13" i="25"/>
  <c r="A12" i="25"/>
  <c r="A141" i="22"/>
  <c r="A139" i="22"/>
  <c r="A140" i="22"/>
  <c r="A22" i="21"/>
  <c r="A18" i="21"/>
  <c r="A21" i="21"/>
  <c r="A17" i="21"/>
  <c r="A16" i="21"/>
  <c r="A15" i="21"/>
  <c r="A14" i="21"/>
  <c r="A13" i="21"/>
  <c r="A12" i="21"/>
  <c r="A20" i="21"/>
  <c r="A19" i="21"/>
  <c r="J121" i="22"/>
  <c r="K121" i="22"/>
  <c r="A51" i="22"/>
  <c r="A49" i="22"/>
  <c r="A47" i="22"/>
  <c r="A48" i="22"/>
  <c r="A50" i="22"/>
  <c r="A72" i="21"/>
  <c r="A71" i="21"/>
  <c r="A70" i="21"/>
  <c r="A66" i="21"/>
  <c r="A54" i="21"/>
  <c r="A75" i="21"/>
  <c r="A69" i="21"/>
  <c r="A65" i="21"/>
  <c r="A74" i="21"/>
  <c r="A68" i="21"/>
  <c r="A64" i="21"/>
  <c r="A63" i="21"/>
  <c r="A62" i="21"/>
  <c r="A61" i="21"/>
  <c r="A60" i="21"/>
  <c r="A59" i="21"/>
  <c r="A58" i="21"/>
  <c r="A57" i="21"/>
  <c r="A56" i="21"/>
  <c r="A73" i="21"/>
  <c r="A55" i="21"/>
  <c r="A67" i="21"/>
  <c r="A31" i="20"/>
  <c r="A30" i="20"/>
  <c r="A29" i="20"/>
  <c r="A25" i="20"/>
  <c r="A28" i="20"/>
  <c r="A24" i="20"/>
  <c r="A27" i="20"/>
  <c r="A26" i="20"/>
  <c r="A59" i="24"/>
  <c r="A58" i="24"/>
  <c r="A100" i="20"/>
  <c r="A99" i="20"/>
  <c r="A98" i="20"/>
  <c r="A133" i="19"/>
  <c r="A132" i="19"/>
  <c r="A131" i="19"/>
  <c r="A130" i="19"/>
  <c r="A137" i="19"/>
  <c r="A136" i="19"/>
  <c r="A135" i="19"/>
  <c r="A134" i="19"/>
  <c r="A70" i="19"/>
  <c r="A66" i="19"/>
  <c r="A62" i="19"/>
  <c r="A58" i="19"/>
  <c r="A69" i="19"/>
  <c r="A65" i="19"/>
  <c r="A61" i="19"/>
  <c r="A72" i="19"/>
  <c r="A68" i="19"/>
  <c r="A64" i="19"/>
  <c r="A60" i="19"/>
  <c r="A67" i="19"/>
  <c r="A71" i="19"/>
  <c r="A59" i="19"/>
  <c r="A63" i="19"/>
  <c r="A29" i="18"/>
  <c r="A25" i="18"/>
  <c r="A28" i="18"/>
  <c r="A24" i="18"/>
  <c r="A31" i="18"/>
  <c r="A27" i="18"/>
  <c r="A30" i="18"/>
  <c r="A26" i="18"/>
  <c r="A163" i="19"/>
  <c r="A162" i="19"/>
  <c r="A161" i="19"/>
  <c r="A160" i="19"/>
  <c r="A159" i="19"/>
  <c r="A158" i="19"/>
  <c r="A157" i="19"/>
  <c r="A156" i="19"/>
  <c r="A155" i="19"/>
  <c r="A154" i="19"/>
  <c r="A153" i="19"/>
  <c r="A152" i="19"/>
  <c r="A131" i="17"/>
  <c r="A128" i="17"/>
  <c r="A130" i="17"/>
  <c r="A127" i="17"/>
  <c r="A129" i="17"/>
  <c r="A55" i="17"/>
  <c r="A53" i="17"/>
  <c r="A54" i="17"/>
  <c r="A92" i="17"/>
  <c r="A90" i="17"/>
  <c r="A88" i="17"/>
  <c r="A86" i="17"/>
  <c r="A84" i="17"/>
  <c r="A81" i="17"/>
  <c r="A93" i="17"/>
  <c r="A91" i="17"/>
  <c r="A89" i="17"/>
  <c r="A87" i="17"/>
  <c r="A85" i="17"/>
  <c r="A83" i="17"/>
  <c r="A82" i="17"/>
  <c r="A80" i="17"/>
  <c r="A31" i="17"/>
  <c r="A29" i="17"/>
  <c r="A27" i="17"/>
  <c r="A25" i="17"/>
  <c r="A30" i="17"/>
  <c r="A28" i="17"/>
  <c r="A26" i="17"/>
  <c r="A24" i="17"/>
  <c r="A161" i="15"/>
  <c r="A160" i="15"/>
  <c r="A159" i="15"/>
  <c r="A50" i="16"/>
  <c r="A48" i="16"/>
  <c r="A51" i="16"/>
  <c r="A49" i="16"/>
  <c r="A47" i="16"/>
  <c r="A54" i="16"/>
  <c r="A55" i="16"/>
  <c r="A53" i="16"/>
  <c r="A127" i="14"/>
  <c r="A124" i="14"/>
  <c r="A126" i="14"/>
  <c r="A128" i="14"/>
  <c r="A125" i="14"/>
  <c r="A135" i="14"/>
  <c r="A131" i="14"/>
  <c r="A134" i="14"/>
  <c r="A130" i="14"/>
  <c r="A137" i="14"/>
  <c r="A133" i="14"/>
  <c r="A136" i="14"/>
  <c r="A132" i="14"/>
  <c r="A113" i="14"/>
  <c r="A109" i="14"/>
  <c r="A121" i="14"/>
  <c r="A119" i="14"/>
  <c r="A117" i="14"/>
  <c r="A115" i="14"/>
  <c r="A112" i="14"/>
  <c r="A108" i="14"/>
  <c r="A105" i="14"/>
  <c r="A111" i="14"/>
  <c r="A107" i="14"/>
  <c r="A122" i="14"/>
  <c r="A120" i="14"/>
  <c r="A118" i="14"/>
  <c r="A116" i="14"/>
  <c r="A114" i="14"/>
  <c r="A110" i="14"/>
  <c r="A106" i="14"/>
  <c r="A31" i="14"/>
  <c r="A29" i="14"/>
  <c r="A27" i="14"/>
  <c r="A25" i="14"/>
  <c r="A30" i="14"/>
  <c r="A28" i="14"/>
  <c r="A26" i="14"/>
  <c r="A24" i="14"/>
  <c r="A143" i="11"/>
  <c r="A142" i="11"/>
  <c r="A141" i="11"/>
  <c r="A45" i="13"/>
  <c r="A43" i="13"/>
  <c r="A41" i="13"/>
  <c r="A44" i="13"/>
  <c r="A42" i="13"/>
  <c r="A22" i="11"/>
  <c r="A20" i="11"/>
  <c r="A18" i="11"/>
  <c r="A16" i="11"/>
  <c r="A14" i="11"/>
  <c r="A12" i="11"/>
  <c r="A21" i="11"/>
  <c r="A19" i="11"/>
  <c r="A17" i="11"/>
  <c r="A15" i="11"/>
  <c r="A13" i="11"/>
  <c r="A37" i="13"/>
  <c r="A35" i="13"/>
  <c r="A33" i="13"/>
  <c r="A39" i="13"/>
  <c r="A38" i="13"/>
  <c r="A36" i="13"/>
  <c r="A34" i="13"/>
  <c r="A39" i="12"/>
  <c r="A37" i="12"/>
  <c r="A35" i="12"/>
  <c r="A33" i="12"/>
  <c r="A38" i="12"/>
  <c r="A36" i="12"/>
  <c r="A34" i="12"/>
  <c r="A50" i="13"/>
  <c r="A48" i="13"/>
  <c r="A51" i="13"/>
  <c r="A49" i="13"/>
  <c r="A47" i="13"/>
  <c r="A77" i="12"/>
  <c r="A76" i="12"/>
  <c r="A75" i="12"/>
  <c r="A78" i="12"/>
  <c r="A74" i="12"/>
  <c r="A44" i="12"/>
  <c r="A42" i="12"/>
  <c r="A45" i="12"/>
  <c r="A43" i="12"/>
  <c r="A41" i="12"/>
  <c r="A50" i="11"/>
  <c r="A48" i="11"/>
  <c r="A51" i="11"/>
  <c r="A49" i="11"/>
  <c r="A47" i="11"/>
  <c r="A128" i="8"/>
  <c r="A125" i="8"/>
  <c r="A127" i="8"/>
  <c r="A124" i="8"/>
  <c r="A126" i="8"/>
  <c r="A159" i="10"/>
  <c r="A157" i="10"/>
  <c r="A160" i="10"/>
  <c r="A158" i="10"/>
  <c r="A156" i="10"/>
  <c r="A45" i="10"/>
  <c r="A43" i="10"/>
  <c r="A41" i="10"/>
  <c r="A44" i="10"/>
  <c r="A42" i="10"/>
  <c r="A135" i="9"/>
  <c r="A130" i="9"/>
  <c r="A134" i="9"/>
  <c r="A132" i="9"/>
  <c r="A137" i="9"/>
  <c r="A131" i="9"/>
  <c r="A136" i="9"/>
  <c r="A133" i="9"/>
  <c r="A155" i="8"/>
  <c r="A153" i="8"/>
  <c r="A151" i="8"/>
  <c r="A154" i="8"/>
  <c r="A152" i="8"/>
  <c r="A93" i="10"/>
  <c r="A91" i="10"/>
  <c r="A89" i="10"/>
  <c r="A87" i="10"/>
  <c r="A85" i="10"/>
  <c r="A83" i="10"/>
  <c r="A80" i="10"/>
  <c r="A92" i="10"/>
  <c r="A90" i="10"/>
  <c r="A88" i="10"/>
  <c r="A86" i="10"/>
  <c r="A84" i="10"/>
  <c r="A81" i="10"/>
  <c r="A82" i="10"/>
  <c r="A30" i="9"/>
  <c r="A28" i="9"/>
  <c r="A26" i="9"/>
  <c r="A24" i="9"/>
  <c r="A31" i="9"/>
  <c r="A27" i="9"/>
  <c r="A29" i="9"/>
  <c r="A25" i="9"/>
  <c r="K106" i="8"/>
  <c r="J106" i="8"/>
  <c r="A20" i="6"/>
  <c r="A17" i="6"/>
  <c r="A13" i="6"/>
  <c r="A21" i="6"/>
  <c r="A18" i="6"/>
  <c r="A14" i="6"/>
  <c r="A22" i="6"/>
  <c r="A19" i="6"/>
  <c r="A15" i="6"/>
  <c r="A16" i="6"/>
  <c r="A12" i="6"/>
  <c r="K148" i="8"/>
  <c r="J148" i="8"/>
  <c r="A144" i="7"/>
  <c r="A142" i="7"/>
  <c r="A140" i="7"/>
  <c r="A145" i="7"/>
  <c r="A143" i="7"/>
  <c r="A141" i="7"/>
  <c r="A139" i="7"/>
  <c r="A163" i="6"/>
  <c r="A160" i="6"/>
  <c r="A161" i="6"/>
  <c r="A162" i="6"/>
  <c r="A159" i="6"/>
  <c r="A51" i="5"/>
  <c r="A49" i="5"/>
  <c r="A47" i="5"/>
  <c r="A50" i="5"/>
  <c r="A48" i="5"/>
  <c r="A102" i="4"/>
  <c r="A99" i="4"/>
  <c r="A97" i="4"/>
  <c r="A95" i="4"/>
  <c r="A100" i="4"/>
  <c r="A98" i="4"/>
  <c r="A96" i="4"/>
  <c r="A101" i="4"/>
  <c r="K131" i="8"/>
  <c r="J131" i="8"/>
  <c r="A44" i="8"/>
  <c r="A42" i="8"/>
  <c r="A45" i="8"/>
  <c r="A43" i="8"/>
  <c r="A41" i="8"/>
  <c r="A93" i="7"/>
  <c r="A91" i="7"/>
  <c r="A89" i="7"/>
  <c r="A87" i="7"/>
  <c r="A85" i="7"/>
  <c r="A83" i="7"/>
  <c r="A80" i="7"/>
  <c r="A92" i="7"/>
  <c r="A90" i="7"/>
  <c r="A88" i="7"/>
  <c r="A86" i="7"/>
  <c r="A84" i="7"/>
  <c r="A81" i="7"/>
  <c r="A82" i="7"/>
  <c r="A36" i="6"/>
  <c r="A37" i="6"/>
  <c r="A33" i="6"/>
  <c r="A38" i="6"/>
  <c r="A34" i="6"/>
  <c r="A39" i="6"/>
  <c r="A35" i="6"/>
  <c r="A30" i="6"/>
  <c r="A26" i="6"/>
  <c r="A31" i="6"/>
  <c r="A27" i="6"/>
  <c r="A28" i="6"/>
  <c r="A24" i="6"/>
  <c r="A29" i="6"/>
  <c r="A25" i="6"/>
  <c r="K120" i="4"/>
  <c r="J120" i="4"/>
  <c r="A172" i="3"/>
  <c r="A170" i="3"/>
  <c r="A168" i="3"/>
  <c r="A166" i="3"/>
  <c r="A164" i="3"/>
  <c r="A173" i="3"/>
  <c r="A171" i="3"/>
  <c r="A169" i="3"/>
  <c r="A167" i="3"/>
  <c r="A165" i="3"/>
  <c r="A39" i="3"/>
  <c r="A37" i="3"/>
  <c r="A35" i="3"/>
  <c r="A33" i="3"/>
  <c r="A38" i="3"/>
  <c r="A36" i="3"/>
  <c r="A34" i="3"/>
  <c r="A18" i="28"/>
  <c r="A20" i="28"/>
  <c r="A19" i="28"/>
  <c r="A59" i="25"/>
  <c r="A58" i="25"/>
  <c r="A45" i="25"/>
  <c r="A41" i="25"/>
  <c r="A44" i="25"/>
  <c r="A43" i="25"/>
  <c r="A42" i="25"/>
  <c r="A29" i="26"/>
  <c r="A30" i="26"/>
  <c r="A42" i="24"/>
  <c r="A45" i="24"/>
  <c r="A41" i="24"/>
  <c r="A44" i="24"/>
  <c r="A43" i="24"/>
  <c r="A121" i="22"/>
  <c r="A119" i="22"/>
  <c r="A117" i="22"/>
  <c r="A115" i="22"/>
  <c r="A112" i="22"/>
  <c r="A108" i="22"/>
  <c r="A105" i="22"/>
  <c r="A111" i="22"/>
  <c r="A107" i="22"/>
  <c r="A122" i="22"/>
  <c r="A120" i="22"/>
  <c r="A118" i="22"/>
  <c r="A116" i="22"/>
  <c r="A114" i="22"/>
  <c r="A110" i="22"/>
  <c r="A106" i="22"/>
  <c r="A113" i="22"/>
  <c r="A109" i="22"/>
  <c r="A85" i="21"/>
  <c r="A84" i="21"/>
  <c r="A83" i="21"/>
  <c r="A90" i="21"/>
  <c r="A89" i="21"/>
  <c r="A88" i="21"/>
  <c r="A87" i="21"/>
  <c r="A86" i="21"/>
  <c r="A77" i="21"/>
  <c r="A81" i="21"/>
  <c r="A80" i="21"/>
  <c r="A79" i="21"/>
  <c r="A78" i="21"/>
  <c r="A90" i="20"/>
  <c r="A89" i="20"/>
  <c r="A88" i="20"/>
  <c r="A87" i="20"/>
  <c r="A86" i="20"/>
  <c r="A85" i="20"/>
  <c r="A84" i="20"/>
  <c r="A83" i="20"/>
  <c r="A149" i="18"/>
  <c r="A148" i="18"/>
  <c r="A147" i="18"/>
  <c r="A151" i="18"/>
  <c r="A150" i="18"/>
  <c r="A103" i="20"/>
  <c r="A102" i="20"/>
  <c r="A106" i="20"/>
  <c r="A105" i="20"/>
  <c r="A104" i="20"/>
  <c r="A102" i="19"/>
  <c r="A101" i="19"/>
  <c r="A100" i="19"/>
  <c r="A99" i="19"/>
  <c r="A98" i="19"/>
  <c r="A97" i="19"/>
  <c r="A96" i="19"/>
  <c r="A95" i="19"/>
  <c r="A144" i="19"/>
  <c r="A143" i="19"/>
  <c r="A142" i="19"/>
  <c r="A124" i="17"/>
  <c r="A114" i="17"/>
  <c r="A110" i="17"/>
  <c r="A106" i="17"/>
  <c r="A123" i="17"/>
  <c r="A121" i="17"/>
  <c r="A119" i="17"/>
  <c r="A117" i="17"/>
  <c r="A113" i="17"/>
  <c r="A109" i="17"/>
  <c r="A116" i="17"/>
  <c r="A112" i="17"/>
  <c r="A108" i="17"/>
  <c r="A125" i="17"/>
  <c r="A122" i="17"/>
  <c r="A120" i="17"/>
  <c r="A118" i="17"/>
  <c r="A115" i="17"/>
  <c r="A111" i="17"/>
  <c r="A107" i="17"/>
  <c r="A160" i="17"/>
  <c r="A158" i="17"/>
  <c r="A161" i="17"/>
  <c r="A159" i="17"/>
  <c r="A157" i="17"/>
  <c r="A140" i="16"/>
  <c r="A136" i="16"/>
  <c r="A139" i="16"/>
  <c r="A135" i="16"/>
  <c r="A138" i="16"/>
  <c r="A134" i="16"/>
  <c r="A137" i="16"/>
  <c r="A133" i="16"/>
  <c r="A129" i="16"/>
  <c r="A127" i="16"/>
  <c r="A131" i="16"/>
  <c r="A130" i="16"/>
  <c r="A128" i="16"/>
  <c r="A103" i="17"/>
  <c r="A101" i="17"/>
  <c r="A99" i="17"/>
  <c r="A97" i="17"/>
  <c r="A95" i="17"/>
  <c r="A102" i="17"/>
  <c r="A100" i="17"/>
  <c r="A98" i="17"/>
  <c r="A96" i="17"/>
  <c r="A169" i="16"/>
  <c r="A167" i="16"/>
  <c r="A170" i="16"/>
  <c r="A168" i="16"/>
  <c r="A166" i="16"/>
  <c r="A134" i="15"/>
  <c r="A137" i="15"/>
  <c r="A133" i="15"/>
  <c r="A136" i="15"/>
  <c r="A132" i="15"/>
  <c r="A138" i="15"/>
  <c r="A135" i="15"/>
  <c r="A131" i="15"/>
  <c r="A30" i="16"/>
  <c r="A28" i="16"/>
  <c r="A26" i="16"/>
  <c r="A24" i="16"/>
  <c r="A31" i="16"/>
  <c r="A29" i="16"/>
  <c r="A27" i="16"/>
  <c r="A25" i="16"/>
  <c r="A178" i="15"/>
  <c r="A174" i="15"/>
  <c r="A169" i="15"/>
  <c r="A185" i="15"/>
  <c r="A183" i="15"/>
  <c r="A181" i="15"/>
  <c r="A177" i="15"/>
  <c r="A171" i="15"/>
  <c r="A180" i="15"/>
  <c r="A176" i="15"/>
  <c r="A173" i="15"/>
  <c r="A184" i="15"/>
  <c r="A182" i="15"/>
  <c r="A179" i="15"/>
  <c r="A175" i="15"/>
  <c r="A172" i="15"/>
  <c r="A170" i="15"/>
  <c r="A37" i="15"/>
  <c r="A35" i="15"/>
  <c r="A33" i="15"/>
  <c r="A39" i="15"/>
  <c r="A38" i="15"/>
  <c r="A36" i="15"/>
  <c r="A34" i="15"/>
  <c r="A45" i="14"/>
  <c r="A43" i="14"/>
  <c r="A41" i="14"/>
  <c r="A44" i="14"/>
  <c r="A42" i="14"/>
  <c r="A128" i="15"/>
  <c r="A127" i="15"/>
  <c r="A125" i="15"/>
  <c r="A129" i="15"/>
  <c r="A126" i="15"/>
  <c r="A77" i="15"/>
  <c r="A75" i="15"/>
  <c r="A78" i="15"/>
  <c r="A76" i="15"/>
  <c r="A74" i="15"/>
  <c r="A102" i="14"/>
  <c r="A98" i="14"/>
  <c r="A101" i="14"/>
  <c r="A97" i="14"/>
  <c r="A100" i="14"/>
  <c r="A96" i="14"/>
  <c r="A99" i="14"/>
  <c r="A95" i="14"/>
  <c r="A166" i="13"/>
  <c r="A163" i="13"/>
  <c r="A159" i="13"/>
  <c r="A155" i="13"/>
  <c r="A162" i="13"/>
  <c r="A158" i="13"/>
  <c r="A154" i="13"/>
  <c r="A165" i="13"/>
  <c r="A161" i="13"/>
  <c r="A157" i="13"/>
  <c r="A153" i="13"/>
  <c r="A164" i="13"/>
  <c r="A160" i="13"/>
  <c r="A156" i="13"/>
  <c r="A133" i="11"/>
  <c r="A136" i="11"/>
  <c r="A132" i="11"/>
  <c r="A137" i="11"/>
  <c r="A135" i="11"/>
  <c r="A131" i="11"/>
  <c r="A134" i="11"/>
  <c r="A130" i="11"/>
  <c r="A16" i="13"/>
  <c r="A12" i="13"/>
  <c r="A22" i="13"/>
  <c r="A20" i="13"/>
  <c r="A18" i="13"/>
  <c r="A15" i="13"/>
  <c r="A14" i="13"/>
  <c r="A21" i="13"/>
  <c r="A19" i="13"/>
  <c r="A17" i="13"/>
  <c r="A13" i="13"/>
  <c r="A54" i="12"/>
  <c r="A55" i="12"/>
  <c r="A53" i="12"/>
  <c r="A139" i="12"/>
  <c r="A140" i="12"/>
  <c r="A160" i="11"/>
  <c r="A158" i="11"/>
  <c r="A156" i="11"/>
  <c r="A154" i="11"/>
  <c r="A152" i="11"/>
  <c r="A161" i="11"/>
  <c r="A153" i="11"/>
  <c r="A151" i="11"/>
  <c r="A162" i="11"/>
  <c r="A159" i="11"/>
  <c r="A157" i="11"/>
  <c r="A155" i="11"/>
  <c r="A76" i="11"/>
  <c r="A75" i="11"/>
  <c r="A78" i="11"/>
  <c r="A74" i="11"/>
  <c r="A77" i="11"/>
  <c r="A45" i="11"/>
  <c r="A43" i="11"/>
  <c r="A41" i="11"/>
  <c r="A44" i="11"/>
  <c r="A42" i="11"/>
  <c r="A31" i="12"/>
  <c r="A29" i="12"/>
  <c r="A27" i="12"/>
  <c r="A25" i="12"/>
  <c r="A30" i="12"/>
  <c r="A28" i="12"/>
  <c r="A26" i="12"/>
  <c r="A24" i="12"/>
  <c r="A154" i="10"/>
  <c r="A152" i="10"/>
  <c r="A153" i="10"/>
  <c r="A30" i="10"/>
  <c r="A28" i="10"/>
  <c r="A26" i="10"/>
  <c r="A24" i="10"/>
  <c r="A31" i="10"/>
  <c r="A29" i="10"/>
  <c r="A27" i="10"/>
  <c r="A25" i="10"/>
  <c r="A126" i="9"/>
  <c r="A124" i="9"/>
  <c r="A128" i="9"/>
  <c r="A125" i="9"/>
  <c r="A127" i="9"/>
  <c r="A121" i="8"/>
  <c r="A119" i="8"/>
  <c r="A117" i="8"/>
  <c r="A115" i="8"/>
  <c r="A112" i="8"/>
  <c r="A110" i="8"/>
  <c r="A109" i="8"/>
  <c r="A106" i="8"/>
  <c r="A122" i="8"/>
  <c r="A120" i="8"/>
  <c r="A118" i="8"/>
  <c r="A116" i="8"/>
  <c r="A114" i="8"/>
  <c r="A111" i="8"/>
  <c r="A108" i="8"/>
  <c r="A105" i="8"/>
  <c r="A107" i="8"/>
  <c r="A113" i="8"/>
  <c r="A51" i="10"/>
  <c r="A49" i="10"/>
  <c r="A47" i="10"/>
  <c r="A50" i="10"/>
  <c r="A48" i="10"/>
  <c r="A166" i="8"/>
  <c r="A160" i="8"/>
  <c r="A165" i="8"/>
  <c r="A162" i="8"/>
  <c r="A157" i="8"/>
  <c r="A168" i="8"/>
  <c r="A164" i="8"/>
  <c r="A161" i="8"/>
  <c r="A159" i="8"/>
  <c r="A163" i="8"/>
  <c r="A158" i="8"/>
  <c r="A167" i="8"/>
  <c r="A55" i="10"/>
  <c r="A53" i="10"/>
  <c r="A54" i="10"/>
  <c r="A136" i="5"/>
  <c r="A135" i="5"/>
  <c r="A133" i="5"/>
  <c r="A131" i="5"/>
  <c r="A137" i="5"/>
  <c r="A134" i="5"/>
  <c r="A132" i="5"/>
  <c r="A130" i="5"/>
  <c r="A137" i="6"/>
  <c r="A134" i="6"/>
  <c r="A131" i="6"/>
  <c r="A135" i="6"/>
  <c r="A136" i="6"/>
  <c r="A132" i="6"/>
  <c r="A133" i="6"/>
  <c r="A130" i="6"/>
  <c r="A179" i="5"/>
  <c r="A176" i="5"/>
  <c r="A171" i="5"/>
  <c r="A182" i="5"/>
  <c r="A178" i="5"/>
  <c r="A175" i="5"/>
  <c r="A173" i="5"/>
  <c r="A181" i="5"/>
  <c r="A177" i="5"/>
  <c r="A172" i="5"/>
  <c r="A180" i="5"/>
  <c r="A174" i="5"/>
  <c r="A155" i="4"/>
  <c r="A153" i="4"/>
  <c r="A156" i="4"/>
  <c r="A152" i="4"/>
  <c r="A154" i="4"/>
  <c r="A80" i="4"/>
  <c r="A92" i="4"/>
  <c r="A90" i="4"/>
  <c r="A88" i="4"/>
  <c r="A86" i="4"/>
  <c r="A84" i="4"/>
  <c r="A81" i="4"/>
  <c r="A82" i="4"/>
  <c r="A87" i="4"/>
  <c r="A89" i="4"/>
  <c r="A91" i="4"/>
  <c r="A83" i="4"/>
  <c r="A93" i="4"/>
  <c r="A85" i="4"/>
  <c r="J14" i="9"/>
  <c r="K14" i="9"/>
  <c r="J49" i="8"/>
  <c r="K49" i="8"/>
  <c r="A175" i="6"/>
  <c r="A173" i="6"/>
  <c r="A171" i="6"/>
  <c r="A169" i="6"/>
  <c r="A167" i="6"/>
  <c r="A165" i="6"/>
  <c r="A176" i="6"/>
  <c r="A174" i="6"/>
  <c r="A172" i="6"/>
  <c r="A170" i="6"/>
  <c r="A168" i="6"/>
  <c r="A166" i="6"/>
  <c r="A127" i="6"/>
  <c r="A124" i="6"/>
  <c r="A125" i="6"/>
  <c r="A128" i="6"/>
  <c r="A126" i="6"/>
  <c r="A55" i="5"/>
  <c r="A53" i="5"/>
  <c r="A54" i="5"/>
  <c r="K31" i="5"/>
  <c r="J31" i="5"/>
  <c r="K137" i="4"/>
  <c r="J137" i="4"/>
  <c r="K112" i="4"/>
  <c r="J112" i="4"/>
  <c r="A162" i="3"/>
  <c r="A160" i="3"/>
  <c r="A158" i="3"/>
  <c r="A161" i="3"/>
  <c r="A159" i="3"/>
  <c r="A22" i="3"/>
  <c r="A20" i="3"/>
  <c r="A18" i="3"/>
  <c r="A16" i="3"/>
  <c r="A14" i="3"/>
  <c r="A12" i="3"/>
  <c r="A21" i="3"/>
  <c r="A19" i="3"/>
  <c r="A17" i="3"/>
  <c r="A15" i="3"/>
  <c r="A13" i="3"/>
  <c r="K124" i="4"/>
  <c r="J124" i="4"/>
  <c r="A37" i="24"/>
  <c r="A33" i="24"/>
  <c r="A36" i="24"/>
  <c r="A39" i="24"/>
  <c r="A35" i="24"/>
  <c r="A34" i="24"/>
  <c r="A38" i="24"/>
  <c r="A22" i="26"/>
  <c r="A21" i="26"/>
  <c r="A38" i="25"/>
  <c r="A34" i="25"/>
  <c r="A37" i="25"/>
  <c r="A33" i="25"/>
  <c r="A36" i="25"/>
  <c r="A35" i="25"/>
  <c r="A39" i="25"/>
  <c r="A161" i="22"/>
  <c r="A157" i="22"/>
  <c r="A153" i="22"/>
  <c r="A162" i="22"/>
  <c r="A160" i="22"/>
  <c r="A156" i="22"/>
  <c r="A163" i="22"/>
  <c r="A159" i="22"/>
  <c r="A155" i="22"/>
  <c r="A158" i="22"/>
  <c r="A154" i="22"/>
  <c r="A164" i="22"/>
  <c r="A45" i="22"/>
  <c r="A43" i="22"/>
  <c r="A41" i="22"/>
  <c r="A44" i="22"/>
  <c r="A42" i="22"/>
  <c r="A93" i="22"/>
  <c r="A91" i="22"/>
  <c r="A89" i="22"/>
  <c r="A87" i="22"/>
  <c r="A85" i="22"/>
  <c r="A83" i="22"/>
  <c r="A80" i="22"/>
  <c r="A92" i="22"/>
  <c r="A90" i="22"/>
  <c r="A88" i="22"/>
  <c r="A86" i="22"/>
  <c r="A84" i="22"/>
  <c r="A81" i="22"/>
  <c r="A82" i="22"/>
  <c r="A101" i="21"/>
  <c r="A100" i="21"/>
  <c r="A99" i="21"/>
  <c r="A109" i="21"/>
  <c r="A111" i="21"/>
  <c r="A110" i="21"/>
  <c r="A72" i="20"/>
  <c r="A75" i="20"/>
  <c r="A71" i="20"/>
  <c r="A70" i="20"/>
  <c r="A66" i="20"/>
  <c r="A54" i="20"/>
  <c r="A74" i="20"/>
  <c r="A73" i="20"/>
  <c r="A69" i="20"/>
  <c r="A65" i="20"/>
  <c r="A68" i="20"/>
  <c r="A64" i="20"/>
  <c r="A63" i="20"/>
  <c r="A62" i="20"/>
  <c r="A61" i="20"/>
  <c r="A60" i="20"/>
  <c r="A59" i="20"/>
  <c r="A58" i="20"/>
  <c r="A57" i="20"/>
  <c r="A56" i="20"/>
  <c r="A67" i="20"/>
  <c r="A55" i="20"/>
  <c r="A137" i="18"/>
  <c r="A136" i="18"/>
  <c r="A135" i="18"/>
  <c r="A134" i="18"/>
  <c r="A130" i="18"/>
  <c r="A133" i="18"/>
  <c r="A132" i="18"/>
  <c r="A131" i="18"/>
  <c r="A145" i="18"/>
  <c r="A144" i="18"/>
  <c r="A143" i="18"/>
  <c r="A93" i="20"/>
  <c r="A96" i="20"/>
  <c r="A92" i="20"/>
  <c r="A95" i="20"/>
  <c r="A94" i="20"/>
  <c r="A108" i="20"/>
  <c r="A110" i="20"/>
  <c r="A109" i="20"/>
  <c r="A78" i="19"/>
  <c r="A77" i="19"/>
  <c r="A76" i="19"/>
  <c r="A75" i="19"/>
  <c r="A74" i="19"/>
  <c r="A48" i="18"/>
  <c r="A51" i="18"/>
  <c r="A47" i="18"/>
  <c r="A50" i="18"/>
  <c r="A49" i="18"/>
  <c r="A148" i="19"/>
  <c r="A147" i="19"/>
  <c r="A146" i="19"/>
  <c r="A150" i="19"/>
  <c r="A149" i="19"/>
  <c r="A43" i="18"/>
  <c r="A42" i="18"/>
  <c r="A45" i="18"/>
  <c r="A41" i="18"/>
  <c r="A44" i="18"/>
  <c r="A119" i="19"/>
  <c r="A115" i="19"/>
  <c r="A122" i="19"/>
  <c r="A118" i="19"/>
  <c r="A114" i="19"/>
  <c r="A113" i="19"/>
  <c r="A112" i="19"/>
  <c r="A111" i="19"/>
  <c r="A110" i="19"/>
  <c r="A109" i="19"/>
  <c r="A108" i="19"/>
  <c r="A107" i="19"/>
  <c r="A106" i="19"/>
  <c r="A121" i="19"/>
  <c r="A117" i="19"/>
  <c r="A105" i="19"/>
  <c r="A116" i="19"/>
  <c r="A120" i="19"/>
  <c r="A153" i="17"/>
  <c r="A152" i="17"/>
  <c r="A155" i="17"/>
  <c r="A151" i="17"/>
  <c r="A154" i="17"/>
  <c r="A77" i="17"/>
  <c r="A75" i="17"/>
  <c r="A76" i="17"/>
  <c r="A78" i="17"/>
  <c r="A74" i="17"/>
  <c r="A92" i="16"/>
  <c r="A90" i="16"/>
  <c r="A88" i="16"/>
  <c r="A86" i="16"/>
  <c r="A84" i="16"/>
  <c r="A81" i="16"/>
  <c r="A82" i="16"/>
  <c r="A93" i="16"/>
  <c r="A91" i="16"/>
  <c r="A89" i="16"/>
  <c r="A87" i="16"/>
  <c r="A85" i="16"/>
  <c r="A83" i="16"/>
  <c r="A80" i="16"/>
  <c r="A111" i="16"/>
  <c r="A123" i="16"/>
  <c r="A121" i="16"/>
  <c r="A119" i="16"/>
  <c r="A117" i="16"/>
  <c r="A115" i="16"/>
  <c r="A113" i="16"/>
  <c r="A110" i="16"/>
  <c r="A107" i="16"/>
  <c r="A125" i="16"/>
  <c r="A109" i="16"/>
  <c r="A124" i="16"/>
  <c r="A122" i="16"/>
  <c r="A120" i="16"/>
  <c r="A118" i="16"/>
  <c r="A116" i="16"/>
  <c r="A114" i="16"/>
  <c r="A112" i="16"/>
  <c r="A108" i="16"/>
  <c r="A106" i="16"/>
  <c r="A39" i="17"/>
  <c r="A37" i="17"/>
  <c r="A35" i="17"/>
  <c r="A33" i="17"/>
  <c r="A38" i="17"/>
  <c r="A36" i="17"/>
  <c r="A34" i="17"/>
  <c r="A164" i="16"/>
  <c r="A163" i="16"/>
  <c r="A162" i="16"/>
  <c r="A92" i="15"/>
  <c r="A90" i="15"/>
  <c r="A88" i="15"/>
  <c r="A86" i="15"/>
  <c r="A84" i="15"/>
  <c r="A81" i="15"/>
  <c r="A82" i="15"/>
  <c r="A93" i="15"/>
  <c r="A91" i="15"/>
  <c r="A89" i="15"/>
  <c r="A87" i="15"/>
  <c r="A85" i="15"/>
  <c r="A83" i="15"/>
  <c r="A80" i="15"/>
  <c r="A145" i="13"/>
  <c r="A144" i="13"/>
  <c r="A143" i="13"/>
  <c r="A45" i="16"/>
  <c r="A43" i="16"/>
  <c r="A41" i="16"/>
  <c r="A44" i="16"/>
  <c r="A42" i="16"/>
  <c r="A156" i="15"/>
  <c r="A154" i="15"/>
  <c r="A152" i="15"/>
  <c r="A150" i="15"/>
  <c r="A148" i="15"/>
  <c r="A146" i="15"/>
  <c r="A144" i="15"/>
  <c r="A142" i="15"/>
  <c r="A140" i="15"/>
  <c r="A157" i="15"/>
  <c r="A155" i="15"/>
  <c r="A153" i="15"/>
  <c r="A151" i="15"/>
  <c r="A149" i="15"/>
  <c r="A147" i="15"/>
  <c r="A145" i="15"/>
  <c r="A143" i="15"/>
  <c r="A141" i="15"/>
  <c r="A22" i="15"/>
  <c r="A20" i="15"/>
  <c r="A18" i="15"/>
  <c r="A16" i="15"/>
  <c r="A14" i="15"/>
  <c r="A12" i="15"/>
  <c r="A21" i="15"/>
  <c r="A19" i="15"/>
  <c r="A17" i="15"/>
  <c r="A15" i="15"/>
  <c r="A13" i="15"/>
  <c r="A16" i="14"/>
  <c r="A12" i="14"/>
  <c r="A22" i="14"/>
  <c r="A20" i="14"/>
  <c r="A18" i="14"/>
  <c r="A15" i="14"/>
  <c r="A14" i="14"/>
  <c r="A21" i="14"/>
  <c r="A19" i="14"/>
  <c r="A17" i="14"/>
  <c r="A13" i="14"/>
  <c r="A51" i="15"/>
  <c r="A49" i="15"/>
  <c r="A47" i="15"/>
  <c r="A50" i="15"/>
  <c r="A48" i="15"/>
  <c r="A37" i="14"/>
  <c r="A35" i="14"/>
  <c r="A33" i="14"/>
  <c r="A39" i="14"/>
  <c r="A38" i="14"/>
  <c r="A36" i="14"/>
  <c r="A34" i="14"/>
  <c r="A54" i="15"/>
  <c r="A53" i="15"/>
  <c r="A55" i="15"/>
  <c r="A82" i="14"/>
  <c r="A93" i="14"/>
  <c r="A91" i="14"/>
  <c r="A89" i="14"/>
  <c r="A87" i="14"/>
  <c r="A85" i="14"/>
  <c r="A83" i="14"/>
  <c r="A80" i="14"/>
  <c r="A92" i="14"/>
  <c r="A90" i="14"/>
  <c r="A88" i="14"/>
  <c r="A86" i="14"/>
  <c r="A84" i="14"/>
  <c r="A81" i="14"/>
  <c r="A140" i="13"/>
  <c r="A141" i="13"/>
  <c r="A139" i="13"/>
  <c r="A121" i="11"/>
  <c r="A116" i="11"/>
  <c r="A114" i="11"/>
  <c r="A110" i="11"/>
  <c r="A106" i="11"/>
  <c r="A120" i="11"/>
  <c r="A118" i="11"/>
  <c r="A113" i="11"/>
  <c r="A109" i="11"/>
  <c r="A117" i="11"/>
  <c r="A115" i="11"/>
  <c r="A112" i="11"/>
  <c r="A108" i="11"/>
  <c r="A105" i="11"/>
  <c r="A122" i="11"/>
  <c r="A119" i="11"/>
  <c r="A111" i="11"/>
  <c r="A107" i="11"/>
  <c r="A150" i="12"/>
  <c r="A146" i="12"/>
  <c r="A149" i="12"/>
  <c r="A148" i="12"/>
  <c r="A147" i="12"/>
  <c r="A80" i="11"/>
  <c r="A92" i="11"/>
  <c r="A90" i="11"/>
  <c r="A88" i="11"/>
  <c r="A86" i="11"/>
  <c r="A84" i="11"/>
  <c r="A81" i="11"/>
  <c r="A82" i="11"/>
  <c r="A93" i="11"/>
  <c r="A91" i="11"/>
  <c r="A89" i="11"/>
  <c r="A87" i="11"/>
  <c r="A85" i="11"/>
  <c r="A83" i="11"/>
  <c r="A128" i="12"/>
  <c r="A125" i="12"/>
  <c r="A127" i="12"/>
  <c r="A124" i="12"/>
  <c r="A126" i="12"/>
  <c r="A30" i="11"/>
  <c r="A28" i="11"/>
  <c r="A26" i="11"/>
  <c r="A24" i="11"/>
  <c r="A31" i="11"/>
  <c r="A29" i="11"/>
  <c r="A27" i="11"/>
  <c r="A25" i="11"/>
  <c r="A71" i="13"/>
  <c r="A69" i="13"/>
  <c r="A67" i="13"/>
  <c r="A65" i="13"/>
  <c r="A63" i="13"/>
  <c r="A61" i="13"/>
  <c r="A59" i="13"/>
  <c r="A72" i="13"/>
  <c r="A70" i="13"/>
  <c r="A68" i="13"/>
  <c r="A66" i="13"/>
  <c r="A64" i="13"/>
  <c r="A62" i="13"/>
  <c r="A60" i="13"/>
  <c r="A58" i="13"/>
  <c r="A21" i="10"/>
  <c r="A19" i="10"/>
  <c r="A17" i="10"/>
  <c r="A15" i="10"/>
  <c r="A13" i="10"/>
  <c r="A22" i="10"/>
  <c r="A20" i="10"/>
  <c r="A18" i="10"/>
  <c r="A16" i="10"/>
  <c r="A14" i="10"/>
  <c r="A12" i="10"/>
  <c r="A122" i="10"/>
  <c r="A120" i="10"/>
  <c r="A118" i="10"/>
  <c r="A116" i="10"/>
  <c r="A114" i="10"/>
  <c r="A112" i="10"/>
  <c r="A110" i="10"/>
  <c r="A108" i="10"/>
  <c r="A106" i="10"/>
  <c r="A121" i="10"/>
  <c r="A119" i="10"/>
  <c r="A117" i="10"/>
  <c r="A115" i="10"/>
  <c r="A113" i="10"/>
  <c r="A111" i="10"/>
  <c r="A109" i="10"/>
  <c r="A107" i="10"/>
  <c r="A105" i="10"/>
  <c r="A137" i="10"/>
  <c r="A135" i="10"/>
  <c r="A133" i="10"/>
  <c r="A131" i="10"/>
  <c r="A136" i="10"/>
  <c r="A134" i="10"/>
  <c r="A132" i="10"/>
  <c r="A130" i="10"/>
  <c r="A154" i="9"/>
  <c r="A152" i="9"/>
  <c r="A150" i="9"/>
  <c r="A153" i="9"/>
  <c r="A151" i="9"/>
  <c r="A39" i="9"/>
  <c r="A37" i="9"/>
  <c r="A35" i="9"/>
  <c r="A33" i="9"/>
  <c r="A38" i="9"/>
  <c r="A36" i="9"/>
  <c r="A34" i="9"/>
  <c r="A165" i="9"/>
  <c r="A159" i="9"/>
  <c r="A164" i="9"/>
  <c r="A161" i="9"/>
  <c r="A156" i="9"/>
  <c r="A167" i="9"/>
  <c r="A163" i="9"/>
  <c r="A160" i="9"/>
  <c r="A158" i="9"/>
  <c r="A166" i="9"/>
  <c r="A162" i="9"/>
  <c r="A157" i="9"/>
  <c r="A101" i="8"/>
  <c r="A99" i="8"/>
  <c r="A97" i="8"/>
  <c r="A95" i="8"/>
  <c r="A98" i="8"/>
  <c r="A100" i="8"/>
  <c r="A102" i="8"/>
  <c r="A96" i="8"/>
  <c r="A121" i="9"/>
  <c r="A119" i="9"/>
  <c r="A117" i="9"/>
  <c r="A115" i="9"/>
  <c r="A113" i="9"/>
  <c r="A111" i="9"/>
  <c r="A109" i="9"/>
  <c r="A107" i="9"/>
  <c r="A105" i="9"/>
  <c r="A122" i="9"/>
  <c r="A120" i="9"/>
  <c r="A118" i="9"/>
  <c r="A116" i="9"/>
  <c r="A114" i="9"/>
  <c r="A112" i="9"/>
  <c r="A110" i="9"/>
  <c r="A108" i="9"/>
  <c r="A106" i="9"/>
  <c r="A48" i="6"/>
  <c r="A49" i="6"/>
  <c r="A50" i="6"/>
  <c r="A51" i="6"/>
  <c r="A47" i="6"/>
  <c r="A128" i="5"/>
  <c r="A125" i="5"/>
  <c r="A127" i="5"/>
  <c r="A126" i="5"/>
  <c r="A124" i="5"/>
  <c r="A154" i="7"/>
  <c r="A152" i="7"/>
  <c r="A155" i="7"/>
  <c r="A153" i="7"/>
  <c r="A151" i="7"/>
  <c r="A122" i="7"/>
  <c r="A120" i="7"/>
  <c r="A118" i="7"/>
  <c r="A116" i="7"/>
  <c r="A114" i="7"/>
  <c r="A112" i="7"/>
  <c r="A110" i="7"/>
  <c r="A108" i="7"/>
  <c r="A106" i="7"/>
  <c r="A121" i="7"/>
  <c r="A119" i="7"/>
  <c r="A117" i="7"/>
  <c r="A115" i="7"/>
  <c r="A113" i="7"/>
  <c r="A111" i="7"/>
  <c r="A109" i="7"/>
  <c r="A107" i="7"/>
  <c r="A105" i="7"/>
  <c r="A102" i="6"/>
  <c r="A100" i="6"/>
  <c r="A95" i="6"/>
  <c r="A98" i="6"/>
  <c r="A96" i="6"/>
  <c r="A101" i="6"/>
  <c r="A99" i="6"/>
  <c r="A97" i="6"/>
  <c r="A78" i="5"/>
  <c r="A76" i="5"/>
  <c r="A74" i="5"/>
  <c r="A77" i="5"/>
  <c r="A75" i="5"/>
  <c r="A149" i="4"/>
  <c r="A148" i="4"/>
  <c r="A150" i="4"/>
  <c r="K162" i="8"/>
  <c r="J162" i="8"/>
  <c r="J53" i="8"/>
  <c r="K53" i="8"/>
  <c r="A38" i="8"/>
  <c r="A36" i="8"/>
  <c r="A34" i="8"/>
  <c r="A39" i="8"/>
  <c r="A37" i="8"/>
  <c r="A35" i="8"/>
  <c r="A33" i="8"/>
  <c r="A55" i="8"/>
  <c r="A53" i="8"/>
  <c r="A54" i="8"/>
  <c r="A159" i="5"/>
  <c r="A157" i="5"/>
  <c r="A155" i="5"/>
  <c r="A153" i="5"/>
  <c r="A151" i="5"/>
  <c r="A149" i="5"/>
  <c r="A147" i="5"/>
  <c r="A145" i="5"/>
  <c r="A143" i="5"/>
  <c r="A141" i="5"/>
  <c r="A139" i="5"/>
  <c r="A158" i="5"/>
  <c r="A156" i="5"/>
  <c r="A154" i="5"/>
  <c r="A152" i="5"/>
  <c r="A150" i="5"/>
  <c r="A148" i="5"/>
  <c r="A146" i="5"/>
  <c r="A144" i="5"/>
  <c r="A142" i="5"/>
  <c r="A140" i="5"/>
  <c r="A121" i="5"/>
  <c r="A119" i="5"/>
  <c r="A117" i="5"/>
  <c r="A115" i="5"/>
  <c r="A112" i="5"/>
  <c r="A110" i="5"/>
  <c r="A107" i="5"/>
  <c r="A105" i="5"/>
  <c r="A122" i="5"/>
  <c r="A120" i="5"/>
  <c r="A118" i="5"/>
  <c r="A116" i="5"/>
  <c r="A114" i="5"/>
  <c r="A111" i="5"/>
  <c r="A109" i="5"/>
  <c r="A113" i="5"/>
  <c r="A108" i="5"/>
  <c r="A106" i="5"/>
  <c r="A93" i="5"/>
  <c r="A91" i="5"/>
  <c r="A89" i="5"/>
  <c r="A87" i="5"/>
  <c r="A85" i="5"/>
  <c r="A83" i="5"/>
  <c r="A80" i="5"/>
  <c r="A92" i="5"/>
  <c r="A90" i="5"/>
  <c r="A88" i="5"/>
  <c r="A86" i="5"/>
  <c r="A84" i="5"/>
  <c r="A81" i="5"/>
  <c r="A82" i="5"/>
  <c r="J36" i="5"/>
  <c r="K36" i="5"/>
  <c r="K27" i="5"/>
  <c r="J27" i="5"/>
  <c r="K169" i="4"/>
  <c r="J169" i="4"/>
  <c r="A55" i="4"/>
  <c r="A53" i="4"/>
  <c r="A54" i="4"/>
  <c r="A156" i="3"/>
  <c r="A154" i="3"/>
  <c r="A155" i="3"/>
  <c r="A92" i="3"/>
  <c r="A90" i="3"/>
  <c r="A88" i="3"/>
  <c r="A86" i="3"/>
  <c r="A84" i="3"/>
  <c r="A82" i="3"/>
  <c r="A80" i="3"/>
  <c r="A93" i="3"/>
  <c r="A91" i="3"/>
  <c r="A89" i="3"/>
  <c r="A87" i="3"/>
  <c r="A85" i="3"/>
  <c r="A83" i="3"/>
  <c r="A81" i="3"/>
  <c r="J34" i="5"/>
  <c r="K34" i="5"/>
  <c r="K29" i="5"/>
  <c r="J29" i="5"/>
  <c r="K165" i="4"/>
  <c r="J165" i="4"/>
  <c r="K141" i="4"/>
  <c r="J141" i="4"/>
  <c r="K116" i="4"/>
  <c r="J116" i="4"/>
  <c r="A21" i="4"/>
  <c r="A19" i="4"/>
  <c r="A17" i="4"/>
  <c r="A15" i="4"/>
  <c r="A13" i="4"/>
  <c r="A22" i="4"/>
  <c r="A20" i="4"/>
  <c r="A18" i="4"/>
  <c r="A16" i="4"/>
  <c r="A14" i="4"/>
  <c r="A12" i="4"/>
  <c r="A128" i="3"/>
  <c r="A126" i="3"/>
  <c r="A124" i="3"/>
  <c r="A127" i="3"/>
  <c r="A125" i="3"/>
  <c r="A77" i="3"/>
  <c r="A76" i="3"/>
  <c r="A75" i="3"/>
  <c r="A78" i="3"/>
  <c r="A74" i="3"/>
  <c r="A44" i="3"/>
  <c r="A42" i="3"/>
  <c r="A45" i="3"/>
  <c r="A43" i="3"/>
  <c r="A41" i="3"/>
  <c r="A27" i="3"/>
  <c r="A31" i="3"/>
  <c r="A30" i="3"/>
  <c r="A28" i="3"/>
  <c r="A26" i="3"/>
  <c r="A24" i="3"/>
  <c r="A29" i="3"/>
  <c r="A25" i="3"/>
  <c r="A27" i="28"/>
  <c r="A26" i="28"/>
  <c r="A28" i="24"/>
  <c r="A24" i="24"/>
  <c r="A31" i="24"/>
  <c r="A27" i="24"/>
  <c r="A30" i="24"/>
  <c r="A26" i="24"/>
  <c r="A25" i="24"/>
  <c r="A29" i="24"/>
  <c r="A29" i="25"/>
  <c r="A25" i="25"/>
  <c r="A28" i="25"/>
  <c r="A24" i="25"/>
  <c r="A31" i="25"/>
  <c r="A27" i="25"/>
  <c r="A26" i="25"/>
  <c r="A30" i="25"/>
  <c r="A45" i="21"/>
  <c r="A41" i="21"/>
  <c r="A44" i="21"/>
  <c r="A43" i="21"/>
  <c r="A42" i="21"/>
  <c r="A77" i="22"/>
  <c r="A76" i="22"/>
  <c r="A75" i="22"/>
  <c r="A74" i="22"/>
  <c r="A78" i="22"/>
  <c r="A30" i="22"/>
  <c r="A28" i="22"/>
  <c r="A26" i="22"/>
  <c r="A24" i="22"/>
  <c r="A31" i="22"/>
  <c r="A29" i="22"/>
  <c r="A27" i="22"/>
  <c r="A25" i="22"/>
  <c r="J117" i="22"/>
  <c r="K117" i="22"/>
  <c r="A101" i="22"/>
  <c r="A97" i="22"/>
  <c r="A100" i="22"/>
  <c r="A96" i="22"/>
  <c r="A99" i="22"/>
  <c r="A95" i="22"/>
  <c r="A102" i="22"/>
  <c r="A98" i="22"/>
  <c r="A104" i="21"/>
  <c r="A107" i="21"/>
  <c r="A103" i="21"/>
  <c r="A106" i="21"/>
  <c r="A105" i="21"/>
  <c r="A37" i="20"/>
  <c r="A33" i="20"/>
  <c r="A36" i="20"/>
  <c r="A35" i="20"/>
  <c r="A39" i="20"/>
  <c r="A38" i="20"/>
  <c r="A34" i="20"/>
  <c r="A120" i="18"/>
  <c r="A116" i="18"/>
  <c r="A119" i="18"/>
  <c r="A115" i="18"/>
  <c r="A122" i="18"/>
  <c r="A118" i="18"/>
  <c r="A114" i="18"/>
  <c r="A113" i="18"/>
  <c r="A112" i="18"/>
  <c r="A111" i="18"/>
  <c r="A110" i="18"/>
  <c r="A109" i="18"/>
  <c r="A108" i="18"/>
  <c r="A107" i="18"/>
  <c r="A106" i="18"/>
  <c r="A121" i="18"/>
  <c r="A105" i="18"/>
  <c r="A117" i="18"/>
  <c r="A128" i="18"/>
  <c r="A127" i="18"/>
  <c r="A126" i="18"/>
  <c r="A125" i="18"/>
  <c r="A124" i="18"/>
  <c r="A55" i="19"/>
  <c r="A54" i="19"/>
  <c r="A53" i="19"/>
  <c r="A66" i="24"/>
  <c r="A65" i="24"/>
  <c r="A78" i="20"/>
  <c r="A77" i="20"/>
  <c r="A81" i="20"/>
  <c r="A80" i="20"/>
  <c r="A79" i="20"/>
  <c r="A20" i="18"/>
  <c r="A16" i="18"/>
  <c r="A12" i="18"/>
  <c r="A19" i="18"/>
  <c r="A15" i="18"/>
  <c r="A22" i="18"/>
  <c r="A18" i="18"/>
  <c r="A14" i="18"/>
  <c r="A21" i="18"/>
  <c r="A17" i="18"/>
  <c r="A13" i="18"/>
  <c r="A90" i="19"/>
  <c r="A86" i="19"/>
  <c r="A93" i="19"/>
  <c r="A89" i="19"/>
  <c r="A85" i="19"/>
  <c r="A82" i="19"/>
  <c r="A80" i="19"/>
  <c r="A92" i="19"/>
  <c r="A88" i="19"/>
  <c r="A84" i="19"/>
  <c r="A91" i="19"/>
  <c r="A81" i="19"/>
  <c r="A83" i="19"/>
  <c r="A87" i="19"/>
  <c r="A38" i="18"/>
  <c r="A34" i="18"/>
  <c r="A37" i="18"/>
  <c r="A33" i="18"/>
  <c r="A36" i="18"/>
  <c r="A39" i="18"/>
  <c r="A35" i="18"/>
  <c r="A125" i="19"/>
  <c r="A124" i="19"/>
  <c r="A128" i="19"/>
  <c r="A127" i="19"/>
  <c r="A126" i="19"/>
  <c r="A144" i="17"/>
  <c r="A142" i="17"/>
  <c r="A145" i="17"/>
  <c r="A143" i="17"/>
  <c r="A139" i="17"/>
  <c r="A135" i="17"/>
  <c r="A138" i="17"/>
  <c r="A134" i="17"/>
  <c r="A137" i="17"/>
  <c r="A133" i="17"/>
  <c r="A140" i="17"/>
  <c r="A136" i="17"/>
  <c r="A22" i="17"/>
  <c r="A20" i="17"/>
  <c r="A18" i="17"/>
  <c r="A16" i="17"/>
  <c r="A14" i="17"/>
  <c r="A12" i="17"/>
  <c r="A21" i="17"/>
  <c r="A19" i="17"/>
  <c r="A17" i="17"/>
  <c r="A15" i="17"/>
  <c r="A13" i="17"/>
  <c r="A160" i="16"/>
  <c r="A158" i="16"/>
  <c r="A156" i="16"/>
  <c r="A154" i="16"/>
  <c r="A152" i="16"/>
  <c r="A150" i="16"/>
  <c r="A148" i="16"/>
  <c r="A146" i="16"/>
  <c r="A144" i="16"/>
  <c r="A142" i="16"/>
  <c r="A159" i="16"/>
  <c r="A157" i="16"/>
  <c r="A155" i="16"/>
  <c r="A153" i="16"/>
  <c r="A151" i="16"/>
  <c r="A149" i="16"/>
  <c r="A147" i="16"/>
  <c r="A145" i="16"/>
  <c r="A143" i="16"/>
  <c r="A72" i="16"/>
  <c r="A70" i="16"/>
  <c r="A68" i="16"/>
  <c r="A66" i="16"/>
  <c r="A64" i="16"/>
  <c r="A62" i="16"/>
  <c r="A60" i="16"/>
  <c r="A58" i="16"/>
  <c r="A71" i="16"/>
  <c r="A69" i="16"/>
  <c r="A67" i="16"/>
  <c r="A65" i="16"/>
  <c r="A63" i="16"/>
  <c r="A61" i="16"/>
  <c r="A59" i="16"/>
  <c r="A44" i="17"/>
  <c r="A42" i="17"/>
  <c r="A45" i="17"/>
  <c r="A43" i="17"/>
  <c r="A41" i="17"/>
  <c r="A77" i="16"/>
  <c r="A75" i="16"/>
  <c r="A78" i="16"/>
  <c r="A76" i="16"/>
  <c r="A74" i="16"/>
  <c r="A144" i="14"/>
  <c r="A143" i="14"/>
  <c r="A142" i="14"/>
  <c r="A39" i="16"/>
  <c r="A37" i="16"/>
  <c r="A35" i="16"/>
  <c r="A33" i="16"/>
  <c r="A38" i="16"/>
  <c r="A36" i="16"/>
  <c r="A34" i="16"/>
  <c r="A139" i="14"/>
  <c r="A140" i="14"/>
  <c r="A127" i="13"/>
  <c r="A124" i="13"/>
  <c r="A126" i="13"/>
  <c r="A128" i="13"/>
  <c r="A125" i="13"/>
  <c r="A122" i="15"/>
  <c r="A120" i="15"/>
  <c r="A118" i="15"/>
  <c r="A116" i="15"/>
  <c r="A114" i="15"/>
  <c r="A112" i="15"/>
  <c r="A111" i="15"/>
  <c r="A108" i="15"/>
  <c r="A106" i="15"/>
  <c r="A121" i="15"/>
  <c r="A119" i="15"/>
  <c r="A117" i="15"/>
  <c r="A115" i="15"/>
  <c r="A113" i="15"/>
  <c r="A110" i="15"/>
  <c r="A123" i="15"/>
  <c r="A109" i="15"/>
  <c r="A107" i="15"/>
  <c r="A30" i="15"/>
  <c r="A28" i="15"/>
  <c r="A26" i="15"/>
  <c r="A24" i="15"/>
  <c r="A31" i="15"/>
  <c r="A29" i="15"/>
  <c r="A27" i="15"/>
  <c r="A25" i="15"/>
  <c r="A137" i="13"/>
  <c r="A133" i="13"/>
  <c r="A136" i="13"/>
  <c r="A132" i="13"/>
  <c r="A130" i="13"/>
  <c r="A135" i="13"/>
  <c r="A134" i="13"/>
  <c r="A131" i="13"/>
  <c r="A162" i="14"/>
  <c r="A158" i="14"/>
  <c r="A154" i="14"/>
  <c r="A161" i="14"/>
  <c r="A157" i="14"/>
  <c r="A153" i="14"/>
  <c r="A160" i="14"/>
  <c r="A156" i="14"/>
  <c r="A152" i="14"/>
  <c r="A163" i="14"/>
  <c r="A159" i="14"/>
  <c r="A155" i="14"/>
  <c r="A50" i="14"/>
  <c r="A48" i="14"/>
  <c r="A51" i="14"/>
  <c r="A49" i="14"/>
  <c r="A47" i="14"/>
  <c r="A121" i="13"/>
  <c r="A119" i="13"/>
  <c r="A117" i="13"/>
  <c r="A115" i="13"/>
  <c r="A113" i="13"/>
  <c r="A111" i="13"/>
  <c r="A109" i="13"/>
  <c r="A107" i="13"/>
  <c r="A105" i="13"/>
  <c r="A122" i="13"/>
  <c r="A120" i="13"/>
  <c r="A118" i="13"/>
  <c r="A116" i="13"/>
  <c r="A114" i="13"/>
  <c r="A112" i="13"/>
  <c r="A110" i="13"/>
  <c r="A108" i="13"/>
  <c r="A106" i="13"/>
  <c r="A77" i="13"/>
  <c r="A75" i="13"/>
  <c r="A78" i="13"/>
  <c r="A76" i="13"/>
  <c r="A74" i="13"/>
  <c r="A142" i="12"/>
  <c r="A144" i="12"/>
  <c r="A143" i="12"/>
  <c r="A122" i="12"/>
  <c r="A119" i="12"/>
  <c r="A111" i="12"/>
  <c r="A107" i="12"/>
  <c r="A121" i="12"/>
  <c r="A116" i="12"/>
  <c r="A114" i="12"/>
  <c r="A110" i="12"/>
  <c r="A106" i="12"/>
  <c r="A120" i="12"/>
  <c r="A118" i="12"/>
  <c r="A113" i="12"/>
  <c r="A109" i="12"/>
  <c r="A117" i="12"/>
  <c r="A115" i="12"/>
  <c r="A112" i="12"/>
  <c r="A108" i="12"/>
  <c r="A105" i="12"/>
  <c r="A127" i="11"/>
  <c r="A124" i="11"/>
  <c r="A126" i="11"/>
  <c r="A128" i="11"/>
  <c r="A125" i="11"/>
  <c r="A39" i="11"/>
  <c r="A37" i="11"/>
  <c r="A35" i="11"/>
  <c r="A33" i="11"/>
  <c r="A38" i="11"/>
  <c r="A36" i="11"/>
  <c r="A34" i="11"/>
  <c r="A93" i="12"/>
  <c r="A91" i="12"/>
  <c r="A89" i="12"/>
  <c r="A87" i="12"/>
  <c r="A85" i="12"/>
  <c r="A83" i="12"/>
  <c r="A80" i="12"/>
  <c r="A92" i="12"/>
  <c r="A90" i="12"/>
  <c r="A88" i="12"/>
  <c r="A86" i="12"/>
  <c r="A84" i="12"/>
  <c r="A81" i="12"/>
  <c r="A82" i="12"/>
  <c r="A82" i="13"/>
  <c r="A93" i="13"/>
  <c r="A91" i="13"/>
  <c r="A89" i="13"/>
  <c r="A87" i="13"/>
  <c r="A85" i="13"/>
  <c r="A83" i="13"/>
  <c r="A80" i="13"/>
  <c r="A92" i="13"/>
  <c r="A90" i="13"/>
  <c r="A88" i="13"/>
  <c r="A86" i="13"/>
  <c r="A84" i="13"/>
  <c r="A81" i="13"/>
  <c r="A31" i="13"/>
  <c r="A29" i="13"/>
  <c r="A27" i="13"/>
  <c r="A25" i="13"/>
  <c r="A30" i="13"/>
  <c r="A28" i="13"/>
  <c r="A26" i="13"/>
  <c r="A24" i="13"/>
  <c r="A136" i="12"/>
  <c r="A132" i="12"/>
  <c r="A135" i="12"/>
  <c r="A131" i="12"/>
  <c r="A134" i="12"/>
  <c r="A130" i="12"/>
  <c r="A137" i="12"/>
  <c r="A133" i="12"/>
  <c r="A92" i="9"/>
  <c r="A90" i="9"/>
  <c r="A88" i="9"/>
  <c r="A86" i="9"/>
  <c r="A84" i="9"/>
  <c r="A81" i="9"/>
  <c r="A82" i="9"/>
  <c r="A93" i="9"/>
  <c r="A91" i="9"/>
  <c r="A89" i="9"/>
  <c r="A87" i="9"/>
  <c r="A85" i="9"/>
  <c r="A83" i="9"/>
  <c r="A80" i="9"/>
  <c r="A137" i="8"/>
  <c r="A136" i="8"/>
  <c r="A133" i="8"/>
  <c r="A131" i="8"/>
  <c r="A135" i="8"/>
  <c r="A132" i="8"/>
  <c r="A134" i="8"/>
  <c r="A130" i="8"/>
  <c r="A150" i="10"/>
  <c r="A148" i="10"/>
  <c r="A146" i="10"/>
  <c r="A144" i="10"/>
  <c r="A142" i="10"/>
  <c r="A140" i="10"/>
  <c r="A149" i="10"/>
  <c r="A147" i="10"/>
  <c r="A145" i="10"/>
  <c r="A143" i="10"/>
  <c r="A141" i="10"/>
  <c r="A139" i="10"/>
  <c r="A173" i="10"/>
  <c r="A171" i="10"/>
  <c r="A169" i="10"/>
  <c r="A166" i="10"/>
  <c r="A164" i="10"/>
  <c r="A168" i="10"/>
  <c r="A163" i="10"/>
  <c r="A172" i="10"/>
  <c r="A170" i="10"/>
  <c r="A165" i="10"/>
  <c r="A167" i="10"/>
  <c r="A162" i="10"/>
  <c r="A143" i="9"/>
  <c r="A141" i="9"/>
  <c r="A139" i="9"/>
  <c r="A144" i="9"/>
  <c r="A142" i="9"/>
  <c r="A140" i="9"/>
  <c r="A22" i="9"/>
  <c r="A20" i="9"/>
  <c r="A18" i="9"/>
  <c r="A16" i="9"/>
  <c r="A14" i="9"/>
  <c r="A12" i="9"/>
  <c r="A21" i="9"/>
  <c r="A19" i="9"/>
  <c r="A17" i="9"/>
  <c r="A15" i="9"/>
  <c r="A13" i="9"/>
  <c r="A101" i="10"/>
  <c r="A99" i="10"/>
  <c r="A97" i="10"/>
  <c r="A95" i="10"/>
  <c r="A102" i="10"/>
  <c r="A100" i="10"/>
  <c r="A98" i="10"/>
  <c r="A96" i="10"/>
  <c r="A75" i="9"/>
  <c r="A78" i="9"/>
  <c r="A74" i="9"/>
  <c r="A77" i="9"/>
  <c r="A76" i="9"/>
  <c r="A45" i="9"/>
  <c r="A43" i="9"/>
  <c r="A41" i="9"/>
  <c r="A42" i="9"/>
  <c r="A44" i="9"/>
  <c r="A93" i="8"/>
  <c r="A91" i="8"/>
  <c r="A89" i="8"/>
  <c r="A87" i="8"/>
  <c r="A85" i="8"/>
  <c r="A83" i="8"/>
  <c r="A80" i="8"/>
  <c r="A92" i="8"/>
  <c r="A90" i="8"/>
  <c r="A88" i="8"/>
  <c r="A86" i="8"/>
  <c r="A84" i="8"/>
  <c r="A81" i="8"/>
  <c r="A82" i="8"/>
  <c r="K125" i="8"/>
  <c r="J125" i="8"/>
  <c r="A42" i="6"/>
  <c r="A43" i="6"/>
  <c r="A44" i="6"/>
  <c r="A45" i="6"/>
  <c r="A41" i="6"/>
  <c r="A31" i="5"/>
  <c r="A29" i="5"/>
  <c r="A27" i="5"/>
  <c r="A25" i="5"/>
  <c r="A30" i="5"/>
  <c r="A26" i="5"/>
  <c r="A28" i="5"/>
  <c r="A24" i="5"/>
  <c r="A148" i="7"/>
  <c r="A149" i="7"/>
  <c r="A147" i="7"/>
  <c r="A122" i="4"/>
  <c r="A120" i="4"/>
  <c r="A118" i="4"/>
  <c r="A116" i="4"/>
  <c r="A114" i="4"/>
  <c r="A112" i="4"/>
  <c r="A110" i="4"/>
  <c r="A108" i="4"/>
  <c r="A106" i="4"/>
  <c r="A115" i="4"/>
  <c r="A107" i="4"/>
  <c r="A117" i="4"/>
  <c r="A109" i="4"/>
  <c r="A119" i="4"/>
  <c r="A111" i="4"/>
  <c r="A121" i="4"/>
  <c r="A113" i="4"/>
  <c r="A105" i="4"/>
  <c r="A51" i="8"/>
  <c r="A49" i="8"/>
  <c r="A47" i="8"/>
  <c r="A50" i="8"/>
  <c r="A48" i="8"/>
  <c r="A55" i="7"/>
  <c r="A53" i="7"/>
  <c r="A54" i="7"/>
  <c r="A151" i="6"/>
  <c r="A147" i="6"/>
  <c r="A143" i="6"/>
  <c r="A142" i="6"/>
  <c r="A141" i="6"/>
  <c r="A140" i="6"/>
  <c r="A139" i="6"/>
  <c r="A152" i="6"/>
  <c r="A148" i="6"/>
  <c r="A144" i="6"/>
  <c r="A149" i="6"/>
  <c r="A145" i="6"/>
  <c r="A153" i="6"/>
  <c r="A150" i="6"/>
  <c r="A146" i="6"/>
  <c r="A69" i="6"/>
  <c r="A65" i="6"/>
  <c r="A61" i="6"/>
  <c r="A70" i="6"/>
  <c r="A66" i="6"/>
  <c r="A62" i="6"/>
  <c r="A58" i="6"/>
  <c r="A71" i="6"/>
  <c r="A67" i="6"/>
  <c r="A63" i="6"/>
  <c r="A59" i="6"/>
  <c r="A72" i="6"/>
  <c r="A68" i="6"/>
  <c r="A64" i="6"/>
  <c r="A60" i="6"/>
  <c r="A101" i="5"/>
  <c r="A99" i="5"/>
  <c r="A97" i="5"/>
  <c r="A95" i="5"/>
  <c r="A102" i="5"/>
  <c r="A100" i="5"/>
  <c r="A98" i="5"/>
  <c r="A96" i="5"/>
  <c r="K161" i="4"/>
  <c r="J161" i="4"/>
  <c r="K145" i="4"/>
  <c r="J145" i="4"/>
  <c r="K128" i="4"/>
  <c r="J128" i="4"/>
  <c r="A51" i="4"/>
  <c r="A49" i="4"/>
  <c r="A47" i="4"/>
  <c r="A50" i="4"/>
  <c r="A48" i="4"/>
  <c r="A72" i="3"/>
  <c r="A70" i="3"/>
  <c r="A68" i="3"/>
  <c r="A66" i="3"/>
  <c r="A64" i="3"/>
  <c r="A62" i="3"/>
  <c r="A60" i="3"/>
  <c r="A58" i="3"/>
  <c r="A71" i="3"/>
  <c r="A69" i="3"/>
  <c r="A67" i="3"/>
  <c r="A65" i="3"/>
  <c r="A63" i="3"/>
  <c r="A61" i="3"/>
  <c r="A59" i="3"/>
  <c r="J38" i="5"/>
  <c r="K38" i="5"/>
  <c r="K25" i="5"/>
  <c r="J25" i="5"/>
  <c r="K133" i="4"/>
  <c r="J133" i="4"/>
  <c r="K108" i="4"/>
  <c r="J108" i="4"/>
  <c r="A137" i="3"/>
  <c r="A135" i="3"/>
  <c r="A133" i="3"/>
  <c r="A130" i="3"/>
  <c r="A136" i="3"/>
  <c r="A134" i="3"/>
  <c r="A132" i="3"/>
  <c r="A131" i="3"/>
  <c r="K116" i="9" l="1"/>
  <c r="J116" i="22"/>
  <c r="J104" i="22" s="1"/>
  <c r="K40" i="16"/>
  <c r="J117" i="15"/>
  <c r="J105" i="15" s="1"/>
  <c r="J116" i="14"/>
  <c r="L116" i="7"/>
  <c r="L104" i="7" s="1"/>
  <c r="J164" i="5"/>
  <c r="J52" i="5"/>
  <c r="K23" i="14"/>
  <c r="J141" i="17"/>
  <c r="J32" i="10"/>
  <c r="K116" i="3"/>
  <c r="K116" i="10"/>
  <c r="L52" i="6"/>
  <c r="K154" i="6"/>
  <c r="K52" i="11"/>
  <c r="J40" i="12"/>
  <c r="J116" i="8"/>
  <c r="K116" i="8"/>
  <c r="K104" i="8" s="1"/>
  <c r="K130" i="15"/>
  <c r="K129" i="10"/>
  <c r="K32" i="16"/>
  <c r="J147" i="4"/>
  <c r="J46" i="17"/>
  <c r="J104" i="14"/>
  <c r="J32" i="17"/>
  <c r="K145" i="9"/>
  <c r="K46" i="11"/>
  <c r="J162" i="15"/>
  <c r="J11" i="13"/>
  <c r="J138" i="22"/>
  <c r="K52" i="6"/>
  <c r="J94" i="16"/>
  <c r="J104" i="12"/>
  <c r="K52" i="12"/>
  <c r="K126" i="16"/>
  <c r="K11" i="14"/>
  <c r="J40" i="13"/>
  <c r="K104" i="13"/>
  <c r="K32" i="17"/>
  <c r="L146" i="7"/>
  <c r="J23" i="15"/>
  <c r="J40" i="11"/>
  <c r="K40" i="15"/>
  <c r="K40" i="13"/>
  <c r="K145" i="14"/>
  <c r="K52" i="9"/>
  <c r="K162" i="15"/>
  <c r="J149" i="9"/>
  <c r="K46" i="17"/>
  <c r="G41" i="2"/>
  <c r="H41" i="2" s="1"/>
  <c r="F41" i="2"/>
  <c r="K73" i="4"/>
  <c r="J52" i="9"/>
  <c r="K46" i="4"/>
  <c r="L52" i="7"/>
  <c r="J73" i="15"/>
  <c r="J153" i="3"/>
  <c r="L40" i="7"/>
  <c r="K23" i="17"/>
  <c r="J32" i="16"/>
  <c r="K46" i="14"/>
  <c r="K104" i="14"/>
  <c r="J52" i="16"/>
  <c r="J52" i="11"/>
  <c r="J129" i="10"/>
  <c r="K104" i="12"/>
  <c r="K40" i="14"/>
  <c r="K46" i="12"/>
  <c r="J52" i="3"/>
  <c r="K155" i="9"/>
  <c r="J11" i="11"/>
  <c r="K141" i="17"/>
  <c r="K32" i="22"/>
  <c r="J171" i="16"/>
  <c r="K52" i="5"/>
  <c r="J165" i="16"/>
  <c r="J11" i="16"/>
  <c r="J32" i="13"/>
  <c r="K52" i="7"/>
  <c r="J23" i="14"/>
  <c r="K40" i="12"/>
  <c r="J129" i="5"/>
  <c r="J138" i="8"/>
  <c r="J23" i="17"/>
  <c r="J94" i="12"/>
  <c r="L150" i="7"/>
  <c r="J46" i="12"/>
  <c r="J23" i="22"/>
  <c r="K23" i="16"/>
  <c r="K40" i="5"/>
  <c r="K147" i="4"/>
  <c r="K155" i="10"/>
  <c r="L46" i="7"/>
  <c r="K73" i="15"/>
  <c r="J94" i="10"/>
  <c r="K40" i="11"/>
  <c r="J40" i="5"/>
  <c r="J104" i="10"/>
  <c r="K52" i="10"/>
  <c r="J161" i="10"/>
  <c r="K40" i="10"/>
  <c r="J52" i="10"/>
  <c r="J150" i="8"/>
  <c r="J32" i="12"/>
  <c r="K171" i="16"/>
  <c r="K32" i="13"/>
  <c r="K158" i="6"/>
  <c r="K23" i="11"/>
  <c r="K46" i="8"/>
  <c r="K123" i="7"/>
  <c r="J145" i="14"/>
  <c r="J46" i="5"/>
  <c r="J73" i="4"/>
  <c r="K149" i="9"/>
  <c r="J52" i="4"/>
  <c r="J46" i="3"/>
  <c r="J104" i="13"/>
  <c r="J23" i="9"/>
  <c r="K11" i="3"/>
  <c r="K160" i="5"/>
  <c r="J94" i="5"/>
  <c r="K94" i="11"/>
  <c r="J11" i="22"/>
  <c r="K23" i="15"/>
  <c r="K129" i="5"/>
  <c r="K153" i="3"/>
  <c r="J46" i="8"/>
  <c r="J146" i="8"/>
  <c r="J11" i="5"/>
  <c r="L129" i="7"/>
  <c r="K138" i="8"/>
  <c r="J94" i="15"/>
  <c r="J123" i="8"/>
  <c r="K32" i="4"/>
  <c r="K139" i="15"/>
  <c r="K46" i="3"/>
  <c r="K164" i="5"/>
  <c r="K32" i="9"/>
  <c r="L129" i="6"/>
  <c r="J23" i="13"/>
  <c r="J40" i="15"/>
  <c r="K11" i="10"/>
  <c r="J138" i="10"/>
  <c r="J94" i="9"/>
  <c r="J129" i="9"/>
  <c r="J124" i="15"/>
  <c r="K23" i="13"/>
  <c r="K164" i="6"/>
  <c r="K23" i="22"/>
  <c r="L138" i="7"/>
  <c r="K32" i="3"/>
  <c r="J105" i="17"/>
  <c r="K161" i="10"/>
  <c r="K129" i="3"/>
  <c r="J40" i="9"/>
  <c r="L164" i="6"/>
  <c r="J23" i="11"/>
  <c r="K40" i="6"/>
  <c r="J40" i="10"/>
  <c r="J23" i="10"/>
  <c r="J104" i="9"/>
  <c r="K104" i="10"/>
  <c r="K46" i="5"/>
  <c r="L57" i="7"/>
  <c r="K32" i="10"/>
  <c r="L123" i="7"/>
  <c r="J94" i="4"/>
  <c r="K11" i="22"/>
  <c r="K46" i="7"/>
  <c r="J32" i="9"/>
  <c r="J32" i="11"/>
  <c r="J57" i="10"/>
  <c r="K156" i="17"/>
  <c r="K73" i="5"/>
  <c r="J46" i="13"/>
  <c r="K104" i="9"/>
  <c r="L154" i="6"/>
  <c r="K52" i="3"/>
  <c r="K46" i="6"/>
  <c r="L138" i="6"/>
  <c r="J32" i="22"/>
  <c r="J11" i="17"/>
  <c r="J157" i="3"/>
  <c r="J57" i="9"/>
  <c r="K23" i="12"/>
  <c r="K32" i="14"/>
  <c r="K32" i="12"/>
  <c r="J57" i="4"/>
  <c r="J11" i="15"/>
  <c r="J139" i="15"/>
  <c r="L40" i="6"/>
  <c r="J57" i="15"/>
  <c r="J163" i="3"/>
  <c r="J104" i="5"/>
  <c r="J46" i="10"/>
  <c r="J151" i="4"/>
  <c r="L94" i="6"/>
  <c r="K32" i="11"/>
  <c r="K46" i="13"/>
  <c r="L23" i="7"/>
  <c r="K46" i="10"/>
  <c r="K11" i="15"/>
  <c r="J170" i="5"/>
  <c r="K157" i="3"/>
  <c r="K11" i="4"/>
  <c r="J138" i="9"/>
  <c r="K23" i="10"/>
  <c r="K123" i="6"/>
  <c r="K57" i="8"/>
  <c r="J11" i="12"/>
  <c r="K57" i="14"/>
  <c r="K57" i="22"/>
  <c r="K94" i="15"/>
  <c r="K105" i="16"/>
  <c r="K138" i="7"/>
  <c r="J138" i="5"/>
  <c r="K138" i="5"/>
  <c r="J32" i="15"/>
  <c r="L23" i="6"/>
  <c r="J57" i="5"/>
  <c r="L32" i="6"/>
  <c r="K163" i="3"/>
  <c r="J105" i="16"/>
  <c r="K151" i="4"/>
  <c r="J73" i="16"/>
  <c r="K46" i="9"/>
  <c r="J23" i="16"/>
  <c r="J32" i="3"/>
  <c r="K94" i="7"/>
  <c r="K94" i="5"/>
  <c r="K73" i="16"/>
  <c r="K104" i="3"/>
  <c r="K94" i="10"/>
  <c r="L57" i="6"/>
  <c r="J129" i="3"/>
  <c r="J73" i="13"/>
  <c r="K40" i="4"/>
  <c r="K40" i="22"/>
  <c r="K11" i="5"/>
  <c r="K52" i="4"/>
  <c r="K129" i="7"/>
  <c r="K156" i="7"/>
  <c r="K104" i="7"/>
  <c r="I9" i="25"/>
  <c r="E33" i="2" s="1"/>
  <c r="K23" i="6"/>
  <c r="J104" i="11"/>
  <c r="J160" i="5"/>
  <c r="L158" i="6"/>
  <c r="J32" i="14"/>
  <c r="J23" i="12"/>
  <c r="K105" i="15"/>
  <c r="K104" i="5"/>
  <c r="L11" i="7"/>
  <c r="K57" i="9"/>
  <c r="K11" i="6"/>
  <c r="K11" i="7"/>
  <c r="K94" i="16"/>
  <c r="J57" i="8"/>
  <c r="K123" i="3"/>
  <c r="K141" i="16"/>
  <c r="L11" i="6"/>
  <c r="L94" i="7"/>
  <c r="J123" i="3"/>
  <c r="K57" i="7"/>
  <c r="J94" i="8"/>
  <c r="K73" i="10"/>
  <c r="J57" i="16"/>
  <c r="J94" i="17"/>
  <c r="J57" i="3"/>
  <c r="K73" i="17"/>
  <c r="K57" i="13"/>
  <c r="K23" i="3"/>
  <c r="K138" i="3"/>
  <c r="K94" i="8"/>
  <c r="K138" i="9"/>
  <c r="K32" i="6"/>
  <c r="L123" i="6"/>
  <c r="K11" i="12"/>
  <c r="K40" i="9"/>
  <c r="K57" i="12"/>
  <c r="K57" i="17"/>
  <c r="K11" i="23"/>
  <c r="K150" i="7"/>
  <c r="J40" i="3"/>
  <c r="J23" i="4"/>
  <c r="K23" i="4"/>
  <c r="K170" i="5"/>
  <c r="K23" i="7"/>
  <c r="J57" i="11"/>
  <c r="J155" i="10"/>
  <c r="J57" i="22"/>
  <c r="J11" i="3"/>
  <c r="J104" i="3"/>
  <c r="K138" i="10"/>
  <c r="J57" i="12"/>
  <c r="K94" i="6"/>
  <c r="K57" i="5"/>
  <c r="J11" i="10"/>
  <c r="J32" i="4"/>
  <c r="K73" i="13"/>
  <c r="K94" i="4"/>
  <c r="L156" i="7"/>
  <c r="J23" i="3"/>
  <c r="L32" i="7"/>
  <c r="J40" i="17"/>
  <c r="K94" i="9"/>
  <c r="J57" i="17"/>
  <c r="K104" i="6"/>
  <c r="J57" i="14"/>
  <c r="K129" i="6"/>
  <c r="K57" i="10"/>
  <c r="K57" i="6"/>
  <c r="J94" i="11"/>
  <c r="K11" i="17"/>
  <c r="K57" i="11"/>
  <c r="J129" i="4"/>
  <c r="J129" i="8"/>
  <c r="J46" i="22"/>
  <c r="J40" i="4"/>
  <c r="K11" i="16"/>
  <c r="K123" i="8"/>
  <c r="K11" i="8"/>
  <c r="K40" i="3"/>
  <c r="J156" i="17"/>
  <c r="K52" i="8"/>
  <c r="J11" i="23"/>
  <c r="J11" i="4"/>
  <c r="K138" i="6"/>
  <c r="L104" i="6"/>
  <c r="K57" i="15"/>
  <c r="K57" i="16"/>
  <c r="K94" i="17"/>
  <c r="K124" i="15"/>
  <c r="I9" i="24"/>
  <c r="E32" i="2" s="1"/>
  <c r="K11" i="11"/>
  <c r="J73" i="17"/>
  <c r="J57" i="13"/>
  <c r="K57" i="4"/>
  <c r="J138" i="3"/>
  <c r="J141" i="16"/>
  <c r="J155" i="9"/>
  <c r="J11" i="8"/>
  <c r="K57" i="3"/>
  <c r="K32" i="7"/>
  <c r="K129" i="4"/>
  <c r="K23" i="9"/>
  <c r="I9" i="26"/>
  <c r="E34" i="2" s="1"/>
  <c r="J73" i="10"/>
  <c r="K146" i="8"/>
  <c r="K150" i="8"/>
  <c r="K129" i="8"/>
  <c r="K46" i="22"/>
  <c r="J104" i="4"/>
  <c r="J157" i="4"/>
  <c r="K157" i="4"/>
  <c r="K104" i="4"/>
  <c r="K40" i="8"/>
  <c r="K138" i="4"/>
  <c r="I9" i="29"/>
  <c r="E38" i="2" s="1"/>
  <c r="J156" i="8"/>
  <c r="J138" i="4"/>
  <c r="J104" i="8"/>
  <c r="K156" i="8"/>
  <c r="K32" i="5"/>
  <c r="J32" i="5"/>
  <c r="J32" i="8"/>
  <c r="I9" i="20"/>
  <c r="E27" i="2" s="1"/>
  <c r="J123" i="4"/>
  <c r="K104" i="22"/>
  <c r="K32" i="8"/>
  <c r="K123" i="4"/>
  <c r="I9" i="30"/>
  <c r="E39" i="2" s="1"/>
  <c r="J52" i="8"/>
  <c r="J40" i="8"/>
  <c r="J23" i="5"/>
  <c r="K11" i="9"/>
  <c r="J23" i="8"/>
  <c r="I9" i="21"/>
  <c r="E28" i="2" s="1"/>
  <c r="I9" i="28"/>
  <c r="E37" i="2" s="1"/>
  <c r="K23" i="5"/>
  <c r="J11" i="9"/>
  <c r="K23" i="8"/>
  <c r="I9" i="31"/>
  <c r="E40" i="2" s="1"/>
  <c r="G39" i="2" l="1"/>
  <c r="H39" i="2" s="1"/>
  <c r="F39" i="2"/>
  <c r="G40" i="2"/>
  <c r="H40" i="2" s="1"/>
  <c r="F40" i="2"/>
  <c r="G37" i="2"/>
  <c r="F37" i="2"/>
  <c r="G32" i="2"/>
  <c r="F32" i="2"/>
  <c r="H32" i="2" s="1"/>
  <c r="G27" i="2"/>
  <c r="F27" i="2"/>
  <c r="H27" i="2" s="1"/>
  <c r="G38" i="2"/>
  <c r="H38" i="2" s="1"/>
  <c r="F38" i="2"/>
  <c r="G28" i="2"/>
  <c r="F28" i="2"/>
  <c r="H28" i="2" s="1"/>
  <c r="G34" i="2"/>
  <c r="F34" i="2"/>
  <c r="H34" i="2" s="1"/>
  <c r="G33" i="2"/>
  <c r="F33" i="2"/>
  <c r="H33" i="2" s="1"/>
  <c r="G35" i="2" l="1"/>
  <c r="H37" i="2"/>
  <c r="H35" i="2" s="1"/>
  <c r="G93" i="3" l="1"/>
  <c r="I93" i="3" s="1"/>
  <c r="G93" i="15"/>
  <c r="I93" i="15" s="1"/>
  <c r="G93" i="12"/>
  <c r="I93" i="12" s="1"/>
  <c r="H93" i="6"/>
  <c r="J93" i="6" s="1"/>
  <c r="G93" i="17"/>
  <c r="I93" i="17" s="1"/>
  <c r="G93" i="11"/>
  <c r="I93" i="11" s="1"/>
  <c r="G93" i="9"/>
  <c r="I93" i="9" s="1"/>
  <c r="G93" i="8"/>
  <c r="I93" i="8" s="1"/>
  <c r="H93" i="7"/>
  <c r="J93" i="7" s="1"/>
  <c r="G93" i="5"/>
  <c r="I93" i="5" s="1"/>
  <c r="F93" i="18"/>
  <c r="H93" i="18" s="1"/>
  <c r="I93" i="18" s="1"/>
  <c r="I79" i="18" s="1"/>
  <c r="I9" i="18" s="1"/>
  <c r="G41" i="23"/>
  <c r="I41" i="23" s="1"/>
  <c r="I93" i="22"/>
  <c r="K93" i="22" s="1"/>
  <c r="F93" i="19"/>
  <c r="H93" i="19" s="1"/>
  <c r="I93" i="19" s="1"/>
  <c r="I79" i="19" s="1"/>
  <c r="I9" i="19" s="1"/>
  <c r="E26" i="2" s="1"/>
  <c r="G93" i="16"/>
  <c r="I93" i="16" s="1"/>
  <c r="G93" i="14"/>
  <c r="I93" i="14" s="1"/>
  <c r="G93" i="13"/>
  <c r="I93" i="13" s="1"/>
  <c r="G93" i="10"/>
  <c r="I93" i="10" s="1"/>
  <c r="G93" i="4"/>
  <c r="I93" i="4" s="1"/>
  <c r="E25" i="2" l="1"/>
  <c r="F25" i="2" s="1"/>
  <c r="H25" i="2" s="1"/>
  <c r="G26" i="2"/>
  <c r="F26" i="2"/>
  <c r="H26" i="2" s="1"/>
  <c r="J93" i="10"/>
  <c r="J79" i="10" s="1"/>
  <c r="J9" i="10" s="1"/>
  <c r="E17" i="2" s="1"/>
  <c r="G17" i="2" s="1"/>
  <c r="K93" i="10"/>
  <c r="K79" i="10" s="1"/>
  <c r="K9" i="10" s="1"/>
  <c r="F17" i="2" s="1"/>
  <c r="H17" i="2" s="1"/>
  <c r="K93" i="14"/>
  <c r="K79" i="14" s="1"/>
  <c r="K9" i="14" s="1"/>
  <c r="F21" i="2" s="1"/>
  <c r="H21" i="2" s="1"/>
  <c r="J93" i="14"/>
  <c r="J79" i="14" s="1"/>
  <c r="J9" i="14" s="1"/>
  <c r="E21" i="2" s="1"/>
  <c r="G21" i="2" s="1"/>
  <c r="K41" i="23"/>
  <c r="K27" i="23" s="1"/>
  <c r="K9" i="23" s="1"/>
  <c r="J41" i="23"/>
  <c r="J27" i="23" s="1"/>
  <c r="J93" i="8"/>
  <c r="J79" i="8" s="1"/>
  <c r="J9" i="8" s="1"/>
  <c r="E15" i="2" s="1"/>
  <c r="G15" i="2" s="1"/>
  <c r="K93" i="8"/>
  <c r="K79" i="8" s="1"/>
  <c r="K9" i="8" s="1"/>
  <c r="F15" i="2" s="1"/>
  <c r="H15" i="2" s="1"/>
  <c r="K93" i="6"/>
  <c r="K79" i="6" s="1"/>
  <c r="K9" i="6" s="1"/>
  <c r="E13" i="2" s="1"/>
  <c r="G13" i="2" s="1"/>
  <c r="L93" i="6"/>
  <c r="L79" i="6" s="1"/>
  <c r="L9" i="6" s="1"/>
  <c r="F13" i="2" s="1"/>
  <c r="H13" i="2" s="1"/>
  <c r="K93" i="16"/>
  <c r="K79" i="16" s="1"/>
  <c r="K9" i="16" s="1"/>
  <c r="F23" i="2" s="1"/>
  <c r="H23" i="2" s="1"/>
  <c r="J93" i="16"/>
  <c r="J79" i="16" s="1"/>
  <c r="J9" i="16" s="1"/>
  <c r="E23" i="2" s="1"/>
  <c r="G23" i="2" s="1"/>
  <c r="K93" i="9"/>
  <c r="K79" i="9" s="1"/>
  <c r="K9" i="9" s="1"/>
  <c r="F16" i="2" s="1"/>
  <c r="H16" i="2" s="1"/>
  <c r="J93" i="9"/>
  <c r="J79" i="9" s="1"/>
  <c r="J9" i="9" s="1"/>
  <c r="E16" i="2" s="1"/>
  <c r="G16" i="2" s="1"/>
  <c r="J93" i="12"/>
  <c r="J79" i="12" s="1"/>
  <c r="J9" i="12" s="1"/>
  <c r="E19" i="2" s="1"/>
  <c r="G19" i="2" s="1"/>
  <c r="K93" i="12"/>
  <c r="K79" i="12" s="1"/>
  <c r="K9" i="12" s="1"/>
  <c r="F19" i="2" s="1"/>
  <c r="H19" i="2" s="1"/>
  <c r="K93" i="4"/>
  <c r="K79" i="4" s="1"/>
  <c r="K9" i="4" s="1"/>
  <c r="F11" i="2" s="1"/>
  <c r="H11" i="2" s="1"/>
  <c r="J93" i="4"/>
  <c r="J79" i="4" s="1"/>
  <c r="J9" i="4" s="1"/>
  <c r="E11" i="2" s="1"/>
  <c r="G11" i="2" s="1"/>
  <c r="J93" i="5"/>
  <c r="J79" i="5" s="1"/>
  <c r="J9" i="5" s="1"/>
  <c r="E12" i="2" s="1"/>
  <c r="G12" i="2" s="1"/>
  <c r="K93" i="5"/>
  <c r="K79" i="5" s="1"/>
  <c r="K9" i="5" s="1"/>
  <c r="F12" i="2" s="1"/>
  <c r="H12" i="2" s="1"/>
  <c r="J93" i="11"/>
  <c r="J79" i="11" s="1"/>
  <c r="J9" i="11" s="1"/>
  <c r="E18" i="2" s="1"/>
  <c r="G18" i="2" s="1"/>
  <c r="K93" i="11"/>
  <c r="K79" i="11" s="1"/>
  <c r="K9" i="11" s="1"/>
  <c r="F18" i="2" s="1"/>
  <c r="H18" i="2" s="1"/>
  <c r="K93" i="15"/>
  <c r="K79" i="15" s="1"/>
  <c r="K9" i="15" s="1"/>
  <c r="F22" i="2" s="1"/>
  <c r="H22" i="2" s="1"/>
  <c r="J93" i="15"/>
  <c r="J79" i="15" s="1"/>
  <c r="J9" i="15" s="1"/>
  <c r="E22" i="2" s="1"/>
  <c r="G22" i="2" s="1"/>
  <c r="K93" i="13"/>
  <c r="K79" i="13" s="1"/>
  <c r="K9" i="13" s="1"/>
  <c r="F20" i="2" s="1"/>
  <c r="H20" i="2" s="1"/>
  <c r="J93" i="13"/>
  <c r="J79" i="13" s="1"/>
  <c r="J9" i="13" s="1"/>
  <c r="E20" i="2" s="1"/>
  <c r="G20" i="2" s="1"/>
  <c r="J93" i="22"/>
  <c r="J79" i="22" s="1"/>
  <c r="K79" i="22"/>
  <c r="K9" i="22" s="1"/>
  <c r="K93" i="7"/>
  <c r="K79" i="7" s="1"/>
  <c r="K9" i="7" s="1"/>
  <c r="E14" i="2" s="1"/>
  <c r="G14" i="2" s="1"/>
  <c r="L93" i="7"/>
  <c r="L79" i="7" s="1"/>
  <c r="L9" i="7" s="1"/>
  <c r="F14" i="2" s="1"/>
  <c r="H14" i="2" s="1"/>
  <c r="J93" i="17"/>
  <c r="J79" i="17" s="1"/>
  <c r="J9" i="17" s="1"/>
  <c r="E24" i="2" s="1"/>
  <c r="G24" i="2" s="1"/>
  <c r="K93" i="17"/>
  <c r="K79" i="17" s="1"/>
  <c r="K9" i="17" s="1"/>
  <c r="F24" i="2" s="1"/>
  <c r="H24" i="2" s="1"/>
  <c r="K93" i="3"/>
  <c r="K79" i="3" s="1"/>
  <c r="K9" i="3" s="1"/>
  <c r="F10" i="2" s="1"/>
  <c r="H10" i="2" s="1"/>
  <c r="J93" i="3"/>
  <c r="J79" i="3" s="1"/>
  <c r="J9" i="3" s="1"/>
  <c r="E10" i="2" s="1"/>
  <c r="G25" i="2" l="1"/>
  <c r="F30" i="2"/>
  <c r="H30" i="2" s="1"/>
  <c r="F31" i="2"/>
  <c r="H31" i="2" s="1"/>
  <c r="M9" i="22"/>
  <c r="J9" i="22"/>
  <c r="E30" i="2" s="1"/>
  <c r="G30" i="2" s="1"/>
  <c r="G10" i="2"/>
  <c r="J9" i="23"/>
  <c r="E31" i="2" s="1"/>
  <c r="G31" i="2" s="1"/>
  <c r="M9" i="23"/>
  <c r="H9" i="2" l="1"/>
  <c r="E48" i="2"/>
  <c r="G9" i="2"/>
  <c r="G48" i="2" s="1"/>
  <c r="H48" i="2" l="1"/>
</calcChain>
</file>

<file path=xl/sharedStrings.xml><?xml version="1.0" encoding="utf-8"?>
<sst xmlns="http://schemas.openxmlformats.org/spreadsheetml/2006/main" count="10976" uniqueCount="593">
  <si>
    <t>Nhà kho 1
一號倉庫</t>
  </si>
  <si>
    <t>KẾT CẤU BÊ TÔNG
混凝土結構</t>
  </si>
  <si>
    <t>Công tác cọc
基樁工項</t>
  </si>
  <si>
    <t>Huy động và giải thể thiết bị ép cọc
調動和拆除壓樁設備</t>
  </si>
  <si>
    <t>Cung cấp cọc thí nghiệm PHC D400A
提供PHC D400A試驗樁</t>
  </si>
  <si>
    <t>Thi công khoan dẫn cho cọc thí nghiệm PHC D400A
PHC D400A試驗樁導孔施工</t>
  </si>
  <si>
    <t>Thi công ép cọc thí nghiệm PHC D400A
PHC D400A試驗樁壓樁施工</t>
  </si>
  <si>
    <t>Thí nghiệm nén tĩnh cọc  (khả năng chịu nén, bao gồm ép cọc thí nghiệm và thí nghiệm nghiệm thu khả năng chịu lực của cọc, cao độ đỉnh cọc là cao độ mặt đất sau khi san lấp mặt bằng, Sức chịu tải của cọc đơn là 1100kN, và Tải trọng thí nghiệm là 2200kN)
基樁靜載試驗(抗壓,含先行試打樁及承載力驗收樁檢測、樁頂標高為整地後地面標高，單樁抗壓承載力特徵值1100kN，試驗值為2200kN)</t>
  </si>
  <si>
    <t>Thí nghiệm biến dạng nhỏ PIT cho cọc
基樁小應變試驗</t>
  </si>
  <si>
    <t>Cung cấp cọc đại trà PHC D400A
提供PHC D400A工程樁</t>
  </si>
  <si>
    <t>Cung cấp mũi cọc D400
提供D400樁尖</t>
  </si>
  <si>
    <t>Thi công khoan dẫn cho cọc đại trà PHC D400A
PHC D400A工程樁導孔施工</t>
  </si>
  <si>
    <t>Thi công ép cọc đại trà PHC D400A
PHC D400A工程樁壓樁施工</t>
  </si>
  <si>
    <t>Xử lý đầu cọc D400 ( Bao gồm cắt , cốt thép, bê tông đầu cọc và vận chuyển đầu cọc thừa ra ngoài công trường nếu có)
樁頭處理D400mm(包括切割、鋼筋、樁頭混凝土以及將多餘的樁頭移運到工地外面)</t>
  </si>
  <si>
    <t>Công tác đất
土方工項</t>
  </si>
  <si>
    <t>Đào đất móng, dầm móng
地基、基礎梁開挖</t>
  </si>
  <si>
    <t>Đầm chặt đất đáy móng, dầm móng
將基礎底部土壤、基礎梁壓實</t>
  </si>
  <si>
    <t>Lấp đất móng và đầm chặt
將基礎回填並壓實</t>
  </si>
  <si>
    <t>Vận chuyển xử lý đất thừa ( Trong phạm vi công trường)
多餘土壤運輸和處理（施工現場內）</t>
  </si>
  <si>
    <t>Lớp nylon lót cho bê tông lót đài móng dầm móng
用於混凝土承台和基礎樑的尼龍墊層</t>
  </si>
  <si>
    <t>Lớp màng HDPE chống ẩm, chống thấm dày 0.3mm ( hàn nhiệt) cho sàn nền tầng 1
一樓地板防潮防水HDPE膜層0.3mm厚（熱焊接）</t>
  </si>
  <si>
    <t>San gạt, lu nền hiện trạng nhà xưởng, độ chặt k&gt;=0.90
整平並碾壓廠房現況地基，壓實系數k≥0.90</t>
  </si>
  <si>
    <t>Cấp phối đá dăm loại II đầm chặt,dày 35cm, k&gt;=0.92
二型碎石級配層35cm厚，壓實k&gt;=0.92</t>
  </si>
  <si>
    <t>Công tác bê tông
混凝土工項</t>
  </si>
  <si>
    <t>Bê tông lót  đá 1x2 B7.5 cho móng, dầm móng, nền
基礎、基礎樑、底層的石1x2 B7.5混凝土墊層</t>
  </si>
  <si>
    <t>Bê tông đá 1x2 B30 cho đài móng, dầm móng, cổ cột, vách hố pit thang máy,nền sàn tầng 1
承台、基礎樑、柱頸、電梯坑、一層地面的石1x2 B30混凝土</t>
  </si>
  <si>
    <t>Bê tông đá 1x2 B30 cho cột  từ tầng 1 đến tầng mái
從一層到屋頂的柱子採用石1x2 B30混凝土</t>
  </si>
  <si>
    <t>Bê tông đá 1x2 B30 cho dầm sàn từ tầng 2 đến tầng mái
二樓至屋頂地板樑的石1x2 B30混凝土</t>
  </si>
  <si>
    <t>Bê tông đá mi M250 bảo vệ lớp chống thấm mái
保護屋頂防水層的石M250混凝土</t>
  </si>
  <si>
    <t>Bê tông đá mi M250 bảo vệ chân cột kết cấu thép thép
保護鋼結構柱腳之M250細石混凝土</t>
  </si>
  <si>
    <t>Vữa tự chảy không co ngót cường độ cao cho chân cột kết cấu thép
‌鋼結構柱腳的高強度無收縮自流砂漿</t>
  </si>
  <si>
    <t>Công tác ván khuôn
模板工項</t>
  </si>
  <si>
    <t>Ván khuôn bê tông lót cho móng, dầm móng, nền
基礎、基礎樑和地面的混凝土墊層模板</t>
  </si>
  <si>
    <t>Ván khuôn cho đài móng, dầm móng, cổ cột, vách hố pit thang máy,nền sàn tầng 1
承台、基礎樑、柱頸、電梯坑、一層地面的模板</t>
  </si>
  <si>
    <t>Ván khuôn cho cột từ tầng 1 đến tầng mái
從一樓到屋頂的柱子模板</t>
  </si>
  <si>
    <t>Ván khuôn cho dầm sàn từ tầng 2 đến tầng mái
二樓至屋頂地板樑的模板</t>
  </si>
  <si>
    <t>Ván khuôn cho bê tông bảo vệ chân cột kết cấu thép
‌鋼結構柱腳保護混凝土之模板</t>
  </si>
  <si>
    <t>Công tác cốt thép
鋼筋工項</t>
  </si>
  <si>
    <t>Cốt thép cho đài móng, dầm móng, cổ cột, tường vách ,nền sàn tầng 1
承台、基礎樑、柱頸、隔間牆、一層地面的鋼筋</t>
  </si>
  <si>
    <t>Cốt thép cho cột, vách từ tầng 1 đến tầng mái
從一層到屋頂的柱子、隔間鋼筋</t>
  </si>
  <si>
    <t>Cốt thép cho dầm sàn từ tầng 2 đến tầng mái
二樓至屋頂地板樑的鋼筋</t>
  </si>
  <si>
    <t>Cốt thép cho giằng tường, bổ trụ từ tầng 1 đến tầng mái
從一層到屋頂的加強柱、加強樑</t>
  </si>
  <si>
    <t>Lưới thép hàn 
電焊鋼絲網</t>
  </si>
  <si>
    <t>Công tác kết cấu khác
其他結構工項</t>
  </si>
  <si>
    <t>Hoàn thiện đánh bóng bề mặt bê tông bằng máy
使用機器打磨混凝土表面</t>
  </si>
  <si>
    <t>Cắt mạch bê tông khe co rộng 5mm, sâu 10mm khoảng cách @3*3m. Chèn khe bằng flexiseal.
切割混凝土伸縮縫，寬5mm，深10mm，間距@3×3m。使用彈性密封劑的聚氨酯填縫</t>
  </si>
  <si>
    <t>Cung cấp lắp đặt băng cản nước V20 cho hố pít thang máy
電梯底坑V20止水帶供應與安裝</t>
  </si>
  <si>
    <t>KẾT CẤU THÉP
鋼結構</t>
  </si>
  <si>
    <t>Kết cấu khung thép
鋼架結構</t>
  </si>
  <si>
    <t>Sản xuất hoàn thiện kết cấu thép tấm tổ hợp : Cột thép, dầm thép, kèo thép, giằng thép tổ hợp
製造完整鋼板組合結構：鋼柱、鋼樑、桁架、支撐鋼</t>
  </si>
  <si>
    <t>Sản xuất hoàn thiện kết cấu thép phụ : Giằng thép hình
製造完整次要鋼結構：有型支撐鋼</t>
  </si>
  <si>
    <t>Sản xuất hoàn thiện kết cấu thép phụ : Giằng thép tròn
製造完整次要鋼結構：圓支撐鋼</t>
  </si>
  <si>
    <t>Sản xuất hoàn thiện xà gồ thép hộp
製造完整方鋼檁條</t>
  </si>
  <si>
    <t>Sản xuất hoàn thiện xà gồ mạ kẽm
製造鍍鋅檁條</t>
  </si>
  <si>
    <t>Sản xuất hoàn thiện ty giằng xà gồ
製造完整檁條拉桿</t>
  </si>
  <si>
    <t>Sản xuất hoàn thiện chống lật xà gồ
製造完整檩条防翻</t>
  </si>
  <si>
    <t>Bu lông móng
基礎螺栓</t>
  </si>
  <si>
    <t>Bu lông liên kết cường độ cao
高強度連接螺栓</t>
  </si>
  <si>
    <t>Bu lông liên kết xà gồ
檩条連接螺栓</t>
  </si>
  <si>
    <t>Đinh chống cắt D16*150
防剪釘 D16*150</t>
  </si>
  <si>
    <t>Vận chuyển bu lông móng đến công trình
將基礎螺栓運輸至工地</t>
  </si>
  <si>
    <t>Vận chuyển kết cấu thép đến công trình
將鋼結構運輸至工地</t>
  </si>
  <si>
    <t>Định vị, lắp đặt bu lông móng tại công trình
在工地定位並安裝基礎螺栓</t>
  </si>
  <si>
    <t>Lắp đặt kết cấu thép tại công trình
在工地安裝鋼結構</t>
  </si>
  <si>
    <t>Sàn deck
樓承板工項</t>
  </si>
  <si>
    <t>Tấm sàn decking mạ kẽm thk=0.95mm WxH 50*1000mm
鍍鋅樓承板，厚度0.95毫米，寬50毫米，長1000毫米</t>
  </si>
  <si>
    <t>Đinh chống cắt D19*90
防剪釘D19*90</t>
  </si>
  <si>
    <t>Phụ kiện tôn sàn deck: Ke bo sàn, thanh chống, vít …
樓承板配件：樓承板角鋼、支撐桿、螺絲</t>
  </si>
  <si>
    <t>Vận chuyển tôn sàn deck đến công trình
將樓承板鐵皮運至工地</t>
  </si>
  <si>
    <t>Lắp dựng tôn sàn deck
樓承板鐵皮安裝</t>
  </si>
  <si>
    <t>Tôn bao che và phụ kiện
覆蓋鐵皮及配件</t>
  </si>
  <si>
    <t>Mái chính: Tôn Seamlock K485, mạ nhôm kẽm thk=0.5mm. Sơn PVDF 170g/m2 và phụ kiện đi kèm
主屋頂：Seamlock K485 鋼板，鍍鋅鋁 厚度0.5mm，PVDF塗料170g/m²，及配件</t>
  </si>
  <si>
    <t>Mái đua: Tôn cán cong, 5 sóng công nghiệp, mạ nhôm kẽm thk=0.5mm. Sơn PVDF 170g/m2 và phụ kiện đi kèm
延伸屋頂：彎曲鋼板，5波工業型，鍍鋁鋅厚度0.5mm，PVDF塗料 170g/m²，及配件</t>
  </si>
  <si>
    <t>Mái phụ trợ, vách thưng tôn: Tôn 5 sóng công nghiệp, mạ nhôm kẽm thk=0.5mm. Sơn PVDF 170g/m2 và phụ kiện đi kèm
輔助屋頂、鐵皮圍牆：5波工業型，鍍鋁鋅厚度0.5mm，PVDF塗料 170g/m²，及配件</t>
  </si>
  <si>
    <t>Túi khí cách nhiệt 2 mặt nhôm A2
雙面鋁箔汽包膜 A2</t>
  </si>
  <si>
    <t>Ke diềm và phụ kiện, tôn phẳng mạ màu thk=0.5mm
收邊條及配件，鍍色鋼平板厚度=0.5mm</t>
  </si>
  <si>
    <t>Máng nước inox 304 thk=1.2mm, loại 1
不鏽鋼水槽 304 厚度1.2mm</t>
  </si>
  <si>
    <t>Máng nước inox 304 thk=1.2mm, loại 2
不鏽鋼水槽 304 厚度1.2mm</t>
  </si>
  <si>
    <t>Cầu chắn rác inox 304 D200mm
不鏽鋼防堵塞過濾網罩 304 D200mm</t>
  </si>
  <si>
    <t>Ống thoát nước PVC D200 và phụ kiện đi kèm
排水管 PVC D200及配件</t>
  </si>
  <si>
    <t>Vận chuyển tôn mái và phụ kiện đến công trình
將屋頂鐵皮及配件運輸至工地</t>
  </si>
  <si>
    <t>Nhân công lợp tôn mái và cách nhiệt tại công trình
人工安裝屋頂鐵皮及進行隔熱施工</t>
  </si>
  <si>
    <t>Nhân công lắp đặt ke diềm, máng nước, ống xối và phụ kiện tôn tại công trình
人工安裝收邊條、水槽、排水管、鐵板配件</t>
  </si>
  <si>
    <t>Vật tư phụ khác
其他輔材</t>
  </si>
  <si>
    <t>Các công việc khác
其他工項</t>
  </si>
  <si>
    <t>Cung cấp, vận chuyển và lắp đặt thang leo mái và phụ kiện ( Thang lồng)
提供、運輸及安裝屋頂爬梯及配件（護籠爬梯）</t>
  </si>
  <si>
    <t>Cung cấp, vận chuyển và lắp đặt thang leo mái và phụ kiện ( Thang không có lồng)
提供、運輸及安裝屋頂爬梯及配件（無護籠爬梯）</t>
  </si>
  <si>
    <t>Cung cấp, vận chuyển và lắp đặt lan can cầu thang bộ và phụ kiện
提供、運輸及安裝樓梯扶手及配件</t>
  </si>
  <si>
    <t>Cung cấp, vận chuyển và lắp đặt lan can sàn và phụ kiện
提供、運輸及安裝地板欄杆及配件</t>
  </si>
  <si>
    <t>Chi phí biện pháp an toàn trong lắp dựng
安全施工措施採取費用</t>
  </si>
  <si>
    <t>Sơn chống cháy cho kết cấu chính ( Cột thép, dầm thép, kèo thép)
主結構防火塗料（鋼柱、鋼樑、桁架）</t>
  </si>
  <si>
    <t>Chi phí kiểm định sơn chống cháy
防火塗料檢測費用</t>
  </si>
  <si>
    <t>Sơn phủ màu cho kết cấu chính ( Cột thép, dầm thép, kèo thép)
主結構塗漆（鋼柱、鋼梁、鋼桁架）</t>
  </si>
  <si>
    <t>PHẦN HOÀN THIỆN
裝修部分</t>
  </si>
  <si>
    <t>Tường xây, vách ngăn, trát và sơn
砖牆、隔牆、抹灰和涂漆</t>
  </si>
  <si>
    <t>Tường xây gạch đặc dày 220mm, vữa xi măng M75
牆體採用220mm厚實心磚，M75水泥砂漿</t>
  </si>
  <si>
    <t>Tường xây gạch đặc dày 110mm, vữa xi măng M75
牆體採用110mm厚實心磚，M75水泥砂漿</t>
  </si>
  <si>
    <t>Vách thạch cao ngăn cháy EI45
防火石膏板EI45</t>
  </si>
  <si>
    <t>Vách ngăn : khung xương + gỗ MDF lõi xanh + Alu nhựa t=5 phủ PDVF 
龍骨架+MDF防水木板隔斷，表面貼鋁塑板t=5, PVDF烤漆</t>
  </si>
  <si>
    <t>Vách panel dày 100 , lõi rockwool 100mm, tỷ trọng 80kg/m3, tôn dày 0.5m, sơn phủ PVDF 
機製庫板岩棉100mm、比重80kg/m3、鋼板0.5mm、PVDF烤漆</t>
  </si>
  <si>
    <t>Vách tấm lấy sáng Polycarbonate dày 12mm
聚碳酸酯採光板12毫米厚</t>
  </si>
  <si>
    <t>Vách ngăn vệ sinh HPL compact dày 18mm bao gồm phụ kiện inox 304
前所高壓層積板（HPL）緊湊型隔斷,18 毫米厚,包括 304 不銹鋼配件</t>
  </si>
  <si>
    <t>Vách Cemboard 1 mặt , độ dày tấm t=12mm
單面Cemboard 水泥板隔間，厚度 12 毫米</t>
  </si>
  <si>
    <t>Vách Cemboard 2 mặt , độ dày tấm t=12mm
雙面Cemboard 水泥板隔間，厚度 12 毫米</t>
  </si>
  <si>
    <t>Giáo hoàn thiện tường ngoài nhà ( Có lưới an toàn)
綜合鋼管外牆腳手架(含安全網)</t>
  </si>
  <si>
    <t>Trát tường ngoài, vữa xi măng M75, dày 20mm
外牆抹灰，M75水泥砂漿，20mm厚</t>
  </si>
  <si>
    <t>Trát tường trong, vữa xi măng M75, dày 20mm
內牆抹灰，M75水泥砂漿，20mm厚</t>
  </si>
  <si>
    <t>Tường trát vữa xi măng chống thấm tỷ lệ 1:2, ốp gạch ceramic giả đá kích thước 300*600 h=2.5m
1:2防水水泥砂漿粉刷貼300*600mm磁磚2.5m高</t>
  </si>
  <si>
    <t>Tường sơn nước ngoại thất 1 lớp lót, 2 lớp phủ
外牆水性塗料施工：1層底漆，2層面漆</t>
  </si>
  <si>
    <t>Tường sơn nước nội thất 1 lớp lót, 2 lớp phủ
‌內牆水性塗料施工：1層底漆，2層面漆</t>
  </si>
  <si>
    <t>Tường sơn nước nội thất 1 lớp lót, 2 lớp phủ ( sơn chống mốc)
內牆水性塗料施工：1層底漆，2層面漆（防霉塗料）‌</t>
  </si>
  <si>
    <t>Tường sơn epoxy chống tĩnh điện 1 lớp lót, 2 lớp phủ
‌環氧樹脂抗靜電塗料墻體施工：1層底漆，2層面漆</t>
  </si>
  <si>
    <t>Gờ, lam chắn nắng bằng bê tông cho cửa sổ ngoài nhà
戶外窗戶用混凝土製的窗檐與遮陽百葉。</t>
  </si>
  <si>
    <t>Hoàn thiện sàn
地坪</t>
  </si>
  <si>
    <t>Sàn láng vữa xi măng chống thấm 1:2 , lát gạch ceramic giả đá chống trượt 300*300mm
地面塗抹防水水泥砂漿1:2，鋪設300×300mm防滑仿石材陶瓷磚</t>
  </si>
  <si>
    <t>Sàn tăng cứng bề mặt bê tông dạng lỏng 0.25kg/m2+ đánh bóng sàn bê tông cấp độ 2 ( độ bóng 20-35)
滲透活性樹脂強化劑0.25kg/m2 +拋光(亮度20-35)奈米地板</t>
  </si>
  <si>
    <t>Sàn bê tông tăng cứng phi kim loại ( bề mặt chống trơn trượt) 4kg/m2 + tăng cứng sàn dạng lỏng
非金屬混凝土硬化地坪（防滑表面），4公斤/平方米 + 液態硬化劑</t>
  </si>
  <si>
    <t>Sàn kết cấu mài nhẵn bằng máy + vữa cách nhiệt + epoxy tự chảy ( 1mm) + Sàn OA H=450mm
 結構地坪機械打磨整平 + 保溫砂漿 + 自流平環氧樹脂（1mm） + OA地板 H=450mm</t>
  </si>
  <si>
    <t>Sàn láng vữa xi măng 1:3 , lát gạch ceramic bóng kính 800*800mm
1:3水泥砂漿找平層 + 鋪貼800×800mm拋光石英磚</t>
  </si>
  <si>
    <t>Hoàn thiện trần
天花板工項</t>
  </si>
  <si>
    <t>Mài nhẵn bề mặt dầm trần bê tông
混凝土天花板梁表面磨平</t>
  </si>
  <si>
    <t>Trần sơn nước nội thất 1 lớp lót, 2 lớp phủ
室內水性漆天花板，1層底漆，2層面漆（防霉漆）</t>
  </si>
  <si>
    <t>Trần sơn nước nội thất 1 lớp lót, 2 lớp phủ ( Sơn chống mốc)
室內水性漆天花板，1層底漆，2層面漆（防霉漆）</t>
  </si>
  <si>
    <t>Trần sơn epoxy chống tĩnh điện 1 lớp lót, 2 lớp phủ
靜電防止環氧樹脂塗層天花板，1層底漆，2層面漆</t>
  </si>
  <si>
    <t>Trần Panel , lõi rockwool dày 100mm, tỷ trọng 80kg/m3, tôn dày 0.5m, sơn phủ PVDF đỡ bằng khung thép hộp
機製庫板岩棉100mm、比重80kg/m3、鋼板0.5mm、PVDF烤漆、方鋼支撐</t>
  </si>
  <si>
    <t>Trần Panel , lõi rockwool dày 100mm, tỷ trọng 80kg/m3, tôn dày 0.5m, sơn phủ PVDF đỡ bằng ty treo
Panel天花板，內芯為100mm厚的岩棉、比重80kg/m3、鋼板厚度為0.5mm、表面塗覆PVDF、吊桿支撐</t>
  </si>
  <si>
    <t>Trần nhôm clip in 600*600 bề mặt không lỗ, t=0.8mm, 無孔鋁扣板吊頂600*600, t=0.8mm</t>
  </si>
  <si>
    <t>Trần sàn deck sơn đen
黑色塗裝樓承板</t>
  </si>
  <si>
    <t>Cửa đi và cửa sổ
門窗工程</t>
  </si>
  <si>
    <t>C15x11. Cửa sổ nhôm kính sơn phủ PVDF, kính trong cường lực t=6 mm. Kích thước 1500*1100mm
C15x11 - PVDF 塗層鋁窗，厚度6mm 透明鋼化玻璃，尺寸 1500*1100mm</t>
  </si>
  <si>
    <t>C20x6. Cửa sổ trượt nhôm kính hệ khung cầu cách nhiệt , sơn phủ PVDF, kính hộp Low-E (6+12AS+6), kèm lưới chắn côn trùng. Kích thước 2000*600mm
C20x6 - 断热铝合金玻璃窗推拉門，PVDF 塗層，Low-E 低輻射玻璃（6+12AS+6），附防蟲網. 尺寸 2000*600mm</t>
  </si>
  <si>
    <t>C24x10. Cửa sổ trượt nhôm kính hệ khung cầu cách nhiệt , sơn phủ PVDF, kính hộp Low-E (6+12AS+6), kèm lưới chắn côn trùng. Kích thước 2400*1000mm
C24x10 - 断热铝合金玻璃窗推拉門，PVDF 塗層，Low-E 低輻射玻璃（6+12AS+6），附防蟲網. 尺寸 2400*1000mm</t>
  </si>
  <si>
    <t>C25x11. Cửa sổ nhôm kính sơn phủ PVDF, kính trong cường lực t=6 mm. Kích thước 2500*1100mm
C25x11 - PVDF 塗層鋁玻璃窗，厚度6mm  透明鋼化玻璃，尺寸 2500*1100mm</t>
  </si>
  <si>
    <t>C30x11. Cửa sổ nhôm kính sơn phủ PVDF, kính trong cường lực t=6 mm. Kích thước 3000*1100mm
C30x11 - PVDF 塗層鋁玻璃窗，厚度6mm  透明鋼化玻璃，尺寸  3000*1100mm</t>
  </si>
  <si>
    <t>DK75x35. Lỗ mở trên tường gạch, bọc khung inox t=1.5mm. Kích thước 7500*3500mm
DK75x35 - 磚牆上的開孔，包邊不銹鋼框，厚 1.5mm，尺寸 7500*3500mm</t>
  </si>
  <si>
    <t>FTLMa30x30. Cửa trượt thép mạ kẽm sơn tĩnh điện, chống cháy EI60, có cơ cấu tự đóng tự động chèn kín,tự động đóng khi có cháy. Kích thước 3000*3000mm
FTLMa30x30 - 鍍鋅鋼推拉門，靜電噴塗，EI60，帶自動關閉密封裝置，火災時自動關閉，尺寸 3000*3000mm</t>
  </si>
  <si>
    <t>JLM27x32. Cửa cuốn thép mạ kẽm phủ PVDF,overhead. Kích thước 2700*3200mm
JLM27x32 - 鍍鋅鋼捲簾門，PVDF 塗層，overhead，尺寸 2700*3200mm</t>
  </si>
  <si>
    <t xml:space="preserve">M11x25. Cửa nhôm kính sơn phủ PVDF, kính trong cường lực t=6 mm. Kích thước 1100*2500mm
M11x25。PVDF塗層鋁玻璃窗，厚度6mm 透明鋼化玻璃，尺寸1100*2500mm </t>
  </si>
  <si>
    <t>M21x25. Cửa nhôm kính sơn phủ PVDF, kính trong cường lực t=6 mm. Kích thước 2100*2500mm
M21x25 - PVDF 塗層鋁玻璃窗，厚度6mm 透明鋼化玻璃，尺寸 2100*2500mm</t>
  </si>
  <si>
    <t>TLMa45x35. Cửa 2 mặt tôn AZ150,t=0.5mm + khung thép hộp, sơn phủ PVDF. Kích thước 4500*3500mm
TLMa45x35 - 雙面 AZ150 鐵板庫板們，厚度 0.5mm + 方鋼框架，PVDF 塗層，尺寸 4500*3500mm</t>
  </si>
  <si>
    <t>TLMb45x35. Cửa 2 mặt tôn AZ150,t=0.5mm + khung thép hộp, sơn phủ PVDF. Kích thước 4500*3500mm
TLMb45x35 - 雙層 AZ150 鐵板門，厚度 0.5mm + 方鋼框架，PVDF 塗層，尺寸 4500*3500mm</t>
  </si>
  <si>
    <t>BTLM69.3x30. Cửa trượt khung ray panel 2 lớp tôn AZ170,t=0.5mm, lõi rockwool dày 100 tỷ trọng 80kg/m3, sơn phủ PVDF</t>
  </si>
  <si>
    <t>BTLM75x30. Cửa trượt khung ray panel 2 lớp tôn AZ170,t=0.5mm, lõi rockwool dày 100 tỷ trọng 80kg/m3, sơn phủ PVDF</t>
  </si>
  <si>
    <t xml:space="preserve">Khe co giãn
伸缩缝 </t>
  </si>
  <si>
    <t>Khe co giãn sàn (bao gồm tấm ốp inox và chất chèn khe sealant) (J3,J4)
地板伸縮縫（包括不鏽鋼板及sealant填縫密封膠）(J3,J4)</t>
  </si>
  <si>
    <t>Khe co giãn tường trong (bao gồm tấm ốp inox và chất chèn khe sealant) (J7)
內牆伸縮縫 包括不鏽鋼板及sealant填縫密封膠）</t>
  </si>
  <si>
    <t>Khe co giãn tường ngoài (bao gồm tấm ốp inox và chất chèn khe sealant) (J8)
外牆伸縮縫 包括不鏽鋼板及sealant填縫密封膠）</t>
  </si>
  <si>
    <t>Chống thấm và cách nhiệt mái bê tông
防水工程和混凝土屋頂隔热</t>
  </si>
  <si>
    <t>Chống thấm gốc xi măng polymer cho nền, tường nhà vệ sinh dày 2mm. ( bao gồm lưới thuỷ tinh gia cố góc)
衛生間地面與牆面採用水泥基聚合物防水層，厚度2毫米（包含轉角處加強玻璃纖維網布）</t>
  </si>
  <si>
    <t>Lớp cách nhiệt PU dày 50mm tỷ trọng 42kg/m3
聚氨酯（PU）隔熱層，厚度50毫米，密度42kg/m³</t>
  </si>
  <si>
    <t>Màng chống thấm tự dính 2 mặt Bac-P dày 1.5mm, lớp phủ chống thấm JS polymer dày 2mm
雙面自黏式防水膜 Bac-P，厚度1.5毫米，表面塗覆JS polymer聚合物防水層，厚度2毫米</t>
  </si>
  <si>
    <t>Đánh mặt bề mặt bê tông đá mi bảo vệ lớp chống thấm mái bằng máy, kẻ ron 3*3*15mm, trám kheo sealant
使用機械壓實打磨（洗石子）以保護屋頂防水層，表面勾縫3×3×15毫米，用sealant填縫膠密封</t>
  </si>
  <si>
    <t>Chống thấm tường thu hồi mái
屋頂山墻防水處理</t>
  </si>
  <si>
    <t>Bồn rửa tay bê tông cốt thép
鋼筋混凝土洗手盆</t>
  </si>
  <si>
    <t>Ngạch cửa bằng đá granit dày 20mm ( Cho lối vào khu vệ sinh)
20mm厚花崗岩門檻（用於衛生間入口）</t>
  </si>
  <si>
    <t>Gương soi 6mm+Viền inox bao xung quanh H=1200mm
6mm明镜+高度1200mm不銹鋼收邊</t>
  </si>
  <si>
    <t xml:space="preserve">Tấm grating 450*450 rãnh thoát nước lập là 80*10 tải trọng 30kN mạ kẽm nhúng nóng
450×450鋼格板，排水槽尺寸80*10，承載力30kN，熱浸鍍鋅 </t>
  </si>
  <si>
    <t xml:space="preserve">Tấm bảo vệ góc bằng inox V100*5
V100*5不鏽鋼護角板板 </t>
  </si>
  <si>
    <t>Sàn nâng ( Docklever)
升降平臺</t>
  </si>
  <si>
    <t>Dock seal ngoài trời
戶外碼頭密封裝置</t>
  </si>
  <si>
    <t>Đệm cao su chống va chạm cho dock hàng
碼頭防撞橡膠墊</t>
  </si>
  <si>
    <t xml:space="preserve">Tấm bảo vệ góc bằng inox V50*5
V50*5不鏽鋼護角板板 </t>
  </si>
  <si>
    <t>Trụ chống va đập cho cửa cuốn overhead, D114 h=1000 mm
overhead 卷門防撞柱</t>
  </si>
  <si>
    <t>Nhà xưởng sản xuất 1
一號生產廠房</t>
  </si>
  <si>
    <t>BY24x10. Cửa sổ hệ nhôm cầu kính cách nhiệt + cửa chớp, sơn phủ PVDF, kính hộp Low-E (6+12AS+6). Kích thước 2400*1000mm
BY24x10 隔熱斷橋鋁玻璃窗+百葉窗,PVDF塗層，Low-E中空玻璃6+12A+6）尺寸2400*1000mm</t>
  </si>
  <si>
    <t>DK70x35. Lỗ mở trên tường gạch, bọc khung inox t=1.5mm. Kích thước 7000*3500mm
DK70x35 - 磚牆上的開孔，包邊不銹鋼框，厚 1.5mm，尺寸 7000*3500mm</t>
  </si>
  <si>
    <t>M15x22. Cửa thép mạ kẽm sơn tĩnh điện. Kích thước 1500*2200mm
M15x22 - 鍍鋅鋼板粉體漆門，尺寸 1500*2200mm</t>
  </si>
  <si>
    <t>Bồn rửa tay khung inox 304 cố định, mặt bàn đá granite dày 20mm
固定式304不鏽鋼框架洗手盆，配20毫米厚花崗岩台面</t>
  </si>
  <si>
    <t>Gương soi 6mm+Viền 4 cạnh  H=950mm. Có đèn hắt viền sau gương.
‌鏡面：6mm厚度、四邊邊框（高度950mm），後側配置隱藏式燈帶</t>
  </si>
  <si>
    <t xml:space="preserve">PHẦN BỔ SUNG </t>
  </si>
  <si>
    <t xml:space="preserve">Mái tôn 3 lớp phòng máy nén khí </t>
  </si>
  <si>
    <t>Nhà xưởng sản xuất 2
二號生產廠房</t>
  </si>
  <si>
    <t>Vách thạch cao ngăn cháy EI45 (2 mặt)
防火石膏板EI45</t>
  </si>
  <si>
    <t>C10.3x10. Cửa sổ nhôm kính sơn phủ PVDF, kính trong cường lực t=6 mm. Kích thước 1030*1000mm
C10.3x10 - PVDF 塗層鋁玻璃窗，厚度6mm 鋼化玻璃，尺寸 1030*1000mm</t>
  </si>
  <si>
    <t>DK20x23. Lỗ mở trên vách panel, bọc khung inox t=1.5mm. Kích thước 2000*2300mm
DK20x23 - 庫板隔間開孔，包邊不銹鋼框，厚1.5mm，尺寸 2000*2300mm</t>
  </si>
  <si>
    <t>FC20x11. Cửa sổ thép kính, chống cháy EI60. Kích thước 2000*1100mm
FC20x11 - 鋼質玻璃窗，EI60，尺寸 2000*1100mm</t>
  </si>
  <si>
    <t>FC30x11. Cửa sổ thép kính, chống cháy EI60. Kích thước 3000*1100mm
FC30x11 - 鋼質玻璃窗，EI60，尺寸 3000*1100mm</t>
  </si>
  <si>
    <t>FM10x21. Cửa thép mạ kẽm sơn tĩnh điện, chống cháy EI60, có cơ cấu tự đóng tự động chèn kín (tay co thuỷ lực). Kích thước 1000*2100mm
FM10x21 - 鍍鋅鋼門，EI60防火，帶自動關閉密封裝置（閉門器），尺寸 1000*2100mm</t>
  </si>
  <si>
    <t>FTLMa20x30. Cửa trượt thép mạ kẽm sơn tĩnh điện, chống cháy EI60, có cơ cấu tự đóng tự động chèn kín,tự động đóng khi có cháy. Kích thước 2000*3000mm
FTLMa20x30 - 鍍鋅鋼推拉門，靜電噴塗，EI60，帶自動關閉密封裝置，火災時自動關閉，尺寸 2000*3000mm</t>
  </si>
  <si>
    <t>FTLMa25x30. Cửa trượt thép mạ kẽm sơn tĩnh điện, chống cháy EI60, có cơ cấu tự đóng tự động chèn kín,tự động đóng khi có cháy. Kích thước 2500*3000mm
FTLMa25x30 - 鍍鋅鋼推拉門，靜電噴塗，EI60，帶自動關閉密封裝置，火災時自動關閉，尺寸 2500*3000mm</t>
  </si>
  <si>
    <t>M10x22. Cửa thép mạ kẽm sơn tĩnh điện. Kích thước 1000*2200mm
M10x22 - 鍍鋅鋼板粉體漆門，尺寸 1000*2200mm</t>
  </si>
  <si>
    <t>M21x23. Cửa panel 2 mặt tôn AZ150, t=0.5mm, lõi rockwool dày 100mm, tỷ trọng 80kg/m3, sơn phủ PVDF. Kích thước 2100*2300mm
M21x23 - 雙層 AZ150 鐵板庫板門，厚度 0.5mm，100mm 厚岩棉芯，PVDF 塗層，尺寸 15003000mm</t>
  </si>
  <si>
    <t>TLMa20x23. Cửa panel 2 mặt tôn AZ150, t=0.5mm, lõi rockwool dày 100mm, tỷ trọng 80kg/m3, sơn phủ PVDF. Kích thước 2000*2300mm
TLMa20x23 - 雙層 AZ150 鐵板庫板門，厚度 0.5mm，100mm 厚岩棉芯，PVDF 塗層，尺寸 2000*2300mm</t>
  </si>
  <si>
    <t>TLMb20x23. Cửa panel 2 mặt tôn AZ150, t=0.5mm, lõi rockwool dày 100mm, tỷ trọng 80kg/m3, sơn phủ PVDF. Kích thước 2000*2300mm
TLMb20x23 - 雙層 AZ150 鐵板庫板門，厚度 0.5mm，100mm 厚岩棉芯，PVDF 塗層，尺寸 2000*2300mm</t>
  </si>
  <si>
    <t>TLMb30x35. Cửa 2 mặt tôn AZ150,t=0.5mm + khung thép hộp, sơn phủ PVDF. Kích thước 3000*3500mm
TLMb30x35 - 雙面 AZ150 鐵板門，厚度 0.5mm + 方鋼框架，PVDF 塗層，尺寸 3000*3500mm</t>
  </si>
  <si>
    <t>TLMh163x22. Cửa 2 lớp alu,t=0.5mm, lõi rockwool dày 100mm, tỷ trọng 80kg/m3, sơn phủ PVDF. Kích thước 16300*2200mm
TLMh163x22 - 雙層鋁板門，厚度 0.5mm，100mm 厚岩棉芯，PVDF 塗層，尺寸 16300*2200mm</t>
  </si>
  <si>
    <t>TLMh95x27. Cửa 2 lớp alu,t=0.5mm, lõi rockwool dày 100mm, tỷ trọng 80kg/m3, sơn phủ PVDF. Kích thước 9500*2700mm
TLMh95x27 - 雙層鋁板門，厚度 0.5mm，100mm 厚岩棉芯，PVDF 塗層，尺寸 9500*2700mm</t>
  </si>
  <si>
    <t>Nhà xưởng sản xuất 3
三號生產廠房</t>
  </si>
  <si>
    <t>C18x11. Cửa sổ nhôm kính sơn phủ PVDF, kính trong cường lực t=6 mm. Kích thước 1800*1100mm
C18x11 - PVDF 塗層鋁窗，厚度6mm 透明鋼化玻璃，尺寸 1800*1100mm</t>
  </si>
  <si>
    <t>M11x22. Cửa panel 2 mặt tôn AZ150, t=0.5mm, lõi rockwool dày 100mm, tỷ trọng 80kg/m3, sơn phủ PVDF. Kích thước 1100*2200mm
M11x22 - 雙層 AZ150 鐵板庫板門，厚度 0.5mm，100mm 厚岩棉芯，PVDF 塗層，尺寸 1100*2200mm</t>
  </si>
  <si>
    <t>TLM18x28 Cửa trượt khung inox, phần trượt kính cường lực trong dày 10mm, phần khung bao kính hộp Low-E (6+12AS+6). Kích thước 1800*2800mm
TLM18x28 不銹鋼滑動門、內層採用10mm厚鋼化玻璃、Low-E中空玻璃（6+12AS+6）、尺寸：1800 × 2800 mm</t>
  </si>
  <si>
    <t>TLMb15x30. Cửa panel 2 mặt tôn AZ150, t=0.5mm, lõi rockwool dày 100mm, tỷ trọng 80kg/m3, sơn phủ PVDF. Kích thước 1500*3000mm
TLMb15x30 - 雙層 AZ150鐵板庫板們，厚度 0.5mm，100mm 厚岩棉芯，PVDF 塗層，尺寸 1500*3000mm</t>
  </si>
  <si>
    <t>TLMb20x30. Cửa panel 2 mặt tôn AZ150, t=0.5mm, lõi rockwool dày 100mm, tỷ trọng 80kg/m3, sơn phủ PVDF. Kích thước 2000*3000mm
TLMb20x30 - 雙層 AZ150 鐵板庫板們，厚度 0.5mm，100mm 厚岩棉芯，PVDF 塗層，尺寸 2000*3000mm</t>
  </si>
  <si>
    <t>TLMb27x30. Cửa panel 2 mặt tôn AZ150, t=0.5mm, lõi rockwool dày 100mm, tỷ trọng 80kg/m3, sơn phủ PVDF. Kích thước 2700*3000mm
TLMb27x30 - 雙層 AZ150 鐵板庫板們，厚度 0.5mm，100mm 厚岩棉芯，PVDF 塗層，尺寸 2700*3000mm</t>
  </si>
  <si>
    <t>TLMh24x30. Cửa 2 lớp alu,t=0.5mm, lõi rockwool dày 100mm, tỷ trọng 80kg/m3, sơn phủ PVDF. Kích thước 2400*3000mm
TLMh24x30 - 雙層鋁板門，厚度 0.5mm，100mm 厚岩棉芯，PVDF 塗層，尺寸 2400*3000mm</t>
  </si>
  <si>
    <t>TLMh74x30. Cửa 2 lớp alu,t=0.5mm, lõi rockwool dày 100mm, tỷ trọng 80kg/m3, sơn phủ PVDF. Kích thước 7400*3000mm
TLMh74x30 - 雙層鋁板門，厚度 0.5mm，100mm 厚岩棉芯，PVDF 塗層，尺寸 7400*3000mm</t>
  </si>
  <si>
    <t>Các công việc bổ sung
额外的工作</t>
  </si>
  <si>
    <t>Cung cấp, vận chuyển và lắp đặt hệ khung thép hộp đỡ trần 
提供、运输及安装 钢制天花板支撑架</t>
  </si>
  <si>
    <t>Nhà xưởng sản xuất 4
四號生產廠房</t>
  </si>
  <si>
    <t>Nhà xưởng sản xuất 5
五號生產廠房</t>
  </si>
  <si>
    <t>Nhà kho 2
二號倉庫</t>
  </si>
  <si>
    <t>Nhà kho 3
三號倉庫</t>
  </si>
  <si>
    <t>FTLMa35x25. Cửa trượt thép mạ kẽm sơn tĩnh điện, chống cháy EI60, có cơ cấu tự đóng tự động chèn kín,tự động đóng khi có cháy. Kích thước 3500*2500mm
FTLMa35x25 - 鍍鋅鋼推拉門，靜電噴塗，EI60，帶自動關閉密封裝置，火災時自動關閉，尺寸 3500*2500mm</t>
  </si>
  <si>
    <t>TLMb30x25. Cửa panel 2 mặt tôn AZ150, t=0.5mm, lõi rockwool dày 100mm, tỷ trọng 80kg/m3, sơn phủ PVDF. Kích thước 3000*2500mm
TLMb30x25 - 雙層 AZ150 鐵板庫板們，厚度 0.5mm，100mm 厚岩棉芯，PVDF 塗層，尺寸 3000*2500mm</t>
  </si>
  <si>
    <t>Kho rác
垃圾房</t>
  </si>
  <si>
    <t>Cầu chắn rác inox 304 D114mm
不鏽鋼防堵塞過濾網罩 304 D114mm</t>
  </si>
  <si>
    <t>Ống thoát nước PVC D114 và phụ kiện đi kèm
排水管 PVC D114及配件</t>
  </si>
  <si>
    <t>BYa24x10. Cửa chớp + kèm lưới chắn côn trùng, sơn phủ PVDF. Kích thước 2400*1000mm
‌BYa24x10‌－百葉門 + 附防蟲網，PVDF塗層，尺寸2400×1000mm。</t>
  </si>
  <si>
    <t>Kho rác thải nguy hại
危害廢物庫</t>
  </si>
  <si>
    <t>FC24x10. Cửa sổ thép kính, chống cháy EI60. Kích thước 2400*1000mm
FC24x10 - 鋼質玻璃窗，EI60，尺寸 2400*1000mm</t>
  </si>
  <si>
    <t>Hố ga thu nước trong nhà bao gồm nắp đan grating
含格柵蓋板的室內排水集水井</t>
  </si>
  <si>
    <t>Rãnh thu nước trong nhà bao gồm nắp đan grating
含格柵蓋板的室內集水槽</t>
  </si>
  <si>
    <t>Nhà trộn sơn, kho sơn
調漆房+油漆倉庫</t>
  </si>
  <si>
    <t>Ống thoát nước PVC D114mm và phụ kiện đi kèm
排水管 PVC D114mm及配件</t>
  </si>
  <si>
    <t>BYb24x10. Cửa chớp + kèm lưới chắn côn trùng, sơn phủ PVDF, tự động đóng khi có cháy. Kích thước 2400*1000mm
BYb24x10‌-百葉門 + 附防蟲網，PVDF塗層，具備遇火災時自動關閉功能，尺寸2400×1000mm</t>
  </si>
  <si>
    <t>M30x35. Cửa thép mạ kẽm sơn tĩnh điện. Kích thước 3000*3500mm
M30x35 - 鍍鋅鋼板粉體漆門，尺寸 3000*3500mm</t>
  </si>
  <si>
    <t>Nhà bảo dưỡng
維修房</t>
  </si>
  <si>
    <t>M45x35. Cửa thép mạ kẽm sơn tĩnh điện. Kích thước 4500*3500mm
M45x35 - 鍍鋅鋼板粉體漆門，尺寸 4500*3500mm</t>
  </si>
  <si>
    <t>Nhà văn phòng
辦公棟</t>
  </si>
  <si>
    <t>Sản xuất, vận chuyển và lắp đặt kết cấu thép cầu thang bộ
樓梯鋼結構之生產、運輸與安裝</t>
  </si>
  <si>
    <t>C20x11. Cửa sổ trượt nhôm kính hệ khung cầu cách nhiệt , sơn phủ PVDF, kính hộp Low-E (6+12AS+6), kèm lưới chắn côn trùng. Kích thước 2000*1100mm
C20x11 - 断热铝合金玻璃窗推拉門，PVDF 塗層，Low-E 低輻射玻璃（6+12AS+6），附防蟲網. 尺寸 2000*1100mm</t>
  </si>
  <si>
    <t>C20x18. Cửa sổ trượt nhôm kính hệ khung cầu cách nhiệt , sơn phủ PVDF, kính hộp Low-E (6+12AS+6), kèm lưới chắn côn trùng. Kích thước 2000*1800mm
C20x18 - 断热铝合金玻璃窗推拉門，PVDF 塗層，Low-E 低輻射玻璃（6+12AS+6），附防蟲網. 尺寸 2000*1800mm</t>
  </si>
  <si>
    <t>C20x26. Cửa sổ nhôm kính hệ khung cầu cách nhiệt , sơn phủ PVDF, kính hộp Low-E (6+12AS+6), kèm lưới chắn côn trùng. Kích thước 2000*2600mm
C20x26 - 断热铝合金玻璃窗推拉門，PVDF 塗層，Low-E 低輻射玻璃（6+12AS+6），附防蟲網. 尺寸 2000*2600mm</t>
  </si>
  <si>
    <t>C24x8. Cửa sổ trượt nhôm kính hệ khung cầu cách nhiệt , sơn phủ PVDF, kính hộp Low-E (6+12AS+6), kèm lưới chắn côn trùng. Kích thước 2400*800mm
C24x8 - 断热铝合金玻璃窗推拉門，PVDF 塗層，Low-E 低輻射玻璃（6+12AS+6），附防蟲網. 尺寸 2400*800mm</t>
  </si>
  <si>
    <t>C30x18. Cửa sổ trượt nhôm kính hệ khung cầu cách nhiệt , sơn phủ PVDF, kính hộp Low-E (6+12AS+6), kèm lưới chắn côn trùng. Kích thước 3000*1800mm
C30x18 - 断热铝合金玻璃窗推拉門，PVDF 塗層，Low-E 低輻射玻璃（6+12AS+6），附防蟲網. 尺寸 3000*1800mm</t>
  </si>
  <si>
    <t>C60x18. Cửa sổ trượt nhôm kính hệ khung cầu cách nhiệt , sơn phủ PVDF, kính hộp Low-E (6+12AS+6), kèm lưới chắn côn trùng. Kích thước 6000*1800mm
C60x18 - 断热铝合金玻璃窗推拉門，PVDF 塗層，Low-E 低輻射玻璃（6+12AS+6），附防蟲網. 尺寸 6000*1800mm</t>
  </si>
  <si>
    <t>FM6x12. Cửa thép mạ kẽm sơn tĩnh điện, chống cháy EI60, có cơ cấu tự đóng tự động chèn kín (tay co thuỷ lực). Kích thước 600*1200mm
FM6x12 - 鍍鋅鋼門，EI60防火，帶自動關閉密封裝置（閉門器），尺寸 600*1200mm</t>
  </si>
  <si>
    <t>FM10x22. Cửa thép mạ kẽm sơn tĩnh điện, chống cháy EI60, có cơ cấu tự đóng tự động chèn kín (tay co thuỷ lực). Kích thước 1000*2100mm
FM10x22 - 鍍鋅鋼門，EI60防火，帶自動關閉密封裝置（閉門器），尺寸 1000*2200mm</t>
  </si>
  <si>
    <t>FM15x22. Cửa thép mạ kẽm sơn tĩnh điện, chống cháy EI60, có cơ cấu tự đóng tự động chèn kín (tay co thuỷ lực). Kích thước 1000*2100mm
FM15x22 - 鍍鋅鋼門，EI60防火，帶自動關閉密封裝置（閉門器），尺寸 1500*2200mm</t>
  </si>
  <si>
    <t>FMa10x22. Cửa thép mạ kẽm sơn tĩnh điện, chống cháy EI60, có cơ cấu tự đóng tự động chèn kín (tay co thuỷ lực). Kích thước 1000*2100mm
FMa10x22 - 鍍鋅鋼門，EI60防火，帶自動關閉密封裝置（閉門器），尺寸 1000*2200mm</t>
  </si>
  <si>
    <t>M15x28. Cửa kính khung inox 304, bản lề thuỷ lực, kính cường lực trong 10mm. Kích thước 1500*2800mm
不鏽鋼304框玻璃門，配置液壓鉸鏈，採用10毫米厚透明鋼化玻璃，尺寸 1500*2800mm</t>
  </si>
  <si>
    <t>Me10x22. Cửa thép mạ kẽm sơn tĩnh điện. Kích thước 1000*2200mm
Me10x22 - 鍍鋅鋼板粉體漆門，尺寸 1000*2200mm</t>
  </si>
  <si>
    <t>Ma15x22. Cửa thép mạ kẽm sơn tĩnh điện. Kích thước 1500*2200mm
Ma15x22 - 鍍鋅鋼板粉體漆門，尺寸 1500*2200mm</t>
  </si>
  <si>
    <t>Md10x22 Cửa khung nhôm lõi tổ ong, vân gỗ, mặt dán laminate. Kích thước 1000*2200mm
Md10x22 木紋金属烤漆框蜂巢蕊门,双面贴美耐板,尺寸 1000*2200mm</t>
  </si>
  <si>
    <t>M20x22 Cửa khung nhôm lõi tổ ong, vân gỗ, mặt dán laminate. Kích thước 2000*2200mm
M20x22 木紋金属烤漆框蜂巢蕊门,双面贴美耐板,尺寸 2000*2200mm</t>
  </si>
  <si>
    <t>TLM12x22 Cửa trượt khung nhôm lỗi tổ ong vân gỗ, mặt dán laminate. Kích thước 1200*2200mm.
TLM12x22 木紋金属烤漆框蜂巢蕊门,双面贴美耐板,尺寸 1200*2200mm</t>
  </si>
  <si>
    <t>MLC72x28 Cửa trượt tự động khung inox, phần trượt kính cường lực trong dày 10mm, phần khung bao kính hộp Low-E (6+12AS+6). Kích thước 7200*2800mm
MLC72x28 不鏽鋼自動滑門、10mm厚強化玻璃、Low-E中空玻璃（6+12AS+6）、尺寸：7200*2800 mm</t>
  </si>
  <si>
    <t>Logo trên đỉnh toà nhà kích thước 14.4*1.86m, Tấm hợp kim nhôm solid dày 3mm, chữ logo inox mạ màu
屋頂標誌（尺寸14.4m×1.86m）
材質：3mm厚合金鋁板基座、標誌字體：鍍色不鏽鋼</t>
  </si>
  <si>
    <t>Tấm hợp kim nhôm solid cho mái sảnh và mặt ngoài nhà t=3mm
大廳屋頂及建築外牆3mm厚實心合金鋁板</t>
  </si>
  <si>
    <t>Hệ lam chắn nắng bằng hợp kim nhôm t=1.5mm. Kích thước 450x65mm, có thể thay đổi góc quay của hướng chắn nắng
1.5mm厚合金鋁遮陽板（尺寸450x65mm）
遮陽板角度可調式設計</t>
  </si>
  <si>
    <t>Thang máy chở người tải trọng 1T/15 người. Kiểu thuỷ lực, không phòng máy
載人電梯 載重1噸/15個人，液壓式無機房</t>
  </si>
  <si>
    <t>Bậc tam cấp tum thang mái, bằng bê tông
屋頂屋突混凝土三階踏階</t>
  </si>
  <si>
    <t>Nhà ăn
食堂</t>
  </si>
  <si>
    <t>Bê tông đá mi M250 đổ bù nền khu vực bếp tầng 1 và tầng 2
1樓及2樓廚房區域M250碎石混凝土墊層澆置</t>
  </si>
  <si>
    <t>Vách kính cường lực dày 8mm, khung nhôm sơn phủ PVDF
8mm強化玻璃隔間，PVDF塗裝鋁框架</t>
  </si>
  <si>
    <t>Vách kính cường lực dày 6mm, kèm khung xương thép hộp bắn ván ép nhiệt vân gỗ dày 18mm quầy chia đồ ăn bếp.
6mm厚強化玻璃隔間，配18mm木紋熱壓板包覆方鋼龍骨，用於廚房分餐區域</t>
  </si>
  <si>
    <t>C10x15.Cửa sổ nhôm kính hệ khung cầu cách nhiệt , sơn phủ PVDF, kính hộp Low-E (6+12AS+6). Kích thước 1000*1500mm
C10x15 - 断热铝合金玻璃窗，PVDF 塗層，Low-E 低輻射玻璃（6+12AS+6）. 尺寸 1000*1500mm</t>
  </si>
  <si>
    <t>C12x6. Cửa sổ trượt nhôm kính hệ khung cầu cách nhiệt , sơn phủ PVDF, kính hộp Low-E (6+12AS+6), kèm lưới chắn côn trùng. Kích thước 1200*600mm
C12x6 - 断热铝合金玻璃窗推拉門，PVDF 塗層，Low-E 低輻射玻璃（6+12AS+6），附防蟲網. 尺寸 1200*600mm</t>
  </si>
  <si>
    <t>C17.2x15. Cửa sổ trượt nhôm kính hệ khung cầu cách nhiệt , sơn phủ PVDF, kính hộp Low-E (6+12AS+6), kèm lưới chắn côn trùng. Kích thước 1720*1500mm
C17.2x15 - 断热铝合金玻璃窗推拉門，PVDF 塗層，Low-E 低輻射玻璃（6+12AS+6），附防蟲網. 尺寸 1720*1500mm</t>
  </si>
  <si>
    <t>C24x15. Cửa sổ trượt nhôm kính hệ khung cầu cách nhiệt , sơn phủ PVDF, kính hộp Low-E (6+12AS+6), kèm lưới chắn côn trùng. Kích thước 2400*1500mm
C24x15 - 断热铝合金玻璃窗推拉門，PVDF 塗層，Low-E 低輻射玻璃（6+12AS+6），附防蟲網. 尺寸 2400*1500mm</t>
  </si>
  <si>
    <t>C76.5x15. Cửa sổ trượt nhôm kính hệ khung cầu cách nhiệt , sơn phủ PVDF, kính hộp Low-E (6+12AS+6), kèm lưới chắn côn trùng. Kích thước 7650*1500mm
C76.5x15 - 断热铝合金玻璃窗推拉門，PVDF 塗層，Low-E 低輻射玻璃（6+12AS+6），附防蟲網. 尺寸 7650*1500mm</t>
  </si>
  <si>
    <t>C76.7x15. Cửa sổ trượt nhôm kính hệ khung cầu cách nhiệt , sơn phủ PVDF, kính hộp Low-E (6+12AS+6), kèm lưới chắn côn trùng. Kích thước 7670*1500mm
C76.7x15 - 断热铝合金玻璃窗推拉門，PVDF 塗層，Low-E 低輻射玻璃（6+12AS+6），附防蟲網. 尺寸 7670*1500mm</t>
  </si>
  <si>
    <t>FM17x22. Cửa thép mạ kẽm sơn tĩnh điện, chống cháy EI60, có cơ cấu tự đóng tự động chèn kín (tay co thuỷ lực). Kích thước 1700*2200mm
FM17x22 - 鍍鋅鋼門，EI60防火，帶自動關閉密封裝置（閉門器），尺寸 1700*2200mm</t>
  </si>
  <si>
    <t>M13x22. Cửa thép mạ kẽm sơn tĩnh điện. Kích thước 1300*2200mm
M13x22 - 鍍鋅鋼板粉體漆門，尺寸 1300*2200mm</t>
  </si>
  <si>
    <t>Mb10x22. Cửa kính khung inox 304, bản lề thuỷ lực, kính cường lực trong 10mm. Kích thước 1000*2200mm
Mb10x22不鏽鋼304框玻璃門，配置液壓鉸鏈，採用10毫米厚透明鋼化玻璃，尺寸 1000*2200mm</t>
  </si>
  <si>
    <t>M17x24. Cửa kính khung inox 304, bản lề thuỷ lực, kính cường lực trong 10mm. Kích thước 1700*2400mm
M17x24不鏽鋼304框玻璃門，配置液壓鉸鏈，採用10毫米厚透明鋼化玻璃，尺寸 1700*2400mm</t>
  </si>
  <si>
    <t>Ma17x22. Cửa thép mạ kẽm sơn tĩnh điện. Kích thước 1700*2200mm
Ma17x22 - 鍍鋅鋼板粉體漆門，尺寸 1700*2200mm</t>
  </si>
  <si>
    <t>Mb17x22. Cửa thép mạ kẽm sơn tĩnh điện. Kích thước 1700*2200mm
Mb17x22 - 鍍鋅鋼板粉體漆門，尺寸 1700*2200mm</t>
  </si>
  <si>
    <t>Ma19x22. Cửa thép mạ kẽm sơn tĩnh điện. Kích thước 1900*2200mm
Ma19x22 - 鍍鋅鋼板粉體漆門，尺寸 1900*2200mm</t>
  </si>
  <si>
    <t>Ma10x22 Cửa khung nhôm lõi tổ ong, vân gỗ, mặt dán laminate. Kích thước 1000*2200mm
Ma10x22 木紋金属烤漆框蜂巢蕊门,双面贴美耐板,尺寸 1000*2200mm</t>
  </si>
  <si>
    <t>MLC76.5x24 Cửa khung nhôm kính cường lực trong dày 10mm, bản lề thuỷ lực, phần khung bao kính hộp Low-E (6+12AS+6). Kích thước 7650*2400mm
MLC76.5x24  10mm厚鋁框強化玻璃門、液壓鉸鏈、Low-E中空玻璃框（6+12AS+6）、尺寸：7650*2400mm</t>
  </si>
  <si>
    <t>MLC76.7x24 Cửa khung nhôm kính cường lực trong dày 10mm, bản lề thuỷ lực, phần khung bao kính hộp Low-E (6+12AS+6). Kích thước 7670*2400mm
MLC76.7x24  10mm厚鋁框強化玻璃門、液壓鉸鏈、Low-E中空玻璃框（6+12AS+6）、尺寸：7670*2400mm</t>
  </si>
  <si>
    <t>Rãnh thoát nước inox 304 khổ 700, dày 2mm. Nắp mương mạ nhôm dày 20mm cho khu vực bếp
304不鏽鋼排水溝,寬度700mm，厚度2mm,配20mm厚鋁鍍層排水溝（廚房專用）</t>
  </si>
  <si>
    <t>Bể lọc inox 304 cho khu vực bếp. Kích thước 1040*640mm
用於廚房區域的304不鏽鋼過濾池，尺寸 1040*640</t>
  </si>
  <si>
    <t>Quầy ra đồ ăn, mặt bàn khổ 450 inox t=1.5mm, bao gồm đèn hắt gầm, hoàn thiện chân tường khu quầy
不鏽鋼出餐檯，檯面寬450mm，厚度1.5mm含透明底燈，整合牆腳收邊設計</t>
  </si>
  <si>
    <t>Nắp cửa thang lên mái kích thước 800*800mm chống cháy EI60
屋頂人孔蓋 800*800mm 防火EI60</t>
  </si>
  <si>
    <t>Thang máy chở hàng tải trọng 1 tấn, kiểu thuỷ lực không phòng máy
‌載貨電梯‌,載重能力：1噸, 液壓式無機房</t>
  </si>
  <si>
    <t>Nhà xe
停車場</t>
  </si>
  <si>
    <t>Sàn tăng cứng bề mặt bê tông dạng lỏng 0.25kg/m2+ đánh bóng sàn bê tông cấp độ 1 ( độ bóng 10)
液態混凝土表面強化劑地板（0.25公斤/平方公尺）+ 一級混凝土地板拋光（亮度10）</t>
  </si>
  <si>
    <t xml:space="preserve">M18x22. Cửa nhôm kính sơn phủ PVDF, kính trong cường lực t=6 mm. Kích thước 1800*2200mm
M18x22。PVDF塗層鋁玻璃窗，厚度6mm 透明鋼化玻璃，尺寸1800*2200mm </t>
  </si>
  <si>
    <t>FM18x22. Cửa thép mạ kẽm sơn tĩnh điện, chống cháy EI60, có cơ cấu tự đóng tự động chèn kín (tay co thuỷ lực). Kích thước 1800*2200mm
FM18x22 - 鍍鋅鋼門，EI60防火，帶自動關閉密封裝置（閉門器），尺寸 1800*2200mm</t>
  </si>
  <si>
    <t>FM27x22. Cửa thép mạ kẽm sơn tĩnh điện, chống cháy EI60, có cơ cấu tự đóng tự động chèn kín (tay co thuỷ lực). Kích thước 2700*2200mm
FM27x22 - 鍍鋅鋼門，EI60防火，帶自動關閉密封裝置（閉門器），尺寸 2700*2200mm</t>
  </si>
  <si>
    <t>Sơn kẻ vạch chỗ để xe máy
停車場格標線油漆塗裝</t>
  </si>
  <si>
    <t>Rãnh thu nước chân ram dốc bao gồm nắp đan grating
坡道低集水槽（含格柵蓋板）</t>
  </si>
  <si>
    <t>Lan can inox 304, độ dày ống t=1.2mm, h=1.4m
304不鏽鋼欄杆,管厚1.2mm, 高度1.4m</t>
  </si>
  <si>
    <t>Rãnh thoát nước 200x50, kèm gờ bê tông chân lan can h=100mm, ống thoát sàn inox d32@3000
200x50排水溝（含100mm高欄杆混凝土基座）+ 不鏽鋼地板排水管（Ø32mm@3000）</t>
  </si>
  <si>
    <t>Cắt rãnh V kích thước 20x10mm cho khu vực ram dốc
坡道區域V型溝槽尺寸20x10mm切割</t>
  </si>
  <si>
    <t>Trạm biến áp số 1
一號變壓站</t>
  </si>
  <si>
    <t>BY30x30. Cửa chớp + kèm lưới chắn côn trùng, sơn phủ PVDF. Kích thước 3000*3000mm
BY30x30‌－百葉門 + 附防蟲網，PVDF塗層，尺寸3000*3000mm。</t>
  </si>
  <si>
    <t>M19x22. Cửa thép mạ kẽm sơn tĩnh điện. Kích thước 1900*2200mm
M19x22 - 鍍鋅鋼板粉體漆門，尺寸 1900*2200mm</t>
  </si>
  <si>
    <t>Trạm biến áp số 2
二號變壓站</t>
  </si>
  <si>
    <t>Nhà bảo vệ số 1
一號警衛室</t>
  </si>
  <si>
    <t>Tường ốp gạch ceramic 800*800
‌陶瓷磚牆面鋪貼 800*800</t>
  </si>
  <si>
    <t>Tường ốp gạch Moisac 95*45
莫薩克瓷磚牆面鋪貼 95*45</t>
  </si>
  <si>
    <t>Tường sơn đá
石材漆牆面</t>
  </si>
  <si>
    <t>Ốp đá granite trắng ánh kim dày 30mm
白色金屬光面花崗岩鋪貼，厚度30mm</t>
  </si>
  <si>
    <t>M17x15 Cửa inox. Kích thước 1700*1500
M17x15  不鏽鋼門.尺寸 1700*1500mm</t>
  </si>
  <si>
    <t>C10x12. Cửa sổ trượt nhôm kính hệ khung cầu cách nhiệt , sơn phủ PVDF, kính hộp Low-E (6+12AS+6), kèm lưới chắn côn trùng. Kích thước 1000*1200mm
C10x12 - 断热铝合金玻璃窗推拉門，PVDF 塗層，Low-E 低輻射玻璃（6+12AS+6），附防蟲網. 尺寸 1000*1200mm</t>
  </si>
  <si>
    <t>C12x12. Cửa sổ trượt nhôm kính hệ khung cầu cách nhiệt , sơn phủ PVDF, kính hộp Low-E (6+12AS+6), kèm lưới chắn côn trùng. Kích thước 1200*1200mm
C12x12 - 断热铝合金玻璃窗推拉門，PVDF 塗層，Low-E 低輻射玻璃（6+12AS+6），附防蟲網. 尺寸 1200*1200mm</t>
  </si>
  <si>
    <t>C20x12. Cửa sổ trượt nhôm kính hệ khung cầu cách nhiệt , sơn phủ PVDF, kính hộp Low-E (6+12AS+6), kèm lưới chắn côn trùng. Kích thước 2000*1200mm
C20x12 - 断热铝合金玻璃窗推拉門，PVDF 塗層，Low-E 低輻射玻璃（6+12AS+6），附防蟲網. 尺寸 2000*1200mm</t>
  </si>
  <si>
    <t>Mc10x22. Cửa thép mạ kẽm sơn tĩnh điện. Kích thước 1000*2200mm
M10x22 - 鍍鋅鋼板粉體漆門，尺寸 1000*2200mm</t>
  </si>
  <si>
    <t>Logo biển hiệu công ty, chân chữ dày 100mm, Mặt inox mạ màu dày 1mm
公司招牌標誌，字腳厚度100毫米，表面彩色電鍍不鏽鋼，厚度1毫米</t>
  </si>
  <si>
    <t>Cổng ray , dài 14m, chiều cao 2.2m, thép hộp inox 50*50*2
長度14m ， 淨高2.2m ， 採用50×50×2mm不鏽鋼方管</t>
  </si>
  <si>
    <t>Barie chắn cổng tự động L=12.5m
自動門禁防護欄 ，長度12.5米</t>
  </si>
  <si>
    <t>Nhà bảo vệ số 2
二號警衛室</t>
  </si>
  <si>
    <t>C8x5. Cửa sổ trượt nhôm kính hệ khung cầu cách nhiệt , sơn phủ PVDF, kính hộp Low-E (6+12AS+6), kèm lưới chắn côn trùng. Kích thước 800*500mm
C8x5 - 断热铝合金玻璃窗推拉門，PVDF 塗層，Low-E 低輻射玻璃（6+12AS+6），附防蟲網. 尺寸 800*500mm</t>
  </si>
  <si>
    <t>Cổng ray , dài 11m, chiều cao 2.2m, thép hộp inox 50*50*2
長度11m ， 淨高2.2m ， 採用50×50×2mm不鏽鋼方管</t>
  </si>
  <si>
    <t>Nhà máy bơm, bể nước sinh hoạt – sản xuất-PCCC
泵房-生活水池及生產水池-消防水池</t>
  </si>
  <si>
    <t>Mái nối số 1~32
雨棚</t>
  </si>
  <si>
    <t>Hồ cảnh quan 1
一號景觀湖</t>
  </si>
  <si>
    <t>Nắp đậy bằng inox cho bể lọc kích thước 10000*2000mm
過濾池的不鏽鋼蓋板，尺寸為 10000*2000mm</t>
  </si>
  <si>
    <t>Ốp gạch đá nhám viền đỉnh vách hồ cảnh quan, bể lọc
景觀湖的頂邊緣鋪貼粗糙面磚石，過濾池</t>
  </si>
  <si>
    <t>Hồ cảnh quan 2
二號景觀湖</t>
  </si>
  <si>
    <t>Trạm cân
地磅</t>
  </si>
  <si>
    <t>Lắp đặt bu lông neo chờ sẵn cho trạm cân
安裝預留地腳螺栓用於地磅站</t>
  </si>
  <si>
    <t>Cầu cân điện tử  trọng tải 80 tấn , kích thước bàn cân 3x18m. Thiết bị phụ kiện đi kèm đồng bộ.
電子地磅，載重80噸，秤台尺寸3x18米。配套附屬設備同步安裝。‌</t>
  </si>
  <si>
    <t>San lấp mặt bằng
場地土方回填</t>
  </si>
  <si>
    <t>Dọn dẹp, vệ sinh cỏ dại bề mặt hiện trạng công trình
清潔、清除工程現場表面的雜草</t>
  </si>
  <si>
    <t>Đào đất từ cao độ hiện trạng tới cao độ san nền
從現狀標高挖掘土方至找平標高</t>
  </si>
  <si>
    <t>Đắp đất từ cao độ hiện trạng tới cao độ san nền, độ chặt k=0.9 sử dụng đất tận dụng từ đất đào.
從現狀標高填土至找平標高，壓實度 k=0.9，使用來自挖掘的土壤</t>
  </si>
  <si>
    <t>Hàng rào
圍墻</t>
  </si>
  <si>
    <t>Cung cấp lắp đặt băng cản nước V20 cho chân vách hàng rào
‌護欄牆腳基座‌V20止水帶供應與安裝</t>
  </si>
  <si>
    <t>Ống nhựa PVC d90@2000*2000 thoát nước cho tường chắn đất
擋土牆用PVC排水管（型號d90@2000*2000）</t>
  </si>
  <si>
    <t>Tường ốp đá bóc tự nhiên màu vàng
天然剝離黃色石材牆面鋪貼</t>
  </si>
  <si>
    <t>Hàng rào thép h=2.2m, trụ đứng sắp hộp 115x115x3 @5m; Thanh ngang 30*60*2; Song đứng thép vuông đặc 18*18 @ 0.2m. Sơn phủ PVDF độ dày 35µm
‌鋼製圍欄 H=2.2m、‌立柱‌：115x115x3mm 方管間距@5m；橫向桿件‌：30x60x2mm 矩形管；‌垂直欄杆‌：18x18mm 實心方鋼間距@0.2m，PVDF塗層，厚度35µm</t>
  </si>
  <si>
    <t>Hệ thống thoát nước mưa
雨水排水系統</t>
  </si>
  <si>
    <t>Mương đi âm có nắp đan bê tông - BH
暗溝加蓋混凝土板 - BH</t>
  </si>
  <si>
    <t>Thi công hoàn thiện mương BH300
BH300排水溝施工完成</t>
  </si>
  <si>
    <t>Thi công hoàn thiện mương BH400
BH400排水溝施工完成</t>
  </si>
  <si>
    <t>Thi công hoàn thiện mương BH500
BH500排水溝施工完成</t>
  </si>
  <si>
    <t>Thi công hoàn thiện mương BH600
BH600排水溝施工完成</t>
  </si>
  <si>
    <t>Thi công hoàn thiện mương BH1000
BH1000排水溝施工完成</t>
  </si>
  <si>
    <t>Lưới chắn rác inox cho BH300
BH300專用不鏽鋼截污格柵</t>
  </si>
  <si>
    <t>Lưới chắn rác inox cho BH400
BH400專用不鏽鋼截污格柵</t>
  </si>
  <si>
    <t>Lưới chắn rác inox cho BH500
BH500專用不鏽鋼截污格柵</t>
  </si>
  <si>
    <t>Lưới chắn rác inox cho BH600
 BH600專用不鏽鋼截污格柵</t>
  </si>
  <si>
    <t>Lưới chắn rác inox cho BH1000
BH1000專用不鏽鋼截污格柵</t>
  </si>
  <si>
    <t>Mương đi nổi có nắp grating tải nhẹ -B
輕型 B 級格柵蓋板</t>
  </si>
  <si>
    <t>Thi công hoàn thiện mương B300
BH300排水溝施工完成</t>
  </si>
  <si>
    <t>Thi công hoàn thiện mương B400
BH400排水溝施工完成</t>
  </si>
  <si>
    <t>Thi công hoàn thiện mương B500
BH500排水溝施工完成</t>
  </si>
  <si>
    <t>Thi công hoàn thiện mương B600
BH600排水溝施工完成</t>
  </si>
  <si>
    <t>Thi công hoàn thiện mương B1000
BH1000排水溝施工完成</t>
  </si>
  <si>
    <t>Mương đi nổi có nắp grating tải nặng -BN
重型BN級格柵蓋板</t>
  </si>
  <si>
    <t>Thi công hoàn thiện mương BN300
BH300排水溝施工完成</t>
  </si>
  <si>
    <t>Thi công hoàn thiện mương BN400
BH400排水溝施工完成</t>
  </si>
  <si>
    <t>Thi công hoàn thiện mương BN500
BH500排水溝施工完成</t>
  </si>
  <si>
    <t>Thi công hoàn thiện mương BN600
BH600排水溝施工完成</t>
  </si>
  <si>
    <t>Thi công hoàn thiện mương BN1000
BH1000排水溝施工完成</t>
  </si>
  <si>
    <t>Mương đi nổi có nắp đục lỗ - BL
明溝（蓋板打孔）</t>
  </si>
  <si>
    <t>Thi công hoàn thiện mương BL300
BH300排水溝施工完成</t>
  </si>
  <si>
    <t>Thi công hoàn thiện mương BL400
BH400排水溝施工完成</t>
  </si>
  <si>
    <t>Thi công hoàn thiện mương BL500
BH500排水溝施工完成</t>
  </si>
  <si>
    <t>Thi công hoàn thiện mương BL600
BH600排水溝施工完成</t>
  </si>
  <si>
    <t>Thi công hoàn thiện mương BL1000
BH1000排水溝施工完成</t>
  </si>
  <si>
    <t>Mương hở không nắp grating - BK
無蓋格柵的開放式排水溝</t>
  </si>
  <si>
    <t>Thi công hoàn thiện mương BK300
BH300排水溝施工完成</t>
  </si>
  <si>
    <t>Thi công hoàn thiện mương BK400
BH400排水溝施工完成</t>
  </si>
  <si>
    <t>Thi công hoàn thiện mương BK500
BH500排水溝施工完成</t>
  </si>
  <si>
    <t>Thi công hoàn thiện mương BK600
BH600排水溝施工完成</t>
  </si>
  <si>
    <t>Hố ga thoát nước mưa
雨水收集井</t>
  </si>
  <si>
    <t>Ga cho mương B600
B600排水溝專用陰井</t>
  </si>
  <si>
    <t>Ga cho mương B2000
B2000排水溝專用陰井</t>
  </si>
  <si>
    <t>Lưới chắn rác inox ga cho mương B600
BH600專用不鏽鋼截污格柵</t>
  </si>
  <si>
    <t>Lưới chắn rác inox ga cho mương B2000
B2000專用不鏽鋼截污格柵</t>
  </si>
  <si>
    <t>Đấu nối hệ thống nước mưa với khu công nghiệp
工業區雨水系統連接工程</t>
  </si>
  <si>
    <t>Mương đấu nối có nắp đan bê tông
有混凝土蓋板的連接排水溝</t>
  </si>
  <si>
    <t>Thi công hoàn thiện mương B600
B600排水溝施工完成</t>
  </si>
  <si>
    <t>Thi công hoàn thiện mương B2000
B2000排水溝施工完成</t>
  </si>
  <si>
    <t>Hệ thống thoát nước thải
廢水排水系統</t>
  </si>
  <si>
    <t>Thi công lắp đặt hoàn thiện ống thoát nước thải
污水排放管線施工安裝及完工</t>
  </si>
  <si>
    <t>Cung cấp và lắp đặt ống HDPE D200
供應並安裝HDPE D200管路</t>
  </si>
  <si>
    <t>Cung cấp và lắp đặt ống HDPE D300
供應並安裝HDPE D300管路</t>
  </si>
  <si>
    <t>Cung cấp và lắp đặt ống HDPE D400
供應並安裝HDPE D400管路</t>
  </si>
  <si>
    <t>Cung cấp, lắp đặt gối cống D200
供應並安裝D200涵管管枕</t>
  </si>
  <si>
    <t>Cung cấp, lắp đặt gối cống D300
供應並安裝D300涵管管枕</t>
  </si>
  <si>
    <t>Cung cấp, lắp đặt gối cống D400
供應並安裝D400涵管管枕</t>
  </si>
  <si>
    <t>Đấu nối hệ thống nước thải với khu công nghiệp
污水系統與工業區連接工程</t>
  </si>
  <si>
    <t>Bọc cống bảo vệ qua đường
道路穿越管線保護套管</t>
  </si>
  <si>
    <t>Thi công hoàn thiện ga và bể phốt
陰井與化糞池施工完工</t>
  </si>
  <si>
    <t>Hố ga nước thải nằm dưới lòng đường (1000x1000) bằng BTCT B20#, thép 2 lớp, nắp ga gang loại dưới đường 40T
道路下方污水陰井（1000x1000mm、B20鋼筋混凝土（雙層鋼筋）、40噸承重鑄鐵蓋板</t>
  </si>
  <si>
    <t>Hố ga nước thải nằm dưới lòng đường (1000x1000) bằng BTCT B20#, thép 2 lớp, nắp ga gang loại trên hè 12.5T
道路下方污水陰井（1000x1000mm）、B20鋼筋混凝土（雙層鋼筋）、12.5噸承重鑄鐵蓋板（適用於人行道）</t>
  </si>
  <si>
    <t>Bể tự hoại 2m3
2立方米化糞池</t>
  </si>
  <si>
    <t>Bể tự hoại 3m3
3立方米化糞池</t>
  </si>
  <si>
    <t>Bể tự hoại 6m3
6立方米化糞池</t>
  </si>
  <si>
    <t>Bể tự hoại 15m3
15立方米化糞池</t>
  </si>
  <si>
    <t>Bể tự hoại 25m3
25立方米化糞池</t>
  </si>
  <si>
    <t>Đường nội bộ
內部道路</t>
  </si>
  <si>
    <t xml:space="preserve">Đường bê tông tải trọng nặng 
重載混凝土路面結構
</t>
  </si>
  <si>
    <t>Đào khuôn đường đến cos thiết kế
按設計高程進行道路模槽開挖</t>
  </si>
  <si>
    <t>Vận chuyển đất nội bộ trong phạm vi công trường
工地範圍內土方內部運輸</t>
  </si>
  <si>
    <t>Đất nền hiện trạng đầm chặt K≥ 95
壓實土壤 K ≥ 0.95</t>
  </si>
  <si>
    <t xml:space="preserve">Vải địa kỹ thuật có cường độ kéo F≥ 25 KN/m
具有拉伸強度的土工布 F ≥ 25 kN/m 
</t>
  </si>
  <si>
    <t>Cấp phối đá dăm loại 2, dầy 300 mm, K≥ 98  
二類碎石級配，厚300mm，壓實度K≥98</t>
  </si>
  <si>
    <t>Cấp phối đá dăm loại 1, dầy 200 mm, K≥ 98
一類碎石配比，厚度 200mm，壓實度 K ≥ 0.98</t>
  </si>
  <si>
    <t>Lớp PE dầy 0,03 mm
 PE層厚0.03mm</t>
  </si>
  <si>
    <t>Lưới thép hàn 2 lớp D10@200
雙層焊接鋼筋網 Ø10a200</t>
  </si>
  <si>
    <t>Bê rông xi măng đá 1x2 Mác 350 dầy 250 mm
水泥碎石混凝土 1x2 B27.5 (cum M350),250毫米厚</t>
  </si>
  <si>
    <t>Đánh mặt bê tông
 機器粉光混凝土表面</t>
  </si>
  <si>
    <t>Khe giãn
间隙扩大</t>
  </si>
  <si>
    <t>Khe co
收縮縫</t>
  </si>
  <si>
    <t>Khe dọc
垂直縫</t>
  </si>
  <si>
    <t>Thép bo cạnh tấm, thép gia cường tại góc tấm
板邊包鋼與板角加固鋼筋</t>
  </si>
  <si>
    <t>Đường bê tông tải trọng nhẹ 
輕載混凝土路面結構</t>
  </si>
  <si>
    <t>Đắp đất đến cao độ thiết kế
填土至設計高程</t>
  </si>
  <si>
    <t>Cấp phối đá dăm loại 2, dầy 200 mm, K≥ 98  
二類碎石配比，厚度 200mm，壓實度 K ≥ 0.98</t>
  </si>
  <si>
    <t>Cấp phối đá dăm loại 1, dầy 200 mm, K≥ 98  
一類碎石配比，厚度 200mm，壓實度 K ≥ 0.98</t>
  </si>
  <si>
    <t>Lớp PE dầy 0,03 mm 
PE層厚0.03mm</t>
  </si>
  <si>
    <t>Lưới thép hàn 2 lớp D8@200
單層焊接鋼筋網 Ø8a200</t>
  </si>
  <si>
    <t>Bê rông xi măng đá 1x2 Mác 350 dầy 180 mm
水泥碎石混凝土 1x2 B27.5 (cum M350)，厚度 180mm</t>
  </si>
  <si>
    <t>Ram dốc
坡道</t>
  </si>
  <si>
    <t>Đào khuôn đường
開挖道路基槽</t>
  </si>
  <si>
    <t>San ủi lại cos nền hiện trạng
重新整平現地基地高程</t>
  </si>
  <si>
    <t xml:space="preserve">Vải địa kỹ thuật có cường độ kéo F≥ 25 KN/m
具有拉伸強度的土工布 F ≥ 25 kN/m </t>
  </si>
  <si>
    <t>Lớp PE dầy 0,03 mm
PE層厚0.03mm</t>
  </si>
  <si>
    <t>Đánh mặt bê tông
機器粉光混凝土表面</t>
  </si>
  <si>
    <t>Cắt khe co
切割收縮縫</t>
  </si>
  <si>
    <t>Tường chắn 2 bên ram dốc
坡道兩側擋土牆</t>
  </si>
  <si>
    <t>Đường bê tông lối đi
混凝土道路</t>
  </si>
  <si>
    <t>Lưới thép hàn 1 lớp D6@200
單層焊接鋼筋網 Ø6a200</t>
  </si>
  <si>
    <t>Bê tông xi măng đá 1x2 ( B20) sqm M250 dầy 100 mm
水泥碎石混凝土 1x2 B20 (sqm M250), 厚度 100mm</t>
  </si>
  <si>
    <t>Đường lát gạch trồng cỏ
瓷磚和草地</t>
  </si>
  <si>
    <t>Lớp cát đệm dầy 30mm
墊砂層，30毫米厚</t>
  </si>
  <si>
    <t>Gạch lỗ trồng cỏ dầy 80 mm
植草孔磚，80毫米厚</t>
  </si>
  <si>
    <t>Cổng số 1
大門一</t>
  </si>
  <si>
    <t>Tháo dỡ bó vỉa khu công nghiệp
拆除工業區路緣石</t>
  </si>
  <si>
    <t>Dọn dẹp mặt bằng
場地清理</t>
  </si>
  <si>
    <t>Cắt và đục phá hạ cao độ đỉnh hào hiện hữu và vận chuyển đổ vào bãi chứa công trường
現有溝槽頂部切割破除及廢料運至工地堆場</t>
  </si>
  <si>
    <t>Đào đất, cung cấp lắp đặt ống uPVC D165 class3, lắp đất hoàn trả
開挖並安裝uPVC D165 Class 3管，回填壓實</t>
  </si>
  <si>
    <t>Đào đất, cung cấp lắp đặt 2 ống uPVC D200 class3, lắp đất hoàn trả
開挖並安裝2條uPVC D200 Class 3管，回填壓實</t>
  </si>
  <si>
    <t>Rãnh thu nước rộng 150 mm đậy bằng tấm grating
150mm寬排水溝，覆蓋格柵蓋板</t>
  </si>
  <si>
    <t>Đào đất, cung cấp lắp đặt ống HDPE D114 thu nước, lắp đất hoàn trả
開挖並安裝HDPE D114排水管，回填壓實</t>
  </si>
  <si>
    <t>Khoan rút lõi mương để lắp ống HDPE D114
鑽孔取芯以安裝HDPE D114管</t>
  </si>
  <si>
    <t>Làm chân khay 2 bên thành mương, cung cấp lắp đặt tấm đan chịu lực qua mương thoát nước mưa của khu công nghiệp
溝渠兩側施作基礎承臺，並供應安裝跨工業區雨水排水溝之承載蓋板</t>
  </si>
  <si>
    <t>Đất nền hiện trạng đầm chặt K≥ 95
現有地基平整壓實k&gt;=0.95</t>
  </si>
  <si>
    <t>Cấp phối đá dăm loại 2, dầy 200 mm, K≥ 98  
二類碎石級配，厚300mm，壓實度K≥98</t>
  </si>
  <si>
    <t>Thép D14@200 ( 2 lớp )
D14@200鋼筋（雙層）</t>
  </si>
  <si>
    <t>Bê rông xi măng đá 1x2, cum M300 dầy 250 mm
水泥碎石混凝土 1x2 、cum M350,250毫米厚</t>
  </si>
  <si>
    <t>Công tác đảm bảo giao thông biển báo và vệ sinh đường khu công nghiệp
交通標誌維護與工業區道路清潔工作</t>
  </si>
  <si>
    <t>Cổng số 2
大門二</t>
  </si>
  <si>
    <t>Cấp phối đá dăm loại 2, dầy 200 mm, K≥ 98  
二類碎石級配，厚200mm，壓實度K≥98</t>
  </si>
  <si>
    <t>Cảnh quan
景觀</t>
  </si>
  <si>
    <t>San gạt, đầm chặt đất nền hiện trạng
整平並夯實現有地基</t>
  </si>
  <si>
    <t>Đất màu trồng cây độ dày 20cm
種植植物的肥沃土壤厚20厘米</t>
  </si>
  <si>
    <t>Cây Bàng Đài Loan, chiều cao 3~4m, đường kính gốc 8-10cm
小葉欖仁，高3~4m，基徑8-10cm</t>
  </si>
  <si>
    <t>Cây hoa sữa, chiều cao 2m, đường kính gốc 2.5-4.0cm
黑板樹，高2m，基徑2.5-4.0cm</t>
  </si>
  <si>
    <t>Cây mộc hương, chiều cao 0.7~1 m, đường kính gốc 1-2cm
桂花，高0.7~1 m，基徑1-2cm</t>
  </si>
  <si>
    <t>Cây cỏ lạc
蔓花生</t>
  </si>
  <si>
    <t>Cây cỏ rết
假俭草</t>
  </si>
  <si>
    <t>工程標單 (I)
工 程 總 表 (Summary sheet)</t>
  </si>
  <si>
    <t>Chủ đầu tư
業主</t>
  </si>
  <si>
    <t>Dự án
工程名稱</t>
  </si>
  <si>
    <t>Địa điểm
工程名稱</t>
  </si>
  <si>
    <t>Hạng mục công trình</t>
  </si>
  <si>
    <t>Nhà thầu thi công</t>
  </si>
  <si>
    <t>Công ty TNHH Công trình L&amp;K Việt Nam</t>
  </si>
  <si>
    <t>TT
專案</t>
  </si>
  <si>
    <t>Tên hạng mục, mô tả thông số kỹ thuật
專案名稱﹑規格及說明</t>
  </si>
  <si>
    <t>Đơn vị 
单位</t>
  </si>
  <si>
    <t>Khối lượng
專案數量</t>
  </si>
  <si>
    <t>Đơn giá
專案單價 (VND)</t>
  </si>
  <si>
    <t>Đơn giá nhà thầu</t>
  </si>
  <si>
    <t>Thành Tiền
專案複價 (VND)</t>
  </si>
  <si>
    <t>Thành tiền nhà thầu</t>
  </si>
  <si>
    <t>Thông số kỹ thuật hoặc ghi chú của nhà thầu 
廠商規格說明或備註</t>
  </si>
  <si>
    <t>A</t>
  </si>
  <si>
    <t>Công trình kiến trúc kỹ thuật
技術建築工程</t>
  </si>
  <si>
    <t>Lot</t>
  </si>
  <si>
    <t>1A</t>
  </si>
  <si>
    <t>2A</t>
  </si>
  <si>
    <t>3A</t>
  </si>
  <si>
    <t>4A</t>
  </si>
  <si>
    <t>5A</t>
  </si>
  <si>
    <t>6A</t>
  </si>
  <si>
    <t>7A</t>
  </si>
  <si>
    <t>8A</t>
  </si>
  <si>
    <t>9A</t>
  </si>
  <si>
    <t>10A</t>
  </si>
  <si>
    <t>11A</t>
  </si>
  <si>
    <t>12A</t>
  </si>
  <si>
    <t>13A</t>
  </si>
  <si>
    <t>14A</t>
  </si>
  <si>
    <t>15A</t>
  </si>
  <si>
    <t>16A</t>
  </si>
  <si>
    <t>17A</t>
  </si>
  <si>
    <t>18A</t>
  </si>
  <si>
    <t>19A</t>
  </si>
  <si>
    <t>20A</t>
  </si>
  <si>
    <t>Khu xử lý nước thải
廢水處理區</t>
  </si>
  <si>
    <t>Không thuộc phạm vi gói thầu này
‌不屬於此標案的範圍內</t>
  </si>
  <si>
    <t>21A</t>
  </si>
  <si>
    <t>22A</t>
  </si>
  <si>
    <t>23A</t>
  </si>
  <si>
    <t>24A</t>
  </si>
  <si>
    <t>25A</t>
  </si>
  <si>
    <t>B</t>
  </si>
  <si>
    <t>Công trình ngoài nhà
戶外工程</t>
  </si>
  <si>
    <t>1B</t>
  </si>
  <si>
    <t>2B</t>
  </si>
  <si>
    <t>3B</t>
  </si>
  <si>
    <t>4B</t>
  </si>
  <si>
    <t>5B</t>
  </si>
  <si>
    <t>6B</t>
  </si>
  <si>
    <t>C</t>
  </si>
  <si>
    <t>Công trình cơ điện
機電工程</t>
  </si>
  <si>
    <t>D</t>
  </si>
  <si>
    <t>Công trình tạm
臨時工程</t>
  </si>
  <si>
    <t>E</t>
  </si>
  <si>
    <t>Phí quản lý an toàn, sức khoẻ lao động và phí bảo hiểm kỹ thuật
安全管理費、勞動健康費與技術保險費</t>
  </si>
  <si>
    <t>Nhà thầu tự điều chỉnh
廠商自訂</t>
  </si>
  <si>
    <t>F</t>
  </si>
  <si>
    <t>Vận chuyển hàng hóa, phí khác, phí bảo vệ môi trường và phí ô nhiễm không khí
運費﹑雜費﹑環保費及空汙費</t>
  </si>
  <si>
    <t>G</t>
  </si>
  <si>
    <t>Phí quản lý lợi nhuận
利潤管理費</t>
  </si>
  <si>
    <t>H</t>
  </si>
  <si>
    <t>Thuế kinh doanh và các khoản phụ phí khác
營業稅及其它附加稅</t>
  </si>
  <si>
    <t>TỔNG CHI PHÍ DỰ ÁN
工程費用合計</t>
  </si>
  <si>
    <t>工程標單 (II)
詳細價目表 (Detail sheet)</t>
  </si>
  <si>
    <t>Tên hạng mục
專案名稱</t>
  </si>
  <si>
    <t>Thông số kỹ thuật , mô tả
規格及說明</t>
  </si>
  <si>
    <t>Khối lượng 
Nhà thầu</t>
  </si>
  <si>
    <t>Vật tư chính
主要材料</t>
  </si>
  <si>
    <t>Nhân công + vật tư phụ+ máy thi công
人工+輔助材料+施工機械</t>
  </si>
  <si>
    <t>Thành tiền 
Nhà thầu</t>
  </si>
  <si>
    <t>Ghi chú</t>
  </si>
  <si>
    <t xml:space="preserve">
</t>
  </si>
  <si>
    <t>Set</t>
  </si>
  <si>
    <t>M</t>
  </si>
  <si>
    <t>Pcs</t>
  </si>
  <si>
    <t>cum
M3</t>
  </si>
  <si>
    <t>sqm
M2</t>
  </si>
  <si>
    <t>Tận dụng đắp nền nhà xưởng
回填利用廠房地坪</t>
  </si>
  <si>
    <t xml:space="preserve">d&lt;10 CB240T; d&gt;=10 CB500V
</t>
  </si>
  <si>
    <t>Kg</t>
  </si>
  <si>
    <t xml:space="preserve">fy=485Mpa
</t>
  </si>
  <si>
    <t>Thép Q355B. Phun bi làm sạch SA2.0. Sơn 1 lớp chống gỉ dày 30µm
Q355B鋼材。噴丸清理SA2.0。塗一層30µm厚的防鏽塗料</t>
  </si>
  <si>
    <t xml:space="preserve">Thép SS400 hoặc tương đương.Phun bi làm sạch SA2.0. Sơn 1 lớp chống gỉ, 2 lớp sơn phủ màu tổng độ dày 80µm
SS400鋼材或同等材質。噴丸清理SA2.0。塗一層防鏽塗料，塗兩層面漆，總厚度80µm 。 </t>
  </si>
  <si>
    <t xml:space="preserve">Thép SS400 hoặc tương đương.Phun bi làm sạch SA2.0. Sơn 1 lớp chống gỉ, 2 lớp sơn phủ màu tổng độ dày 80µm
SS400鋼材或同等材質。噴丸清理SA2.0。塗一層防鏽塗料，塗兩層面漆，總厚度80微米。 </t>
  </si>
  <si>
    <t xml:space="preserve">Thép G450. mạ kẽm, độ mạ Z275
G450鋼材。鍍鋅，鍍層厚度Z275 </t>
  </si>
  <si>
    <t>Thép SS400 hoặc tương đương. Mạ kẽm điện phân
SS400鋼材或同等材質。電鍍鋅</t>
  </si>
  <si>
    <t>Thép SS400 hoặc tương đương. Mạ kẽm
SS400鋼材或同等材質。鍍鋅</t>
  </si>
  <si>
    <t>Cấp bền 5.6 mạ kẽm đầu ren
5.6耐久等級鍍鋅螺紋頭</t>
  </si>
  <si>
    <t>Cấp bền 8.8, mạ điện phân
8.8耐久等級，電鍍</t>
  </si>
  <si>
    <t>Cấp bền 4.6 mạ điện phân
4.6 耐久等级，电镀</t>
  </si>
  <si>
    <t>Cấp bền 4.6
4.6 耐久等级</t>
  </si>
  <si>
    <t>Thép G350, mạ kẽm, độ mạ Z60
G350鋼材，鍍鋅，鍍層厚度Z60</t>
  </si>
  <si>
    <t>Cấp bền 4.6
4.6耐久等級</t>
  </si>
  <si>
    <t xml:space="preserve">Tôn liên doanh Việt hàn, AZ170
</t>
  </si>
  <si>
    <t>Khổ 600-1200mm</t>
  </si>
  <si>
    <t>Khổ 200-600mm</t>
  </si>
  <si>
    <t>Inox 304, khổ máng 2.2m
304不鏽鋼,槽尺寸2.2m</t>
  </si>
  <si>
    <t>Inox 304, khổ máng 1.2m
304不鏽鋼,槽尺寸1.2m</t>
  </si>
  <si>
    <t>PVC class 2
Sơn dầu bề mặt cùng màu kết cấu (hoặc tường gạch)
PVC class 2
油漆表面與結構顏色相同 (或磚牆)</t>
  </si>
  <si>
    <t>Vít, keo sealant …
螺絲、密封膠等</t>
  </si>
  <si>
    <t>SS400, mạ kẽm nhúng nóng
SS400，熱浸鍍鋅</t>
  </si>
  <si>
    <t>Inox 304
304不鏽鋼</t>
  </si>
  <si>
    <t>Thép hộp
方鋼</t>
  </si>
  <si>
    <t>Bao gồm nhưng không giới hạn lưới an toàn, cảnh báo, cáp neo …
包括但不限於安全網、警告標誌、鋼絲繩等</t>
  </si>
  <si>
    <t xml:space="preserve">R45
</t>
  </si>
  <si>
    <t>Nhà thầu không báo giá</t>
  </si>
  <si>
    <t>Sơn 2 lớp sơn phủ màu tổng độ dày 50µm.Sơn tại hiện trường
塗兩層帶色塗料，總厚度50µm.於現場刷漆</t>
  </si>
  <si>
    <t>Bao gồm lanh tô, bổ trụ, giằng tường
包含壓樑、加強柱及加強梁</t>
  </si>
  <si>
    <t>Bao gồm toàn bộ khung xương gia cố vách. Sơn bả hoàn thiện.Bao gồm kiểm định PCCC
‌包含全部石膏板加固骨架，及批土與油漆施工. 含消防審批文件</t>
  </si>
  <si>
    <t>Bao gồm hệ khung xương thép hộp gia cố.
包含加固方鋼系統</t>
  </si>
  <si>
    <t>Bao gồm hệ khung, nẹp nhôm nối tấm
包含框架系統、鋁板接縫收邊條</t>
  </si>
  <si>
    <t xml:space="preserve">Bao gồm toàn bộ khung xương gia cố vách. Sơn bả hoàn thiện.
‌包含全部石膏板加固骨架，及批土與油漆施工. </t>
  </si>
  <si>
    <t>Bao gồm hoàn thiện cạnh, chỉ tường
包含邊緣修整、牆面裝飾線條</t>
  </si>
  <si>
    <t xml:space="preserve">Bao gồm kết cấu, trát, sơn bả hoàn thiện
包含結構、粉刷及批土油漆完成面
</t>
  </si>
  <si>
    <t xml:space="preserve">Bao gồm kiểm định PCCC
含消防審批文件
</t>
  </si>
  <si>
    <t>Thay đổi từ phủ PVDF thành sơn tĩnh điện</t>
  </si>
  <si>
    <t xml:space="preserve">Bao gồm chống thấm, xây chèn gạch, nẹp inox hoàn thiện
包含防水處理、砌磚填縫、不鏽鋼收邊條施工
</t>
  </si>
  <si>
    <t>Bao gồm toàn bộ kết cấu bê tông, hoàn thiện ốp gạch, đá granite
包括全部混凝土結構、瓷磚及花崗石鋪貼</t>
  </si>
  <si>
    <t>7ft*8ft, 35K</t>
  </si>
  <si>
    <t>Thay đổi từ 6ft lên 7ft</t>
  </si>
  <si>
    <t>Bao gồm 3 lớp:
1, Tôn mái seamlock dày 0,5mm, AZ170 hệ sơn PVDF
2, Cách nhiệt rockwool tỷ trọng 80 kg/m3 dày 50mm
3, Tôn lớp dưới sóng CN dày 0,5mm, AZ170 sơn PVDF</t>
  </si>
  <si>
    <t xml:space="preserve">6ft*8ft, 35K
</t>
  </si>
  <si>
    <t>Thay đổi thành nhôm xingfa</t>
  </si>
  <si>
    <t>Thay đổi từ phủ PVDF thành sơn tĩnh điện và không kiểm định được</t>
  </si>
  <si>
    <t>4A.S5</t>
  </si>
  <si>
    <t>4A.S1.121</t>
  </si>
  <si>
    <t>4A.S1.122</t>
  </si>
  <si>
    <t xml:space="preserve">Không bao gồm </t>
  </si>
  <si>
    <t xml:space="preserve">Thép Q355B, SS400 hoặc tương đương.Phun bi làm sạch SA2.0. Sơn 1 lớp chống gỉ, 2 lớp sơn phủ màu tổng độ dày 80µm
Q355B, SS400鋼材或同等材質。噴丸清理SA2.0。塗一層防鏽塗料，塗兩層面漆，總厚度80µm 。 </t>
  </si>
  <si>
    <t>R90</t>
  </si>
  <si>
    <t>Bao gồm hệ khung gia cố　
含加固框架系統</t>
  </si>
  <si>
    <t>Kích thước cabin W*D*H=1500*1600*2500.
5 tầng/ 5 điểm dừng/ 5 cửa
Tốc độ 30m/min
‌轎廂尺寸（寬×深×高）：1500×1600×2500（毫米）
5層/5個停靠站/5扇門
運行速度：30米/分鐘</t>
  </si>
  <si>
    <t>Phụ kiện đồng bộ
同步配件</t>
  </si>
  <si>
    <t>Kích thước cabin W*D*H=1500*1600*2500.
2 tầng/ 2 điểm dừng/ 2 cửa
Tốc độ 30m/min
‌轎廂尺寸（寬×深×高）：1500×1600×2500（毫米）
2層/2個停靠站/2扇門
運行速度：30米/分鐘</t>
  </si>
  <si>
    <t>Không bao gồm lan can Inox trên sàn bê tông</t>
  </si>
  <si>
    <t>Bê tông ko còn KCT thép</t>
  </si>
  <si>
    <t>Định lượng theo nhà sản xuất
‌定量標準依據廠商規範</t>
  </si>
  <si>
    <t>Không bao gồm motor điện
不包括電動馬達</t>
  </si>
  <si>
    <t>KCT</t>
  </si>
  <si>
    <t xml:space="preserve">80T
</t>
  </si>
  <si>
    <t xml:space="preserve">Đào từ cao độ hiện trạng về cao độ +29.9
</t>
  </si>
  <si>
    <t xml:space="preserve">Đắp từ cao độ hiện trạng về cao độ +29.9
</t>
  </si>
  <si>
    <t>Kèm lưới chắn đất, đệm lọc phía trong đất
包含：擋土濾網‌、內部土壤過濾墊層‌</t>
  </si>
  <si>
    <t>Kích thước đá bất quy tắc
石材尺寸不規則</t>
  </si>
  <si>
    <t>Point</t>
  </si>
  <si>
    <t>cum M3</t>
  </si>
  <si>
    <t>sqm M2</t>
  </si>
  <si>
    <t>Đơn giá chào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</si>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</sst>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_-;\-* #,##0_-;_-* &quot;-&quot;_-;_-@_-"/>
  </numFmts>
  <fonts count="38">
    <font>
      <sz val="11"/>
      <color theme="1"/>
      <name val="Arial"/>
      <charset val="134"/>
      <scheme val="minor"/>
    </font>
    <font>
      <sz val="11"/>
      <color theme="1"/>
      <name val="Arial"/>
      <family val="2"/>
      <charset val="163"/>
      <scheme val="minor"/>
    </font>
    <font>
      <sz val="12"/>
      <color indexed="8"/>
      <name val="Times New Roman"/>
      <family val="1"/>
    </font>
    <font>
      <sz val="10"/>
      <color indexed="8"/>
      <name val="Times New Roman"/>
      <family val="1"/>
    </font>
    <font>
      <b/>
      <sz val="10"/>
      <color indexed="8"/>
      <name val="Times New Roman"/>
      <family val="1"/>
    </font>
    <font>
      <sz val="10"/>
      <color theme="1"/>
      <name val="Times New Roman"/>
      <family val="1"/>
    </font>
    <font>
      <sz val="10"/>
      <name val="Times New Roman"/>
      <family val="1"/>
    </font>
    <font>
      <b/>
      <sz val="20"/>
      <color rgb="FF000000"/>
      <name val="DFKai-SB"/>
      <charset val="134"/>
    </font>
    <font>
      <b/>
      <sz val="12"/>
      <color indexed="8"/>
      <name val="Times New Roman"/>
      <family val="1"/>
    </font>
    <font>
      <sz val="12"/>
      <name val="Times New Roman"/>
      <family val="1"/>
    </font>
    <font>
      <b/>
      <sz val="10"/>
      <name val="Times New Roman"/>
      <family val="1"/>
    </font>
    <font>
      <b/>
      <sz val="10"/>
      <color theme="1"/>
      <name val="Times New Roman"/>
      <family val="1"/>
    </font>
    <font>
      <sz val="10"/>
      <color rgb="FFFF0000"/>
      <name val="Times New Roman"/>
      <family val="1"/>
    </font>
    <font>
      <sz val="11"/>
      <color theme="1"/>
      <name val="Arial"/>
      <family val="2"/>
      <scheme val="minor"/>
    </font>
    <font>
      <sz val="10"/>
      <name val="Arial"/>
      <family val="2"/>
    </font>
    <font>
      <sz val="12"/>
      <color theme="1"/>
      <name val="Arial"/>
      <family val="2"/>
      <scheme val="minor"/>
    </font>
    <font>
      <sz val="12"/>
      <name val="新細明體"/>
      <charset val="136"/>
    </font>
    <font>
      <sz val="10"/>
      <name val="Helv"/>
      <charset val="134"/>
    </font>
    <font>
      <sz val="10"/>
      <name val="Times New Roman"/>
      <family val="1"/>
    </font>
    <font>
      <sz val="10"/>
      <color rgb="FFFD0303"/>
      <name val="Times New Roman"/>
      <family val="1"/>
    </font>
    <font>
      <sz val="10"/>
      <color theme="1"/>
      <name val="Times New Roman"/>
      <family val="1"/>
    </font>
    <font>
      <sz val="11"/>
      <color theme="1"/>
      <name val="Arial"/>
      <family val="2"/>
      <scheme val="minor"/>
    </font>
    <font>
      <b/>
      <sz val="10"/>
      <color rgb="FFFF0000"/>
      <name val="Times New Roman"/>
      <family val="1"/>
    </font>
    <font>
      <b/>
      <sz val="12"/>
      <color rgb="FFFF0000"/>
      <name val="Times New Roman"/>
      <family val="1"/>
    </font>
    <font>
      <sz val="12"/>
      <color rgb="FFFF0000"/>
      <name val="Times New Roman"/>
      <family val="1"/>
    </font>
    <font>
      <sz val="10"/>
      <color rgb="FF0000CC"/>
      <name val="Times New Roman"/>
      <family val="1"/>
    </font>
    <font>
      <b/>
      <sz val="10"/>
      <color rgb="FF0000CC"/>
      <name val="Times New Roman"/>
      <family val="1"/>
    </font>
    <font>
      <b/>
      <sz val="12"/>
      <color rgb="FF0000CC"/>
      <name val="Times New Roman"/>
      <family val="1"/>
    </font>
    <font>
      <b/>
      <sz val="10"/>
      <name val="Times New Roman"/>
      <family val="1"/>
    </font>
    <font>
      <sz val="10"/>
      <name val="Times New Roman"/>
      <family val="1"/>
    </font>
    <font>
      <sz val="10"/>
      <color indexed="10"/>
      <name val="Times New Roman"/>
      <family val="1"/>
    </font>
    <font>
      <sz val="12"/>
      <color indexed="10"/>
      <name val="Times New Roman"/>
      <family val="1"/>
    </font>
    <font>
      <b/>
      <sz val="10"/>
      <color indexed="10"/>
      <name val="Times New Roman"/>
      <family val="1"/>
    </font>
    <font>
      <b/>
      <sz val="10"/>
      <color indexed="10"/>
      <name val="Times New Roman"/>
      <family val="1"/>
    </font>
    <font>
      <sz val="10"/>
      <color indexed="10"/>
      <name val="Times New Roman"/>
      <family val="1"/>
    </font>
    <font>
      <b/>
      <sz val="12"/>
      <color indexed="10"/>
      <name val="Times New Roman"/>
      <family val="1"/>
    </font>
    <font>
      <b/>
      <sz val="11"/>
      <color theme="1"/>
      <name val="Arial"/>
      <family val="2"/>
      <scheme val="minor"/>
    </font>
    <font>
      <u/>
      <sz val="11"/>
      <color theme="10"/>
      <name val="Arial"/>
      <family val="2"/>
      <scheme val="minor"/>
    </font>
  </fonts>
  <fills count="10">
    <fill>
      <patternFill patternType="none"/>
    </fill>
    <fill>
      <patternFill patternType="gray125"/>
    </fill>
    <fill>
      <patternFill patternType="solid">
        <fgColor rgb="FFFFC000"/>
        <bgColor indexed="64"/>
      </patternFill>
    </fill>
    <fill>
      <patternFill patternType="solid">
        <fgColor rgb="FFFFCC66"/>
        <bgColor indexed="64"/>
      </patternFill>
    </fill>
    <fill>
      <patternFill patternType="solid">
        <fgColor rgb="FFFFFF00"/>
        <bgColor indexed="64"/>
      </patternFill>
    </fill>
    <fill>
      <patternFill patternType="solid">
        <fgColor rgb="FF00B0F0"/>
        <bgColor indexed="64"/>
      </patternFill>
    </fill>
    <fill>
      <patternFill patternType="solid">
        <fgColor theme="9" tint="0.59999389629810485"/>
        <bgColor indexed="64"/>
      </patternFill>
    </fill>
    <fill>
      <patternFill patternType="solid">
        <fgColor theme="0"/>
        <bgColor indexed="64"/>
      </patternFill>
    </fill>
    <fill>
      <patternFill patternType="solid">
        <fgColor indexed="13"/>
        <bgColor indexed="64"/>
      </patternFill>
    </fill>
    <fill>
      <patternFill patternType="solid">
        <fgColor theme="5" tint="0.79998168889431442"/>
        <bgColor indexed="64"/>
      </patternFill>
    </fill>
  </fills>
  <borders count="1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diagonalUp="1">
      <left style="thin">
        <color auto="1"/>
      </left>
      <right style="thin">
        <color auto="1"/>
      </right>
      <top style="hair">
        <color auto="1"/>
      </top>
      <bottom style="hair">
        <color auto="1"/>
      </bottom>
      <diagonal style="thin">
        <color auto="1"/>
      </diagonal>
    </border>
    <border>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6">
    <xf numFmtId="0" fontId="0" fillId="0" borderId="0"/>
    <xf numFmtId="43" fontId="13" fillId="0" borderId="0"/>
    <xf numFmtId="43" fontId="14" fillId="0" borderId="0"/>
    <xf numFmtId="0" fontId="13" fillId="0" borderId="0"/>
    <xf numFmtId="0" fontId="14" fillId="0" borderId="0"/>
    <xf numFmtId="0" fontId="14" fillId="0" borderId="0"/>
    <xf numFmtId="0" fontId="15" fillId="0" borderId="0">
      <alignment vertical="center"/>
    </xf>
    <xf numFmtId="0" fontId="16" fillId="0" borderId="0"/>
    <xf numFmtId="0" fontId="17" fillId="0" borderId="0"/>
    <xf numFmtId="165" fontId="21" fillId="0" borderId="0"/>
    <xf numFmtId="43" fontId="13" fillId="0" borderId="0"/>
    <xf numFmtId="0" fontId="13" fillId="0" borderId="0"/>
    <xf numFmtId="43" fontId="13" fillId="0" borderId="0"/>
    <xf numFmtId="0" fontId="1" fillId="0" borderId="0"/>
    <xf numFmtId="43" fontId="13" fillId="0" borderId="0"/>
    <xf numFmtId="0" fontId="37" fillId="0" borderId="0" applyNumberFormat="0" applyFill="0" applyBorder="0" applyAlignment="0" applyProtection="0"/>
  </cellStyleXfs>
  <cellXfs count="230">
    <xf numFmtId="0" fontId="0" fillId="0" borderId="0" xfId="0"/>
    <xf numFmtId="0" fontId="2" fillId="0" borderId="0" xfId="6" applyFont="1">
      <alignment vertical="center"/>
    </xf>
    <xf numFmtId="0" fontId="3" fillId="0" borderId="0" xfId="6" applyFont="1" applyAlignment="1">
      <alignment horizontal="center" vertical="center"/>
    </xf>
    <xf numFmtId="0" fontId="4" fillId="0" borderId="0" xfId="6" applyFont="1" applyAlignment="1">
      <alignment horizontal="center" vertical="center"/>
    </xf>
    <xf numFmtId="0" fontId="5" fillId="0" borderId="0" xfId="3" applyFont="1"/>
    <xf numFmtId="0" fontId="3" fillId="0" borderId="0" xfId="6" applyFont="1" applyAlignment="1">
      <alignment horizontal="left" vertical="center" wrapText="1"/>
    </xf>
    <xf numFmtId="0" fontId="3" fillId="0" borderId="0" xfId="6" applyFont="1">
      <alignment vertical="center"/>
    </xf>
    <xf numFmtId="43" fontId="3" fillId="0" borderId="0" xfId="1" applyFont="1" applyAlignment="1">
      <alignment horizontal="right" vertical="center"/>
    </xf>
    <xf numFmtId="43" fontId="3" fillId="0" borderId="0" xfId="2" applyFont="1" applyAlignment="1">
      <alignment horizontal="right" vertical="center"/>
    </xf>
    <xf numFmtId="164" fontId="6" fillId="0" borderId="0" xfId="2" applyNumberFormat="1" applyFont="1" applyAlignment="1">
      <alignment horizontal="center" vertical="center"/>
    </xf>
    <xf numFmtId="0" fontId="7" fillId="0" borderId="0" xfId="6" applyFont="1" applyAlignment="1">
      <alignment horizontal="centerContinuous" vertical="center" wrapText="1"/>
    </xf>
    <xf numFmtId="0" fontId="8" fillId="0" borderId="0" xfId="6" applyFont="1" applyAlignment="1">
      <alignment horizontal="centerContinuous" vertical="center" wrapText="1"/>
    </xf>
    <xf numFmtId="0" fontId="2" fillId="0" borderId="0" xfId="6" applyFont="1" applyAlignment="1">
      <alignment horizontal="centerContinuous" vertical="center" wrapText="1"/>
    </xf>
    <xf numFmtId="43" fontId="8" fillId="0" borderId="0" xfId="1" applyFont="1" applyAlignment="1">
      <alignment horizontal="centerContinuous" vertical="center" wrapText="1"/>
    </xf>
    <xf numFmtId="43" fontId="8" fillId="0" borderId="0" xfId="2" applyFont="1" applyAlignment="1">
      <alignment horizontal="centerContinuous" vertical="center" wrapText="1"/>
    </xf>
    <xf numFmtId="164" fontId="9" fillId="0" borderId="0" xfId="2" applyNumberFormat="1" applyFont="1" applyAlignment="1">
      <alignment horizontal="centerContinuous" vertical="center" wrapText="1"/>
    </xf>
    <xf numFmtId="0" fontId="3" fillId="0" borderId="0" xfId="6" applyFont="1" applyAlignment="1">
      <alignment vertical="top"/>
    </xf>
    <xf numFmtId="0" fontId="3" fillId="0" borderId="0" xfId="6" applyFont="1" applyAlignment="1">
      <alignment horizontal="left" vertical="top" wrapText="1"/>
    </xf>
    <xf numFmtId="0" fontId="3" fillId="0" borderId="0" xfId="6" applyFont="1" applyAlignment="1">
      <alignment horizontal="left" vertical="top"/>
    </xf>
    <xf numFmtId="0" fontId="10" fillId="2" borderId="2" xfId="7" applyFont="1" applyFill="1" applyBorder="1" applyAlignment="1">
      <alignment horizontal="center" vertical="center" wrapText="1"/>
    </xf>
    <xf numFmtId="43" fontId="10" fillId="2" borderId="2" xfId="1" applyFont="1" applyFill="1" applyBorder="1" applyAlignment="1">
      <alignment horizontal="center" vertical="center" wrapText="1"/>
    </xf>
    <xf numFmtId="164" fontId="10" fillId="2" borderId="2" xfId="7" applyNumberFormat="1" applyFont="1" applyFill="1" applyBorder="1" applyAlignment="1">
      <alignment horizontal="center" vertical="center" wrapText="1"/>
    </xf>
    <xf numFmtId="0" fontId="11" fillId="3" borderId="3" xfId="3" applyFont="1" applyFill="1" applyBorder="1" applyAlignment="1">
      <alignment horizontal="center" vertical="center"/>
    </xf>
    <xf numFmtId="0" fontId="11" fillId="3" borderId="3" xfId="3" applyFont="1" applyFill="1" applyBorder="1" applyAlignment="1">
      <alignment horizontal="left" vertical="center" wrapText="1"/>
    </xf>
    <xf numFmtId="43" fontId="11" fillId="3" borderId="3" xfId="1" applyFont="1" applyFill="1" applyBorder="1" applyAlignment="1">
      <alignment horizontal="right" vertical="center"/>
    </xf>
    <xf numFmtId="43" fontId="11" fillId="3" borderId="3" xfId="2" applyFont="1" applyFill="1" applyBorder="1" applyAlignment="1">
      <alignment horizontal="right" vertical="center"/>
    </xf>
    <xf numFmtId="164" fontId="10" fillId="3" borderId="3" xfId="2" applyNumberFormat="1" applyFont="1" applyFill="1" applyBorder="1" applyAlignment="1">
      <alignment horizontal="center" vertical="center"/>
    </xf>
    <xf numFmtId="0" fontId="5" fillId="0" borderId="3" xfId="3" applyFont="1" applyBorder="1" applyAlignment="1">
      <alignment horizontal="center" vertical="center"/>
    </xf>
    <xf numFmtId="0" fontId="5" fillId="0" borderId="3" xfId="3" applyFont="1" applyBorder="1" applyAlignment="1">
      <alignment horizontal="left" vertical="center" wrapText="1"/>
    </xf>
    <xf numFmtId="0" fontId="5" fillId="0" borderId="3" xfId="3" applyFont="1" applyBorder="1" applyAlignment="1">
      <alignment horizontal="center" vertical="center" wrapText="1"/>
    </xf>
    <xf numFmtId="43" fontId="5" fillId="0" borderId="3" xfId="1" applyFont="1" applyBorder="1" applyAlignment="1">
      <alignment horizontal="right" vertical="center"/>
    </xf>
    <xf numFmtId="43" fontId="5" fillId="0" borderId="3" xfId="2" applyFont="1" applyBorder="1" applyAlignment="1">
      <alignment horizontal="right" vertical="center"/>
    </xf>
    <xf numFmtId="164" fontId="6" fillId="0" borderId="3" xfId="2" applyNumberFormat="1" applyFont="1" applyBorder="1" applyAlignment="1">
      <alignment horizontal="center" vertical="center"/>
    </xf>
    <xf numFmtId="43" fontId="5" fillId="0" borderId="0" xfId="1" applyFont="1" applyAlignment="1">
      <alignment horizontal="center" vertical="center"/>
    </xf>
    <xf numFmtId="0" fontId="6" fillId="0" borderId="3" xfId="3" applyFont="1" applyBorder="1" applyAlignment="1">
      <alignment horizontal="left" vertical="center" wrapText="1"/>
    </xf>
    <xf numFmtId="0" fontId="5" fillId="0" borderId="3" xfId="6" applyFont="1" applyBorder="1" applyAlignment="1">
      <alignment horizontal="left" vertical="center" wrapText="1"/>
    </xf>
    <xf numFmtId="43" fontId="12" fillId="0" borderId="3" xfId="2" applyFont="1" applyBorder="1" applyAlignment="1">
      <alignment horizontal="right" vertical="center"/>
    </xf>
    <xf numFmtId="0" fontId="5" fillId="0" borderId="4" xfId="3" applyFont="1" applyBorder="1" applyAlignment="1">
      <alignment horizontal="center" vertical="center"/>
    </xf>
    <xf numFmtId="0" fontId="5" fillId="0" borderId="4" xfId="3" applyFont="1" applyBorder="1" applyAlignment="1">
      <alignment horizontal="left" vertical="center" wrapText="1"/>
    </xf>
    <xf numFmtId="0" fontId="5" fillId="0" borderId="4" xfId="3" applyFont="1" applyBorder="1" applyAlignment="1">
      <alignment horizontal="center" vertical="center" wrapText="1"/>
    </xf>
    <xf numFmtId="43" fontId="5" fillId="0" borderId="4" xfId="2" applyFont="1" applyBorder="1" applyAlignment="1">
      <alignment horizontal="right" vertical="center"/>
    </xf>
    <xf numFmtId="164" fontId="6" fillId="0" borderId="4" xfId="2" applyNumberFormat="1" applyFont="1" applyBorder="1" applyAlignment="1">
      <alignment horizontal="center" vertical="center"/>
    </xf>
    <xf numFmtId="43" fontId="5" fillId="0" borderId="4" xfId="1" applyFont="1" applyBorder="1" applyAlignment="1">
      <alignment horizontal="right" vertical="center"/>
    </xf>
    <xf numFmtId="0" fontId="6" fillId="0" borderId="4" xfId="3" applyFont="1" applyBorder="1" applyAlignment="1">
      <alignment horizontal="left" vertical="center" wrapText="1"/>
    </xf>
    <xf numFmtId="0" fontId="6" fillId="0" borderId="4" xfId="0" applyFont="1" applyBorder="1" applyAlignment="1">
      <alignment horizontal="left" vertical="center" wrapText="1"/>
    </xf>
    <xf numFmtId="0" fontId="3" fillId="0" borderId="4" xfId="6" applyFont="1" applyBorder="1" applyAlignment="1">
      <alignment horizontal="center" vertical="center" wrapText="1"/>
    </xf>
    <xf numFmtId="0" fontId="3" fillId="0" borderId="4" xfId="0" applyFont="1" applyBorder="1" applyAlignment="1">
      <alignment horizontal="left" vertical="center" wrapText="1"/>
    </xf>
    <xf numFmtId="0" fontId="3" fillId="0" borderId="4" xfId="0" applyFont="1" applyBorder="1" applyAlignment="1">
      <alignment horizontal="center" vertical="center" wrapText="1"/>
    </xf>
    <xf numFmtId="0" fontId="6" fillId="0" borderId="3" xfId="0" applyFont="1" applyBorder="1" applyAlignment="1">
      <alignment horizontal="left" vertical="center" wrapText="1"/>
    </xf>
    <xf numFmtId="164" fontId="10" fillId="0" borderId="3" xfId="2" applyNumberFormat="1" applyFont="1" applyBorder="1" applyAlignment="1">
      <alignment horizontal="center" vertical="center"/>
    </xf>
    <xf numFmtId="0" fontId="3" fillId="0" borderId="3" xfId="6" applyFont="1" applyBorder="1" applyAlignment="1">
      <alignment horizontal="center" vertical="center" wrapText="1"/>
    </xf>
    <xf numFmtId="0" fontId="3" fillId="0" borderId="3" xfId="0" applyFont="1" applyBorder="1" applyAlignment="1">
      <alignment horizontal="left" vertical="center" wrapText="1"/>
    </xf>
    <xf numFmtId="0" fontId="12" fillId="0" borderId="0" xfId="3" applyFont="1"/>
    <xf numFmtId="43" fontId="12" fillId="4" borderId="3" xfId="2" applyFont="1" applyFill="1" applyBorder="1" applyAlignment="1">
      <alignment horizontal="right" vertical="center"/>
    </xf>
    <xf numFmtId="0" fontId="3" fillId="0" borderId="3" xfId="0" applyFont="1" applyBorder="1" applyAlignment="1">
      <alignment horizontal="center" vertical="center" wrapText="1"/>
    </xf>
    <xf numFmtId="0" fontId="12" fillId="0" borderId="3" xfId="3" applyFont="1" applyBorder="1" applyAlignment="1">
      <alignment horizontal="center" vertical="center"/>
    </xf>
    <xf numFmtId="0" fontId="12" fillId="0" borderId="3" xfId="3" applyFont="1" applyBorder="1" applyAlignment="1">
      <alignment horizontal="left" vertical="center" wrapText="1"/>
    </xf>
    <xf numFmtId="0" fontId="12" fillId="0" borderId="3" xfId="3" applyFont="1" applyBorder="1" applyAlignment="1">
      <alignment horizontal="center" vertical="center" wrapText="1"/>
    </xf>
    <xf numFmtId="164" fontId="12" fillId="0" borderId="3" xfId="2" applyNumberFormat="1" applyFont="1" applyBorder="1" applyAlignment="1">
      <alignment horizontal="center" vertical="center"/>
    </xf>
    <xf numFmtId="0" fontId="11" fillId="0" borderId="0" xfId="3" applyFont="1"/>
    <xf numFmtId="43" fontId="6" fillId="0" borderId="0" xfId="2" applyFont="1" applyAlignment="1">
      <alignment horizontal="center" vertical="center"/>
    </xf>
    <xf numFmtId="43" fontId="9" fillId="0" borderId="0" xfId="2" applyFont="1" applyAlignment="1">
      <alignment horizontal="centerContinuous" vertical="center" wrapText="1"/>
    </xf>
    <xf numFmtId="0" fontId="11" fillId="0" borderId="3" xfId="3" applyFont="1" applyBorder="1" applyAlignment="1">
      <alignment horizontal="center" vertical="center"/>
    </xf>
    <xf numFmtId="0" fontId="11" fillId="0" borderId="3" xfId="3" applyFont="1" applyBorder="1" applyAlignment="1">
      <alignment horizontal="left" vertical="center" wrapText="1"/>
    </xf>
    <xf numFmtId="0" fontId="11" fillId="0" borderId="3" xfId="3" applyFont="1" applyBorder="1" applyAlignment="1">
      <alignment horizontal="center" vertical="center" wrapText="1"/>
    </xf>
    <xf numFmtId="43" fontId="11" fillId="0" borderId="3" xfId="1" applyFont="1" applyBorder="1" applyAlignment="1">
      <alignment horizontal="right" vertical="center"/>
    </xf>
    <xf numFmtId="164" fontId="6" fillId="0" borderId="3" xfId="1" applyNumberFormat="1" applyFont="1" applyBorder="1" applyAlignment="1">
      <alignment horizontal="center" vertical="center"/>
    </xf>
    <xf numFmtId="164" fontId="6" fillId="5" borderId="3" xfId="2" applyNumberFormat="1" applyFont="1" applyFill="1" applyBorder="1" applyAlignment="1">
      <alignment horizontal="center" vertical="center"/>
    </xf>
    <xf numFmtId="164" fontId="10" fillId="5" borderId="3" xfId="2" applyNumberFormat="1" applyFont="1" applyFill="1" applyBorder="1" applyAlignment="1">
      <alignment horizontal="center" vertical="center"/>
    </xf>
    <xf numFmtId="164" fontId="6" fillId="5" borderId="4" xfId="2" applyNumberFormat="1" applyFont="1" applyFill="1" applyBorder="1" applyAlignment="1">
      <alignment horizontal="center" vertical="center"/>
    </xf>
    <xf numFmtId="164" fontId="6" fillId="4" borderId="3" xfId="2" applyNumberFormat="1" applyFont="1" applyFill="1" applyBorder="1" applyAlignment="1">
      <alignment horizontal="center" vertical="center"/>
    </xf>
    <xf numFmtId="164" fontId="6" fillId="0" borderId="3" xfId="2" applyNumberFormat="1" applyFont="1" applyBorder="1" applyAlignment="1">
      <alignment horizontal="left" vertical="center" wrapText="1"/>
    </xf>
    <xf numFmtId="164" fontId="18" fillId="0" borderId="3" xfId="2" applyNumberFormat="1" applyFont="1" applyBorder="1" applyAlignment="1">
      <alignment horizontal="center" vertical="center"/>
    </xf>
    <xf numFmtId="0" fontId="12" fillId="0" borderId="3" xfId="0" applyFont="1" applyBorder="1" applyAlignment="1">
      <alignment horizontal="left" vertical="center" wrapText="1"/>
    </xf>
    <xf numFmtId="0" fontId="12" fillId="0" borderId="3" xfId="6" applyFont="1" applyBorder="1" applyAlignment="1">
      <alignment horizontal="center" vertical="center" wrapText="1"/>
    </xf>
    <xf numFmtId="164" fontId="18" fillId="0" borderId="3" xfId="2" applyNumberFormat="1" applyFont="1" applyBorder="1" applyAlignment="1">
      <alignment horizontal="center" vertical="center" wrapText="1" shrinkToFit="1"/>
    </xf>
    <xf numFmtId="0" fontId="19" fillId="0" borderId="3" xfId="3" applyFont="1" applyBorder="1" applyAlignment="1">
      <alignment horizontal="left" vertical="center" wrapText="1"/>
    </xf>
    <xf numFmtId="164" fontId="6" fillId="0" borderId="3" xfId="2" applyNumberFormat="1" applyFont="1" applyBorder="1" applyAlignment="1">
      <alignment horizontal="center" vertical="center" wrapText="1" shrinkToFit="1"/>
    </xf>
    <xf numFmtId="0" fontId="5" fillId="4" borderId="0" xfId="3" applyFont="1" applyFill="1"/>
    <xf numFmtId="0" fontId="20" fillId="4" borderId="0" xfId="3" applyFont="1" applyFill="1"/>
    <xf numFmtId="43" fontId="10" fillId="0" borderId="3" xfId="2" applyFont="1" applyBorder="1" applyAlignment="1">
      <alignment horizontal="center" vertical="center"/>
    </xf>
    <xf numFmtId="165" fontId="10" fillId="0" borderId="3" xfId="9" applyFont="1" applyBorder="1" applyAlignment="1">
      <alignment horizontal="center" vertical="center"/>
    </xf>
    <xf numFmtId="165" fontId="6" fillId="0" borderId="3" xfId="9" applyFont="1" applyBorder="1" applyAlignment="1">
      <alignment horizontal="center" vertical="center"/>
    </xf>
    <xf numFmtId="165" fontId="12" fillId="0" borderId="3" xfId="9" applyFont="1" applyBorder="1" applyAlignment="1">
      <alignment horizontal="center" vertical="center"/>
    </xf>
    <xf numFmtId="0" fontId="22" fillId="2" borderId="2" xfId="7" applyFont="1" applyFill="1" applyBorder="1" applyAlignment="1">
      <alignment horizontal="center" vertical="center" wrapText="1"/>
    </xf>
    <xf numFmtId="43" fontId="12" fillId="0" borderId="0" xfId="2" applyFont="1" applyAlignment="1">
      <alignment horizontal="right" vertical="center"/>
    </xf>
    <xf numFmtId="43" fontId="23" fillId="0" borderId="0" xfId="2" applyFont="1" applyAlignment="1">
      <alignment horizontal="centerContinuous" vertical="center" wrapText="1"/>
    </xf>
    <xf numFmtId="43" fontId="22" fillId="3" borderId="3" xfId="2" applyFont="1" applyFill="1" applyBorder="1" applyAlignment="1">
      <alignment horizontal="right" vertical="center"/>
    </xf>
    <xf numFmtId="43" fontId="12" fillId="0" borderId="4" xfId="2" applyFont="1" applyBorder="1" applyAlignment="1">
      <alignment horizontal="right" vertical="center"/>
    </xf>
    <xf numFmtId="164" fontId="22" fillId="3" borderId="3" xfId="2" applyNumberFormat="1" applyFont="1" applyFill="1" applyBorder="1" applyAlignment="1">
      <alignment horizontal="center" vertical="center"/>
    </xf>
    <xf numFmtId="164" fontId="12" fillId="0" borderId="0" xfId="2" applyNumberFormat="1" applyFont="1" applyAlignment="1">
      <alignment horizontal="center" vertical="center"/>
    </xf>
    <xf numFmtId="164" fontId="24" fillId="0" borderId="0" xfId="2" applyNumberFormat="1" applyFont="1" applyAlignment="1">
      <alignment horizontal="centerContinuous" vertical="center" wrapText="1"/>
    </xf>
    <xf numFmtId="164" fontId="12" fillId="0" borderId="4" xfId="2" applyNumberFormat="1" applyFont="1" applyBorder="1" applyAlignment="1">
      <alignment horizontal="center" vertical="center"/>
    </xf>
    <xf numFmtId="165" fontId="25" fillId="0" borderId="3" xfId="9" applyFont="1" applyBorder="1" applyAlignment="1">
      <alignment horizontal="right" vertical="center"/>
    </xf>
    <xf numFmtId="0" fontId="22" fillId="0" borderId="0" xfId="6" applyFont="1" applyAlignment="1">
      <alignment horizontal="center" vertical="center"/>
    </xf>
    <xf numFmtId="165" fontId="25" fillId="0" borderId="0" xfId="9" applyFont="1" applyAlignment="1">
      <alignment horizontal="right" vertical="center"/>
    </xf>
    <xf numFmtId="165" fontId="27" fillId="0" borderId="0" xfId="9" applyFont="1" applyAlignment="1">
      <alignment horizontal="centerContinuous" vertical="center" wrapText="1"/>
    </xf>
    <xf numFmtId="165" fontId="26" fillId="2" borderId="2" xfId="9" applyFont="1" applyFill="1" applyBorder="1" applyAlignment="1">
      <alignment horizontal="center" vertical="center" wrapText="1"/>
    </xf>
    <xf numFmtId="165" fontId="26" fillId="3" borderId="3" xfId="9" applyFont="1" applyFill="1" applyBorder="1" applyAlignment="1">
      <alignment horizontal="right" vertical="center"/>
    </xf>
    <xf numFmtId="165" fontId="25" fillId="0" borderId="4" xfId="9" applyFont="1" applyBorder="1" applyAlignment="1">
      <alignment horizontal="right" vertical="center"/>
    </xf>
    <xf numFmtId="0" fontId="12" fillId="0" borderId="0" xfId="3" applyFont="1" applyAlignment="1">
      <alignment vertical="center"/>
    </xf>
    <xf numFmtId="164" fontId="25" fillId="0" borderId="3" xfId="1" applyNumberFormat="1" applyFont="1" applyBorder="1" applyAlignment="1">
      <alignment horizontal="right" vertical="center"/>
    </xf>
    <xf numFmtId="165" fontId="12" fillId="4" borderId="3" xfId="9" applyFont="1" applyFill="1" applyBorder="1" applyAlignment="1">
      <alignment horizontal="right" vertical="center"/>
    </xf>
    <xf numFmtId="164" fontId="4" fillId="0" borderId="0" xfId="6" applyNumberFormat="1" applyFont="1" applyAlignment="1">
      <alignment horizontal="center" vertical="center"/>
    </xf>
    <xf numFmtId="165" fontId="5" fillId="0" borderId="0" xfId="3" applyNumberFormat="1" applyFont="1"/>
    <xf numFmtId="43" fontId="12" fillId="7" borderId="3" xfId="2" applyFont="1" applyFill="1" applyBorder="1" applyAlignment="1">
      <alignment horizontal="right" vertical="center"/>
    </xf>
    <xf numFmtId="165" fontId="6" fillId="7" borderId="3" xfId="9" applyFont="1" applyFill="1" applyBorder="1" applyAlignment="1">
      <alignment horizontal="right" vertical="center"/>
    </xf>
    <xf numFmtId="165" fontId="12" fillId="7" borderId="3" xfId="9" applyFont="1" applyFill="1" applyBorder="1" applyAlignment="1">
      <alignment horizontal="right" vertical="center"/>
    </xf>
    <xf numFmtId="165" fontId="25" fillId="7" borderId="3" xfId="9" applyFont="1" applyFill="1" applyBorder="1" applyAlignment="1">
      <alignment horizontal="right" vertical="center"/>
    </xf>
    <xf numFmtId="43" fontId="22" fillId="6" borderId="2" xfId="2" applyFont="1" applyFill="1" applyBorder="1" applyAlignment="1">
      <alignment horizontal="right" vertical="center"/>
    </xf>
    <xf numFmtId="164" fontId="22" fillId="6" borderId="2" xfId="2" applyNumberFormat="1" applyFont="1" applyFill="1" applyBorder="1" applyAlignment="1">
      <alignment horizontal="center" vertical="center"/>
    </xf>
    <xf numFmtId="0" fontId="22" fillId="6" borderId="2" xfId="3" applyFont="1" applyFill="1" applyBorder="1" applyAlignment="1">
      <alignment horizontal="center" vertical="center"/>
    </xf>
    <xf numFmtId="0" fontId="22" fillId="6" borderId="2" xfId="3" applyFont="1" applyFill="1" applyBorder="1" applyAlignment="1">
      <alignment horizontal="left" vertical="center" wrapText="1"/>
    </xf>
    <xf numFmtId="165" fontId="22" fillId="6" borderId="2" xfId="9" applyFont="1" applyFill="1" applyBorder="1" applyAlignment="1">
      <alignment horizontal="right" vertical="center"/>
    </xf>
    <xf numFmtId="165" fontId="12" fillId="0" borderId="3" xfId="9" applyFont="1" applyBorder="1" applyAlignment="1">
      <alignment horizontal="right" vertical="center"/>
    </xf>
    <xf numFmtId="164" fontId="5" fillId="0" borderId="0" xfId="3" applyNumberFormat="1" applyFont="1"/>
    <xf numFmtId="43" fontId="11" fillId="0" borderId="3" xfId="2" applyFont="1" applyBorder="1" applyAlignment="1">
      <alignment horizontal="right" vertical="center"/>
    </xf>
    <xf numFmtId="43" fontId="22" fillId="0" borderId="3" xfId="2" applyFont="1" applyBorder="1" applyAlignment="1">
      <alignment horizontal="right" vertical="center"/>
    </xf>
    <xf numFmtId="165" fontId="26" fillId="0" borderId="3" xfId="9" applyFont="1" applyBorder="1" applyAlignment="1">
      <alignment horizontal="right" vertical="center"/>
    </xf>
    <xf numFmtId="164" fontId="22" fillId="0" borderId="3" xfId="2" applyNumberFormat="1" applyFont="1" applyBorder="1" applyAlignment="1">
      <alignment horizontal="center" vertical="center"/>
    </xf>
    <xf numFmtId="164" fontId="28" fillId="0" borderId="3" xfId="2" applyNumberFormat="1" applyFont="1" applyBorder="1" applyAlignment="1">
      <alignment horizontal="center" vertical="center"/>
    </xf>
    <xf numFmtId="164" fontId="28" fillId="3" borderId="3" xfId="2" applyNumberFormat="1" applyFont="1" applyFill="1" applyBorder="1" applyAlignment="1">
      <alignment horizontal="center" vertical="center"/>
    </xf>
    <xf numFmtId="164" fontId="29" fillId="0" borderId="3" xfId="2" applyNumberFormat="1" applyFont="1" applyBorder="1" applyAlignment="1">
      <alignment horizontal="center" vertical="center"/>
    </xf>
    <xf numFmtId="164" fontId="29" fillId="0" borderId="0" xfId="2" applyNumberFormat="1" applyFont="1" applyAlignment="1">
      <alignment horizontal="center" vertical="center"/>
    </xf>
    <xf numFmtId="164" fontId="30" fillId="0" borderId="0" xfId="2" applyNumberFormat="1" applyFont="1" applyAlignment="1">
      <alignment horizontal="center" vertical="center"/>
    </xf>
    <xf numFmtId="164" fontId="31" fillId="0" borderId="0" xfId="2" applyNumberFormat="1" applyFont="1" applyAlignment="1">
      <alignment horizontal="centerContinuous" vertical="center" wrapText="1"/>
    </xf>
    <xf numFmtId="0" fontId="32" fillId="2" borderId="2" xfId="7" applyFont="1" applyFill="1" applyBorder="1" applyAlignment="1">
      <alignment horizontal="center" vertical="center" wrapText="1"/>
    </xf>
    <xf numFmtId="164" fontId="32" fillId="3" borderId="3" xfId="2" applyNumberFormat="1" applyFont="1" applyFill="1" applyBorder="1" applyAlignment="1">
      <alignment horizontal="center" vertical="center"/>
    </xf>
    <xf numFmtId="164" fontId="33" fillId="3" borderId="3" xfId="2" applyNumberFormat="1" applyFont="1" applyFill="1" applyBorder="1" applyAlignment="1">
      <alignment horizontal="center" vertical="center"/>
    </xf>
    <xf numFmtId="164" fontId="34" fillId="0" borderId="3" xfId="2" applyNumberFormat="1" applyFont="1" applyBorder="1" applyAlignment="1">
      <alignment horizontal="center" vertical="center"/>
    </xf>
    <xf numFmtId="164" fontId="30" fillId="0" borderId="3" xfId="2" applyNumberFormat="1" applyFont="1" applyBorder="1" applyAlignment="1">
      <alignment horizontal="center" vertical="center"/>
    </xf>
    <xf numFmtId="164" fontId="32" fillId="6" borderId="2" xfId="2" applyNumberFormat="1" applyFont="1" applyFill="1" applyBorder="1" applyAlignment="1">
      <alignment horizontal="center" vertical="center"/>
    </xf>
    <xf numFmtId="0" fontId="12" fillId="0" borderId="5" xfId="3" applyFont="1" applyBorder="1" applyAlignment="1">
      <alignment horizontal="center" vertical="center"/>
    </xf>
    <xf numFmtId="43" fontId="22" fillId="3" borderId="6" xfId="2" applyFont="1" applyFill="1" applyBorder="1" applyAlignment="1">
      <alignment horizontal="right" vertical="center"/>
    </xf>
    <xf numFmtId="0" fontId="12" fillId="0" borderId="7" xfId="3" applyFont="1" applyBorder="1" applyAlignment="1">
      <alignment horizontal="center" vertical="center"/>
    </xf>
    <xf numFmtId="0" fontId="12" fillId="0" borderId="7" xfId="3" applyFont="1" applyBorder="1" applyAlignment="1">
      <alignment horizontal="left" vertical="center" wrapText="1"/>
    </xf>
    <xf numFmtId="0" fontId="12" fillId="0" borderId="7" xfId="3" applyFont="1" applyBorder="1" applyAlignment="1">
      <alignment horizontal="center" vertical="center" wrapText="1"/>
    </xf>
    <xf numFmtId="43" fontId="12" fillId="0" borderId="7" xfId="2" applyFont="1" applyBorder="1" applyAlignment="1">
      <alignment horizontal="right" vertical="center"/>
    </xf>
    <xf numFmtId="0" fontId="3" fillId="0" borderId="3" xfId="6" applyFont="1" applyBorder="1">
      <alignment vertical="center"/>
    </xf>
    <xf numFmtId="164" fontId="12" fillId="0" borderId="3" xfId="2" applyNumberFormat="1" applyFont="1" applyBorder="1" applyAlignment="1">
      <alignment horizontal="left" vertical="center" wrapText="1"/>
    </xf>
    <xf numFmtId="164" fontId="6" fillId="4" borderId="3" xfId="2" applyNumberFormat="1" applyFont="1" applyFill="1" applyBorder="1" applyAlignment="1">
      <alignment horizontal="left" vertical="center" wrapText="1"/>
    </xf>
    <xf numFmtId="164" fontId="5" fillId="0" borderId="7" xfId="1" applyNumberFormat="1" applyFont="1" applyBorder="1" applyAlignment="1">
      <alignment horizontal="right" vertical="center"/>
    </xf>
    <xf numFmtId="164" fontId="5" fillId="0" borderId="3" xfId="1" applyNumberFormat="1" applyFont="1" applyBorder="1" applyAlignment="1">
      <alignment horizontal="right" vertical="center"/>
    </xf>
    <xf numFmtId="164" fontId="5" fillId="0" borderId="6" xfId="1" applyNumberFormat="1" applyFont="1" applyBorder="1" applyAlignment="1">
      <alignment horizontal="right" vertical="center"/>
    </xf>
    <xf numFmtId="164" fontId="5" fillId="0" borderId="3" xfId="2" applyNumberFormat="1" applyFont="1" applyBorder="1" applyAlignment="1">
      <alignment horizontal="right" vertical="center"/>
    </xf>
    <xf numFmtId="164" fontId="11" fillId="3" borderId="3" xfId="2" applyNumberFormat="1" applyFont="1" applyFill="1" applyBorder="1" applyAlignment="1">
      <alignment horizontal="right" vertical="center"/>
    </xf>
    <xf numFmtId="0" fontId="4" fillId="8" borderId="0" xfId="6" applyFont="1" applyFill="1" applyAlignment="1">
      <alignment horizontal="center" vertical="center"/>
    </xf>
    <xf numFmtId="43" fontId="30" fillId="0" borderId="0" xfId="2" applyFont="1" applyAlignment="1">
      <alignment horizontal="right" vertical="center"/>
    </xf>
    <xf numFmtId="43" fontId="35" fillId="0" borderId="0" xfId="2" applyFont="1" applyAlignment="1">
      <alignment horizontal="centerContinuous" vertical="center" wrapText="1"/>
    </xf>
    <xf numFmtId="43" fontId="32" fillId="3" borderId="3" xfId="2" applyFont="1" applyFill="1" applyBorder="1" applyAlignment="1">
      <alignment horizontal="right" vertical="center"/>
    </xf>
    <xf numFmtId="43" fontId="30" fillId="0" borderId="3" xfId="2" applyFont="1" applyBorder="1" applyAlignment="1">
      <alignment horizontal="right" vertical="center"/>
    </xf>
    <xf numFmtId="43" fontId="30" fillId="0" borderId="4" xfId="2" applyFont="1" applyBorder="1" applyAlignment="1">
      <alignment horizontal="right" vertical="center"/>
    </xf>
    <xf numFmtId="43" fontId="30" fillId="7" borderId="3" xfId="2" applyFont="1" applyFill="1" applyBorder="1" applyAlignment="1">
      <alignment horizontal="right" vertical="center"/>
    </xf>
    <xf numFmtId="43" fontId="32" fillId="6" borderId="2" xfId="2" applyFont="1" applyFill="1" applyBorder="1" applyAlignment="1">
      <alignment horizontal="right" vertical="center"/>
    </xf>
    <xf numFmtId="164" fontId="10" fillId="0" borderId="3" xfId="1" applyNumberFormat="1" applyFont="1" applyBorder="1" applyAlignment="1">
      <alignment horizontal="center" vertical="center"/>
    </xf>
    <xf numFmtId="164" fontId="3" fillId="0" borderId="0" xfId="1" applyNumberFormat="1" applyFont="1" applyAlignment="1">
      <alignment horizontal="right" vertical="center"/>
    </xf>
    <xf numFmtId="164" fontId="8" fillId="0" borderId="0" xfId="1" applyNumberFormat="1" applyFont="1" applyAlignment="1">
      <alignment horizontal="centerContinuous" vertical="center" wrapText="1"/>
    </xf>
    <xf numFmtId="164" fontId="10" fillId="2" borderId="2" xfId="1" applyNumberFormat="1" applyFont="1" applyFill="1" applyBorder="1" applyAlignment="1">
      <alignment horizontal="center" vertical="center" wrapText="1"/>
    </xf>
    <xf numFmtId="164" fontId="11" fillId="3" borderId="3" xfId="1" applyNumberFormat="1" applyFont="1" applyFill="1" applyBorder="1" applyAlignment="1">
      <alignment horizontal="right" vertical="center"/>
    </xf>
    <xf numFmtId="164" fontId="5" fillId="4" borderId="3" xfId="1" applyNumberFormat="1" applyFont="1" applyFill="1" applyBorder="1" applyAlignment="1">
      <alignment horizontal="right" vertical="center"/>
    </xf>
    <xf numFmtId="164" fontId="11" fillId="0" borderId="3" xfId="1" applyNumberFormat="1" applyFont="1" applyBorder="1" applyAlignment="1">
      <alignment horizontal="right" vertical="center"/>
    </xf>
    <xf numFmtId="164" fontId="5" fillId="0" borderId="4" xfId="1" applyNumberFormat="1" applyFont="1" applyBorder="1" applyAlignment="1">
      <alignment horizontal="right" vertical="center"/>
    </xf>
    <xf numFmtId="164" fontId="11" fillId="3" borderId="3" xfId="1" applyNumberFormat="1" applyFont="1" applyFill="1" applyBorder="1" applyAlignment="1">
      <alignment horizontal="left" vertical="center" wrapText="1"/>
    </xf>
    <xf numFmtId="164" fontId="22" fillId="3" borderId="3" xfId="1" applyNumberFormat="1" applyFont="1" applyFill="1" applyBorder="1" applyAlignment="1">
      <alignment horizontal="right" vertical="center"/>
    </xf>
    <xf numFmtId="164" fontId="12" fillId="0" borderId="3" xfId="1" applyNumberFormat="1" applyFont="1" applyBorder="1" applyAlignment="1">
      <alignment horizontal="center" vertical="center"/>
    </xf>
    <xf numFmtId="164" fontId="12" fillId="0" borderId="3" xfId="1" applyNumberFormat="1" applyFont="1" applyBorder="1" applyAlignment="1">
      <alignment horizontal="right" vertical="center"/>
    </xf>
    <xf numFmtId="164" fontId="10" fillId="3" borderId="0" xfId="2" applyNumberFormat="1" applyFont="1" applyFill="1" applyAlignment="1">
      <alignment horizontal="center" vertical="center"/>
    </xf>
    <xf numFmtId="164" fontId="10" fillId="0" borderId="0" xfId="2" applyNumberFormat="1" applyFont="1" applyAlignment="1">
      <alignment horizontal="center" vertical="center"/>
    </xf>
    <xf numFmtId="164" fontId="18" fillId="0" borderId="0" xfId="2" applyNumberFormat="1" applyFont="1" applyAlignment="1">
      <alignment horizontal="center" vertical="center" wrapText="1" shrinkToFit="1"/>
    </xf>
    <xf numFmtId="0" fontId="11" fillId="3" borderId="0" xfId="3" applyFont="1" applyFill="1" applyAlignment="1">
      <alignment horizontal="left" vertical="center" wrapText="1"/>
    </xf>
    <xf numFmtId="164" fontId="12" fillId="0" borderId="0" xfId="2" applyNumberFormat="1" applyFont="1" applyAlignment="1">
      <alignment horizontal="left" vertical="center" wrapText="1"/>
    </xf>
    <xf numFmtId="164" fontId="6" fillId="4" borderId="0" xfId="2" applyNumberFormat="1" applyFont="1" applyFill="1" applyAlignment="1">
      <alignment horizontal="left" vertical="center" wrapText="1"/>
    </xf>
    <xf numFmtId="164" fontId="6" fillId="0" borderId="0" xfId="2" applyNumberFormat="1" applyFont="1" applyAlignment="1">
      <alignment horizontal="left" vertical="center" wrapText="1"/>
    </xf>
    <xf numFmtId="43" fontId="22" fillId="3" borderId="0" xfId="2" applyFont="1" applyFill="1" applyAlignment="1">
      <alignment horizontal="right" vertical="center"/>
    </xf>
    <xf numFmtId="0" fontId="12" fillId="0" borderId="0" xfId="3" applyFont="1" applyAlignment="1">
      <alignment horizontal="center" vertical="center"/>
    </xf>
    <xf numFmtId="0" fontId="4" fillId="0" borderId="0" xfId="6" applyFont="1" applyAlignment="1">
      <alignment horizontal="left" vertical="center"/>
    </xf>
    <xf numFmtId="0" fontId="3" fillId="0" borderId="0" xfId="6" applyFont="1" applyAlignment="1">
      <alignment horizontal="left" vertical="center"/>
    </xf>
    <xf numFmtId="0" fontId="3" fillId="8" borderId="0" xfId="6" applyFont="1" applyFill="1" applyAlignment="1">
      <alignment horizontal="center" vertical="center"/>
    </xf>
    <xf numFmtId="10" fontId="5" fillId="0" borderId="0" xfId="3" applyNumberFormat="1" applyFont="1" applyAlignment="1">
      <alignment vertical="center"/>
    </xf>
    <xf numFmtId="0" fontId="5" fillId="0" borderId="0" xfId="3" applyFont="1" applyAlignment="1">
      <alignment vertical="center"/>
    </xf>
    <xf numFmtId="165" fontId="5" fillId="0" borderId="0" xfId="3" applyNumberFormat="1" applyFont="1" applyAlignment="1">
      <alignment vertical="center"/>
    </xf>
    <xf numFmtId="43" fontId="5" fillId="0" borderId="0" xfId="1" applyFont="1" applyAlignment="1">
      <alignment vertical="center"/>
    </xf>
    <xf numFmtId="0" fontId="5" fillId="0" borderId="0" xfId="3" quotePrefix="1" applyFont="1" applyAlignment="1">
      <alignment wrapText="1"/>
    </xf>
    <xf numFmtId="0" fontId="0" fillId="0" borderId="0" xfId="0" applyAlignment="1">
      <alignment wrapText="1"/>
    </xf>
    <xf numFmtId="0" fontId="0" fillId="0" borderId="0" xfId="0" applyAlignment="1">
      <alignment vertical="center"/>
    </xf>
    <xf numFmtId="0" fontId="0" fillId="0" borderId="3" xfId="0" applyBorder="1" applyAlignment="1">
      <alignment wrapText="1"/>
    </xf>
    <xf numFmtId="0" fontId="0" fillId="0" borderId="9" xfId="0" applyBorder="1" applyAlignment="1">
      <alignment wrapText="1"/>
    </xf>
    <xf numFmtId="164" fontId="13" fillId="0" borderId="0" xfId="1" applyNumberFormat="1" applyAlignment="1">
      <alignment vertical="center"/>
    </xf>
    <xf numFmtId="165" fontId="26" fillId="9" borderId="2" xfId="9" applyFont="1" applyFill="1" applyBorder="1" applyAlignment="1">
      <alignment horizontal="center" vertical="center" wrapText="1"/>
    </xf>
    <xf numFmtId="0" fontId="13" fillId="0" borderId="3" xfId="0" applyFont="1" applyBorder="1" applyAlignment="1">
      <alignment wrapText="1"/>
    </xf>
    <xf numFmtId="43" fontId="13" fillId="0" borderId="3" xfId="1" applyBorder="1" applyAlignment="1">
      <alignment vertical="center"/>
    </xf>
    <xf numFmtId="164" fontId="13" fillId="0" borderId="8" xfId="1" applyNumberFormat="1" applyBorder="1" applyAlignment="1">
      <alignment vertical="center"/>
    </xf>
    <xf numFmtId="43" fontId="13" fillId="0" borderId="9" xfId="1" applyBorder="1" applyAlignment="1">
      <alignment vertical="center"/>
    </xf>
    <xf numFmtId="43" fontId="13" fillId="0" borderId="0" xfId="1" applyAlignment="1">
      <alignment vertical="center"/>
    </xf>
    <xf numFmtId="0" fontId="36" fillId="0" borderId="3" xfId="0" applyFont="1" applyBorder="1" applyAlignment="1">
      <alignment wrapText="1"/>
    </xf>
    <xf numFmtId="0" fontId="36" fillId="0" borderId="8" xfId="0" applyFont="1" applyBorder="1" applyAlignment="1">
      <alignment wrapText="1"/>
    </xf>
    <xf numFmtId="43" fontId="22" fillId="3" borderId="6" xfId="2" applyFont="1" applyFill="1" applyBorder="1" applyAlignment="1">
      <alignment horizontal="left" vertical="center"/>
    </xf>
    <xf numFmtId="0" fontId="12" fillId="0" borderId="3" xfId="3" applyFont="1" applyBorder="1" applyAlignment="1">
      <alignment horizontal="left" vertical="center"/>
    </xf>
    <xf numFmtId="164" fontId="3" fillId="7" borderId="0" xfId="1" applyNumberFormat="1" applyFont="1" applyFill="1" applyAlignment="1">
      <alignment vertical="center"/>
    </xf>
    <xf numFmtId="164" fontId="2" fillId="7" borderId="0" xfId="1" applyNumberFormat="1" applyFont="1" applyFill="1" applyAlignment="1">
      <alignment vertical="center"/>
    </xf>
    <xf numFmtId="164" fontId="3" fillId="7" borderId="0" xfId="1" applyNumberFormat="1" applyFont="1" applyFill="1" applyAlignment="1">
      <alignment horizontal="center" vertical="center"/>
    </xf>
    <xf numFmtId="164" fontId="4" fillId="7" borderId="0" xfId="1" applyNumberFormat="1" applyFont="1" applyFill="1" applyAlignment="1">
      <alignment horizontal="center" vertical="center"/>
    </xf>
    <xf numFmtId="164" fontId="5" fillId="7" borderId="0" xfId="1" applyNumberFormat="1" applyFont="1" applyFill="1" applyAlignment="1">
      <alignment vertical="center"/>
    </xf>
    <xf numFmtId="164" fontId="11" fillId="0" borderId="3" xfId="2" applyNumberFormat="1" applyFont="1" applyBorder="1" applyAlignment="1">
      <alignment horizontal="right" vertical="center"/>
    </xf>
    <xf numFmtId="164" fontId="25" fillId="0" borderId="3" xfId="9" applyNumberFormat="1" applyFont="1" applyBorder="1" applyAlignment="1">
      <alignment horizontal="right" vertical="center"/>
    </xf>
    <xf numFmtId="164" fontId="22" fillId="6" borderId="2" xfId="9" applyNumberFormat="1" applyFont="1" applyFill="1" applyBorder="1" applyAlignment="1">
      <alignment horizontal="right" vertical="center"/>
    </xf>
    <xf numFmtId="164" fontId="12" fillId="0" borderId="3" xfId="9" applyNumberFormat="1" applyFont="1" applyBorder="1" applyAlignment="1">
      <alignment horizontal="right" vertical="center"/>
    </xf>
    <xf numFmtId="164" fontId="6" fillId="7" borderId="3" xfId="2" applyNumberFormat="1" applyFont="1" applyFill="1" applyBorder="1" applyAlignment="1">
      <alignment horizontal="center" vertical="center"/>
    </xf>
    <xf numFmtId="43" fontId="37" fillId="0" borderId="3" xfId="15" applyNumberFormat="1" applyBorder="1" applyAlignment="1">
      <alignment horizontal="right" vertical="center"/>
    </xf>
    <xf numFmtId="164" fontId="13" fillId="9" borderId="2" xfId="1" applyNumberFormat="1" applyFill="1" applyBorder="1" applyAlignment="1">
      <alignment horizontal="center" vertical="center"/>
    </xf>
    <xf numFmtId="43" fontId="13" fillId="9" borderId="3" xfId="1" applyFill="1" applyBorder="1" applyAlignment="1">
      <alignment vertical="center"/>
    </xf>
    <xf numFmtId="0" fontId="10" fillId="9" borderId="10" xfId="7" applyFont="1" applyFill="1" applyBorder="1" applyAlignment="1">
      <alignment horizontal="center" vertical="center" wrapText="1"/>
    </xf>
    <xf numFmtId="0" fontId="10" fillId="9" borderId="11" xfId="7" applyFont="1" applyFill="1" applyBorder="1" applyAlignment="1">
      <alignment horizontal="center" vertical="center" wrapText="1"/>
    </xf>
    <xf numFmtId="0" fontId="3" fillId="0" borderId="0" xfId="6" applyFont="1" applyAlignment="1">
      <alignment horizontal="left" vertical="center" wrapText="1"/>
    </xf>
    <xf numFmtId="43" fontId="3" fillId="0" borderId="0" xfId="2" applyFont="1" applyAlignment="1">
      <alignment horizontal="right" vertical="center"/>
    </xf>
    <xf numFmtId="43" fontId="6" fillId="0" borderId="0" xfId="2" applyFont="1" applyAlignment="1">
      <alignment horizontal="center" vertical="center"/>
    </xf>
    <xf numFmtId="0" fontId="3" fillId="0" borderId="0" xfId="6" applyFont="1" applyAlignment="1">
      <alignment horizontal="left" vertical="top" wrapText="1"/>
    </xf>
    <xf numFmtId="0" fontId="3" fillId="0" borderId="0" xfId="6" applyFont="1">
      <alignment vertical="center"/>
    </xf>
    <xf numFmtId="43" fontId="12" fillId="0" borderId="0" xfId="2" applyFont="1" applyAlignment="1">
      <alignment horizontal="right" vertical="center"/>
    </xf>
    <xf numFmtId="165" fontId="25" fillId="0" borderId="0" xfId="9" applyFont="1" applyAlignment="1">
      <alignment horizontal="right" vertical="center"/>
    </xf>
    <xf numFmtId="164" fontId="6" fillId="0" borderId="0" xfId="2" applyNumberFormat="1" applyFont="1" applyAlignment="1">
      <alignment horizontal="center" vertical="center"/>
    </xf>
    <xf numFmtId="164" fontId="12" fillId="0" borderId="0" xfId="2" applyNumberFormat="1" applyFont="1" applyAlignment="1">
      <alignment horizontal="center" vertical="center"/>
    </xf>
    <xf numFmtId="0" fontId="3" fillId="0" borderId="0" xfId="6" applyFont="1" applyAlignment="1">
      <alignment horizontal="left" vertical="top"/>
    </xf>
    <xf numFmtId="0" fontId="3" fillId="0" borderId="1" xfId="6" applyFont="1" applyBorder="1" applyAlignment="1">
      <alignment horizontal="left" vertical="top"/>
    </xf>
    <xf numFmtId="0" fontId="0" fillId="0" borderId="1" xfId="0" applyBorder="1"/>
    <xf numFmtId="164" fontId="30" fillId="0" borderId="0" xfId="2" applyNumberFormat="1" applyFont="1" applyAlignment="1">
      <alignment horizontal="center" vertical="center"/>
    </xf>
    <xf numFmtId="164" fontId="3" fillId="0" borderId="0" xfId="1" applyNumberFormat="1" applyFont="1" applyAlignment="1">
      <alignment horizontal="right" vertical="center"/>
    </xf>
    <xf numFmtId="43" fontId="30" fillId="0" borderId="0" xfId="2" applyFont="1" applyAlignment="1">
      <alignment horizontal="right" vertical="center"/>
    </xf>
    <xf numFmtId="43" fontId="3" fillId="0" borderId="0" xfId="1" applyFont="1" applyAlignment="1">
      <alignment horizontal="right" vertical="center"/>
    </xf>
    <xf numFmtId="164" fontId="0" fillId="0" borderId="0" xfId="0" applyNumberFormat="1"/>
  </cellXfs>
  <cellStyles count="16">
    <cellStyle name="Comma" xfId="1" builtinId="3"/>
    <cellStyle name="Comma [0]" xfId="9" builtinId="6"/>
    <cellStyle name="Comma 13" xfId="10" xr:uid="{00000000-0005-0000-0000-00000A000000}"/>
    <cellStyle name="Comma 2" xfId="2" xr:uid="{00000000-0005-0000-0000-000002000000}"/>
    <cellStyle name="Comma 5 4" xfId="14" xr:uid="{00000000-0005-0000-0000-00000E000000}"/>
    <cellStyle name="Comma 5 5" xfId="12" xr:uid="{00000000-0005-0000-0000-00000C000000}"/>
    <cellStyle name="Hyperlink" xfId="15" builtinId="8"/>
    <cellStyle name="Normal" xfId="0" builtinId="0"/>
    <cellStyle name="Normal - Style1 2 4 2 2" xfId="3" xr:uid="{00000000-0005-0000-0000-000003000000}"/>
    <cellStyle name="Normal 10 3" xfId="11" xr:uid="{00000000-0005-0000-0000-00000B000000}"/>
    <cellStyle name="Normal 2" xfId="4" xr:uid="{00000000-0005-0000-0000-000004000000}"/>
    <cellStyle name="Normal 3" xfId="5" xr:uid="{00000000-0005-0000-0000-000005000000}"/>
    <cellStyle name="Normal 6 4" xfId="13" xr:uid="{00000000-0005-0000-0000-00000D000000}"/>
    <cellStyle name="Normal 8" xfId="6" xr:uid="{00000000-0005-0000-0000-000006000000}"/>
    <cellStyle name="一般 7" xfId="7" xr:uid="{00000000-0005-0000-0000-000007000000}"/>
    <cellStyle name="樣式 1"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542537</xdr:colOff>
      <xdr:row>0</xdr:row>
      <xdr:rowOff>35780</xdr:rowOff>
    </xdr:from>
    <xdr:to>
      <xdr:col>5</xdr:col>
      <xdr:colOff>879155</xdr:colOff>
      <xdr:row>0</xdr:row>
      <xdr:rowOff>542925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118870" y="35560"/>
          <a:ext cx="7256780" cy="50736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766805</xdr:colOff>
      <xdr:row>0</xdr:row>
      <xdr:rowOff>576543</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7</xdr:col>
      <xdr:colOff>448398</xdr:colOff>
      <xdr:row>0</xdr:row>
      <xdr:rowOff>576543</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659629</xdr:colOff>
      <xdr:row>0</xdr:row>
      <xdr:rowOff>576543</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307204</xdr:colOff>
      <xdr:row>0</xdr:row>
      <xdr:rowOff>576543</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7</xdr:col>
      <xdr:colOff>357070</xdr:colOff>
      <xdr:row>0</xdr:row>
      <xdr:rowOff>576543</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950982</xdr:colOff>
      <xdr:row>0</xdr:row>
      <xdr:rowOff>576543</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1040629</xdr:colOff>
      <xdr:row>0</xdr:row>
      <xdr:rowOff>576543</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950982</xdr:colOff>
      <xdr:row>0</xdr:row>
      <xdr:rowOff>576543</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1040629</xdr:colOff>
      <xdr:row>0</xdr:row>
      <xdr:rowOff>576543</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7</xdr:col>
      <xdr:colOff>240529</xdr:colOff>
      <xdr:row>0</xdr:row>
      <xdr:rowOff>576543</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659629</xdr:colOff>
      <xdr:row>0</xdr:row>
      <xdr:rowOff>576543</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1040629</xdr:colOff>
      <xdr:row>0</xdr:row>
      <xdr:rowOff>576543</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697729</xdr:colOff>
      <xdr:row>0</xdr:row>
      <xdr:rowOff>576543</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7</xdr:col>
      <xdr:colOff>422065</xdr:colOff>
      <xdr:row>0</xdr:row>
      <xdr:rowOff>576543</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659629</xdr:colOff>
      <xdr:row>0</xdr:row>
      <xdr:rowOff>576543</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659629</xdr:colOff>
      <xdr:row>0</xdr:row>
      <xdr:rowOff>576543</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659629</xdr:colOff>
      <xdr:row>0</xdr:row>
      <xdr:rowOff>576543</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659629</xdr:colOff>
      <xdr:row>0</xdr:row>
      <xdr:rowOff>576543</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659629</xdr:colOff>
      <xdr:row>0</xdr:row>
      <xdr:rowOff>576543</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1040629</xdr:colOff>
      <xdr:row>0</xdr:row>
      <xdr:rowOff>576543</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7</xdr:col>
      <xdr:colOff>92051</xdr:colOff>
      <xdr:row>0</xdr:row>
      <xdr:rowOff>576543</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659629</xdr:colOff>
      <xdr:row>0</xdr:row>
      <xdr:rowOff>576543</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659629</xdr:colOff>
      <xdr:row>0</xdr:row>
      <xdr:rowOff>576543</xdr:rowOff>
    </xdr:to>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659629</xdr:colOff>
      <xdr:row>0</xdr:row>
      <xdr:rowOff>576543</xdr:rowOff>
    </xdr:to>
    <xdr:pic>
      <xdr:nvPicPr>
        <xdr:cNvPr id="2" name="Pictur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8</xdr:col>
      <xdr:colOff>659629</xdr:colOff>
      <xdr:row>0</xdr:row>
      <xdr:rowOff>576543</xdr:rowOff>
    </xdr:to>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659629</xdr:colOff>
      <xdr:row>0</xdr:row>
      <xdr:rowOff>576543</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659629</xdr:colOff>
      <xdr:row>0</xdr:row>
      <xdr:rowOff>576543</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659629</xdr:colOff>
      <xdr:row>0</xdr:row>
      <xdr:rowOff>576543</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659629</xdr:colOff>
      <xdr:row>0</xdr:row>
      <xdr:rowOff>576543</xdr:rowOff>
    </xdr:to>
    <xdr:pic>
      <xdr:nvPicPr>
        <xdr:cNvPr id="2" name="Picture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1405389</xdr:colOff>
      <xdr:row>0</xdr:row>
      <xdr:rowOff>69398</xdr:rowOff>
    </xdr:from>
    <xdr:to>
      <xdr:col>6</xdr:col>
      <xdr:colOff>659629</xdr:colOff>
      <xdr:row>0</xdr:row>
      <xdr:rowOff>576543</xdr:rowOff>
    </xdr:to>
    <xdr:pic>
      <xdr:nvPicPr>
        <xdr:cNvPr id="2" name="Picture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2036445" y="69215"/>
          <a:ext cx="7298055" cy="506730"/>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41"/>
  <sheetViews>
    <sheetView tabSelected="1" topLeftCell="A19" zoomScale="85" zoomScaleNormal="85" workbookViewId="0">
      <selection activeCell="C27" sqref="C27"/>
    </sheetView>
  </sheetViews>
  <sheetFormatPr defaultRowHeight="14.25"/>
  <cols>
    <col min="1" max="1" width="48.125" style="183" customWidth="1"/>
    <col min="2" max="2" width="16.375" style="193" customWidth="1"/>
    <col min="3" max="4" width="17.625" style="187" customWidth="1"/>
    <col min="8" max="8" width="11.875" bestFit="1" customWidth="1"/>
  </cols>
  <sheetData>
    <row r="1" spans="1:4" s="184" customFormat="1" ht="15" customHeight="1">
      <c r="A1" s="211" t="s">
        <v>508</v>
      </c>
      <c r="B1" s="210" t="s">
        <v>449</v>
      </c>
      <c r="C1" s="209" t="s">
        <v>591</v>
      </c>
      <c r="D1" s="209"/>
    </row>
    <row r="2" spans="1:4" ht="33.75" customHeight="1">
      <c r="A2" s="212"/>
      <c r="B2" s="210"/>
      <c r="C2" s="188" t="s">
        <v>511</v>
      </c>
      <c r="D2" s="188" t="s">
        <v>512</v>
      </c>
    </row>
    <row r="3" spans="1:4" ht="30">
      <c r="A3" s="195" t="s">
        <v>0</v>
      </c>
      <c r="B3" s="190"/>
      <c r="C3" s="191">
        <v>0</v>
      </c>
      <c r="D3" s="191">
        <v>0</v>
      </c>
    </row>
    <row r="4" spans="1:4" ht="30">
      <c r="A4" s="194" t="s">
        <v>1</v>
      </c>
      <c r="B4" s="190"/>
      <c r="C4" s="191">
        <v>0</v>
      </c>
      <c r="D4" s="191">
        <v>0</v>
      </c>
    </row>
    <row r="5" spans="1:4" ht="30">
      <c r="A5" s="194" t="s">
        <v>2</v>
      </c>
      <c r="B5" s="190"/>
      <c r="C5" s="191">
        <v>0</v>
      </c>
      <c r="D5" s="191">
        <v>0</v>
      </c>
    </row>
    <row r="6" spans="1:4" ht="28.5">
      <c r="A6" s="185" t="s">
        <v>3</v>
      </c>
      <c r="B6" s="190">
        <v>1</v>
      </c>
      <c r="C6" s="191">
        <v>0</v>
      </c>
      <c r="D6" s="191">
        <v>114999999.99999999</v>
      </c>
    </row>
    <row r="7" spans="1:4" ht="28.5">
      <c r="A7" s="185" t="s">
        <v>4</v>
      </c>
      <c r="B7" s="190">
        <v>288</v>
      </c>
      <c r="C7" s="191">
        <v>425499.99999999994</v>
      </c>
      <c r="D7" s="191">
        <v>0</v>
      </c>
    </row>
    <row r="8" spans="1:4" ht="28.5">
      <c r="A8" s="185" t="s">
        <v>5</v>
      </c>
      <c r="B8" s="190">
        <v>264</v>
      </c>
      <c r="C8" s="191">
        <v>0</v>
      </c>
      <c r="D8" s="191">
        <v>69000</v>
      </c>
    </row>
    <row r="9" spans="1:4" ht="28.5">
      <c r="A9" s="185" t="s">
        <v>6</v>
      </c>
      <c r="B9" s="190">
        <v>276</v>
      </c>
      <c r="C9" s="191">
        <v>0</v>
      </c>
      <c r="D9" s="191">
        <v>57499.999999999993</v>
      </c>
    </row>
    <row r="10" spans="1:4" ht="114">
      <c r="A10" s="185" t="s">
        <v>7</v>
      </c>
      <c r="B10" s="190">
        <v>12</v>
      </c>
      <c r="C10" s="191">
        <v>0</v>
      </c>
      <c r="D10" s="191">
        <v>13799999.999999998</v>
      </c>
    </row>
    <row r="11" spans="1:4" ht="28.5">
      <c r="A11" s="185" t="s">
        <v>8</v>
      </c>
      <c r="B11" s="190">
        <v>237</v>
      </c>
      <c r="C11" s="191">
        <v>0</v>
      </c>
      <c r="D11" s="191">
        <v>252999.99999999997</v>
      </c>
    </row>
    <row r="12" spans="1:4" ht="28.5">
      <c r="A12" s="185" t="s">
        <v>9</v>
      </c>
      <c r="B12" s="190">
        <v>25784</v>
      </c>
      <c r="C12" s="191">
        <v>402499.99999999994</v>
      </c>
      <c r="D12" s="191">
        <v>0</v>
      </c>
    </row>
    <row r="13" spans="1:4" ht="28.5">
      <c r="A13" s="185" t="s">
        <v>10</v>
      </c>
      <c r="B13" s="190">
        <v>1184</v>
      </c>
      <c r="C13" s="191">
        <v>80500</v>
      </c>
      <c r="D13" s="191">
        <v>0</v>
      </c>
    </row>
    <row r="14" spans="1:4" ht="28.5">
      <c r="A14" s="185" t="s">
        <v>11</v>
      </c>
      <c r="B14" s="190">
        <v>25092.3</v>
      </c>
      <c r="C14" s="191">
        <v>0</v>
      </c>
      <c r="D14" s="191">
        <v>69000</v>
      </c>
    </row>
    <row r="15" spans="1:4" ht="28.5">
      <c r="A15" s="185" t="s">
        <v>12</v>
      </c>
      <c r="B15" s="190">
        <v>26264.3</v>
      </c>
      <c r="C15" s="191">
        <v>0</v>
      </c>
      <c r="D15" s="191">
        <v>57499.999999999993</v>
      </c>
    </row>
    <row r="16" spans="1:4" ht="71.25">
      <c r="A16" s="185" t="s">
        <v>13</v>
      </c>
      <c r="B16" s="190">
        <v>1184</v>
      </c>
      <c r="C16" s="191">
        <v>482999.99999999994</v>
      </c>
      <c r="D16" s="191">
        <v>161000</v>
      </c>
    </row>
    <row r="17" spans="1:5" ht="30">
      <c r="A17" s="194" t="s">
        <v>14</v>
      </c>
      <c r="B17" s="190"/>
      <c r="C17" s="191">
        <v>0</v>
      </c>
      <c r="D17" s="191">
        <v>0</v>
      </c>
    </row>
    <row r="18" spans="1:5" ht="28.5">
      <c r="A18" s="185" t="s">
        <v>15</v>
      </c>
      <c r="B18" s="190">
        <v>5734.03</v>
      </c>
      <c r="C18" s="191">
        <v>0</v>
      </c>
      <c r="D18" s="191">
        <v>32199.999999999996</v>
      </c>
    </row>
    <row r="19" spans="1:5" ht="28.5">
      <c r="A19" s="185" t="s">
        <v>16</v>
      </c>
      <c r="B19" s="190">
        <v>4049.6970000000001</v>
      </c>
      <c r="C19" s="191">
        <v>0</v>
      </c>
      <c r="D19" s="191">
        <v>17250</v>
      </c>
    </row>
    <row r="20" spans="1:5" ht="28.5">
      <c r="A20" s="185" t="s">
        <v>17</v>
      </c>
      <c r="B20" s="190">
        <v>4200.1360000000004</v>
      </c>
      <c r="C20" s="191">
        <v>0</v>
      </c>
      <c r="D20" s="191">
        <v>37950</v>
      </c>
    </row>
    <row r="21" spans="1:5" ht="28.5">
      <c r="A21" s="185" t="s">
        <v>18</v>
      </c>
      <c r="B21" s="190">
        <v>1533.894</v>
      </c>
      <c r="C21" s="191">
        <v>0</v>
      </c>
      <c r="D21" s="191">
        <v>32199.999999999996</v>
      </c>
    </row>
    <row r="22" spans="1:5" ht="28.5">
      <c r="A22" s="185" t="s">
        <v>19</v>
      </c>
      <c r="B22" s="190">
        <v>4049.6970000000001</v>
      </c>
      <c r="C22" s="191">
        <v>6899.9999999999991</v>
      </c>
      <c r="D22" s="191">
        <v>1724.9999999999998</v>
      </c>
    </row>
    <row r="23" spans="1:5" ht="42.75">
      <c r="A23" s="185" t="s">
        <v>20</v>
      </c>
      <c r="B23" s="190">
        <v>12881.334000000001</v>
      </c>
      <c r="C23" s="191">
        <v>34500</v>
      </c>
      <c r="D23" s="191">
        <v>5750</v>
      </c>
    </row>
    <row r="24" spans="1:5" ht="28.5">
      <c r="A24" s="185" t="s">
        <v>21</v>
      </c>
      <c r="B24" s="190">
        <v>12881.334000000001</v>
      </c>
      <c r="C24" s="191">
        <v>0</v>
      </c>
      <c r="D24" s="191">
        <v>13799.999999999998</v>
      </c>
    </row>
    <row r="25" spans="1:5" ht="28.5">
      <c r="A25" s="185" t="s">
        <v>22</v>
      </c>
      <c r="B25" s="190">
        <v>4526.7259999999997</v>
      </c>
      <c r="C25" s="191">
        <v>512325</v>
      </c>
      <c r="D25" s="191">
        <v>103499.99999999999</v>
      </c>
    </row>
    <row r="26" spans="1:5" ht="30">
      <c r="A26" s="194" t="s">
        <v>23</v>
      </c>
      <c r="B26" s="190"/>
      <c r="C26" s="191">
        <v>0</v>
      </c>
      <c r="D26" s="191">
        <v>0</v>
      </c>
    </row>
    <row r="27" spans="1:5" ht="28.5">
      <c r="A27" s="185" t="s">
        <v>24</v>
      </c>
      <c r="B27" s="190">
        <v>407.88</v>
      </c>
      <c r="C27" s="191">
        <v>1249762.5</v>
      </c>
      <c r="D27" s="191">
        <v>206999.99999999997</v>
      </c>
      <c r="E27" s="229"/>
    </row>
    <row r="28" spans="1:5" ht="57">
      <c r="A28" s="185" t="s">
        <v>25</v>
      </c>
      <c r="B28" s="190">
        <v>6339.0569999999998</v>
      </c>
      <c r="C28" s="191">
        <v>1607444.4444444443</v>
      </c>
      <c r="D28" s="191">
        <v>149500</v>
      </c>
    </row>
    <row r="29" spans="1:5" ht="28.5">
      <c r="A29" s="185" t="s">
        <v>26</v>
      </c>
      <c r="B29" s="190">
        <v>89.421999999999997</v>
      </c>
      <c r="C29" s="191">
        <v>1520555.5555555553</v>
      </c>
      <c r="D29" s="191">
        <v>252999.99999999997</v>
      </c>
    </row>
    <row r="30" spans="1:5" ht="28.5">
      <c r="A30" s="185" t="s">
        <v>27</v>
      </c>
      <c r="B30" s="190">
        <v>135.26</v>
      </c>
      <c r="C30" s="191">
        <v>1520555.5555555553</v>
      </c>
      <c r="D30" s="191">
        <v>149500</v>
      </c>
    </row>
    <row r="31" spans="1:5" ht="28.5">
      <c r="A31" s="185" t="s">
        <v>28</v>
      </c>
      <c r="B31" s="190">
        <v>20.931360000000002</v>
      </c>
      <c r="C31" s="191">
        <v>1390222.2222222222</v>
      </c>
      <c r="D31" s="191">
        <v>149500</v>
      </c>
    </row>
    <row r="32" spans="1:5" ht="28.5">
      <c r="A32" s="185" t="s">
        <v>29</v>
      </c>
      <c r="B32" s="190">
        <v>50.262999999999998</v>
      </c>
      <c r="C32" s="191">
        <v>1390222.2222222222</v>
      </c>
      <c r="D32" s="191">
        <v>149500</v>
      </c>
    </row>
    <row r="33" spans="1:4" ht="42.75">
      <c r="A33" s="185" t="s">
        <v>30</v>
      </c>
      <c r="B33" s="190">
        <v>2.51315</v>
      </c>
      <c r="C33" s="191">
        <v>22425000</v>
      </c>
      <c r="D33" s="191">
        <v>8003999.9999999991</v>
      </c>
    </row>
    <row r="34" spans="1:4" ht="30">
      <c r="A34" s="194" t="s">
        <v>31</v>
      </c>
      <c r="B34" s="190"/>
      <c r="C34" s="191">
        <v>0</v>
      </c>
      <c r="D34" s="191">
        <v>0</v>
      </c>
    </row>
    <row r="35" spans="1:4" ht="28.5">
      <c r="A35" s="185" t="s">
        <v>32</v>
      </c>
      <c r="B35" s="190">
        <v>1078.6030000000001</v>
      </c>
      <c r="C35" s="191">
        <v>80500</v>
      </c>
      <c r="D35" s="191">
        <v>92000</v>
      </c>
    </row>
    <row r="36" spans="1:4" ht="42.75">
      <c r="A36" s="185" t="s">
        <v>33</v>
      </c>
      <c r="B36" s="190">
        <v>8972.1190000000006</v>
      </c>
      <c r="C36" s="191">
        <v>126499.99999999999</v>
      </c>
      <c r="D36" s="191">
        <v>103499.99999999999</v>
      </c>
    </row>
    <row r="37" spans="1:4" ht="28.5">
      <c r="A37" s="185" t="s">
        <v>34</v>
      </c>
      <c r="B37" s="190">
        <v>1160.7439999999999</v>
      </c>
      <c r="C37" s="191">
        <v>126499.99999999999</v>
      </c>
      <c r="D37" s="191">
        <v>149500</v>
      </c>
    </row>
    <row r="38" spans="1:4" ht="28.5">
      <c r="A38" s="185" t="s">
        <v>35</v>
      </c>
      <c r="B38" s="190">
        <v>914.94399999999996</v>
      </c>
      <c r="C38" s="191">
        <v>126499.99999999999</v>
      </c>
      <c r="D38" s="191">
        <v>114999.99999999999</v>
      </c>
    </row>
    <row r="39" spans="1:4" ht="28.5">
      <c r="A39" s="185" t="s">
        <v>36</v>
      </c>
      <c r="B39" s="190">
        <v>306.63</v>
      </c>
      <c r="C39" s="191">
        <v>126499.99999999999</v>
      </c>
      <c r="D39" s="191">
        <v>97749.999999999985</v>
      </c>
    </row>
    <row r="40" spans="1:4" ht="30">
      <c r="A40" s="194" t="s">
        <v>37</v>
      </c>
      <c r="B40" s="190"/>
      <c r="C40" s="191">
        <v>0</v>
      </c>
      <c r="D40" s="191">
        <v>0</v>
      </c>
    </row>
    <row r="41" spans="1:4" ht="42.75">
      <c r="A41" s="185" t="s">
        <v>38</v>
      </c>
      <c r="B41" s="190">
        <v>803573.03403703705</v>
      </c>
      <c r="C41" s="191">
        <v>16770.564999999999</v>
      </c>
      <c r="D41" s="191">
        <v>2875</v>
      </c>
    </row>
    <row r="42" spans="1:4" ht="28.5">
      <c r="A42" s="185" t="s">
        <v>39</v>
      </c>
      <c r="B42" s="190">
        <v>26019.186000000002</v>
      </c>
      <c r="C42" s="191">
        <v>16770.564999999999</v>
      </c>
      <c r="D42" s="191">
        <v>3679.9999999999995</v>
      </c>
    </row>
    <row r="43" spans="1:4" ht="28.5">
      <c r="A43" s="185" t="s">
        <v>40</v>
      </c>
      <c r="B43" s="190">
        <v>18698.719000000001</v>
      </c>
      <c r="C43" s="191">
        <v>16770.564999999999</v>
      </c>
      <c r="D43" s="191">
        <v>3449.9999999999995</v>
      </c>
    </row>
    <row r="44" spans="1:4" ht="28.5">
      <c r="A44" s="185" t="s">
        <v>41</v>
      </c>
      <c r="B44" s="190">
        <v>35877.387999999999</v>
      </c>
      <c r="C44" s="191">
        <v>16770.564999999999</v>
      </c>
      <c r="D44" s="191">
        <v>3679.9999999999995</v>
      </c>
    </row>
    <row r="45" spans="1:4" ht="28.5">
      <c r="A45" s="185" t="s">
        <v>42</v>
      </c>
      <c r="B45" s="190">
        <v>460.48991999999998</v>
      </c>
      <c r="C45" s="191">
        <v>17834.66</v>
      </c>
      <c r="D45" s="191">
        <v>3449.9999999999995</v>
      </c>
    </row>
    <row r="46" spans="1:4" ht="30">
      <c r="A46" s="194" t="s">
        <v>43</v>
      </c>
      <c r="B46" s="190"/>
      <c r="C46" s="191">
        <v>0</v>
      </c>
      <c r="D46" s="191">
        <v>0</v>
      </c>
    </row>
    <row r="47" spans="1:4" ht="28.5">
      <c r="A47" s="185" t="s">
        <v>44</v>
      </c>
      <c r="B47" s="190">
        <v>16240.203</v>
      </c>
      <c r="C47" s="191">
        <v>14949.999999999998</v>
      </c>
      <c r="D47" s="191">
        <v>17250</v>
      </c>
    </row>
    <row r="48" spans="1:4" ht="57">
      <c r="A48" s="185" t="s">
        <v>45</v>
      </c>
      <c r="B48" s="190">
        <v>11883.63</v>
      </c>
      <c r="C48" s="191">
        <v>5750</v>
      </c>
      <c r="D48" s="191">
        <v>23000</v>
      </c>
    </row>
    <row r="49" spans="1:4" ht="42.75">
      <c r="A49" s="185" t="s">
        <v>46</v>
      </c>
      <c r="B49" s="190">
        <v>0</v>
      </c>
      <c r="C49" s="191">
        <v>172500</v>
      </c>
      <c r="D49" s="191">
        <v>57499.999999999993</v>
      </c>
    </row>
    <row r="50" spans="1:4" ht="30">
      <c r="A50" s="194" t="s">
        <v>47</v>
      </c>
      <c r="B50" s="190"/>
      <c r="C50" s="191">
        <v>0</v>
      </c>
      <c r="D50" s="191">
        <v>0</v>
      </c>
    </row>
    <row r="51" spans="1:4" ht="30">
      <c r="A51" s="194" t="s">
        <v>48</v>
      </c>
      <c r="B51" s="190"/>
      <c r="C51" s="191">
        <v>0</v>
      </c>
      <c r="D51" s="191">
        <v>0</v>
      </c>
    </row>
    <row r="52" spans="1:4" ht="42.75">
      <c r="A52" s="185" t="s">
        <v>49</v>
      </c>
      <c r="B52" s="190">
        <v>387946.03759000002</v>
      </c>
      <c r="C52" s="191">
        <v>20475</v>
      </c>
      <c r="D52" s="191">
        <v>0</v>
      </c>
    </row>
    <row r="53" spans="1:4" ht="28.5">
      <c r="A53" s="185" t="s">
        <v>50</v>
      </c>
      <c r="B53" s="190">
        <v>64978.070419999996</v>
      </c>
      <c r="C53" s="191">
        <v>26775</v>
      </c>
      <c r="D53" s="191">
        <v>0</v>
      </c>
    </row>
    <row r="54" spans="1:4" ht="28.5">
      <c r="A54" s="185" t="s">
        <v>51</v>
      </c>
      <c r="B54" s="190">
        <v>3760.43519838673</v>
      </c>
      <c r="C54" s="191">
        <v>36750</v>
      </c>
      <c r="D54" s="191">
        <v>0</v>
      </c>
    </row>
    <row r="55" spans="1:4" ht="28.5">
      <c r="A55" s="185" t="s">
        <v>52</v>
      </c>
      <c r="B55" s="190">
        <v>9241.02</v>
      </c>
      <c r="C55" s="191">
        <v>26775</v>
      </c>
      <c r="D55" s="191">
        <v>0</v>
      </c>
    </row>
    <row r="56" spans="1:4" ht="28.5">
      <c r="A56" s="185" t="s">
        <v>53</v>
      </c>
      <c r="B56" s="190">
        <v>87669.660359999994</v>
      </c>
      <c r="C56" s="191">
        <v>22365</v>
      </c>
      <c r="D56" s="191">
        <v>0</v>
      </c>
    </row>
    <row r="57" spans="1:4" ht="28.5">
      <c r="A57" s="185" t="s">
        <v>54</v>
      </c>
      <c r="B57" s="190">
        <v>9037.4376071091192</v>
      </c>
      <c r="C57" s="191">
        <v>36750</v>
      </c>
      <c r="D57" s="191">
        <v>0</v>
      </c>
    </row>
    <row r="58" spans="1:4" ht="28.5">
      <c r="A58" s="185" t="s">
        <v>55</v>
      </c>
      <c r="B58" s="190">
        <v>6723.6192000000001</v>
      </c>
      <c r="C58" s="191">
        <v>27930</v>
      </c>
      <c r="D58" s="191">
        <v>0</v>
      </c>
    </row>
    <row r="59" spans="1:4" ht="28.5">
      <c r="A59" s="185" t="s">
        <v>56</v>
      </c>
      <c r="B59" s="190">
        <v>10507.8</v>
      </c>
      <c r="C59" s="191">
        <v>52500</v>
      </c>
      <c r="D59" s="191">
        <v>0</v>
      </c>
    </row>
    <row r="60" spans="1:4" ht="28.5">
      <c r="A60" s="185" t="s">
        <v>57</v>
      </c>
      <c r="B60" s="190">
        <v>4229.51</v>
      </c>
      <c r="C60" s="191">
        <v>60900</v>
      </c>
      <c r="D60" s="191">
        <v>0</v>
      </c>
    </row>
    <row r="61" spans="1:4" ht="28.5">
      <c r="A61" s="185" t="s">
        <v>58</v>
      </c>
      <c r="B61" s="190">
        <v>1451.03</v>
      </c>
      <c r="C61" s="191">
        <v>60900</v>
      </c>
      <c r="D61" s="191">
        <v>0</v>
      </c>
    </row>
    <row r="62" spans="1:4" ht="28.5">
      <c r="A62" s="185" t="s">
        <v>59</v>
      </c>
      <c r="B62" s="190">
        <v>6178</v>
      </c>
      <c r="C62" s="191">
        <v>21000</v>
      </c>
      <c r="D62" s="191">
        <v>0</v>
      </c>
    </row>
    <row r="63" spans="1:4" ht="28.5">
      <c r="A63" s="185" t="s">
        <v>60</v>
      </c>
      <c r="B63" s="190">
        <v>10507.8</v>
      </c>
      <c r="C63" s="191">
        <v>630</v>
      </c>
      <c r="D63" s="191">
        <v>0</v>
      </c>
    </row>
    <row r="64" spans="1:4" ht="28.5">
      <c r="A64" s="185" t="s">
        <v>61</v>
      </c>
      <c r="B64" s="190">
        <v>569356.28037549602</v>
      </c>
      <c r="C64" s="191">
        <v>630</v>
      </c>
      <c r="D64" s="191">
        <v>0</v>
      </c>
    </row>
    <row r="65" spans="1:4" ht="28.5">
      <c r="A65" s="185" t="s">
        <v>62</v>
      </c>
      <c r="B65" s="190">
        <v>1266</v>
      </c>
      <c r="C65" s="191">
        <v>0</v>
      </c>
      <c r="D65" s="191">
        <v>264500</v>
      </c>
    </row>
    <row r="66" spans="1:4" ht="28.5">
      <c r="A66" s="185" t="s">
        <v>63</v>
      </c>
      <c r="B66" s="190">
        <v>569356.28037549602</v>
      </c>
      <c r="C66" s="191">
        <v>2940</v>
      </c>
      <c r="D66" s="191">
        <v>0</v>
      </c>
    </row>
    <row r="67" spans="1:4" ht="30">
      <c r="A67" s="194" t="s">
        <v>64</v>
      </c>
      <c r="B67" s="190"/>
      <c r="C67" s="191">
        <v>0</v>
      </c>
      <c r="D67" s="191">
        <v>0</v>
      </c>
    </row>
    <row r="68" spans="1:4" ht="42.75">
      <c r="A68" s="185" t="s">
        <v>65</v>
      </c>
      <c r="B68" s="190">
        <v>0</v>
      </c>
      <c r="C68" s="191">
        <v>0</v>
      </c>
      <c r="D68" s="191">
        <v>0</v>
      </c>
    </row>
    <row r="69" spans="1:4" ht="28.5">
      <c r="A69" s="185" t="s">
        <v>66</v>
      </c>
      <c r="B69" s="190">
        <v>0</v>
      </c>
      <c r="C69" s="191">
        <v>0</v>
      </c>
      <c r="D69" s="191">
        <v>0</v>
      </c>
    </row>
    <row r="70" spans="1:4" ht="28.5">
      <c r="A70" s="185" t="s">
        <v>67</v>
      </c>
      <c r="B70" s="190">
        <v>0</v>
      </c>
      <c r="C70" s="191">
        <v>0</v>
      </c>
      <c r="D70" s="191">
        <v>0</v>
      </c>
    </row>
    <row r="71" spans="1:4" ht="28.5">
      <c r="A71" s="185" t="s">
        <v>68</v>
      </c>
      <c r="B71" s="190">
        <v>0</v>
      </c>
      <c r="C71" s="191">
        <v>0</v>
      </c>
      <c r="D71" s="191">
        <v>0</v>
      </c>
    </row>
    <row r="72" spans="1:4" ht="28.5">
      <c r="A72" s="185" t="s">
        <v>69</v>
      </c>
      <c r="B72" s="190">
        <v>0</v>
      </c>
      <c r="C72" s="191">
        <v>0</v>
      </c>
      <c r="D72" s="191">
        <v>0</v>
      </c>
    </row>
    <row r="73" spans="1:4" ht="30">
      <c r="A73" s="194" t="s">
        <v>70</v>
      </c>
      <c r="B73" s="190"/>
      <c r="C73" s="191">
        <v>0</v>
      </c>
      <c r="D73" s="191">
        <v>0</v>
      </c>
    </row>
    <row r="74" spans="1:4" ht="57">
      <c r="A74" s="185" t="s">
        <v>71</v>
      </c>
      <c r="B74" s="190">
        <v>16343.46</v>
      </c>
      <c r="C74" s="191">
        <v>248399.99999999997</v>
      </c>
      <c r="D74" s="191">
        <v>34500</v>
      </c>
    </row>
    <row r="75" spans="1:4" ht="71.25">
      <c r="A75" s="185" t="s">
        <v>72</v>
      </c>
      <c r="B75" s="190">
        <v>806.38199999999995</v>
      </c>
      <c r="C75" s="191">
        <v>206999.99999999997</v>
      </c>
      <c r="D75" s="191">
        <v>34500</v>
      </c>
    </row>
    <row r="76" spans="1:4" ht="71.25">
      <c r="A76" s="185" t="s">
        <v>73</v>
      </c>
      <c r="B76" s="190">
        <v>409.58800000000002</v>
      </c>
      <c r="C76" s="191">
        <v>195499.99999999997</v>
      </c>
      <c r="D76" s="191">
        <v>34500</v>
      </c>
    </row>
    <row r="77" spans="1:4" ht="28.5">
      <c r="A77" s="185" t="s">
        <v>74</v>
      </c>
      <c r="B77" s="190">
        <v>16343.46</v>
      </c>
      <c r="C77" s="191">
        <v>23000</v>
      </c>
      <c r="D77" s="191">
        <v>11500</v>
      </c>
    </row>
    <row r="78" spans="1:4" ht="28.5">
      <c r="A78" s="185" t="s">
        <v>75</v>
      </c>
      <c r="B78" s="190">
        <v>921.8</v>
      </c>
      <c r="C78" s="191">
        <v>110399.99999999999</v>
      </c>
      <c r="D78" s="191">
        <v>17250</v>
      </c>
    </row>
    <row r="79" spans="1:4" ht="28.5">
      <c r="A79" s="185" t="s">
        <v>76</v>
      </c>
      <c r="B79" s="190">
        <v>392.4</v>
      </c>
      <c r="C79" s="191">
        <v>1976115.3983999996</v>
      </c>
      <c r="D79" s="191">
        <v>28749.999999999996</v>
      </c>
    </row>
    <row r="80" spans="1:4" ht="28.5">
      <c r="A80" s="185" t="s">
        <v>77</v>
      </c>
      <c r="B80" s="190">
        <v>196.2</v>
      </c>
      <c r="C80" s="191">
        <v>1077881.1263999997</v>
      </c>
      <c r="D80" s="191">
        <v>23000</v>
      </c>
    </row>
    <row r="81" spans="1:4" ht="28.5">
      <c r="A81" s="185" t="s">
        <v>78</v>
      </c>
      <c r="B81" s="190">
        <v>24</v>
      </c>
      <c r="C81" s="191">
        <v>92000</v>
      </c>
      <c r="D81" s="191">
        <v>11500</v>
      </c>
    </row>
    <row r="82" spans="1:4" ht="28.5">
      <c r="A82" s="185" t="s">
        <v>79</v>
      </c>
      <c r="B82" s="190">
        <v>376.2</v>
      </c>
      <c r="C82" s="191">
        <v>297443.47499999998</v>
      </c>
      <c r="D82" s="191">
        <v>23000</v>
      </c>
    </row>
    <row r="83" spans="1:4" ht="28.5">
      <c r="A83" s="185" t="s">
        <v>80</v>
      </c>
      <c r="B83" s="190">
        <v>1</v>
      </c>
      <c r="C83" s="191">
        <v>0</v>
      </c>
      <c r="D83" s="191">
        <v>57499999.999999993</v>
      </c>
    </row>
    <row r="84" spans="1:4" ht="28.5">
      <c r="A84" s="185" t="s">
        <v>81</v>
      </c>
      <c r="B84" s="190">
        <v>17559.43</v>
      </c>
      <c r="C84" s="191">
        <v>0</v>
      </c>
      <c r="D84" s="191">
        <v>40250</v>
      </c>
    </row>
    <row r="85" spans="1:4" ht="42.75">
      <c r="A85" s="185" t="s">
        <v>82</v>
      </c>
      <c r="B85" s="190">
        <v>4478.6000000000004</v>
      </c>
      <c r="C85" s="191">
        <v>0</v>
      </c>
      <c r="D85" s="191">
        <v>23000</v>
      </c>
    </row>
    <row r="86" spans="1:4" ht="28.5">
      <c r="A86" s="185" t="s">
        <v>83</v>
      </c>
      <c r="B86" s="190">
        <v>1</v>
      </c>
      <c r="C86" s="191">
        <v>145942235.10876715</v>
      </c>
      <c r="D86" s="191">
        <v>0</v>
      </c>
    </row>
    <row r="87" spans="1:4" ht="30">
      <c r="A87" s="194" t="s">
        <v>84</v>
      </c>
      <c r="B87" s="190"/>
      <c r="C87" s="191">
        <v>0</v>
      </c>
      <c r="D87" s="191">
        <v>0</v>
      </c>
    </row>
    <row r="88" spans="1:4" ht="42.75">
      <c r="A88" s="185" t="s">
        <v>85</v>
      </c>
      <c r="B88" s="190">
        <v>17.995000000000001</v>
      </c>
      <c r="C88" s="191">
        <v>5175000</v>
      </c>
      <c r="D88" s="191">
        <v>0</v>
      </c>
    </row>
    <row r="89" spans="1:4" ht="42.75">
      <c r="A89" s="185" t="s">
        <v>86</v>
      </c>
      <c r="B89" s="190">
        <v>0</v>
      </c>
      <c r="C89" s="191">
        <v>0</v>
      </c>
      <c r="D89" s="191">
        <v>0</v>
      </c>
    </row>
    <row r="90" spans="1:4" ht="42.75">
      <c r="A90" s="185" t="s">
        <v>87</v>
      </c>
      <c r="B90" s="190">
        <v>0</v>
      </c>
      <c r="C90" s="191">
        <v>0</v>
      </c>
      <c r="D90" s="191">
        <v>0</v>
      </c>
    </row>
    <row r="91" spans="1:4" ht="28.5">
      <c r="A91" s="185" t="s">
        <v>88</v>
      </c>
      <c r="B91" s="190">
        <v>0</v>
      </c>
      <c r="C91" s="191">
        <v>0</v>
      </c>
      <c r="D91" s="191">
        <v>0</v>
      </c>
    </row>
    <row r="92" spans="1:4" ht="28.5">
      <c r="A92" s="185" t="s">
        <v>89</v>
      </c>
      <c r="B92" s="190">
        <v>15597.9</v>
      </c>
      <c r="C92" s="191">
        <v>17250</v>
      </c>
      <c r="D92" s="191">
        <v>5750</v>
      </c>
    </row>
    <row r="93" spans="1:4" ht="42.75">
      <c r="A93" s="185" t="s">
        <v>90</v>
      </c>
      <c r="B93" s="190">
        <v>8807.9239560000005</v>
      </c>
      <c r="C93" s="191">
        <v>0</v>
      </c>
      <c r="D93" s="191">
        <v>0</v>
      </c>
    </row>
    <row r="94" spans="1:4" ht="28.5">
      <c r="A94" s="185" t="s">
        <v>91</v>
      </c>
      <c r="B94" s="190">
        <v>1</v>
      </c>
      <c r="C94" s="191">
        <v>0</v>
      </c>
      <c r="D94" s="191">
        <v>0</v>
      </c>
    </row>
    <row r="95" spans="1:4" ht="42.75">
      <c r="A95" s="185" t="s">
        <v>92</v>
      </c>
      <c r="B95" s="190">
        <v>8807.9239560000005</v>
      </c>
      <c r="C95" s="191">
        <v>16099.999999999998</v>
      </c>
      <c r="D95" s="191">
        <v>3449.9999999999995</v>
      </c>
    </row>
    <row r="96" spans="1:4" ht="30">
      <c r="A96" s="194" t="s">
        <v>93</v>
      </c>
      <c r="B96" s="190"/>
      <c r="C96" s="191">
        <v>0</v>
      </c>
      <c r="D96" s="191">
        <v>0</v>
      </c>
    </row>
    <row r="97" spans="1:4" ht="30">
      <c r="A97" s="194" t="s">
        <v>94</v>
      </c>
      <c r="B97" s="190"/>
      <c r="C97" s="191">
        <v>0</v>
      </c>
      <c r="D97" s="191">
        <v>0</v>
      </c>
    </row>
    <row r="98" spans="1:4" ht="28.5">
      <c r="A98" s="185" t="s">
        <v>95</v>
      </c>
      <c r="B98" s="190">
        <v>1211.4469999999999</v>
      </c>
      <c r="C98" s="191">
        <v>1587600.0077618286</v>
      </c>
      <c r="D98" s="191">
        <v>1086539.80861244</v>
      </c>
    </row>
    <row r="99" spans="1:4" ht="28.5">
      <c r="A99" s="185" t="s">
        <v>96</v>
      </c>
      <c r="B99" s="190">
        <v>7.3869999999999996</v>
      </c>
      <c r="C99" s="191">
        <v>1368500</v>
      </c>
      <c r="D99" s="191">
        <v>948749.99999999988</v>
      </c>
    </row>
    <row r="100" spans="1:4" ht="28.5">
      <c r="A100" s="185" t="s">
        <v>97</v>
      </c>
      <c r="B100" s="190">
        <v>0</v>
      </c>
      <c r="C100" s="191">
        <v>229999.99999999997</v>
      </c>
      <c r="D100" s="191">
        <v>46000</v>
      </c>
    </row>
    <row r="101" spans="1:4" ht="57">
      <c r="A101" s="185" t="s">
        <v>98</v>
      </c>
      <c r="B101" s="190">
        <v>154.09800000000001</v>
      </c>
      <c r="C101" s="191">
        <v>0</v>
      </c>
      <c r="D101" s="191">
        <v>0</v>
      </c>
    </row>
    <row r="102" spans="1:4" ht="57">
      <c r="A102" s="185" t="s">
        <v>99</v>
      </c>
      <c r="B102" s="190">
        <v>0</v>
      </c>
      <c r="C102" s="191">
        <v>931499.99999999988</v>
      </c>
      <c r="D102" s="191">
        <v>114999.99999999999</v>
      </c>
    </row>
    <row r="103" spans="1:4" ht="28.5">
      <c r="A103" s="185" t="s">
        <v>100</v>
      </c>
      <c r="B103" s="190">
        <v>819.84100000000001</v>
      </c>
      <c r="C103" s="191">
        <v>1586790</v>
      </c>
      <c r="D103" s="191">
        <v>372210</v>
      </c>
    </row>
    <row r="104" spans="1:4" ht="57">
      <c r="A104" s="185" t="s">
        <v>101</v>
      </c>
      <c r="B104" s="190">
        <v>49.64</v>
      </c>
      <c r="C104" s="191">
        <v>1121250</v>
      </c>
      <c r="D104" s="191">
        <v>114999.99999999999</v>
      </c>
    </row>
    <row r="105" spans="1:4" ht="28.5">
      <c r="A105" s="185" t="s">
        <v>102</v>
      </c>
      <c r="B105" s="190">
        <v>0</v>
      </c>
      <c r="C105" s="191">
        <v>0</v>
      </c>
      <c r="D105" s="191">
        <v>0</v>
      </c>
    </row>
    <row r="106" spans="1:4" ht="28.5">
      <c r="A106" s="185" t="s">
        <v>103</v>
      </c>
      <c r="B106" s="190">
        <v>0</v>
      </c>
      <c r="C106" s="191">
        <v>0</v>
      </c>
      <c r="D106" s="191">
        <v>0</v>
      </c>
    </row>
    <row r="107" spans="1:4" ht="28.5">
      <c r="A107" s="185" t="s">
        <v>104</v>
      </c>
      <c r="B107" s="190">
        <v>6547.38</v>
      </c>
      <c r="C107" s="191">
        <v>46000</v>
      </c>
      <c r="D107" s="191">
        <v>34500</v>
      </c>
    </row>
    <row r="108" spans="1:4" ht="28.5">
      <c r="A108" s="185" t="s">
        <v>105</v>
      </c>
      <c r="B108" s="190">
        <v>5383.1989999999996</v>
      </c>
      <c r="C108" s="191">
        <v>26565.000000000004</v>
      </c>
      <c r="D108" s="191">
        <v>132250</v>
      </c>
    </row>
    <row r="109" spans="1:4" ht="28.5">
      <c r="A109" s="185" t="s">
        <v>106</v>
      </c>
      <c r="B109" s="190">
        <v>7519.3419999999996</v>
      </c>
      <c r="C109" s="191">
        <v>26565.000000000004</v>
      </c>
      <c r="D109" s="191">
        <v>117299.99999999999</v>
      </c>
    </row>
    <row r="110" spans="1:4" ht="42.75">
      <c r="A110" s="185" t="s">
        <v>107</v>
      </c>
      <c r="B110" s="190">
        <v>151.125</v>
      </c>
      <c r="C110" s="191">
        <v>218499.99999999997</v>
      </c>
      <c r="D110" s="191">
        <v>138000</v>
      </c>
    </row>
    <row r="111" spans="1:4" ht="28.5">
      <c r="A111" s="185" t="s">
        <v>108</v>
      </c>
      <c r="B111" s="190">
        <v>5383.1989999999996</v>
      </c>
      <c r="C111" s="191">
        <v>51749.999999999993</v>
      </c>
      <c r="D111" s="191">
        <v>34500</v>
      </c>
    </row>
    <row r="112" spans="1:4" ht="28.5">
      <c r="A112" s="185" t="s">
        <v>109</v>
      </c>
      <c r="B112" s="190">
        <v>7304.674</v>
      </c>
      <c r="C112" s="191">
        <v>46000</v>
      </c>
      <c r="D112" s="191">
        <v>19550</v>
      </c>
    </row>
    <row r="113" spans="1:4" ht="42.75">
      <c r="A113" s="185" t="s">
        <v>110</v>
      </c>
      <c r="B113" s="190">
        <v>63.542999999999999</v>
      </c>
      <c r="C113" s="191">
        <v>51749.999999999993</v>
      </c>
      <c r="D113" s="191">
        <v>17250</v>
      </c>
    </row>
    <row r="114" spans="1:4" ht="28.5">
      <c r="A114" s="185" t="s">
        <v>111</v>
      </c>
      <c r="B114" s="190">
        <v>0</v>
      </c>
      <c r="C114" s="191">
        <v>172500</v>
      </c>
      <c r="D114" s="191">
        <v>28749.999999999996</v>
      </c>
    </row>
    <row r="115" spans="1:4" ht="28.5">
      <c r="A115" s="185" t="s">
        <v>112</v>
      </c>
      <c r="B115" s="190">
        <v>403.2</v>
      </c>
      <c r="C115" s="191">
        <v>163300</v>
      </c>
      <c r="D115" s="191">
        <v>51749.999999999993</v>
      </c>
    </row>
    <row r="116" spans="1:4" ht="30">
      <c r="A116" s="194" t="s">
        <v>113</v>
      </c>
      <c r="B116" s="190"/>
      <c r="C116" s="191">
        <v>0</v>
      </c>
      <c r="D116" s="191">
        <v>0</v>
      </c>
    </row>
    <row r="117" spans="1:4" ht="57">
      <c r="A117" s="185" t="s">
        <v>114</v>
      </c>
      <c r="B117" s="190">
        <v>52.56</v>
      </c>
      <c r="C117" s="191">
        <v>206999.99999999997</v>
      </c>
      <c r="D117" s="191">
        <v>126499.99999999999</v>
      </c>
    </row>
    <row r="118" spans="1:4" ht="57">
      <c r="A118" s="185" t="s">
        <v>115</v>
      </c>
      <c r="B118" s="190">
        <v>15891.347</v>
      </c>
      <c r="C118" s="191">
        <v>28749.999999999996</v>
      </c>
      <c r="D118" s="191">
        <v>49449.999999999993</v>
      </c>
    </row>
    <row r="119" spans="1:4" ht="57">
      <c r="A119" s="185" t="s">
        <v>116</v>
      </c>
      <c r="B119" s="190">
        <v>0</v>
      </c>
      <c r="C119" s="191">
        <v>0</v>
      </c>
      <c r="D119" s="191">
        <v>0</v>
      </c>
    </row>
    <row r="120" spans="1:4" ht="57">
      <c r="A120" s="185" t="s">
        <v>117</v>
      </c>
      <c r="B120" s="190">
        <v>0</v>
      </c>
      <c r="C120" s="191">
        <v>0</v>
      </c>
      <c r="D120" s="191">
        <v>0</v>
      </c>
    </row>
    <row r="121" spans="1:4" ht="42.75">
      <c r="A121" s="185" t="s">
        <v>118</v>
      </c>
      <c r="B121" s="190">
        <v>0</v>
      </c>
      <c r="C121" s="191">
        <v>0</v>
      </c>
      <c r="D121" s="191">
        <v>0</v>
      </c>
    </row>
    <row r="122" spans="1:4" ht="30">
      <c r="A122" s="194" t="s">
        <v>119</v>
      </c>
      <c r="B122" s="190"/>
      <c r="C122" s="191">
        <v>0</v>
      </c>
      <c r="D122" s="191">
        <v>0</v>
      </c>
    </row>
    <row r="123" spans="1:4" ht="28.5">
      <c r="A123" s="185" t="s">
        <v>120</v>
      </c>
      <c r="B123" s="190">
        <v>433.21899999999999</v>
      </c>
      <c r="C123" s="191">
        <v>28749.999999999996</v>
      </c>
      <c r="D123" s="191">
        <v>0</v>
      </c>
    </row>
    <row r="124" spans="1:4" ht="28.5">
      <c r="A124" s="185" t="s">
        <v>121</v>
      </c>
      <c r="B124" s="190">
        <v>381.49200000000002</v>
      </c>
      <c r="C124" s="191">
        <v>0</v>
      </c>
      <c r="D124" s="191">
        <v>0</v>
      </c>
    </row>
    <row r="125" spans="1:4" ht="42.75">
      <c r="A125" s="185" t="s">
        <v>122</v>
      </c>
      <c r="B125" s="190">
        <v>51.726999999999997</v>
      </c>
      <c r="C125" s="191">
        <v>51749.999999999993</v>
      </c>
      <c r="D125" s="191">
        <v>23000</v>
      </c>
    </row>
    <row r="126" spans="1:4" ht="28.5">
      <c r="A126" s="185" t="s">
        <v>123</v>
      </c>
      <c r="B126" s="190">
        <v>0</v>
      </c>
      <c r="C126" s="191">
        <v>172500</v>
      </c>
      <c r="D126" s="191">
        <v>34500</v>
      </c>
    </row>
    <row r="127" spans="1:4" ht="57">
      <c r="A127" s="185" t="s">
        <v>124</v>
      </c>
      <c r="B127" s="190">
        <v>0</v>
      </c>
      <c r="C127" s="191">
        <v>1069500</v>
      </c>
      <c r="D127" s="191">
        <v>172500</v>
      </c>
    </row>
    <row r="128" spans="1:4" ht="57">
      <c r="A128" s="185" t="s">
        <v>125</v>
      </c>
      <c r="B128" s="190">
        <v>0</v>
      </c>
      <c r="C128" s="191">
        <v>965999.99999999988</v>
      </c>
      <c r="D128" s="191">
        <v>138000</v>
      </c>
    </row>
    <row r="129" spans="1:4" ht="28.5">
      <c r="A129" s="185" t="s">
        <v>126</v>
      </c>
      <c r="B129" s="190">
        <v>213.94300000000001</v>
      </c>
      <c r="C129" s="191">
        <v>0</v>
      </c>
      <c r="D129" s="191">
        <v>0</v>
      </c>
    </row>
    <row r="130" spans="1:4" ht="30">
      <c r="A130" s="194" t="s">
        <v>127</v>
      </c>
      <c r="B130" s="190">
        <v>0</v>
      </c>
      <c r="C130" s="191">
        <v>0</v>
      </c>
      <c r="D130" s="191">
        <v>0</v>
      </c>
    </row>
    <row r="131" spans="1:4" ht="30">
      <c r="A131" s="194" t="s">
        <v>128</v>
      </c>
      <c r="B131" s="190"/>
      <c r="C131" s="191">
        <v>0</v>
      </c>
      <c r="D131" s="191">
        <v>0</v>
      </c>
    </row>
    <row r="132" spans="1:4" ht="57">
      <c r="A132" s="185" t="s">
        <v>129</v>
      </c>
      <c r="B132" s="190">
        <v>1</v>
      </c>
      <c r="C132" s="191">
        <v>4269375</v>
      </c>
      <c r="D132" s="191">
        <v>284625</v>
      </c>
    </row>
    <row r="133" spans="1:4" ht="85.5">
      <c r="A133" s="185" t="s">
        <v>130</v>
      </c>
      <c r="B133" s="190">
        <v>5</v>
      </c>
      <c r="C133" s="191">
        <v>3104999.9999999995</v>
      </c>
      <c r="D133" s="191">
        <v>206999.99999999997</v>
      </c>
    </row>
    <row r="134" spans="1:4" ht="85.5">
      <c r="A134" s="185" t="s">
        <v>131</v>
      </c>
      <c r="B134" s="190">
        <v>88</v>
      </c>
      <c r="C134" s="191">
        <v>5037000</v>
      </c>
      <c r="D134" s="191">
        <v>206999.99999999997</v>
      </c>
    </row>
    <row r="135" spans="1:4" ht="57">
      <c r="A135" s="185" t="s">
        <v>132</v>
      </c>
      <c r="B135" s="190">
        <v>1</v>
      </c>
      <c r="C135" s="191">
        <v>7115624.9999999991</v>
      </c>
      <c r="D135" s="191">
        <v>474374.99999999994</v>
      </c>
    </row>
    <row r="136" spans="1:4" ht="57">
      <c r="A136" s="185" t="s">
        <v>133</v>
      </c>
      <c r="B136" s="190">
        <v>5</v>
      </c>
      <c r="C136" s="191">
        <v>8538750</v>
      </c>
      <c r="D136" s="191">
        <v>569250</v>
      </c>
    </row>
    <row r="137" spans="1:4" ht="57">
      <c r="A137" s="189" t="s">
        <v>134</v>
      </c>
      <c r="B137" s="190">
        <v>2</v>
      </c>
      <c r="C137" s="191">
        <v>7920000</v>
      </c>
      <c r="D137" s="191">
        <v>3080000</v>
      </c>
    </row>
    <row r="138" spans="1:4" ht="85.5">
      <c r="A138" s="185" t="s">
        <v>135</v>
      </c>
      <c r="B138" s="190">
        <v>3</v>
      </c>
      <c r="C138" s="191">
        <v>33119999.999999996</v>
      </c>
      <c r="D138" s="191">
        <v>345000</v>
      </c>
    </row>
    <row r="139" spans="1:4" ht="57">
      <c r="A139" s="185" t="s">
        <v>136</v>
      </c>
      <c r="B139" s="190">
        <v>11</v>
      </c>
      <c r="C139" s="191">
        <v>15240960</v>
      </c>
      <c r="D139" s="191">
        <v>5927040.0000000009</v>
      </c>
    </row>
    <row r="140" spans="1:4" ht="57">
      <c r="A140" s="185" t="s">
        <v>137</v>
      </c>
      <c r="B140" s="190"/>
      <c r="C140" s="191">
        <v>8112500</v>
      </c>
      <c r="D140" s="191">
        <v>660000</v>
      </c>
    </row>
    <row r="141" spans="1:4" ht="57">
      <c r="A141" s="185" t="s">
        <v>138</v>
      </c>
      <c r="B141" s="190">
        <v>1</v>
      </c>
      <c r="C141" s="191">
        <v>13584374.999999998</v>
      </c>
      <c r="D141" s="191">
        <v>664125</v>
      </c>
    </row>
    <row r="142" spans="1:4" ht="57">
      <c r="A142" s="185" t="s">
        <v>139</v>
      </c>
      <c r="B142" s="190">
        <v>5</v>
      </c>
      <c r="C142" s="191">
        <v>19923750</v>
      </c>
      <c r="D142" s="191">
        <v>2716875</v>
      </c>
    </row>
    <row r="143" spans="1:4" ht="57">
      <c r="A143" s="185" t="s">
        <v>140</v>
      </c>
      <c r="B143" s="190">
        <v>3</v>
      </c>
      <c r="C143" s="191">
        <v>27168749.999999996</v>
      </c>
      <c r="D143" s="191">
        <v>2716875</v>
      </c>
    </row>
    <row r="144" spans="1:4" ht="42.75">
      <c r="A144" s="185" t="s">
        <v>141</v>
      </c>
      <c r="B144" s="190">
        <v>6</v>
      </c>
      <c r="C144" s="191">
        <v>3888000</v>
      </c>
      <c r="D144" s="191">
        <v>1512000</v>
      </c>
    </row>
    <row r="145" spans="1:4" ht="42.75">
      <c r="A145" s="185" t="s">
        <v>142</v>
      </c>
      <c r="B145" s="190">
        <v>6</v>
      </c>
      <c r="C145" s="191">
        <v>3888000</v>
      </c>
      <c r="D145" s="191">
        <v>1512000</v>
      </c>
    </row>
    <row r="146" spans="1:4" ht="30">
      <c r="A146" s="194" t="s">
        <v>143</v>
      </c>
      <c r="B146" s="190"/>
      <c r="C146" s="191">
        <v>0</v>
      </c>
      <c r="D146" s="191">
        <v>0</v>
      </c>
    </row>
    <row r="147" spans="1:4" ht="57">
      <c r="A147" s="185" t="s">
        <v>144</v>
      </c>
      <c r="B147" s="190">
        <v>884.32</v>
      </c>
      <c r="C147" s="191">
        <v>161000</v>
      </c>
      <c r="D147" s="191">
        <v>34500</v>
      </c>
    </row>
    <row r="148" spans="1:4" ht="42.75">
      <c r="A148" s="185" t="s">
        <v>145</v>
      </c>
      <c r="B148" s="190">
        <v>42.976999999999997</v>
      </c>
      <c r="C148" s="191">
        <v>517499.99999999994</v>
      </c>
      <c r="D148" s="191">
        <v>57499.999999999993</v>
      </c>
    </row>
    <row r="149" spans="1:4" ht="42.75">
      <c r="A149" s="185" t="s">
        <v>146</v>
      </c>
      <c r="B149" s="190">
        <v>42.976999999999997</v>
      </c>
      <c r="C149" s="191">
        <v>632500</v>
      </c>
      <c r="D149" s="191">
        <v>57499.999999999993</v>
      </c>
    </row>
    <row r="150" spans="1:4" ht="28.5">
      <c r="A150" s="185" t="s">
        <v>147</v>
      </c>
      <c r="B150" s="190"/>
      <c r="C150" s="191">
        <v>0</v>
      </c>
      <c r="D150" s="191">
        <v>0</v>
      </c>
    </row>
    <row r="151" spans="1:4" ht="57">
      <c r="A151" s="185" t="s">
        <v>148</v>
      </c>
      <c r="B151" s="190">
        <v>126.02800000000001</v>
      </c>
      <c r="C151" s="191">
        <v>155000</v>
      </c>
      <c r="D151" s="191">
        <v>45000</v>
      </c>
    </row>
    <row r="152" spans="1:4" ht="28.5">
      <c r="A152" s="185" t="s">
        <v>149</v>
      </c>
      <c r="B152" s="190">
        <v>348.85599999999999</v>
      </c>
      <c r="C152" s="191">
        <v>310500</v>
      </c>
      <c r="D152" s="191">
        <v>34500</v>
      </c>
    </row>
    <row r="153" spans="1:4" ht="71.25">
      <c r="A153" s="185" t="s">
        <v>150</v>
      </c>
      <c r="B153" s="190">
        <v>348.85599999999999</v>
      </c>
      <c r="C153" s="191">
        <v>287500</v>
      </c>
      <c r="D153" s="191">
        <v>69000</v>
      </c>
    </row>
    <row r="154" spans="1:4" ht="57">
      <c r="A154" s="185" t="s">
        <v>151</v>
      </c>
      <c r="B154" s="190">
        <v>348.85599999999999</v>
      </c>
      <c r="C154" s="191">
        <v>23000</v>
      </c>
      <c r="D154" s="191">
        <v>126499.99999999999</v>
      </c>
    </row>
    <row r="155" spans="1:4" ht="28.5">
      <c r="A155" s="185" t="s">
        <v>152</v>
      </c>
      <c r="B155" s="190">
        <v>84.144999999999996</v>
      </c>
      <c r="C155" s="191">
        <v>155250</v>
      </c>
      <c r="D155" s="191">
        <v>57499.999999999993</v>
      </c>
    </row>
    <row r="156" spans="1:4" ht="28.5">
      <c r="A156" s="185" t="s">
        <v>153</v>
      </c>
      <c r="B156" s="190">
        <v>2.78</v>
      </c>
      <c r="C156" s="191">
        <v>4024999.9999999995</v>
      </c>
      <c r="D156" s="191">
        <v>1380000</v>
      </c>
    </row>
    <row r="157" spans="1:4" ht="42.75">
      <c r="A157" s="185" t="s">
        <v>154</v>
      </c>
      <c r="B157" s="190">
        <v>3</v>
      </c>
      <c r="C157" s="191">
        <v>359375</v>
      </c>
      <c r="D157" s="191">
        <v>71875</v>
      </c>
    </row>
    <row r="158" spans="1:4" ht="28.5">
      <c r="A158" s="185" t="s">
        <v>155</v>
      </c>
      <c r="B158" s="190">
        <v>2.78</v>
      </c>
      <c r="C158" s="191">
        <v>1954999.9999999998</v>
      </c>
      <c r="D158" s="191">
        <v>114999.99999999999</v>
      </c>
    </row>
    <row r="159" spans="1:4" ht="57">
      <c r="A159" s="185" t="s">
        <v>156</v>
      </c>
      <c r="B159" s="190"/>
      <c r="C159" s="191">
        <v>1724999.9999999998</v>
      </c>
      <c r="D159" s="191">
        <v>287500</v>
      </c>
    </row>
    <row r="160" spans="1:4" ht="28.5">
      <c r="A160" s="185" t="s">
        <v>157</v>
      </c>
      <c r="B160" s="190"/>
      <c r="C160" s="191">
        <v>632500</v>
      </c>
      <c r="D160" s="191">
        <v>57499.999999999993</v>
      </c>
    </row>
    <row r="161" spans="1:4" ht="28.5">
      <c r="A161" s="185" t="s">
        <v>158</v>
      </c>
      <c r="B161" s="190">
        <v>11</v>
      </c>
      <c r="C161" s="191">
        <v>68400000</v>
      </c>
      <c r="D161" s="191">
        <v>26600000</v>
      </c>
    </row>
    <row r="162" spans="1:4" ht="28.5">
      <c r="A162" s="185" t="s">
        <v>159</v>
      </c>
      <c r="B162" s="190">
        <v>11</v>
      </c>
      <c r="C162" s="191">
        <v>25200000</v>
      </c>
      <c r="D162" s="191">
        <v>9800000.0000000019</v>
      </c>
    </row>
    <row r="163" spans="1:4" ht="28.5">
      <c r="A163" s="185" t="s">
        <v>160</v>
      </c>
      <c r="B163" s="190">
        <v>22</v>
      </c>
      <c r="C163" s="191">
        <v>1440000</v>
      </c>
      <c r="D163" s="191">
        <v>560000</v>
      </c>
    </row>
    <row r="164" spans="1:4" ht="28.5">
      <c r="A164" s="185" t="s">
        <v>161</v>
      </c>
      <c r="B164" s="190"/>
      <c r="C164" s="191">
        <v>149500</v>
      </c>
      <c r="D164" s="191">
        <v>34500</v>
      </c>
    </row>
    <row r="165" spans="1:4" ht="42.75">
      <c r="A165" s="185" t="s">
        <v>162</v>
      </c>
      <c r="B165" s="190">
        <v>22</v>
      </c>
      <c r="C165" s="191">
        <v>252000</v>
      </c>
      <c r="D165" s="191">
        <v>98000</v>
      </c>
    </row>
    <row r="166" spans="1:4" ht="30">
      <c r="A166" s="194" t="s">
        <v>163</v>
      </c>
      <c r="B166" s="190"/>
      <c r="C166" s="191">
        <v>0</v>
      </c>
      <c r="D166" s="191">
        <v>0</v>
      </c>
    </row>
    <row r="167" spans="1:4" ht="85.5">
      <c r="A167" s="185" t="s">
        <v>164</v>
      </c>
      <c r="B167" s="190">
        <v>2</v>
      </c>
      <c r="C167" s="191">
        <v>6209999.9999999991</v>
      </c>
      <c r="D167" s="191">
        <v>413999.99999999994</v>
      </c>
    </row>
    <row r="168" spans="1:4" ht="57">
      <c r="A168" s="185" t="s">
        <v>165</v>
      </c>
      <c r="B168" s="190">
        <v>1</v>
      </c>
      <c r="C168" s="191">
        <v>7560099.9999999991</v>
      </c>
      <c r="D168" s="191">
        <v>2940550</v>
      </c>
    </row>
    <row r="169" spans="1:4" ht="42.75">
      <c r="A169" s="185" t="s">
        <v>166</v>
      </c>
      <c r="B169" s="190">
        <v>1</v>
      </c>
      <c r="C169" s="191">
        <v>5692500</v>
      </c>
      <c r="D169" s="191">
        <v>569250</v>
      </c>
    </row>
    <row r="170" spans="1:4" ht="57">
      <c r="A170" s="185" t="s">
        <v>167</v>
      </c>
      <c r="B170" s="190">
        <v>0</v>
      </c>
      <c r="C170" s="191">
        <v>0</v>
      </c>
      <c r="D170" s="191">
        <v>0</v>
      </c>
    </row>
    <row r="171" spans="1:4" ht="57">
      <c r="A171" s="185" t="s">
        <v>168</v>
      </c>
      <c r="B171" s="190">
        <v>0</v>
      </c>
      <c r="C171" s="191">
        <v>0</v>
      </c>
      <c r="D171" s="191">
        <v>0</v>
      </c>
    </row>
    <row r="172" spans="1:4">
      <c r="A172" s="185" t="s">
        <v>169</v>
      </c>
      <c r="B172" s="190"/>
      <c r="C172" s="191">
        <v>0</v>
      </c>
      <c r="D172" s="191">
        <v>0</v>
      </c>
    </row>
    <row r="173" spans="1:4">
      <c r="A173" s="185" t="s">
        <v>170</v>
      </c>
      <c r="B173" s="190"/>
      <c r="C173" s="191">
        <v>626750</v>
      </c>
      <c r="D173" s="191">
        <v>221949.99999999997</v>
      </c>
    </row>
    <row r="174" spans="1:4" ht="28.5">
      <c r="A174" s="185" t="s">
        <v>171</v>
      </c>
      <c r="B174" s="190"/>
      <c r="C174" s="191">
        <v>0</v>
      </c>
      <c r="D174" s="191">
        <v>0</v>
      </c>
    </row>
    <row r="175" spans="1:4" ht="28.5">
      <c r="A175" s="185" t="s">
        <v>172</v>
      </c>
      <c r="B175" s="190">
        <v>1253.423</v>
      </c>
      <c r="C175" s="191">
        <v>755549.99999999988</v>
      </c>
      <c r="D175" s="191">
        <v>294400</v>
      </c>
    </row>
    <row r="176" spans="1:4" ht="57">
      <c r="A176" s="185" t="s">
        <v>173</v>
      </c>
      <c r="B176" s="190">
        <v>68</v>
      </c>
      <c r="C176" s="191">
        <v>2665125</v>
      </c>
      <c r="D176" s="191">
        <v>177675</v>
      </c>
    </row>
    <row r="177" spans="1:4" ht="71.25">
      <c r="A177" s="185" t="s">
        <v>174</v>
      </c>
      <c r="B177" s="190">
        <v>6</v>
      </c>
      <c r="C177" s="191">
        <v>3095799.9999999995</v>
      </c>
      <c r="D177" s="191">
        <v>1204050</v>
      </c>
    </row>
    <row r="178" spans="1:4" ht="42.75">
      <c r="A178" s="185" t="s">
        <v>175</v>
      </c>
      <c r="B178" s="190">
        <v>6</v>
      </c>
      <c r="C178" s="191">
        <v>5544150</v>
      </c>
      <c r="D178" s="191">
        <v>2156250</v>
      </c>
    </row>
    <row r="179" spans="1:4" ht="42.75">
      <c r="A179" s="185" t="s">
        <v>176</v>
      </c>
      <c r="B179" s="190">
        <v>11</v>
      </c>
      <c r="C179" s="191">
        <v>8315649.9999999991</v>
      </c>
      <c r="D179" s="191">
        <v>3233799.9999999995</v>
      </c>
    </row>
    <row r="180" spans="1:4" ht="85.5">
      <c r="A180" s="185" t="s">
        <v>177</v>
      </c>
      <c r="B180" s="190">
        <v>6</v>
      </c>
      <c r="C180" s="191">
        <v>5292300</v>
      </c>
      <c r="D180" s="191">
        <v>2058499.9999999998</v>
      </c>
    </row>
    <row r="181" spans="1:4" ht="85.5">
      <c r="A181" s="185" t="s">
        <v>178</v>
      </c>
      <c r="B181" s="190">
        <v>10</v>
      </c>
      <c r="C181" s="191">
        <v>23760150</v>
      </c>
      <c r="D181" s="191">
        <v>9240250</v>
      </c>
    </row>
    <row r="182" spans="1:4" ht="85.5">
      <c r="A182" s="185" t="s">
        <v>179</v>
      </c>
      <c r="B182" s="190">
        <v>2</v>
      </c>
      <c r="C182" s="191">
        <v>29699899.999999996</v>
      </c>
      <c r="D182" s="191">
        <v>11549450</v>
      </c>
    </row>
    <row r="183" spans="1:4" ht="42.75">
      <c r="A183" s="185" t="s">
        <v>180</v>
      </c>
      <c r="B183" s="190">
        <v>1</v>
      </c>
      <c r="C183" s="191">
        <v>2613950</v>
      </c>
      <c r="D183" s="191">
        <v>1016599.9999999999</v>
      </c>
    </row>
    <row r="184" spans="1:4" ht="85.5">
      <c r="A184" s="185" t="s">
        <v>181</v>
      </c>
      <c r="B184" s="190">
        <v>4</v>
      </c>
      <c r="C184" s="191">
        <v>6781549.9999999991</v>
      </c>
      <c r="D184" s="191">
        <v>2636950</v>
      </c>
    </row>
    <row r="185" spans="1:4" ht="85.5">
      <c r="A185" s="185" t="s">
        <v>182</v>
      </c>
      <c r="B185" s="190">
        <v>4</v>
      </c>
      <c r="C185" s="191">
        <v>6458399.9999999991</v>
      </c>
      <c r="D185" s="191">
        <v>2511600</v>
      </c>
    </row>
    <row r="186" spans="1:4" ht="85.5">
      <c r="A186" s="185" t="s">
        <v>183</v>
      </c>
      <c r="B186" s="190">
        <v>2</v>
      </c>
      <c r="C186" s="191">
        <v>6458399.9999999991</v>
      </c>
      <c r="D186" s="191">
        <v>2511600</v>
      </c>
    </row>
    <row r="187" spans="1:4" ht="57">
      <c r="A187" s="185" t="s">
        <v>184</v>
      </c>
      <c r="B187" s="190">
        <v>1</v>
      </c>
      <c r="C187" s="191">
        <v>14741849.999999998</v>
      </c>
      <c r="D187" s="191">
        <v>5732750</v>
      </c>
    </row>
    <row r="188" spans="1:4" ht="71.25">
      <c r="A188" s="185" t="s">
        <v>185</v>
      </c>
      <c r="B188" s="190">
        <v>2</v>
      </c>
      <c r="C188" s="191">
        <v>50346999.999999993</v>
      </c>
      <c r="D188" s="191">
        <v>19579900</v>
      </c>
    </row>
    <row r="189" spans="1:4" ht="71.25">
      <c r="A189" s="185" t="s">
        <v>186</v>
      </c>
      <c r="B189" s="190">
        <v>4</v>
      </c>
      <c r="C189" s="191">
        <v>36012250</v>
      </c>
      <c r="D189" s="191">
        <v>14004699.999999998</v>
      </c>
    </row>
    <row r="190" spans="1:4" ht="28.5">
      <c r="A190" s="185" t="s">
        <v>187</v>
      </c>
      <c r="B190" s="190"/>
      <c r="C190" s="191">
        <v>0</v>
      </c>
      <c r="D190" s="191">
        <v>0</v>
      </c>
    </row>
    <row r="191" spans="1:4" ht="57">
      <c r="A191" s="185" t="s">
        <v>188</v>
      </c>
      <c r="B191" s="190">
        <v>25</v>
      </c>
      <c r="C191" s="191">
        <v>5123250</v>
      </c>
      <c r="D191" s="191">
        <v>341550.00000000006</v>
      </c>
    </row>
    <row r="192" spans="1:4" ht="85.5">
      <c r="A192" s="185" t="s">
        <v>189</v>
      </c>
      <c r="B192" s="190">
        <v>1</v>
      </c>
      <c r="C192" s="191">
        <v>4174500</v>
      </c>
      <c r="D192" s="191">
        <v>417450.00000000006</v>
      </c>
    </row>
    <row r="193" spans="1:4" ht="85.5">
      <c r="A193" s="185" t="s">
        <v>190</v>
      </c>
      <c r="B193" s="190">
        <v>12</v>
      </c>
      <c r="C193" s="191">
        <v>20286000</v>
      </c>
      <c r="D193" s="191">
        <v>1217160</v>
      </c>
    </row>
    <row r="194" spans="1:4" ht="85.5">
      <c r="A194" s="185" t="s">
        <v>191</v>
      </c>
      <c r="B194" s="190">
        <v>6</v>
      </c>
      <c r="C194" s="191">
        <v>7762499.9999999991</v>
      </c>
      <c r="D194" s="191">
        <v>776249.99999999988</v>
      </c>
    </row>
    <row r="195" spans="1:4" ht="85.5">
      <c r="A195" s="185" t="s">
        <v>192</v>
      </c>
      <c r="B195" s="190">
        <v>6</v>
      </c>
      <c r="C195" s="191">
        <v>10350000</v>
      </c>
      <c r="D195" s="191">
        <v>1034999.9999999999</v>
      </c>
    </row>
    <row r="196" spans="1:4" ht="85.5">
      <c r="A196" s="185" t="s">
        <v>193</v>
      </c>
      <c r="B196" s="190">
        <v>2</v>
      </c>
      <c r="C196" s="191">
        <v>13972500.000000002</v>
      </c>
      <c r="D196" s="191">
        <v>1397250</v>
      </c>
    </row>
    <row r="197" spans="1:4" ht="71.25">
      <c r="A197" s="185" t="s">
        <v>194</v>
      </c>
      <c r="B197" s="190">
        <v>1</v>
      </c>
      <c r="C197" s="191">
        <v>27168749.999999996</v>
      </c>
      <c r="D197" s="191">
        <v>2716875</v>
      </c>
    </row>
    <row r="198" spans="1:4" ht="71.25">
      <c r="A198" s="185" t="s">
        <v>195</v>
      </c>
      <c r="B198" s="190">
        <v>1</v>
      </c>
      <c r="C198" s="191">
        <v>40848000.000000007</v>
      </c>
      <c r="D198" s="191">
        <v>3063599.9999999995</v>
      </c>
    </row>
    <row r="199" spans="1:4" ht="28.5">
      <c r="A199" s="185" t="s">
        <v>196</v>
      </c>
      <c r="B199" s="190"/>
      <c r="C199" s="191">
        <v>0</v>
      </c>
      <c r="D199" s="191">
        <v>0</v>
      </c>
    </row>
    <row r="200" spans="1:4" ht="42.75">
      <c r="A200" s="185" t="s">
        <v>197</v>
      </c>
      <c r="B200" s="190"/>
      <c r="C200" s="191">
        <v>25874.999999999996</v>
      </c>
      <c r="D200" s="191">
        <v>11500</v>
      </c>
    </row>
    <row r="201" spans="1:4" ht="30">
      <c r="A201" s="194" t="s">
        <v>198</v>
      </c>
      <c r="B201" s="190"/>
      <c r="C201" s="191">
        <v>0</v>
      </c>
      <c r="D201" s="191">
        <v>0</v>
      </c>
    </row>
    <row r="202" spans="1:4" ht="30">
      <c r="A202" s="194" t="s">
        <v>199</v>
      </c>
      <c r="B202" s="190"/>
      <c r="C202" s="191">
        <v>0</v>
      </c>
      <c r="D202" s="191">
        <v>0</v>
      </c>
    </row>
    <row r="203" spans="1:4" ht="30">
      <c r="A203" s="194" t="s">
        <v>200</v>
      </c>
      <c r="B203" s="190"/>
      <c r="C203" s="191">
        <v>0</v>
      </c>
      <c r="D203" s="191">
        <v>0</v>
      </c>
    </row>
    <row r="204" spans="1:4" ht="30">
      <c r="A204" s="194" t="s">
        <v>201</v>
      </c>
      <c r="B204" s="190"/>
      <c r="C204" s="191">
        <v>0</v>
      </c>
      <c r="D204" s="191">
        <v>0</v>
      </c>
    </row>
    <row r="205" spans="1:4" ht="85.5">
      <c r="A205" s="185" t="s">
        <v>202</v>
      </c>
      <c r="B205" s="190">
        <v>1</v>
      </c>
      <c r="C205" s="191">
        <v>22050100</v>
      </c>
      <c r="D205" s="191">
        <v>8575550</v>
      </c>
    </row>
    <row r="206" spans="1:4" ht="85.5">
      <c r="A206" s="185" t="s">
        <v>203</v>
      </c>
      <c r="B206" s="190">
        <v>2</v>
      </c>
      <c r="C206" s="191">
        <v>10530550</v>
      </c>
      <c r="D206" s="191">
        <v>4095149.9999999995</v>
      </c>
    </row>
    <row r="207" spans="1:4" ht="28.5">
      <c r="A207" s="185" t="s">
        <v>204</v>
      </c>
      <c r="B207" s="190"/>
      <c r="C207" s="191">
        <v>0</v>
      </c>
      <c r="D207" s="191">
        <v>0</v>
      </c>
    </row>
    <row r="208" spans="1:4" ht="28.5">
      <c r="A208" s="185" t="s">
        <v>205</v>
      </c>
      <c r="B208" s="190">
        <v>4</v>
      </c>
      <c r="C208" s="191">
        <v>112699.99999999999</v>
      </c>
      <c r="D208" s="191">
        <v>0</v>
      </c>
    </row>
    <row r="209" spans="1:4" ht="28.5">
      <c r="A209" s="185" t="s">
        <v>206</v>
      </c>
      <c r="B209" s="190">
        <v>28.4</v>
      </c>
      <c r="C209" s="191">
        <v>162150</v>
      </c>
      <c r="D209" s="191">
        <v>0</v>
      </c>
    </row>
    <row r="210" spans="1:4" ht="57">
      <c r="A210" s="185" t="s">
        <v>207</v>
      </c>
      <c r="B210" s="190">
        <v>7</v>
      </c>
      <c r="C210" s="191">
        <v>6623999.9999999991</v>
      </c>
      <c r="D210" s="191">
        <v>413999.99999999994</v>
      </c>
    </row>
    <row r="211" spans="1:4" ht="28.5">
      <c r="A211" s="185" t="s">
        <v>208</v>
      </c>
      <c r="B211" s="190"/>
      <c r="C211" s="191">
        <v>0</v>
      </c>
      <c r="D211" s="191">
        <v>0</v>
      </c>
    </row>
    <row r="212" spans="1:4" ht="42.75">
      <c r="A212" s="185" t="s">
        <v>209</v>
      </c>
      <c r="B212" s="190">
        <v>2</v>
      </c>
      <c r="C212" s="191">
        <v>6047849.9999999991</v>
      </c>
      <c r="D212" s="191">
        <v>2351750</v>
      </c>
    </row>
    <row r="213" spans="1:4" ht="28.5">
      <c r="A213" s="185" t="s">
        <v>210</v>
      </c>
      <c r="B213" s="190">
        <v>1</v>
      </c>
      <c r="C213" s="191">
        <v>35999600</v>
      </c>
      <c r="D213" s="191">
        <v>14000099.999999998</v>
      </c>
    </row>
    <row r="214" spans="1:4" ht="28.5">
      <c r="A214" s="185" t="s">
        <v>211</v>
      </c>
      <c r="B214" s="190">
        <v>56.52</v>
      </c>
      <c r="C214" s="191">
        <v>184000</v>
      </c>
      <c r="D214" s="191">
        <v>71300</v>
      </c>
    </row>
    <row r="215" spans="1:4" ht="28.5">
      <c r="A215" s="185" t="s">
        <v>212</v>
      </c>
      <c r="B215" s="190"/>
      <c r="C215" s="191">
        <v>0</v>
      </c>
      <c r="D215" s="191">
        <v>0</v>
      </c>
    </row>
    <row r="216" spans="1:4" ht="28.5">
      <c r="A216" s="185" t="s">
        <v>213</v>
      </c>
      <c r="B216" s="190">
        <v>96</v>
      </c>
      <c r="C216" s="191">
        <v>162150</v>
      </c>
      <c r="D216" s="191">
        <v>0</v>
      </c>
    </row>
    <row r="217" spans="1:4" ht="85.5">
      <c r="A217" s="185" t="s">
        <v>214</v>
      </c>
      <c r="B217" s="190">
        <v>19</v>
      </c>
      <c r="C217" s="191">
        <v>6623999.9999999991</v>
      </c>
      <c r="D217" s="191">
        <v>413999.99999999994</v>
      </c>
    </row>
    <row r="218" spans="1:4" ht="42.75">
      <c r="A218" s="185" t="s">
        <v>215</v>
      </c>
      <c r="B218" s="190">
        <v>4</v>
      </c>
      <c r="C218" s="191">
        <v>12474049.999999998</v>
      </c>
      <c r="D218" s="191">
        <v>4850700</v>
      </c>
    </row>
    <row r="219" spans="1:4" ht="28.5">
      <c r="A219" s="185" t="s">
        <v>216</v>
      </c>
      <c r="B219" s="190"/>
      <c r="C219" s="191">
        <v>0</v>
      </c>
      <c r="D219" s="191">
        <v>0</v>
      </c>
    </row>
    <row r="220" spans="1:4" ht="42.75">
      <c r="A220" s="185" t="s">
        <v>217</v>
      </c>
      <c r="B220" s="190">
        <v>2</v>
      </c>
      <c r="C220" s="191">
        <v>18710500</v>
      </c>
      <c r="D220" s="191">
        <v>7276049.9999999991</v>
      </c>
    </row>
    <row r="221" spans="1:4" ht="28.5">
      <c r="A221" s="185" t="s">
        <v>218</v>
      </c>
      <c r="B221" s="190"/>
      <c r="C221" s="191">
        <v>0</v>
      </c>
      <c r="D221" s="191">
        <v>0</v>
      </c>
    </row>
    <row r="222" spans="1:4" ht="42.75">
      <c r="A222" s="185" t="s">
        <v>219</v>
      </c>
      <c r="B222" s="190">
        <v>16045.4410104</v>
      </c>
      <c r="C222" s="191">
        <v>20700</v>
      </c>
      <c r="D222" s="191">
        <v>6899.9999999999991</v>
      </c>
    </row>
    <row r="223" spans="1:4" ht="85.5">
      <c r="A223" s="185" t="s">
        <v>220</v>
      </c>
      <c r="B223" s="190">
        <v>12</v>
      </c>
      <c r="C223" s="191">
        <v>6071999.9999999991</v>
      </c>
      <c r="D223" s="191">
        <v>379499.99999999994</v>
      </c>
    </row>
    <row r="224" spans="1:4" ht="85.5">
      <c r="A224" s="185" t="s">
        <v>221</v>
      </c>
      <c r="B224" s="190">
        <v>54</v>
      </c>
      <c r="C224" s="191">
        <v>9936000</v>
      </c>
      <c r="D224" s="191">
        <v>621000</v>
      </c>
    </row>
    <row r="225" spans="1:4" ht="85.5">
      <c r="A225" s="185" t="s">
        <v>222</v>
      </c>
      <c r="B225" s="190">
        <v>2</v>
      </c>
      <c r="C225" s="191">
        <v>14351999.999999998</v>
      </c>
      <c r="D225" s="191">
        <v>896999.99999999988</v>
      </c>
    </row>
    <row r="226" spans="1:4" ht="85.5">
      <c r="A226" s="185" t="s">
        <v>223</v>
      </c>
      <c r="B226" s="190">
        <v>20</v>
      </c>
      <c r="C226" s="191">
        <v>5299200</v>
      </c>
      <c r="D226" s="191">
        <v>331200</v>
      </c>
    </row>
    <row r="227" spans="1:4" ht="85.5">
      <c r="A227" s="185" t="s">
        <v>224</v>
      </c>
      <c r="B227" s="190">
        <v>54</v>
      </c>
      <c r="C227" s="191">
        <v>14903999.999999998</v>
      </c>
      <c r="D227" s="191">
        <v>931499.99999999988</v>
      </c>
    </row>
    <row r="228" spans="1:4" ht="85.5">
      <c r="A228" s="185" t="s">
        <v>225</v>
      </c>
      <c r="B228" s="190">
        <v>4</v>
      </c>
      <c r="C228" s="191">
        <v>29807999.999999996</v>
      </c>
      <c r="D228" s="191">
        <v>1862999.9999999998</v>
      </c>
    </row>
    <row r="229" spans="1:4" ht="85.5">
      <c r="A229" s="185" t="s">
        <v>226</v>
      </c>
      <c r="B229" s="190">
        <v>20</v>
      </c>
      <c r="C229" s="191">
        <v>3175149.9999999995</v>
      </c>
      <c r="D229" s="191">
        <v>1235100</v>
      </c>
    </row>
    <row r="230" spans="1:4" ht="85.5">
      <c r="A230" s="185" t="s">
        <v>227</v>
      </c>
      <c r="B230" s="190">
        <v>1</v>
      </c>
      <c r="C230" s="191">
        <v>5544150</v>
      </c>
      <c r="D230" s="191">
        <v>2156250</v>
      </c>
    </row>
    <row r="231" spans="1:4" ht="85.5">
      <c r="A231" s="185" t="s">
        <v>228</v>
      </c>
      <c r="B231" s="190">
        <v>10</v>
      </c>
      <c r="C231" s="191">
        <v>8315649.9999999991</v>
      </c>
      <c r="D231" s="191">
        <v>3233799.9999999995</v>
      </c>
    </row>
    <row r="232" spans="1:4" ht="85.5">
      <c r="A232" s="185" t="s">
        <v>229</v>
      </c>
      <c r="B232" s="190">
        <v>7</v>
      </c>
      <c r="C232" s="191">
        <v>5544150</v>
      </c>
      <c r="D232" s="191">
        <v>2156250</v>
      </c>
    </row>
    <row r="233" spans="1:4" ht="57">
      <c r="A233" s="185" t="s">
        <v>230</v>
      </c>
      <c r="B233" s="190">
        <v>2</v>
      </c>
      <c r="C233" s="191">
        <v>10583450</v>
      </c>
      <c r="D233" s="191">
        <v>4115849.9999999995</v>
      </c>
    </row>
    <row r="234" spans="1:4" ht="42.75">
      <c r="A234" s="185" t="s">
        <v>231</v>
      </c>
      <c r="B234" s="190">
        <v>1</v>
      </c>
      <c r="C234" s="191">
        <v>2613950</v>
      </c>
      <c r="D234" s="191">
        <v>1016599.9999999999</v>
      </c>
    </row>
    <row r="235" spans="1:4" ht="42.75">
      <c r="A235" s="185" t="s">
        <v>232</v>
      </c>
      <c r="B235" s="190">
        <v>2</v>
      </c>
      <c r="C235" s="191">
        <v>3920349.9999999995</v>
      </c>
      <c r="D235" s="191">
        <v>1524899.9999999998</v>
      </c>
    </row>
    <row r="236" spans="1:4" ht="71.25">
      <c r="A236" s="185" t="s">
        <v>233</v>
      </c>
      <c r="B236" s="190">
        <v>41</v>
      </c>
      <c r="C236" s="191">
        <v>3484499.9999999995</v>
      </c>
      <c r="D236" s="191">
        <v>1354700</v>
      </c>
    </row>
    <row r="237" spans="1:4" ht="57">
      <c r="A237" s="185" t="s">
        <v>234</v>
      </c>
      <c r="B237" s="190">
        <v>4</v>
      </c>
      <c r="C237" s="191">
        <v>6970149.9999999991</v>
      </c>
      <c r="D237" s="191">
        <v>2710550</v>
      </c>
    </row>
    <row r="238" spans="1:4" ht="71.25">
      <c r="A238" s="185" t="s">
        <v>235</v>
      </c>
      <c r="B238" s="190">
        <v>2</v>
      </c>
      <c r="C238" s="191">
        <v>4181399.9999999995</v>
      </c>
      <c r="D238" s="191">
        <v>1626099.9999999998</v>
      </c>
    </row>
    <row r="239" spans="1:4" ht="85.5">
      <c r="A239" s="185" t="s">
        <v>236</v>
      </c>
      <c r="B239" s="190">
        <v>1</v>
      </c>
      <c r="C239" s="191">
        <v>79834150</v>
      </c>
      <c r="D239" s="191">
        <v>31046549.999999996</v>
      </c>
    </row>
    <row r="240" spans="1:4" ht="71.25">
      <c r="A240" s="185" t="s">
        <v>237</v>
      </c>
      <c r="B240" s="190">
        <v>1</v>
      </c>
      <c r="C240" s="191">
        <v>251999499.99999997</v>
      </c>
      <c r="D240" s="191">
        <v>97999549.999999985</v>
      </c>
    </row>
    <row r="241" spans="1:4" ht="42.75">
      <c r="A241" s="185" t="s">
        <v>238</v>
      </c>
      <c r="B241" s="190">
        <v>2630.66</v>
      </c>
      <c r="C241" s="191">
        <v>1799749.9999999998</v>
      </c>
      <c r="D241" s="191">
        <v>700350</v>
      </c>
    </row>
    <row r="242" spans="1:4" ht="71.25">
      <c r="A242" s="189" t="s">
        <v>239</v>
      </c>
      <c r="B242" s="190">
        <v>2799</v>
      </c>
      <c r="C242" s="191">
        <v>1018899.9999999999</v>
      </c>
      <c r="D242" s="191">
        <v>396749.99999999994</v>
      </c>
    </row>
    <row r="243" spans="1:4" ht="42.75">
      <c r="A243" s="185" t="s">
        <v>240</v>
      </c>
      <c r="B243" s="190">
        <v>1</v>
      </c>
      <c r="C243" s="191">
        <v>755999650</v>
      </c>
      <c r="D243" s="191">
        <v>293999800</v>
      </c>
    </row>
    <row r="244" spans="1:4" ht="28.5">
      <c r="A244" s="185" t="s">
        <v>241</v>
      </c>
      <c r="B244" s="190">
        <v>1</v>
      </c>
      <c r="C244" s="191">
        <v>35999600</v>
      </c>
      <c r="D244" s="191">
        <v>14000099.999999998</v>
      </c>
    </row>
    <row r="245" spans="1:4" ht="28.5">
      <c r="A245" s="185" t="s">
        <v>242</v>
      </c>
      <c r="B245" s="190"/>
      <c r="C245" s="191">
        <v>0</v>
      </c>
      <c r="D245" s="191">
        <v>0</v>
      </c>
    </row>
    <row r="246" spans="1:4" ht="42.75">
      <c r="A246" s="185" t="s">
        <v>243</v>
      </c>
      <c r="B246" s="190">
        <v>110.08240000000001</v>
      </c>
      <c r="C246" s="191">
        <v>1403851.8518518517</v>
      </c>
      <c r="D246" s="191">
        <v>149500</v>
      </c>
    </row>
    <row r="247" spans="1:4" ht="42.75">
      <c r="A247" s="185" t="s">
        <v>244</v>
      </c>
      <c r="B247" s="190">
        <v>57.631</v>
      </c>
      <c r="C247" s="191">
        <v>1980299.9999999998</v>
      </c>
      <c r="D247" s="191">
        <v>770499.99999999988</v>
      </c>
    </row>
    <row r="248" spans="1:4" ht="71.25">
      <c r="A248" s="185" t="s">
        <v>245</v>
      </c>
      <c r="B248" s="190">
        <v>26.26</v>
      </c>
      <c r="C248" s="191">
        <v>1799749.9999999998</v>
      </c>
      <c r="D248" s="191">
        <v>700350</v>
      </c>
    </row>
    <row r="249" spans="1:4" ht="71.25">
      <c r="A249" s="185" t="s">
        <v>246</v>
      </c>
      <c r="B249" s="190">
        <v>15</v>
      </c>
      <c r="C249" s="191">
        <v>3881249.9999999995</v>
      </c>
      <c r="D249" s="191">
        <v>258749.99999999997</v>
      </c>
    </row>
    <row r="250" spans="1:4" ht="85.5">
      <c r="A250" s="185" t="s">
        <v>247</v>
      </c>
      <c r="B250" s="190">
        <v>12</v>
      </c>
      <c r="C250" s="191">
        <v>1987199.9999999998</v>
      </c>
      <c r="D250" s="191">
        <v>124199.99999999999</v>
      </c>
    </row>
    <row r="251" spans="1:4" ht="85.5">
      <c r="A251" s="185" t="s">
        <v>248</v>
      </c>
      <c r="B251" s="190">
        <v>9</v>
      </c>
      <c r="C251" s="191">
        <v>7120799.9999999991</v>
      </c>
      <c r="D251" s="191">
        <v>445049.99999999994</v>
      </c>
    </row>
    <row r="252" spans="1:4" ht="85.5">
      <c r="A252" s="185" t="s">
        <v>249</v>
      </c>
      <c r="B252" s="190">
        <v>68</v>
      </c>
      <c r="C252" s="191">
        <v>9936000</v>
      </c>
      <c r="D252" s="191">
        <v>621000</v>
      </c>
    </row>
    <row r="253" spans="1:4" ht="85.5">
      <c r="A253" s="185" t="s">
        <v>250</v>
      </c>
      <c r="B253" s="190">
        <v>2</v>
      </c>
      <c r="C253" s="191">
        <v>31671000</v>
      </c>
      <c r="D253" s="191">
        <v>1979437.5</v>
      </c>
    </row>
    <row r="254" spans="1:4" ht="85.5">
      <c r="A254" s="185" t="s">
        <v>251</v>
      </c>
      <c r="B254" s="190">
        <v>2</v>
      </c>
      <c r="C254" s="191">
        <v>31753799.999999993</v>
      </c>
      <c r="D254" s="191">
        <v>1984612.4999999995</v>
      </c>
    </row>
    <row r="255" spans="1:4" ht="85.5">
      <c r="A255" s="185" t="s">
        <v>252</v>
      </c>
      <c r="B255" s="190">
        <v>12</v>
      </c>
      <c r="C255" s="191">
        <v>9424250</v>
      </c>
      <c r="D255" s="191">
        <v>3665049.9999999995</v>
      </c>
    </row>
    <row r="256" spans="1:4" ht="42.75">
      <c r="A256" s="185" t="s">
        <v>253</v>
      </c>
      <c r="B256" s="190">
        <v>2</v>
      </c>
      <c r="C256" s="191">
        <v>3398249.9999999995</v>
      </c>
      <c r="D256" s="191">
        <v>1321350</v>
      </c>
    </row>
    <row r="257" spans="1:4" ht="57">
      <c r="A257" s="185" t="s">
        <v>254</v>
      </c>
      <c r="B257" s="190">
        <v>2</v>
      </c>
      <c r="C257" s="191">
        <v>5544150</v>
      </c>
      <c r="D257" s="191">
        <v>2156250</v>
      </c>
    </row>
    <row r="258" spans="1:4" ht="57">
      <c r="A258" s="185" t="s">
        <v>255</v>
      </c>
      <c r="B258" s="190">
        <v>3</v>
      </c>
      <c r="C258" s="191">
        <v>10282150</v>
      </c>
      <c r="D258" s="191">
        <v>3998549.9999999995</v>
      </c>
    </row>
    <row r="259" spans="1:4" ht="42.75">
      <c r="A259" s="185" t="s">
        <v>256</v>
      </c>
      <c r="B259" s="190">
        <v>5</v>
      </c>
      <c r="C259" s="191">
        <v>4443600</v>
      </c>
      <c r="D259" s="191">
        <v>1728449.9999999998</v>
      </c>
    </row>
    <row r="260" spans="1:4" ht="42.75">
      <c r="A260" s="185" t="s">
        <v>257</v>
      </c>
      <c r="B260" s="190">
        <v>1</v>
      </c>
      <c r="C260" s="191">
        <v>4443600</v>
      </c>
      <c r="D260" s="191">
        <v>1728449.9999999998</v>
      </c>
    </row>
    <row r="261" spans="1:4" ht="42.75">
      <c r="A261" s="185" t="s">
        <v>258</v>
      </c>
      <c r="B261" s="190">
        <v>2</v>
      </c>
      <c r="C261" s="191">
        <v>4965700</v>
      </c>
      <c r="D261" s="191">
        <v>1930849.9999999998</v>
      </c>
    </row>
    <row r="262" spans="1:4" ht="71.25">
      <c r="A262" s="185" t="s">
        <v>259</v>
      </c>
      <c r="B262" s="190">
        <v>6</v>
      </c>
      <c r="C262" s="191">
        <v>3484499.9999999995</v>
      </c>
      <c r="D262" s="191">
        <v>1354700</v>
      </c>
    </row>
    <row r="263" spans="1:4" ht="85.5">
      <c r="A263" s="185" t="s">
        <v>260</v>
      </c>
      <c r="B263" s="190">
        <v>1</v>
      </c>
      <c r="C263" s="191">
        <v>54161549.999999993</v>
      </c>
      <c r="D263" s="191">
        <v>4406800</v>
      </c>
    </row>
    <row r="264" spans="1:4" ht="85.5">
      <c r="A264" s="185" t="s">
        <v>261</v>
      </c>
      <c r="B264" s="190">
        <v>1</v>
      </c>
      <c r="C264" s="191">
        <v>54304149.999999993</v>
      </c>
      <c r="D264" s="191">
        <v>4418300</v>
      </c>
    </row>
    <row r="265" spans="1:4" ht="57">
      <c r="A265" s="185" t="s">
        <v>262</v>
      </c>
      <c r="B265" s="190">
        <v>86</v>
      </c>
      <c r="C265" s="191">
        <v>1105150</v>
      </c>
      <c r="D265" s="191">
        <v>430099.99999999994</v>
      </c>
    </row>
    <row r="266" spans="1:4" ht="42.75">
      <c r="A266" s="185" t="s">
        <v>263</v>
      </c>
      <c r="B266" s="190">
        <v>2</v>
      </c>
      <c r="C266" s="191">
        <v>2519650</v>
      </c>
      <c r="D266" s="191">
        <v>979799.99999999988</v>
      </c>
    </row>
    <row r="267" spans="1:4" ht="57">
      <c r="A267" s="185" t="s">
        <v>264</v>
      </c>
      <c r="B267" s="190">
        <v>26.396000000000001</v>
      </c>
      <c r="C267" s="191">
        <v>1055700</v>
      </c>
      <c r="D267" s="191">
        <v>410549.99999999994</v>
      </c>
    </row>
    <row r="268" spans="1:4" ht="42.75">
      <c r="A268" s="185" t="s">
        <v>265</v>
      </c>
      <c r="B268" s="190">
        <v>1</v>
      </c>
      <c r="C268" s="191">
        <v>1799749.9999999998</v>
      </c>
      <c r="D268" s="191">
        <v>700350</v>
      </c>
    </row>
    <row r="269" spans="1:4" ht="42.75">
      <c r="A269" s="185" t="s">
        <v>266</v>
      </c>
      <c r="B269" s="190">
        <v>1</v>
      </c>
      <c r="C269" s="191">
        <v>565199700</v>
      </c>
      <c r="D269" s="191">
        <v>219799499.99999997</v>
      </c>
    </row>
    <row r="270" spans="1:4" ht="28.5">
      <c r="A270" s="185" t="s">
        <v>267</v>
      </c>
      <c r="B270" s="190"/>
      <c r="C270" s="191">
        <v>0</v>
      </c>
      <c r="D270" s="191">
        <v>0</v>
      </c>
    </row>
    <row r="271" spans="1:4" ht="57">
      <c r="A271" s="185" t="s">
        <v>268</v>
      </c>
      <c r="B271" s="190">
        <v>5011.3739999999998</v>
      </c>
      <c r="C271" s="191">
        <v>72450</v>
      </c>
      <c r="D271" s="191">
        <v>44850</v>
      </c>
    </row>
    <row r="272" spans="1:4" ht="57">
      <c r="A272" s="185" t="s">
        <v>269</v>
      </c>
      <c r="B272" s="190"/>
      <c r="C272" s="191">
        <v>10246500</v>
      </c>
      <c r="D272" s="191">
        <v>683100.00000000012</v>
      </c>
    </row>
    <row r="273" spans="1:4" ht="85.5">
      <c r="A273" s="185" t="s">
        <v>270</v>
      </c>
      <c r="B273" s="190">
        <v>3</v>
      </c>
      <c r="C273" s="191">
        <v>9979700</v>
      </c>
      <c r="D273" s="191">
        <v>3881249.9999999995</v>
      </c>
    </row>
    <row r="274" spans="1:4" ht="85.5">
      <c r="A274" s="185" t="s">
        <v>271</v>
      </c>
      <c r="B274" s="190">
        <v>5</v>
      </c>
      <c r="C274" s="191">
        <v>14968399.999999998</v>
      </c>
      <c r="D274" s="191">
        <v>5821300</v>
      </c>
    </row>
    <row r="275" spans="1:4" ht="28.5">
      <c r="A275" s="185" t="s">
        <v>272</v>
      </c>
      <c r="B275" s="190">
        <v>5298.9189999999999</v>
      </c>
      <c r="C275" s="191">
        <v>89700</v>
      </c>
      <c r="D275" s="191">
        <v>34500</v>
      </c>
    </row>
    <row r="276" spans="1:4" ht="28.5">
      <c r="A276" s="185" t="s">
        <v>273</v>
      </c>
      <c r="B276" s="190">
        <v>5.65</v>
      </c>
      <c r="C276" s="191">
        <v>184000</v>
      </c>
      <c r="D276" s="191">
        <v>71300</v>
      </c>
    </row>
    <row r="277" spans="1:4" ht="28.5">
      <c r="A277" s="185" t="s">
        <v>274</v>
      </c>
      <c r="B277" s="190">
        <v>613.82100000000003</v>
      </c>
      <c r="C277" s="191">
        <v>2627750</v>
      </c>
      <c r="D277" s="191">
        <v>1022349.9999999999</v>
      </c>
    </row>
    <row r="278" spans="1:4" ht="57">
      <c r="A278" s="185" t="s">
        <v>275</v>
      </c>
      <c r="B278" s="190">
        <v>613.82100000000003</v>
      </c>
      <c r="C278" s="191">
        <v>184000</v>
      </c>
      <c r="D278" s="191">
        <v>71300</v>
      </c>
    </row>
    <row r="279" spans="1:4" ht="28.5">
      <c r="A279" s="185" t="s">
        <v>276</v>
      </c>
      <c r="B279" s="190">
        <v>26.396000000000001</v>
      </c>
      <c r="C279" s="191">
        <v>32199.999999999996</v>
      </c>
      <c r="D279" s="191">
        <v>12649.999999999998</v>
      </c>
    </row>
    <row r="280" spans="1:4" ht="30">
      <c r="A280" s="194" t="s">
        <v>277</v>
      </c>
      <c r="B280" s="190"/>
      <c r="C280" s="191">
        <v>0</v>
      </c>
      <c r="D280" s="191">
        <v>0</v>
      </c>
    </row>
    <row r="281" spans="1:4" ht="57">
      <c r="A281" s="185" t="s">
        <v>278</v>
      </c>
      <c r="B281" s="190">
        <v>1</v>
      </c>
      <c r="C281" s="191">
        <v>24839999.999999996</v>
      </c>
      <c r="D281" s="191">
        <v>1552499.9999999998</v>
      </c>
    </row>
    <row r="282" spans="1:4" ht="42.75">
      <c r="A282" s="185" t="s">
        <v>279</v>
      </c>
      <c r="B282" s="190">
        <v>5</v>
      </c>
      <c r="C282" s="191">
        <v>4965700</v>
      </c>
      <c r="D282" s="191">
        <v>1930849.9999999998</v>
      </c>
    </row>
    <row r="283" spans="1:4" ht="30">
      <c r="A283" s="194" t="s">
        <v>280</v>
      </c>
      <c r="B283" s="190"/>
      <c r="C283" s="191">
        <v>0</v>
      </c>
      <c r="D283" s="191">
        <v>0</v>
      </c>
    </row>
    <row r="284" spans="1:4" ht="30">
      <c r="A284" s="194" t="s">
        <v>281</v>
      </c>
      <c r="B284" s="190"/>
      <c r="C284" s="191">
        <v>0</v>
      </c>
      <c r="D284" s="191">
        <v>0</v>
      </c>
    </row>
    <row r="285" spans="1:4" ht="28.5">
      <c r="A285" s="185" t="s">
        <v>282</v>
      </c>
      <c r="B285" s="190">
        <v>204.50700000000001</v>
      </c>
      <c r="C285" s="191">
        <v>270250</v>
      </c>
      <c r="D285" s="191">
        <v>104649.99999999999</v>
      </c>
    </row>
    <row r="286" spans="1:4" ht="28.5">
      <c r="A286" s="185" t="s">
        <v>283</v>
      </c>
      <c r="B286" s="190">
        <v>99.424999999999997</v>
      </c>
      <c r="C286" s="191">
        <v>270250</v>
      </c>
      <c r="D286" s="191">
        <v>104649.99999999999</v>
      </c>
    </row>
    <row r="287" spans="1:4" ht="28.5">
      <c r="A287" s="185" t="s">
        <v>284</v>
      </c>
      <c r="B287" s="190">
        <v>122.182</v>
      </c>
      <c r="C287" s="191">
        <v>611800</v>
      </c>
      <c r="D287" s="191">
        <v>238049.99999999997</v>
      </c>
    </row>
    <row r="288" spans="1:4" ht="28.5">
      <c r="A288" s="185" t="s">
        <v>285</v>
      </c>
      <c r="B288" s="190">
        <v>9.5</v>
      </c>
      <c r="C288" s="191">
        <v>3347649.9999999995</v>
      </c>
      <c r="D288" s="191">
        <v>1301800</v>
      </c>
    </row>
    <row r="289" spans="1:4" ht="28.5">
      <c r="A289" s="185" t="s">
        <v>286</v>
      </c>
      <c r="B289" s="190">
        <v>1</v>
      </c>
      <c r="C289" s="191">
        <v>5875350</v>
      </c>
      <c r="D289" s="191">
        <v>2285050</v>
      </c>
    </row>
    <row r="290" spans="1:4" ht="85.5">
      <c r="A290" s="185" t="s">
        <v>287</v>
      </c>
      <c r="B290" s="190">
        <v>1</v>
      </c>
      <c r="C290" s="191">
        <v>3311999.9999999995</v>
      </c>
      <c r="D290" s="191">
        <v>206999.99999999997</v>
      </c>
    </row>
    <row r="291" spans="1:4" ht="85.5">
      <c r="A291" s="185" t="s">
        <v>288</v>
      </c>
      <c r="B291" s="190">
        <v>4</v>
      </c>
      <c r="C291" s="191">
        <v>3974399.9999999995</v>
      </c>
      <c r="D291" s="191">
        <v>248399.99999999997</v>
      </c>
    </row>
    <row r="292" spans="1:4" ht="85.5">
      <c r="A292" s="185" t="s">
        <v>289</v>
      </c>
      <c r="B292" s="190">
        <v>3</v>
      </c>
      <c r="C292" s="191">
        <v>6623999.9999999991</v>
      </c>
      <c r="D292" s="191">
        <v>413999.99999999994</v>
      </c>
    </row>
    <row r="293" spans="1:4" ht="42.75">
      <c r="A293" s="185" t="s">
        <v>290</v>
      </c>
      <c r="B293" s="190">
        <v>1</v>
      </c>
      <c r="C293" s="191">
        <v>2613950</v>
      </c>
      <c r="D293" s="191">
        <v>1016599.9999999999</v>
      </c>
    </row>
    <row r="294" spans="1:4" ht="57">
      <c r="A294" s="185" t="s">
        <v>291</v>
      </c>
      <c r="B294" s="190">
        <v>1</v>
      </c>
      <c r="C294" s="191">
        <v>28799449.999999996</v>
      </c>
      <c r="D294" s="191">
        <v>11199850</v>
      </c>
    </row>
    <row r="295" spans="1:4" ht="57">
      <c r="A295" s="185" t="s">
        <v>292</v>
      </c>
      <c r="B295" s="190">
        <v>1</v>
      </c>
      <c r="C295" s="191">
        <v>99792399.999999985</v>
      </c>
      <c r="D295" s="191">
        <v>38807900</v>
      </c>
    </row>
    <row r="296" spans="1:4" ht="28.5">
      <c r="A296" s="185" t="s">
        <v>293</v>
      </c>
      <c r="B296" s="190">
        <v>1</v>
      </c>
      <c r="C296" s="191">
        <v>25199949.999999996</v>
      </c>
      <c r="D296" s="191">
        <v>9800300</v>
      </c>
    </row>
    <row r="297" spans="1:4" ht="30">
      <c r="A297" s="194" t="s">
        <v>294</v>
      </c>
      <c r="B297" s="190"/>
      <c r="C297" s="191">
        <v>0</v>
      </c>
      <c r="D297" s="191">
        <v>0</v>
      </c>
    </row>
    <row r="298" spans="1:4" ht="85.5">
      <c r="A298" s="185" t="s">
        <v>295</v>
      </c>
      <c r="B298" s="190">
        <v>1</v>
      </c>
      <c r="C298" s="191">
        <v>1104000</v>
      </c>
      <c r="D298" s="191">
        <v>69000</v>
      </c>
    </row>
    <row r="299" spans="1:4" ht="57">
      <c r="A299" s="185" t="s">
        <v>296</v>
      </c>
      <c r="B299" s="190">
        <v>1</v>
      </c>
      <c r="C299" s="191">
        <v>78408150</v>
      </c>
      <c r="D299" s="191">
        <v>30492249.999999996</v>
      </c>
    </row>
    <row r="300" spans="1:4" ht="28.5">
      <c r="A300" s="185" t="s">
        <v>297</v>
      </c>
      <c r="B300" s="190"/>
      <c r="C300" s="191">
        <v>0</v>
      </c>
      <c r="D300" s="191">
        <v>0</v>
      </c>
    </row>
    <row r="301" spans="1:4" ht="30">
      <c r="A301" s="194" t="s">
        <v>298</v>
      </c>
      <c r="B301" s="190"/>
      <c r="C301" s="191">
        <v>0</v>
      </c>
      <c r="D301" s="191">
        <v>0</v>
      </c>
    </row>
    <row r="302" spans="1:4" ht="30">
      <c r="A302" s="194" t="s">
        <v>299</v>
      </c>
      <c r="B302" s="190"/>
      <c r="C302" s="191">
        <v>0</v>
      </c>
      <c r="D302" s="191">
        <v>0</v>
      </c>
    </row>
    <row r="303" spans="1:4" ht="42.75">
      <c r="A303" s="185" t="s">
        <v>300</v>
      </c>
      <c r="B303" s="190">
        <v>1</v>
      </c>
      <c r="C303" s="191">
        <v>35279700</v>
      </c>
      <c r="D303" s="191">
        <v>13719499.999999998</v>
      </c>
    </row>
    <row r="304" spans="1:4" ht="28.5">
      <c r="A304" s="185" t="s">
        <v>301</v>
      </c>
      <c r="B304" s="190">
        <v>63.381999999999998</v>
      </c>
      <c r="C304" s="191">
        <v>155250</v>
      </c>
      <c r="D304" s="191">
        <v>59799.999999999993</v>
      </c>
    </row>
    <row r="305" spans="1:4" ht="28.5">
      <c r="A305" s="185" t="s">
        <v>302</v>
      </c>
      <c r="B305" s="190"/>
      <c r="C305" s="191">
        <v>0</v>
      </c>
      <c r="D305" s="191">
        <v>0</v>
      </c>
    </row>
    <row r="306" spans="1:4" ht="28.5">
      <c r="A306" s="185" t="s">
        <v>303</v>
      </c>
      <c r="B306" s="190"/>
      <c r="C306" s="191">
        <v>0</v>
      </c>
      <c r="D306" s="191">
        <v>0</v>
      </c>
    </row>
    <row r="307" spans="1:4" ht="28.5">
      <c r="A307" s="185" t="s">
        <v>304</v>
      </c>
      <c r="B307" s="190">
        <v>1</v>
      </c>
      <c r="C307" s="191">
        <v>35999600</v>
      </c>
      <c r="D307" s="191">
        <v>14000099.999999998</v>
      </c>
    </row>
    <row r="308" spans="1:4" ht="57">
      <c r="A308" s="185" t="s">
        <v>305</v>
      </c>
      <c r="B308" s="190">
        <v>1</v>
      </c>
      <c r="C308" s="191">
        <v>201599599.99999997</v>
      </c>
      <c r="D308" s="191">
        <v>78400100</v>
      </c>
    </row>
    <row r="309" spans="1:4" ht="30">
      <c r="A309" s="194" t="s">
        <v>306</v>
      </c>
      <c r="B309" s="190"/>
      <c r="C309" s="190">
        <v>0</v>
      </c>
      <c r="D309" s="190">
        <v>0</v>
      </c>
    </row>
    <row r="310" spans="1:4" ht="28.5">
      <c r="A310" s="185" t="s">
        <v>307</v>
      </c>
      <c r="B310" s="190">
        <v>213933</v>
      </c>
      <c r="C310" s="191">
        <v>0</v>
      </c>
      <c r="D310" s="191">
        <v>0</v>
      </c>
    </row>
    <row r="311" spans="1:4" ht="28.5">
      <c r="A311" s="185" t="s">
        <v>308</v>
      </c>
      <c r="B311" s="190">
        <v>52577.79</v>
      </c>
      <c r="C311" s="191">
        <v>0</v>
      </c>
      <c r="D311" s="191">
        <v>0</v>
      </c>
    </row>
    <row r="312" spans="1:4" ht="57">
      <c r="A312" s="185" t="s">
        <v>309</v>
      </c>
      <c r="B312" s="190">
        <v>52577.79</v>
      </c>
      <c r="C312" s="191">
        <v>0</v>
      </c>
      <c r="D312" s="191">
        <v>0</v>
      </c>
    </row>
    <row r="313" spans="1:4" ht="30">
      <c r="A313" s="194" t="s">
        <v>310</v>
      </c>
      <c r="B313" s="190"/>
      <c r="C313" s="191">
        <v>0</v>
      </c>
      <c r="D313" s="191">
        <v>0</v>
      </c>
    </row>
    <row r="314" spans="1:4" ht="42.75">
      <c r="A314" s="185" t="s">
        <v>311</v>
      </c>
      <c r="B314" s="190">
        <v>1054</v>
      </c>
      <c r="C314" s="191">
        <v>172500</v>
      </c>
      <c r="D314" s="191">
        <v>57499.999999999993</v>
      </c>
    </row>
    <row r="315" spans="1:4" ht="42.75">
      <c r="A315" s="185" t="s">
        <v>312</v>
      </c>
      <c r="B315" s="190">
        <v>1054</v>
      </c>
      <c r="C315" s="191">
        <v>75900</v>
      </c>
      <c r="D315" s="191">
        <v>29899.999999999996</v>
      </c>
    </row>
    <row r="316" spans="1:4" ht="28.5">
      <c r="A316" s="185" t="s">
        <v>313</v>
      </c>
      <c r="B316" s="190">
        <v>2255.4259999999999</v>
      </c>
      <c r="C316" s="191">
        <v>155250</v>
      </c>
      <c r="D316" s="191">
        <v>59799.999999999993</v>
      </c>
    </row>
    <row r="317" spans="1:4" ht="99.75">
      <c r="A317" s="185" t="s">
        <v>314</v>
      </c>
      <c r="B317" s="190">
        <v>1251.579</v>
      </c>
      <c r="C317" s="191">
        <v>971749.99999999988</v>
      </c>
      <c r="D317" s="191">
        <v>378349.99999999994</v>
      </c>
    </row>
    <row r="318" spans="1:4" ht="30">
      <c r="A318" s="194" t="s">
        <v>315</v>
      </c>
      <c r="B318" s="190"/>
      <c r="C318" s="191">
        <v>0</v>
      </c>
      <c r="D318" s="191">
        <v>0</v>
      </c>
    </row>
    <row r="319" spans="1:4" ht="30">
      <c r="A319" s="194" t="s">
        <v>316</v>
      </c>
      <c r="B319" s="190"/>
      <c r="C319" s="191">
        <v>0</v>
      </c>
      <c r="D319" s="191">
        <v>0</v>
      </c>
    </row>
    <row r="320" spans="1:4" ht="28.5">
      <c r="A320" s="185" t="s">
        <v>317</v>
      </c>
      <c r="B320" s="190">
        <v>33.200000000000003</v>
      </c>
      <c r="C320" s="191">
        <v>2232150</v>
      </c>
      <c r="D320" s="191">
        <v>868249.99999999988</v>
      </c>
    </row>
    <row r="321" spans="1:4" ht="28.5">
      <c r="A321" s="185" t="s">
        <v>318</v>
      </c>
      <c r="B321" s="190">
        <v>80.599999999999994</v>
      </c>
      <c r="C321" s="191">
        <v>2700200</v>
      </c>
      <c r="D321" s="191">
        <v>1049950</v>
      </c>
    </row>
    <row r="322" spans="1:4" ht="28.5">
      <c r="A322" s="185" t="s">
        <v>319</v>
      </c>
      <c r="B322" s="190">
        <v>181.7</v>
      </c>
      <c r="C322" s="191">
        <v>3070499.9999999995</v>
      </c>
      <c r="D322" s="191">
        <v>1193700</v>
      </c>
    </row>
    <row r="323" spans="1:4" ht="28.5">
      <c r="A323" s="185" t="s">
        <v>320</v>
      </c>
      <c r="B323" s="190">
        <v>138.5</v>
      </c>
      <c r="C323" s="191">
        <v>3870899.9999999995</v>
      </c>
      <c r="D323" s="191">
        <v>1505350</v>
      </c>
    </row>
    <row r="324" spans="1:4" ht="28.5">
      <c r="A324" s="185" t="s">
        <v>321</v>
      </c>
      <c r="B324" s="190">
        <v>15</v>
      </c>
      <c r="C324" s="191">
        <v>5518850</v>
      </c>
      <c r="D324" s="191">
        <v>2145900</v>
      </c>
    </row>
    <row r="325" spans="1:4" ht="28.5">
      <c r="A325" s="185" t="s">
        <v>322</v>
      </c>
      <c r="B325" s="190">
        <v>6</v>
      </c>
      <c r="C325" s="191">
        <v>359950</v>
      </c>
      <c r="D325" s="191">
        <v>140300</v>
      </c>
    </row>
    <row r="326" spans="1:4" ht="28.5">
      <c r="A326" s="185" t="s">
        <v>323</v>
      </c>
      <c r="B326" s="190">
        <v>8</v>
      </c>
      <c r="C326" s="191">
        <v>503699.99999999994</v>
      </c>
      <c r="D326" s="191">
        <v>195499.99999999997</v>
      </c>
    </row>
    <row r="327" spans="1:4" ht="28.5">
      <c r="A327" s="185" t="s">
        <v>324</v>
      </c>
      <c r="B327" s="190">
        <v>26</v>
      </c>
      <c r="C327" s="191">
        <v>719900</v>
      </c>
      <c r="D327" s="191">
        <v>279450</v>
      </c>
    </row>
    <row r="328" spans="1:4" ht="28.5">
      <c r="A328" s="185" t="s">
        <v>325</v>
      </c>
      <c r="B328" s="190">
        <v>16</v>
      </c>
      <c r="C328" s="191">
        <v>863649.99999999988</v>
      </c>
      <c r="D328" s="191">
        <v>335800</v>
      </c>
    </row>
    <row r="329" spans="1:4" ht="28.5">
      <c r="A329" s="185" t="s">
        <v>326</v>
      </c>
      <c r="B329" s="190">
        <v>2</v>
      </c>
      <c r="C329" s="191">
        <v>1079850</v>
      </c>
      <c r="D329" s="191">
        <v>419749.99999999994</v>
      </c>
    </row>
    <row r="330" spans="1:4" ht="30">
      <c r="A330" s="194" t="s">
        <v>327</v>
      </c>
      <c r="B330" s="190"/>
      <c r="C330" s="191">
        <v>0</v>
      </c>
      <c r="D330" s="191">
        <v>0</v>
      </c>
    </row>
    <row r="331" spans="1:4" ht="28.5">
      <c r="A331" s="185" t="s">
        <v>328</v>
      </c>
      <c r="B331" s="190">
        <v>1346.05</v>
      </c>
      <c r="C331" s="191">
        <v>2664550</v>
      </c>
      <c r="D331" s="191">
        <v>1036149.9999999999</v>
      </c>
    </row>
    <row r="332" spans="1:4" ht="28.5">
      <c r="A332" s="185" t="s">
        <v>329</v>
      </c>
      <c r="B332" s="190">
        <v>1139</v>
      </c>
      <c r="C332" s="191">
        <v>3455749.9999999995</v>
      </c>
      <c r="D332" s="191">
        <v>1344350</v>
      </c>
    </row>
    <row r="333" spans="1:4" ht="28.5">
      <c r="A333" s="185" t="s">
        <v>330</v>
      </c>
      <c r="B333" s="190">
        <v>1390.18</v>
      </c>
      <c r="C333" s="191">
        <v>3744399.9999999995</v>
      </c>
      <c r="D333" s="191">
        <v>1455900</v>
      </c>
    </row>
    <row r="334" spans="1:4" ht="28.5">
      <c r="A334" s="185" t="s">
        <v>331</v>
      </c>
      <c r="B334" s="190">
        <v>992.7</v>
      </c>
      <c r="C334" s="191">
        <v>4824250</v>
      </c>
      <c r="D334" s="191">
        <v>1875649.9999999998</v>
      </c>
    </row>
    <row r="335" spans="1:4" ht="28.5">
      <c r="A335" s="185" t="s">
        <v>332</v>
      </c>
      <c r="B335" s="190">
        <v>170.9</v>
      </c>
      <c r="C335" s="191">
        <v>6336499.9999999991</v>
      </c>
      <c r="D335" s="191">
        <v>2464450</v>
      </c>
    </row>
    <row r="336" spans="1:4" ht="30">
      <c r="A336" s="194" t="s">
        <v>333</v>
      </c>
      <c r="B336" s="190"/>
      <c r="C336" s="191">
        <v>0</v>
      </c>
      <c r="D336" s="191">
        <v>0</v>
      </c>
    </row>
    <row r="337" spans="1:4" ht="28.5">
      <c r="A337" s="185" t="s">
        <v>334</v>
      </c>
      <c r="B337" s="190">
        <v>15</v>
      </c>
      <c r="C337" s="191">
        <v>2664550</v>
      </c>
      <c r="D337" s="191">
        <v>1036149.9999999999</v>
      </c>
    </row>
    <row r="338" spans="1:4" ht="28.5">
      <c r="A338" s="185" t="s">
        <v>335</v>
      </c>
      <c r="B338" s="190">
        <v>42.3</v>
      </c>
      <c r="C338" s="191">
        <v>3455749.9999999995</v>
      </c>
      <c r="D338" s="191">
        <v>1344350</v>
      </c>
    </row>
    <row r="339" spans="1:4" ht="28.5">
      <c r="A339" s="185" t="s">
        <v>336</v>
      </c>
      <c r="B339" s="190">
        <v>67.3</v>
      </c>
      <c r="C339" s="191">
        <v>3744399.9999999995</v>
      </c>
      <c r="D339" s="191">
        <v>1455900</v>
      </c>
    </row>
    <row r="340" spans="1:4" ht="28.5">
      <c r="A340" s="185" t="s">
        <v>337</v>
      </c>
      <c r="B340" s="190">
        <v>99</v>
      </c>
      <c r="C340" s="191">
        <v>4824250</v>
      </c>
      <c r="D340" s="191">
        <v>1875649.9999999998</v>
      </c>
    </row>
    <row r="341" spans="1:4" ht="28.5">
      <c r="A341" s="185" t="s">
        <v>338</v>
      </c>
      <c r="B341" s="190">
        <v>14.5</v>
      </c>
      <c r="C341" s="191">
        <v>6336499.9999999991</v>
      </c>
      <c r="D341" s="191">
        <v>2464450</v>
      </c>
    </row>
    <row r="342" spans="1:4" ht="30">
      <c r="A342" s="194" t="s">
        <v>339</v>
      </c>
      <c r="B342" s="190"/>
      <c r="C342" s="191">
        <v>0</v>
      </c>
      <c r="D342" s="191">
        <v>0</v>
      </c>
    </row>
    <row r="343" spans="1:4" ht="28.5">
      <c r="A343" s="185" t="s">
        <v>340</v>
      </c>
      <c r="B343" s="190">
        <v>86.05</v>
      </c>
      <c r="C343" s="191">
        <v>2232150</v>
      </c>
      <c r="D343" s="191">
        <v>868249.99999999988</v>
      </c>
    </row>
    <row r="344" spans="1:4" ht="28.5">
      <c r="A344" s="185" t="s">
        <v>341</v>
      </c>
      <c r="B344" s="190">
        <v>90.8</v>
      </c>
      <c r="C344" s="191">
        <v>2700200</v>
      </c>
      <c r="D344" s="191">
        <v>1049950</v>
      </c>
    </row>
    <row r="345" spans="1:4" ht="28.5">
      <c r="A345" s="185" t="s">
        <v>342</v>
      </c>
      <c r="B345" s="190">
        <v>218.05</v>
      </c>
      <c r="C345" s="191">
        <v>3070499.9999999995</v>
      </c>
      <c r="D345" s="191">
        <v>1193700</v>
      </c>
    </row>
    <row r="346" spans="1:4" ht="28.5">
      <c r="A346" s="185" t="s">
        <v>343</v>
      </c>
      <c r="B346" s="190">
        <v>328.1</v>
      </c>
      <c r="C346" s="191">
        <v>3870899.9999999995</v>
      </c>
      <c r="D346" s="191">
        <v>1505350</v>
      </c>
    </row>
    <row r="347" spans="1:4" ht="28.5">
      <c r="A347" s="185" t="s">
        <v>344</v>
      </c>
      <c r="B347" s="190">
        <v>4.5</v>
      </c>
      <c r="C347" s="191">
        <v>5518850</v>
      </c>
      <c r="D347" s="191">
        <v>2145900</v>
      </c>
    </row>
    <row r="348" spans="1:4" ht="30">
      <c r="A348" s="194" t="s">
        <v>345</v>
      </c>
      <c r="B348" s="190"/>
      <c r="C348" s="191">
        <v>0</v>
      </c>
      <c r="D348" s="191">
        <v>0</v>
      </c>
    </row>
    <row r="349" spans="1:4" ht="28.5">
      <c r="A349" s="185" t="s">
        <v>346</v>
      </c>
      <c r="B349" s="190">
        <v>442.4</v>
      </c>
      <c r="C349" s="191">
        <v>2088399.9999999998</v>
      </c>
      <c r="D349" s="191">
        <v>811899.99999999988</v>
      </c>
    </row>
    <row r="350" spans="1:4" ht="28.5">
      <c r="A350" s="185" t="s">
        <v>347</v>
      </c>
      <c r="B350" s="190">
        <v>530.9</v>
      </c>
      <c r="C350" s="191">
        <v>2519650</v>
      </c>
      <c r="D350" s="191">
        <v>979799.99999999988</v>
      </c>
    </row>
    <row r="351" spans="1:4" ht="28.5">
      <c r="A351" s="185" t="s">
        <v>348</v>
      </c>
      <c r="B351" s="190">
        <v>388</v>
      </c>
      <c r="C351" s="191">
        <v>2916400</v>
      </c>
      <c r="D351" s="191">
        <v>1133900</v>
      </c>
    </row>
    <row r="352" spans="1:4" ht="28.5">
      <c r="A352" s="185" t="s">
        <v>349</v>
      </c>
      <c r="B352" s="190">
        <v>10.7</v>
      </c>
      <c r="C352" s="191">
        <v>3671949.9999999995</v>
      </c>
      <c r="D352" s="191">
        <v>1428300</v>
      </c>
    </row>
    <row r="353" spans="1:4" ht="28.5">
      <c r="A353" s="185" t="s">
        <v>350</v>
      </c>
      <c r="B353" s="190"/>
      <c r="C353" s="191">
        <v>0</v>
      </c>
      <c r="D353" s="191">
        <v>0</v>
      </c>
    </row>
    <row r="354" spans="1:4" ht="28.5">
      <c r="A354" s="185" t="s">
        <v>351</v>
      </c>
      <c r="B354" s="190">
        <v>3</v>
      </c>
      <c r="C354" s="191">
        <v>8279999.9999999991</v>
      </c>
      <c r="D354" s="191">
        <v>3219999.9999999995</v>
      </c>
    </row>
    <row r="355" spans="1:4" ht="28.5">
      <c r="A355" s="185" t="s">
        <v>352</v>
      </c>
      <c r="B355" s="190">
        <v>1</v>
      </c>
      <c r="C355" s="191">
        <v>17999800</v>
      </c>
      <c r="D355" s="191">
        <v>7000049.9999999991</v>
      </c>
    </row>
    <row r="356" spans="1:4" ht="28.5">
      <c r="A356" s="185" t="s">
        <v>353</v>
      </c>
      <c r="B356" s="190">
        <v>3</v>
      </c>
      <c r="C356" s="191">
        <v>863649.99999999988</v>
      </c>
      <c r="D356" s="191">
        <v>335800</v>
      </c>
    </row>
    <row r="357" spans="1:4" ht="28.5">
      <c r="A357" s="185" t="s">
        <v>354</v>
      </c>
      <c r="B357" s="190">
        <v>1</v>
      </c>
      <c r="C357" s="191">
        <v>2519650</v>
      </c>
      <c r="D357" s="191">
        <v>979799.99999999988</v>
      </c>
    </row>
    <row r="358" spans="1:4" ht="28.5">
      <c r="A358" s="185" t="s">
        <v>355</v>
      </c>
      <c r="B358" s="190">
        <v>4</v>
      </c>
      <c r="C358" s="191">
        <v>32400099.999999996</v>
      </c>
      <c r="D358" s="191">
        <v>12600549.999999998</v>
      </c>
    </row>
    <row r="359" spans="1:4" ht="28.5">
      <c r="A359" s="185" t="s">
        <v>356</v>
      </c>
      <c r="B359" s="190"/>
      <c r="C359" s="191">
        <v>0</v>
      </c>
      <c r="D359" s="191">
        <v>0</v>
      </c>
    </row>
    <row r="360" spans="1:4" ht="28.5">
      <c r="A360" s="185" t="s">
        <v>357</v>
      </c>
      <c r="B360" s="190">
        <v>30</v>
      </c>
      <c r="C360" s="191">
        <v>3870899.9999999995</v>
      </c>
      <c r="D360" s="191">
        <v>1505350</v>
      </c>
    </row>
    <row r="361" spans="1:4" ht="28.5">
      <c r="A361" s="185" t="s">
        <v>358</v>
      </c>
      <c r="B361" s="190">
        <v>14.5</v>
      </c>
      <c r="C361" s="191">
        <v>12671849.999999998</v>
      </c>
      <c r="D361" s="191">
        <v>4927750</v>
      </c>
    </row>
    <row r="362" spans="1:4" ht="30">
      <c r="A362" s="194" t="s">
        <v>359</v>
      </c>
      <c r="B362" s="190"/>
      <c r="C362" s="191">
        <v>0</v>
      </c>
      <c r="D362" s="191">
        <v>0</v>
      </c>
    </row>
    <row r="363" spans="1:4" ht="30">
      <c r="A363" s="194" t="s">
        <v>360</v>
      </c>
      <c r="B363" s="190"/>
      <c r="C363" s="191">
        <v>0</v>
      </c>
      <c r="D363" s="191">
        <v>0</v>
      </c>
    </row>
    <row r="364" spans="1:4" ht="28.5">
      <c r="A364" s="185" t="s">
        <v>361</v>
      </c>
      <c r="B364" s="190">
        <v>1113</v>
      </c>
      <c r="C364" s="191">
        <v>277150</v>
      </c>
      <c r="D364" s="191">
        <v>108099.99999999999</v>
      </c>
    </row>
    <row r="365" spans="1:4" ht="28.5">
      <c r="A365" s="185" t="s">
        <v>362</v>
      </c>
      <c r="B365" s="190">
        <v>357.8</v>
      </c>
      <c r="C365" s="191">
        <v>519799.99999999994</v>
      </c>
      <c r="D365" s="191">
        <v>202399.99999999997</v>
      </c>
    </row>
    <row r="366" spans="1:4" ht="28.5">
      <c r="A366" s="185" t="s">
        <v>363</v>
      </c>
      <c r="B366" s="190">
        <v>558.6</v>
      </c>
      <c r="C366" s="191">
        <v>894699.99999999988</v>
      </c>
      <c r="D366" s="191">
        <v>348450</v>
      </c>
    </row>
    <row r="367" spans="1:4" ht="28.5">
      <c r="A367" s="185" t="s">
        <v>364</v>
      </c>
      <c r="B367" s="190">
        <v>927</v>
      </c>
      <c r="C367" s="191">
        <v>75900</v>
      </c>
      <c r="D367" s="191">
        <v>29899.999999999996</v>
      </c>
    </row>
    <row r="368" spans="1:4" ht="28.5">
      <c r="A368" s="185" t="s">
        <v>365</v>
      </c>
      <c r="B368" s="190">
        <v>298</v>
      </c>
      <c r="C368" s="191">
        <v>89700</v>
      </c>
      <c r="D368" s="191">
        <v>34500</v>
      </c>
    </row>
    <row r="369" spans="1:4" ht="28.5">
      <c r="A369" s="185" t="s">
        <v>366</v>
      </c>
      <c r="B369" s="190">
        <v>465</v>
      </c>
      <c r="C369" s="191">
        <v>104649.99999999999</v>
      </c>
      <c r="D369" s="191">
        <v>40250</v>
      </c>
    </row>
    <row r="370" spans="1:4" ht="28.5">
      <c r="A370" s="185" t="s">
        <v>367</v>
      </c>
      <c r="B370" s="190">
        <v>1</v>
      </c>
      <c r="C370" s="191">
        <v>72000350</v>
      </c>
      <c r="D370" s="191">
        <v>28000199.999999996</v>
      </c>
    </row>
    <row r="371" spans="1:4" ht="28.5">
      <c r="A371" s="185" t="s">
        <v>368</v>
      </c>
      <c r="B371" s="190">
        <v>394</v>
      </c>
      <c r="C371" s="191">
        <v>1079850</v>
      </c>
      <c r="D371" s="191">
        <v>419749.99999999994</v>
      </c>
    </row>
    <row r="372" spans="1:4" ht="30">
      <c r="A372" s="194" t="s">
        <v>369</v>
      </c>
      <c r="B372" s="190"/>
      <c r="C372" s="191">
        <v>0</v>
      </c>
      <c r="D372" s="191">
        <v>0</v>
      </c>
    </row>
    <row r="373" spans="1:4" ht="71.25">
      <c r="A373" s="185" t="s">
        <v>370</v>
      </c>
      <c r="B373" s="190">
        <v>6</v>
      </c>
      <c r="C373" s="191">
        <v>9359850</v>
      </c>
      <c r="D373" s="191">
        <v>3639749.9999999995</v>
      </c>
    </row>
    <row r="374" spans="1:4" ht="85.5">
      <c r="A374" s="185" t="s">
        <v>371</v>
      </c>
      <c r="B374" s="190">
        <v>51</v>
      </c>
      <c r="C374" s="191">
        <v>8639950</v>
      </c>
      <c r="D374" s="191">
        <v>3360299.9999999995</v>
      </c>
    </row>
    <row r="375" spans="1:4" ht="28.5">
      <c r="A375" s="185" t="s">
        <v>372</v>
      </c>
      <c r="B375" s="190">
        <v>1</v>
      </c>
      <c r="C375" s="191">
        <v>8999900</v>
      </c>
      <c r="D375" s="191">
        <v>3499449.9999999995</v>
      </c>
    </row>
    <row r="376" spans="1:4" ht="28.5">
      <c r="A376" s="185" t="s">
        <v>373</v>
      </c>
      <c r="B376" s="190">
        <v>1</v>
      </c>
      <c r="C376" s="191">
        <v>10799650</v>
      </c>
      <c r="D376" s="191">
        <v>4199800</v>
      </c>
    </row>
    <row r="377" spans="1:4" ht="28.5">
      <c r="A377" s="185" t="s">
        <v>374</v>
      </c>
      <c r="B377" s="190">
        <v>14</v>
      </c>
      <c r="C377" s="191">
        <v>14040349.999999998</v>
      </c>
      <c r="D377" s="191">
        <v>5460200</v>
      </c>
    </row>
    <row r="378" spans="1:4" ht="28.5">
      <c r="A378" s="185" t="s">
        <v>375</v>
      </c>
      <c r="B378" s="190">
        <v>1</v>
      </c>
      <c r="C378" s="191">
        <v>32400099.999999996</v>
      </c>
      <c r="D378" s="191">
        <v>12600549.999999998</v>
      </c>
    </row>
    <row r="379" spans="1:4" ht="28.5">
      <c r="A379" s="185" t="s">
        <v>376</v>
      </c>
      <c r="B379" s="190">
        <v>1</v>
      </c>
      <c r="C379" s="191">
        <v>43199750</v>
      </c>
      <c r="D379" s="191">
        <v>16800350</v>
      </c>
    </row>
    <row r="380" spans="1:4" ht="30">
      <c r="A380" s="194" t="s">
        <v>377</v>
      </c>
      <c r="B380" s="190"/>
      <c r="C380" s="191">
        <v>0</v>
      </c>
      <c r="D380" s="191">
        <v>0</v>
      </c>
    </row>
    <row r="381" spans="1:4" ht="31.5" customHeight="1">
      <c r="A381" s="194" t="s">
        <v>378</v>
      </c>
      <c r="B381" s="190"/>
      <c r="C381" s="191">
        <v>0</v>
      </c>
      <c r="D381" s="191">
        <v>0</v>
      </c>
    </row>
    <row r="382" spans="1:4" ht="28.5">
      <c r="A382" s="185" t="s">
        <v>379</v>
      </c>
      <c r="B382" s="190">
        <v>17257.8796</v>
      </c>
      <c r="C382" s="191">
        <v>0</v>
      </c>
      <c r="D382" s="191">
        <v>52899.999999999993</v>
      </c>
    </row>
    <row r="383" spans="1:4" ht="28.5">
      <c r="A383" s="185" t="s">
        <v>380</v>
      </c>
      <c r="B383" s="190">
        <v>17257.8796</v>
      </c>
      <c r="C383" s="191">
        <v>0</v>
      </c>
      <c r="D383" s="191">
        <v>52899.999999999993</v>
      </c>
    </row>
    <row r="384" spans="1:4" ht="28.5">
      <c r="A384" s="185" t="s">
        <v>381</v>
      </c>
      <c r="B384" s="190">
        <v>10992.28</v>
      </c>
      <c r="C384" s="191">
        <v>0</v>
      </c>
      <c r="D384" s="191">
        <v>14949.999999999998</v>
      </c>
    </row>
    <row r="385" spans="1:4" ht="28.5">
      <c r="A385" s="185" t="s">
        <v>382</v>
      </c>
      <c r="B385" s="190"/>
      <c r="C385" s="191">
        <v>13799.999999999998</v>
      </c>
      <c r="D385" s="191">
        <v>5750</v>
      </c>
    </row>
    <row r="386" spans="1:4" ht="28.5">
      <c r="A386" s="185" t="s">
        <v>383</v>
      </c>
      <c r="B386" s="190">
        <v>3297.6840000000002</v>
      </c>
      <c r="C386" s="191">
        <v>353050</v>
      </c>
      <c r="D386" s="191">
        <v>131100</v>
      </c>
    </row>
    <row r="387" spans="1:4" ht="28.5">
      <c r="A387" s="185" t="s">
        <v>384</v>
      </c>
      <c r="B387" s="190">
        <v>2198.4560000000001</v>
      </c>
      <c r="C387" s="191">
        <v>412849.99999999994</v>
      </c>
      <c r="D387" s="191">
        <v>131100</v>
      </c>
    </row>
    <row r="388" spans="1:4" ht="28.5">
      <c r="A388" s="185" t="s">
        <v>385</v>
      </c>
      <c r="B388" s="190">
        <v>10992.28</v>
      </c>
      <c r="C388" s="191">
        <v>47149.999999999993</v>
      </c>
      <c r="D388" s="191">
        <v>18400</v>
      </c>
    </row>
    <row r="389" spans="1:4" ht="28.5">
      <c r="A389" s="185" t="s">
        <v>386</v>
      </c>
      <c r="B389" s="190">
        <v>165974.89799072</v>
      </c>
      <c r="C389" s="191">
        <v>19550</v>
      </c>
      <c r="D389" s="191">
        <v>4600</v>
      </c>
    </row>
    <row r="390" spans="1:4" ht="28.5">
      <c r="A390" s="185" t="s">
        <v>387</v>
      </c>
      <c r="B390" s="190">
        <v>2748.07</v>
      </c>
      <c r="C390" s="191">
        <v>1524899.9999999998</v>
      </c>
      <c r="D390" s="191">
        <v>379499.99999999994</v>
      </c>
    </row>
    <row r="391" spans="1:4" ht="28.5">
      <c r="A391" s="185" t="s">
        <v>388</v>
      </c>
      <c r="B391" s="190">
        <v>10992.28</v>
      </c>
      <c r="C391" s="191">
        <v>0</v>
      </c>
      <c r="D391" s="191">
        <v>34500</v>
      </c>
    </row>
    <row r="392" spans="1:4" ht="28.5">
      <c r="A392" s="185" t="s">
        <v>389</v>
      </c>
      <c r="B392" s="190">
        <v>196</v>
      </c>
      <c r="C392" s="191">
        <v>0</v>
      </c>
      <c r="D392" s="191">
        <v>14949.999999999998</v>
      </c>
    </row>
    <row r="393" spans="1:4" ht="28.5">
      <c r="A393" s="185" t="s">
        <v>390</v>
      </c>
      <c r="B393" s="190">
        <v>2100</v>
      </c>
      <c r="C393" s="191">
        <v>0</v>
      </c>
      <c r="D393" s="191">
        <v>14949.999999999998</v>
      </c>
    </row>
    <row r="394" spans="1:4" ht="28.5">
      <c r="A394" s="185" t="s">
        <v>391</v>
      </c>
      <c r="B394" s="190">
        <v>1772</v>
      </c>
      <c r="C394" s="191">
        <v>0</v>
      </c>
      <c r="D394" s="191">
        <v>14949.999999999998</v>
      </c>
    </row>
    <row r="395" spans="1:4" ht="28.5">
      <c r="A395" s="185" t="s">
        <v>392</v>
      </c>
      <c r="B395" s="190">
        <v>6078.1823999999997</v>
      </c>
      <c r="C395" s="191">
        <v>28749.999999999996</v>
      </c>
      <c r="D395" s="191">
        <v>4600</v>
      </c>
    </row>
    <row r="396" spans="1:4" ht="30">
      <c r="A396" s="194" t="s">
        <v>393</v>
      </c>
      <c r="B396" s="190"/>
      <c r="C396" s="191">
        <v>0</v>
      </c>
      <c r="D396" s="191">
        <v>0</v>
      </c>
    </row>
    <row r="397" spans="1:4" ht="28.5">
      <c r="A397" s="185" t="s">
        <v>394</v>
      </c>
      <c r="B397" s="190">
        <v>2617.05599999997</v>
      </c>
      <c r="C397" s="191">
        <v>0</v>
      </c>
      <c r="D397" s="191">
        <v>40250</v>
      </c>
    </row>
    <row r="398" spans="1:4" ht="28.5">
      <c r="A398" s="185" t="s">
        <v>395</v>
      </c>
      <c r="B398" s="190">
        <v>2907.84</v>
      </c>
      <c r="C398" s="191">
        <v>353050</v>
      </c>
      <c r="D398" s="191">
        <v>131100</v>
      </c>
    </row>
    <row r="399" spans="1:4" ht="28.5">
      <c r="A399" s="185" t="s">
        <v>396</v>
      </c>
      <c r="B399" s="190">
        <v>2907.84</v>
      </c>
      <c r="C399" s="191">
        <v>412849.99999999994</v>
      </c>
      <c r="D399" s="191">
        <v>131100</v>
      </c>
    </row>
    <row r="400" spans="1:4" ht="28.5">
      <c r="A400" s="185" t="s">
        <v>397</v>
      </c>
      <c r="B400" s="190">
        <v>14539.2</v>
      </c>
      <c r="C400" s="191">
        <v>6899.9999999999991</v>
      </c>
      <c r="D400" s="191">
        <v>1724.9999999999998</v>
      </c>
    </row>
    <row r="401" spans="1:4" ht="28.5">
      <c r="A401" s="185" t="s">
        <v>398</v>
      </c>
      <c r="B401" s="190">
        <v>145185.13626239999</v>
      </c>
      <c r="C401" s="191">
        <v>19550</v>
      </c>
      <c r="D401" s="191">
        <v>4600</v>
      </c>
    </row>
    <row r="402" spans="1:4" ht="28.5">
      <c r="A402" s="185" t="s">
        <v>399</v>
      </c>
      <c r="B402" s="190">
        <v>2617.056</v>
      </c>
      <c r="C402" s="191">
        <v>1520555.5555555553</v>
      </c>
      <c r="D402" s="191">
        <v>195499.99999999997</v>
      </c>
    </row>
    <row r="403" spans="1:4" ht="30">
      <c r="A403" s="194" t="s">
        <v>400</v>
      </c>
      <c r="B403" s="190"/>
      <c r="C403" s="191">
        <v>0</v>
      </c>
      <c r="D403" s="191">
        <v>0</v>
      </c>
    </row>
    <row r="404" spans="1:4" ht="28.5">
      <c r="A404" s="185" t="s">
        <v>401</v>
      </c>
      <c r="B404" s="190">
        <v>1093.6068</v>
      </c>
      <c r="C404" s="191">
        <v>0</v>
      </c>
      <c r="D404" s="191">
        <v>52899.999999999993</v>
      </c>
    </row>
    <row r="405" spans="1:4" ht="28.5">
      <c r="A405" s="185" t="s">
        <v>402</v>
      </c>
      <c r="B405" s="190">
        <v>1720.37</v>
      </c>
      <c r="C405" s="191">
        <v>0</v>
      </c>
      <c r="D405" s="191">
        <v>14949.999999999998</v>
      </c>
    </row>
    <row r="406" spans="1:4" ht="28.5">
      <c r="A406" s="185" t="s">
        <v>403</v>
      </c>
      <c r="B406" s="190"/>
      <c r="C406" s="191">
        <v>5750</v>
      </c>
      <c r="D406" s="191">
        <v>3449.9999999999995</v>
      </c>
    </row>
    <row r="407" spans="1:4" ht="28.5">
      <c r="A407" s="185" t="s">
        <v>404</v>
      </c>
      <c r="B407" s="190">
        <v>1720.37</v>
      </c>
      <c r="C407" s="191">
        <v>47149.999999999993</v>
      </c>
      <c r="D407" s="191">
        <v>18400</v>
      </c>
    </row>
    <row r="408" spans="1:4" ht="28.5">
      <c r="A408" s="185" t="s">
        <v>405</v>
      </c>
      <c r="B408" s="190">
        <v>1720.37</v>
      </c>
      <c r="C408" s="191">
        <v>0</v>
      </c>
      <c r="D408" s="191">
        <v>34500</v>
      </c>
    </row>
    <row r="409" spans="1:4" ht="30">
      <c r="A409" s="194" t="s">
        <v>406</v>
      </c>
      <c r="B409" s="190">
        <v>0</v>
      </c>
      <c r="C409" s="191">
        <v>0</v>
      </c>
      <c r="D409" s="191">
        <v>0</v>
      </c>
    </row>
    <row r="410" spans="1:4" ht="28.5">
      <c r="A410" s="185" t="s">
        <v>407</v>
      </c>
      <c r="B410" s="190">
        <v>602</v>
      </c>
      <c r="C410" s="191">
        <v>108099.99999999999</v>
      </c>
      <c r="D410" s="191">
        <v>42550</v>
      </c>
    </row>
    <row r="411" spans="1:4" ht="30">
      <c r="A411" s="194" t="s">
        <v>408</v>
      </c>
      <c r="B411" s="190"/>
      <c r="C411" s="191">
        <v>0</v>
      </c>
      <c r="D411" s="191">
        <v>0</v>
      </c>
    </row>
    <row r="412" spans="1:4" ht="28.5">
      <c r="A412" s="185" t="s">
        <v>409</v>
      </c>
      <c r="B412" s="190">
        <v>1251.17152704</v>
      </c>
      <c r="C412" s="191">
        <v>19550</v>
      </c>
      <c r="D412" s="191">
        <v>4600</v>
      </c>
    </row>
    <row r="413" spans="1:4" ht="28.5">
      <c r="A413" s="185" t="s">
        <v>410</v>
      </c>
      <c r="B413" s="190">
        <v>20.271000000000001</v>
      </c>
      <c r="C413" s="191">
        <v>1444400</v>
      </c>
      <c r="D413" s="191">
        <v>379499.99999999994</v>
      </c>
    </row>
    <row r="414" spans="1:4" ht="28.5">
      <c r="A414" s="185" t="s">
        <v>411</v>
      </c>
      <c r="B414" s="190"/>
      <c r="C414" s="191">
        <v>0</v>
      </c>
      <c r="D414" s="191">
        <v>0</v>
      </c>
    </row>
    <row r="415" spans="1:4" ht="28.5">
      <c r="A415" s="185" t="s">
        <v>412</v>
      </c>
      <c r="B415" s="190">
        <v>436.42</v>
      </c>
      <c r="C415" s="191">
        <v>74750</v>
      </c>
      <c r="D415" s="191">
        <v>27599.999999999996</v>
      </c>
    </row>
    <row r="416" spans="1:4" ht="28.5">
      <c r="A416" s="185" t="s">
        <v>413</v>
      </c>
      <c r="B416" s="190">
        <v>436.42</v>
      </c>
      <c r="C416" s="191">
        <v>251849.99999999997</v>
      </c>
      <c r="D416" s="191">
        <v>97749.999999999985</v>
      </c>
    </row>
    <row r="417" spans="1:4" ht="30">
      <c r="A417" s="194" t="s">
        <v>414</v>
      </c>
      <c r="B417" s="190"/>
      <c r="C417" s="191">
        <v>0</v>
      </c>
      <c r="D417" s="191">
        <v>0</v>
      </c>
    </row>
    <row r="418" spans="1:4" ht="28.5">
      <c r="A418" s="185" t="s">
        <v>415</v>
      </c>
      <c r="B418" s="190">
        <v>42</v>
      </c>
      <c r="C418" s="191">
        <v>0</v>
      </c>
      <c r="D418" s="191">
        <v>164450</v>
      </c>
    </row>
    <row r="419" spans="1:4" ht="28.5">
      <c r="A419" s="185" t="s">
        <v>416</v>
      </c>
      <c r="B419" s="190">
        <v>506.26</v>
      </c>
      <c r="C419" s="191">
        <v>0</v>
      </c>
      <c r="D419" s="191">
        <v>25299.999999999996</v>
      </c>
    </row>
    <row r="420" spans="1:4" ht="42.75">
      <c r="A420" s="185" t="s">
        <v>417</v>
      </c>
      <c r="B420" s="190">
        <v>26</v>
      </c>
      <c r="C420" s="191">
        <v>359950</v>
      </c>
      <c r="D420" s="191">
        <v>140300</v>
      </c>
    </row>
    <row r="421" spans="1:4" ht="42.75">
      <c r="A421" s="185" t="s">
        <v>418</v>
      </c>
      <c r="B421" s="190">
        <v>30</v>
      </c>
      <c r="C421" s="191">
        <v>186300</v>
      </c>
      <c r="D421" s="191">
        <v>72450</v>
      </c>
    </row>
    <row r="422" spans="1:4" ht="42.75">
      <c r="A422" s="185" t="s">
        <v>419</v>
      </c>
      <c r="B422" s="190">
        <v>60</v>
      </c>
      <c r="C422" s="191">
        <v>284050</v>
      </c>
      <c r="D422" s="191">
        <v>110399.99999999999</v>
      </c>
    </row>
    <row r="423" spans="1:4" ht="28.5">
      <c r="A423" s="185" t="s">
        <v>420</v>
      </c>
      <c r="B423" s="190">
        <v>41.36</v>
      </c>
      <c r="C423" s="191">
        <v>611800</v>
      </c>
      <c r="D423" s="191">
        <v>238049.99999999997</v>
      </c>
    </row>
    <row r="424" spans="1:4" ht="42.75">
      <c r="A424" s="185" t="s">
        <v>421</v>
      </c>
      <c r="B424" s="190">
        <v>13</v>
      </c>
      <c r="C424" s="191">
        <v>169050</v>
      </c>
      <c r="D424" s="191">
        <v>65550</v>
      </c>
    </row>
    <row r="425" spans="1:4" ht="28.5">
      <c r="A425" s="185" t="s">
        <v>422</v>
      </c>
      <c r="B425" s="190">
        <v>2</v>
      </c>
      <c r="C425" s="191">
        <v>251849.99999999997</v>
      </c>
      <c r="D425" s="191">
        <v>97749.999999999985</v>
      </c>
    </row>
    <row r="426" spans="1:4" ht="71.25">
      <c r="A426" s="185" t="s">
        <v>423</v>
      </c>
      <c r="B426" s="190">
        <v>26</v>
      </c>
      <c r="C426" s="191">
        <v>983249.99999999988</v>
      </c>
      <c r="D426" s="191">
        <v>381799.99999999994</v>
      </c>
    </row>
    <row r="427" spans="1:4" ht="28.5">
      <c r="A427" s="185" t="s">
        <v>424</v>
      </c>
      <c r="B427" s="190">
        <v>454.26</v>
      </c>
      <c r="C427" s="191">
        <v>0</v>
      </c>
      <c r="D427" s="191">
        <v>14949.999999999998</v>
      </c>
    </row>
    <row r="428" spans="1:4" ht="28.5">
      <c r="A428" s="185" t="s">
        <v>425</v>
      </c>
      <c r="B428" s="190">
        <v>90.852000000000004</v>
      </c>
      <c r="C428" s="191">
        <v>353050</v>
      </c>
      <c r="D428" s="191">
        <v>131100</v>
      </c>
    </row>
    <row r="429" spans="1:4" ht="28.5">
      <c r="A429" s="185" t="s">
        <v>426</v>
      </c>
      <c r="B429" s="190">
        <v>13142.94700864</v>
      </c>
      <c r="C429" s="191">
        <v>19550</v>
      </c>
      <c r="D429" s="191">
        <v>4600</v>
      </c>
    </row>
    <row r="430" spans="1:4" ht="28.5">
      <c r="A430" s="185" t="s">
        <v>427</v>
      </c>
      <c r="B430" s="190">
        <v>126.565</v>
      </c>
      <c r="C430" s="191">
        <v>1484650</v>
      </c>
      <c r="D430" s="191">
        <v>379499.99999999994</v>
      </c>
    </row>
    <row r="431" spans="1:4" ht="42.75">
      <c r="A431" s="185" t="s">
        <v>428</v>
      </c>
      <c r="B431" s="190">
        <v>1</v>
      </c>
      <c r="C431" s="191">
        <v>107999949.99999999</v>
      </c>
      <c r="D431" s="191">
        <v>42000300</v>
      </c>
    </row>
    <row r="432" spans="1:4" ht="30">
      <c r="A432" s="194" t="s">
        <v>429</v>
      </c>
      <c r="B432" s="190"/>
      <c r="C432" s="191">
        <v>0</v>
      </c>
      <c r="D432" s="191">
        <v>0</v>
      </c>
    </row>
    <row r="433" spans="1:4" ht="28.5">
      <c r="A433" s="185" t="s">
        <v>430</v>
      </c>
      <c r="B433" s="190">
        <v>66.06</v>
      </c>
      <c r="C433" s="191">
        <v>353050</v>
      </c>
      <c r="D433" s="191">
        <v>131100</v>
      </c>
    </row>
    <row r="434" spans="1:4" ht="30">
      <c r="A434" s="194" t="s">
        <v>431</v>
      </c>
      <c r="B434" s="190"/>
      <c r="C434" s="191">
        <v>0</v>
      </c>
      <c r="D434" s="191">
        <v>0</v>
      </c>
    </row>
    <row r="435" spans="1:4" ht="28.5">
      <c r="A435" s="185" t="s">
        <v>432</v>
      </c>
      <c r="B435" s="190">
        <v>46437.87</v>
      </c>
      <c r="C435" s="191">
        <v>0</v>
      </c>
      <c r="D435" s="191">
        <v>14949.999999999998</v>
      </c>
    </row>
    <row r="436" spans="1:4" ht="28.5">
      <c r="A436" s="185" t="s">
        <v>433</v>
      </c>
      <c r="B436" s="190">
        <v>9287.5740000000005</v>
      </c>
      <c r="C436" s="191">
        <v>449649.99999999994</v>
      </c>
      <c r="D436" s="191">
        <v>98899.999999999985</v>
      </c>
    </row>
    <row r="437" spans="1:4" ht="42.75">
      <c r="A437" s="185" t="s">
        <v>434</v>
      </c>
      <c r="B437" s="190">
        <v>78</v>
      </c>
      <c r="C437" s="191">
        <v>4499950</v>
      </c>
      <c r="D437" s="191">
        <v>990149.99999999988</v>
      </c>
    </row>
    <row r="438" spans="1:4" ht="28.5">
      <c r="A438" s="185" t="s">
        <v>435</v>
      </c>
      <c r="B438" s="190">
        <v>98</v>
      </c>
      <c r="C438" s="191">
        <v>2500100</v>
      </c>
      <c r="D438" s="191">
        <v>549700</v>
      </c>
    </row>
    <row r="439" spans="1:4" ht="42.75">
      <c r="A439" s="185" t="s">
        <v>436</v>
      </c>
      <c r="B439" s="190">
        <v>56</v>
      </c>
      <c r="C439" s="191">
        <v>586500</v>
      </c>
      <c r="D439" s="191">
        <v>128799.99999999999</v>
      </c>
    </row>
    <row r="440" spans="1:4" ht="28.5">
      <c r="A440" s="185" t="s">
        <v>437</v>
      </c>
      <c r="B440" s="190">
        <v>46001.4</v>
      </c>
      <c r="C440" s="191">
        <v>65550</v>
      </c>
      <c r="D440" s="191">
        <v>13799.999999999998</v>
      </c>
    </row>
    <row r="441" spans="1:4" ht="28.5">
      <c r="A441" s="186" t="s">
        <v>438</v>
      </c>
      <c r="B441" s="192">
        <v>436.47</v>
      </c>
      <c r="C441" s="191">
        <v>65550</v>
      </c>
      <c r="D441" s="191">
        <v>13799.999999999998</v>
      </c>
    </row>
  </sheetData>
  <mergeCells count="3">
    <mergeCell ref="C1:D1"/>
    <mergeCell ref="B1:B2"/>
    <mergeCell ref="A1:A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K48"/>
  <sheetViews>
    <sheetView topLeftCell="A19" zoomScale="85" zoomScaleNormal="85" workbookViewId="0">
      <selection activeCell="E40" sqref="E40"/>
    </sheetView>
  </sheetViews>
  <sheetFormatPr defaultColWidth="9" defaultRowHeight="12.75" outlineLevelRow="1"/>
  <cols>
    <col min="1" max="1" width="7.625" style="2" customWidth="1"/>
    <col min="2" max="2" width="52.375" style="5" customWidth="1"/>
    <col min="3" max="3" width="6.375" style="6" customWidth="1"/>
    <col min="4" max="4" width="14" style="8" customWidth="1"/>
    <col min="5" max="5" width="18" style="60" customWidth="1"/>
    <col min="6" max="6" width="16" style="60" customWidth="1"/>
    <col min="7" max="7" width="17.125" style="60" bestFit="1" customWidth="1"/>
    <col min="8" max="8" width="15.75" style="60" customWidth="1"/>
    <col min="9" max="9" width="20.875" style="5" customWidth="1"/>
    <col min="10" max="10" width="9.125" style="6" customWidth="1"/>
    <col min="11" max="11" width="16.375" style="6" customWidth="1"/>
    <col min="12" max="246" width="9.125" style="6" customWidth="1"/>
    <col min="247" max="247" width="6.375" style="6" customWidth="1"/>
    <col min="248" max="248" width="34.25" style="6" customWidth="1"/>
    <col min="249" max="249" width="7.375" style="6" customWidth="1"/>
    <col min="250" max="250" width="6.375" style="6" customWidth="1"/>
    <col min="251" max="251" width="13.125" style="6" customWidth="1"/>
    <col min="252" max="252" width="15.375" style="6" customWidth="1"/>
    <col min="253" max="253" width="21.25" style="6" customWidth="1"/>
    <col min="254" max="502" width="9.125" style="6" customWidth="1"/>
    <col min="503" max="503" width="6.375" style="6" customWidth="1"/>
    <col min="504" max="504" width="34.25" style="6" customWidth="1"/>
    <col min="505" max="505" width="7.375" style="6" customWidth="1"/>
    <col min="506" max="506" width="6.375" style="6" customWidth="1"/>
    <col min="507" max="507" width="13.125" style="6" customWidth="1"/>
    <col min="508" max="508" width="15.375" style="6" customWidth="1"/>
    <col min="509" max="509" width="21.25" style="6" customWidth="1"/>
    <col min="510" max="758" width="9.125" style="6" customWidth="1"/>
    <col min="759" max="759" width="6.375" style="6" customWidth="1"/>
    <col min="760" max="760" width="34.25" style="6" customWidth="1"/>
    <col min="761" max="761" width="7.375" style="6" customWidth="1"/>
    <col min="762" max="762" width="6.375" style="6" customWidth="1"/>
    <col min="763" max="763" width="13.125" style="6" customWidth="1"/>
    <col min="764" max="764" width="15.375" style="6" customWidth="1"/>
    <col min="765" max="765" width="21.25" style="6" customWidth="1"/>
    <col min="766" max="1014" width="9.125" style="6" customWidth="1"/>
    <col min="1015" max="1015" width="6.375" style="6" customWidth="1"/>
    <col min="1016" max="1016" width="34.25" style="6" customWidth="1"/>
    <col min="1017" max="1017" width="7.375" style="6" customWidth="1"/>
    <col min="1018" max="1018" width="6.375" style="6" customWidth="1"/>
    <col min="1019" max="1019" width="13.125" style="6" customWidth="1"/>
    <col min="1020" max="1020" width="15.375" style="6" customWidth="1"/>
    <col min="1021" max="1021" width="21.25" style="6" customWidth="1"/>
    <col min="1022" max="1270" width="9.125" style="6" customWidth="1"/>
    <col min="1271" max="1271" width="6.375" style="6" customWidth="1"/>
    <col min="1272" max="1272" width="34.25" style="6" customWidth="1"/>
    <col min="1273" max="1273" width="7.375" style="6" customWidth="1"/>
    <col min="1274" max="1274" width="6.375" style="6" customWidth="1"/>
    <col min="1275" max="1275" width="13.125" style="6" customWidth="1"/>
    <col min="1276" max="1276" width="15.375" style="6" customWidth="1"/>
    <col min="1277" max="1277" width="21.25" style="6" customWidth="1"/>
    <col min="1278" max="1526" width="9.125" style="6" customWidth="1"/>
    <col min="1527" max="1527" width="6.375" style="6" customWidth="1"/>
    <col min="1528" max="1528" width="34.25" style="6" customWidth="1"/>
    <col min="1529" max="1529" width="7.375" style="6" customWidth="1"/>
    <col min="1530" max="1530" width="6.375" style="6" customWidth="1"/>
    <col min="1531" max="1531" width="13.125" style="6" customWidth="1"/>
    <col min="1532" max="1532" width="15.375" style="6" customWidth="1"/>
    <col min="1533" max="1533" width="21.25" style="6" customWidth="1"/>
    <col min="1534" max="1782" width="9.125" style="6" customWidth="1"/>
    <col min="1783" max="1783" width="6.375" style="6" customWidth="1"/>
    <col min="1784" max="1784" width="34.25" style="6" customWidth="1"/>
    <col min="1785" max="1785" width="7.375" style="6" customWidth="1"/>
    <col min="1786" max="1786" width="6.375" style="6" customWidth="1"/>
    <col min="1787" max="1787" width="13.125" style="6" customWidth="1"/>
    <col min="1788" max="1788" width="15.375" style="6" customWidth="1"/>
    <col min="1789" max="1789" width="21.25" style="6" customWidth="1"/>
    <col min="1790" max="2038" width="9.125" style="6" customWidth="1"/>
    <col min="2039" max="2039" width="6.375" style="6" customWidth="1"/>
    <col min="2040" max="2040" width="34.25" style="6" customWidth="1"/>
    <col min="2041" max="2041" width="7.375" style="6" customWidth="1"/>
    <col min="2042" max="2042" width="6.375" style="6" customWidth="1"/>
    <col min="2043" max="2043" width="13.125" style="6" customWidth="1"/>
    <col min="2044" max="2044" width="15.375" style="6" customWidth="1"/>
    <col min="2045" max="2045" width="21.25" style="6" customWidth="1"/>
    <col min="2046" max="2294" width="9.125" style="6" customWidth="1"/>
    <col min="2295" max="2295" width="6.375" style="6" customWidth="1"/>
    <col min="2296" max="2296" width="34.25" style="6" customWidth="1"/>
    <col min="2297" max="2297" width="7.375" style="6" customWidth="1"/>
    <col min="2298" max="2298" width="6.375" style="6" customWidth="1"/>
    <col min="2299" max="2299" width="13.125" style="6" customWidth="1"/>
    <col min="2300" max="2300" width="15.375" style="6" customWidth="1"/>
    <col min="2301" max="2301" width="21.25" style="6" customWidth="1"/>
    <col min="2302" max="2550" width="9.125" style="6" customWidth="1"/>
    <col min="2551" max="2551" width="6.375" style="6" customWidth="1"/>
    <col min="2552" max="2552" width="34.25" style="6" customWidth="1"/>
    <col min="2553" max="2553" width="7.375" style="6" customWidth="1"/>
    <col min="2554" max="2554" width="6.375" style="6" customWidth="1"/>
    <col min="2555" max="2555" width="13.125" style="6" customWidth="1"/>
    <col min="2556" max="2556" width="15.375" style="6" customWidth="1"/>
    <col min="2557" max="2557" width="21.25" style="6" customWidth="1"/>
    <col min="2558" max="2806" width="9.125" style="6" customWidth="1"/>
    <col min="2807" max="2807" width="6.375" style="6" customWidth="1"/>
    <col min="2808" max="2808" width="34.25" style="6" customWidth="1"/>
    <col min="2809" max="2809" width="7.375" style="6" customWidth="1"/>
    <col min="2810" max="2810" width="6.375" style="6" customWidth="1"/>
    <col min="2811" max="2811" width="13.125" style="6" customWidth="1"/>
    <col min="2812" max="2812" width="15.375" style="6" customWidth="1"/>
    <col min="2813" max="2813" width="21.25" style="6" customWidth="1"/>
    <col min="2814" max="3062" width="9.125" style="6" customWidth="1"/>
    <col min="3063" max="3063" width="6.375" style="6" customWidth="1"/>
    <col min="3064" max="3064" width="34.25" style="6" customWidth="1"/>
    <col min="3065" max="3065" width="7.375" style="6" customWidth="1"/>
    <col min="3066" max="3066" width="6.375" style="6" customWidth="1"/>
    <col min="3067" max="3067" width="13.125" style="6" customWidth="1"/>
    <col min="3068" max="3068" width="15.375" style="6" customWidth="1"/>
    <col min="3069" max="3069" width="21.25" style="6" customWidth="1"/>
    <col min="3070" max="3318" width="9.125" style="6" customWidth="1"/>
    <col min="3319" max="3319" width="6.375" style="6" customWidth="1"/>
    <col min="3320" max="3320" width="34.25" style="6" customWidth="1"/>
    <col min="3321" max="3321" width="7.375" style="6" customWidth="1"/>
    <col min="3322" max="3322" width="6.375" style="6" customWidth="1"/>
    <col min="3323" max="3323" width="13.125" style="6" customWidth="1"/>
    <col min="3324" max="3324" width="15.375" style="6" customWidth="1"/>
    <col min="3325" max="3325" width="21.25" style="6" customWidth="1"/>
    <col min="3326" max="3574" width="9.125" style="6" customWidth="1"/>
    <col min="3575" max="3575" width="6.375" style="6" customWidth="1"/>
    <col min="3576" max="3576" width="34.25" style="6" customWidth="1"/>
    <col min="3577" max="3577" width="7.375" style="6" customWidth="1"/>
    <col min="3578" max="3578" width="6.375" style="6" customWidth="1"/>
    <col min="3579" max="3579" width="13.125" style="6" customWidth="1"/>
    <col min="3580" max="3580" width="15.375" style="6" customWidth="1"/>
    <col min="3581" max="3581" width="21.25" style="6" customWidth="1"/>
    <col min="3582" max="3830" width="9.125" style="6" customWidth="1"/>
    <col min="3831" max="3831" width="6.375" style="6" customWidth="1"/>
    <col min="3832" max="3832" width="34.25" style="6" customWidth="1"/>
    <col min="3833" max="3833" width="7.375" style="6" customWidth="1"/>
    <col min="3834" max="3834" width="6.375" style="6" customWidth="1"/>
    <col min="3835" max="3835" width="13.125" style="6" customWidth="1"/>
    <col min="3836" max="3836" width="15.375" style="6" customWidth="1"/>
    <col min="3837" max="3837" width="21.25" style="6" customWidth="1"/>
    <col min="3838" max="4086" width="9.125" style="6" customWidth="1"/>
    <col min="4087" max="4087" width="6.375" style="6" customWidth="1"/>
    <col min="4088" max="4088" width="34.25" style="6" customWidth="1"/>
    <col min="4089" max="4089" width="7.375" style="6" customWidth="1"/>
    <col min="4090" max="4090" width="6.375" style="6" customWidth="1"/>
    <col min="4091" max="4091" width="13.125" style="6" customWidth="1"/>
    <col min="4092" max="4092" width="15.375" style="6" customWidth="1"/>
    <col min="4093" max="4093" width="21.25" style="6" customWidth="1"/>
    <col min="4094" max="4342" width="9.125" style="6" customWidth="1"/>
    <col min="4343" max="4343" width="6.375" style="6" customWidth="1"/>
    <col min="4344" max="4344" width="34.25" style="6" customWidth="1"/>
    <col min="4345" max="4345" width="7.375" style="6" customWidth="1"/>
    <col min="4346" max="4346" width="6.375" style="6" customWidth="1"/>
    <col min="4347" max="4347" width="13.125" style="6" customWidth="1"/>
    <col min="4348" max="4348" width="15.375" style="6" customWidth="1"/>
    <col min="4349" max="4349" width="21.25" style="6" customWidth="1"/>
    <col min="4350" max="4598" width="9.125" style="6" customWidth="1"/>
    <col min="4599" max="4599" width="6.375" style="6" customWidth="1"/>
    <col min="4600" max="4600" width="34.25" style="6" customWidth="1"/>
    <col min="4601" max="4601" width="7.375" style="6" customWidth="1"/>
    <col min="4602" max="4602" width="6.375" style="6" customWidth="1"/>
    <col min="4603" max="4603" width="13.125" style="6" customWidth="1"/>
    <col min="4604" max="4604" width="15.375" style="6" customWidth="1"/>
    <col min="4605" max="4605" width="21.25" style="6" customWidth="1"/>
    <col min="4606" max="4854" width="9.125" style="6" customWidth="1"/>
    <col min="4855" max="4855" width="6.375" style="6" customWidth="1"/>
    <col min="4856" max="4856" width="34.25" style="6" customWidth="1"/>
    <col min="4857" max="4857" width="7.375" style="6" customWidth="1"/>
    <col min="4858" max="4858" width="6.375" style="6" customWidth="1"/>
    <col min="4859" max="4859" width="13.125" style="6" customWidth="1"/>
    <col min="4860" max="4860" width="15.375" style="6" customWidth="1"/>
    <col min="4861" max="4861" width="21.25" style="6" customWidth="1"/>
    <col min="4862" max="5110" width="9.125" style="6" customWidth="1"/>
    <col min="5111" max="5111" width="6.375" style="6" customWidth="1"/>
    <col min="5112" max="5112" width="34.25" style="6" customWidth="1"/>
    <col min="5113" max="5113" width="7.375" style="6" customWidth="1"/>
    <col min="5114" max="5114" width="6.375" style="6" customWidth="1"/>
    <col min="5115" max="5115" width="13.125" style="6" customWidth="1"/>
    <col min="5116" max="5116" width="15.375" style="6" customWidth="1"/>
    <col min="5117" max="5117" width="21.25" style="6" customWidth="1"/>
    <col min="5118" max="5366" width="9.125" style="6" customWidth="1"/>
    <col min="5367" max="5367" width="6.375" style="6" customWidth="1"/>
    <col min="5368" max="5368" width="34.25" style="6" customWidth="1"/>
    <col min="5369" max="5369" width="7.375" style="6" customWidth="1"/>
    <col min="5370" max="5370" width="6.375" style="6" customWidth="1"/>
    <col min="5371" max="5371" width="13.125" style="6" customWidth="1"/>
    <col min="5372" max="5372" width="15.375" style="6" customWidth="1"/>
    <col min="5373" max="5373" width="21.25" style="6" customWidth="1"/>
    <col min="5374" max="5622" width="9.125" style="6" customWidth="1"/>
    <col min="5623" max="5623" width="6.375" style="6" customWidth="1"/>
    <col min="5624" max="5624" width="34.25" style="6" customWidth="1"/>
    <col min="5625" max="5625" width="7.375" style="6" customWidth="1"/>
    <col min="5626" max="5626" width="6.375" style="6" customWidth="1"/>
    <col min="5627" max="5627" width="13.125" style="6" customWidth="1"/>
    <col min="5628" max="5628" width="15.375" style="6" customWidth="1"/>
    <col min="5629" max="5629" width="21.25" style="6" customWidth="1"/>
    <col min="5630" max="5878" width="9.125" style="6" customWidth="1"/>
    <col min="5879" max="5879" width="6.375" style="6" customWidth="1"/>
    <col min="5880" max="5880" width="34.25" style="6" customWidth="1"/>
    <col min="5881" max="5881" width="7.375" style="6" customWidth="1"/>
    <col min="5882" max="5882" width="6.375" style="6" customWidth="1"/>
    <col min="5883" max="5883" width="13.125" style="6" customWidth="1"/>
    <col min="5884" max="5884" width="15.375" style="6" customWidth="1"/>
    <col min="5885" max="5885" width="21.25" style="6" customWidth="1"/>
    <col min="5886" max="6134" width="9.125" style="6" customWidth="1"/>
    <col min="6135" max="6135" width="6.375" style="6" customWidth="1"/>
    <col min="6136" max="6136" width="34.25" style="6" customWidth="1"/>
    <col min="6137" max="6137" width="7.375" style="6" customWidth="1"/>
    <col min="6138" max="6138" width="6.375" style="6" customWidth="1"/>
    <col min="6139" max="6139" width="13.125" style="6" customWidth="1"/>
    <col min="6140" max="6140" width="15.375" style="6" customWidth="1"/>
    <col min="6141" max="6141" width="21.25" style="6" customWidth="1"/>
    <col min="6142" max="6390" width="9.125" style="6" customWidth="1"/>
    <col min="6391" max="6391" width="6.375" style="6" customWidth="1"/>
    <col min="6392" max="6392" width="34.25" style="6" customWidth="1"/>
    <col min="6393" max="6393" width="7.375" style="6" customWidth="1"/>
    <col min="6394" max="6394" width="6.375" style="6" customWidth="1"/>
    <col min="6395" max="6395" width="13.125" style="6" customWidth="1"/>
    <col min="6396" max="6396" width="15.375" style="6" customWidth="1"/>
    <col min="6397" max="6397" width="21.25" style="6" customWidth="1"/>
    <col min="6398" max="6646" width="9.125" style="6" customWidth="1"/>
    <col min="6647" max="6647" width="6.375" style="6" customWidth="1"/>
    <col min="6648" max="6648" width="34.25" style="6" customWidth="1"/>
    <col min="6649" max="6649" width="7.375" style="6" customWidth="1"/>
    <col min="6650" max="6650" width="6.375" style="6" customWidth="1"/>
    <col min="6651" max="6651" width="13.125" style="6" customWidth="1"/>
    <col min="6652" max="6652" width="15.375" style="6" customWidth="1"/>
    <col min="6653" max="6653" width="21.25" style="6" customWidth="1"/>
    <col min="6654" max="6902" width="9.125" style="6" customWidth="1"/>
    <col min="6903" max="6903" width="6.375" style="6" customWidth="1"/>
    <col min="6904" max="6904" width="34.25" style="6" customWidth="1"/>
    <col min="6905" max="6905" width="7.375" style="6" customWidth="1"/>
    <col min="6906" max="6906" width="6.375" style="6" customWidth="1"/>
    <col min="6907" max="6907" width="13.125" style="6" customWidth="1"/>
    <col min="6908" max="6908" width="15.375" style="6" customWidth="1"/>
    <col min="6909" max="6909" width="21.25" style="6" customWidth="1"/>
    <col min="6910" max="7158" width="9.125" style="6" customWidth="1"/>
    <col min="7159" max="7159" width="6.375" style="6" customWidth="1"/>
    <col min="7160" max="7160" width="34.25" style="6" customWidth="1"/>
    <col min="7161" max="7161" width="7.375" style="6" customWidth="1"/>
    <col min="7162" max="7162" width="6.375" style="6" customWidth="1"/>
    <col min="7163" max="7163" width="13.125" style="6" customWidth="1"/>
    <col min="7164" max="7164" width="15.375" style="6" customWidth="1"/>
    <col min="7165" max="7165" width="21.25" style="6" customWidth="1"/>
    <col min="7166" max="7414" width="9.125" style="6" customWidth="1"/>
    <col min="7415" max="7415" width="6.375" style="6" customWidth="1"/>
    <col min="7416" max="7416" width="34.25" style="6" customWidth="1"/>
    <col min="7417" max="7417" width="7.375" style="6" customWidth="1"/>
    <col min="7418" max="7418" width="6.375" style="6" customWidth="1"/>
    <col min="7419" max="7419" width="13.125" style="6" customWidth="1"/>
    <col min="7420" max="7420" width="15.375" style="6" customWidth="1"/>
    <col min="7421" max="7421" width="21.25" style="6" customWidth="1"/>
    <col min="7422" max="7670" width="9.125" style="6" customWidth="1"/>
    <col min="7671" max="7671" width="6.375" style="6" customWidth="1"/>
    <col min="7672" max="7672" width="34.25" style="6" customWidth="1"/>
    <col min="7673" max="7673" width="7.375" style="6" customWidth="1"/>
    <col min="7674" max="7674" width="6.375" style="6" customWidth="1"/>
    <col min="7675" max="7675" width="13.125" style="6" customWidth="1"/>
    <col min="7676" max="7676" width="15.375" style="6" customWidth="1"/>
    <col min="7677" max="7677" width="21.25" style="6" customWidth="1"/>
    <col min="7678" max="7926" width="9.125" style="6" customWidth="1"/>
    <col min="7927" max="7927" width="6.375" style="6" customWidth="1"/>
    <col min="7928" max="7928" width="34.25" style="6" customWidth="1"/>
    <col min="7929" max="7929" width="7.375" style="6" customWidth="1"/>
    <col min="7930" max="7930" width="6.375" style="6" customWidth="1"/>
    <col min="7931" max="7931" width="13.125" style="6" customWidth="1"/>
    <col min="7932" max="7932" width="15.375" style="6" customWidth="1"/>
    <col min="7933" max="7933" width="21.25" style="6" customWidth="1"/>
    <col min="7934" max="8182" width="9.125" style="6" customWidth="1"/>
    <col min="8183" max="8183" width="6.375" style="6" customWidth="1"/>
    <col min="8184" max="8184" width="34.25" style="6" customWidth="1"/>
    <col min="8185" max="8185" width="7.375" style="6" customWidth="1"/>
    <col min="8186" max="8186" width="6.375" style="6" customWidth="1"/>
    <col min="8187" max="8187" width="13.125" style="6" customWidth="1"/>
    <col min="8188" max="8188" width="15.375" style="6" customWidth="1"/>
    <col min="8189" max="8189" width="21.25" style="6" customWidth="1"/>
    <col min="8190" max="8438" width="9.125" style="6" customWidth="1"/>
    <col min="8439" max="8439" width="6.375" style="6" customWidth="1"/>
    <col min="8440" max="8440" width="34.25" style="6" customWidth="1"/>
    <col min="8441" max="8441" width="7.375" style="6" customWidth="1"/>
    <col min="8442" max="8442" width="6.375" style="6" customWidth="1"/>
    <col min="8443" max="8443" width="13.125" style="6" customWidth="1"/>
    <col min="8444" max="8444" width="15.375" style="6" customWidth="1"/>
    <col min="8445" max="8445" width="21.25" style="6" customWidth="1"/>
    <col min="8446" max="8694" width="9.125" style="6" customWidth="1"/>
    <col min="8695" max="8695" width="6.375" style="6" customWidth="1"/>
    <col min="8696" max="8696" width="34.25" style="6" customWidth="1"/>
    <col min="8697" max="8697" width="7.375" style="6" customWidth="1"/>
    <col min="8698" max="8698" width="6.375" style="6" customWidth="1"/>
    <col min="8699" max="8699" width="13.125" style="6" customWidth="1"/>
    <col min="8700" max="8700" width="15.375" style="6" customWidth="1"/>
    <col min="8701" max="8701" width="21.25" style="6" customWidth="1"/>
    <col min="8702" max="8950" width="9.125" style="6" customWidth="1"/>
    <col min="8951" max="8951" width="6.375" style="6" customWidth="1"/>
    <col min="8952" max="8952" width="34.25" style="6" customWidth="1"/>
    <col min="8953" max="8953" width="7.375" style="6" customWidth="1"/>
    <col min="8954" max="8954" width="6.375" style="6" customWidth="1"/>
    <col min="8955" max="8955" width="13.125" style="6" customWidth="1"/>
    <col min="8956" max="8956" width="15.375" style="6" customWidth="1"/>
    <col min="8957" max="8957" width="21.25" style="6" customWidth="1"/>
    <col min="8958" max="9206" width="9.125" style="6" customWidth="1"/>
    <col min="9207" max="9207" width="6.375" style="6" customWidth="1"/>
    <col min="9208" max="9208" width="34.25" style="6" customWidth="1"/>
    <col min="9209" max="9209" width="7.375" style="6" customWidth="1"/>
    <col min="9210" max="9210" width="6.375" style="6" customWidth="1"/>
    <col min="9211" max="9211" width="13.125" style="6" customWidth="1"/>
    <col min="9212" max="9212" width="15.375" style="6" customWidth="1"/>
    <col min="9213" max="9213" width="21.25" style="6" customWidth="1"/>
    <col min="9214" max="9462" width="9.125" style="6" customWidth="1"/>
    <col min="9463" max="9463" width="6.375" style="6" customWidth="1"/>
    <col min="9464" max="9464" width="34.25" style="6" customWidth="1"/>
    <col min="9465" max="9465" width="7.375" style="6" customWidth="1"/>
    <col min="9466" max="9466" width="6.375" style="6" customWidth="1"/>
    <col min="9467" max="9467" width="13.125" style="6" customWidth="1"/>
    <col min="9468" max="9468" width="15.375" style="6" customWidth="1"/>
    <col min="9469" max="9469" width="21.25" style="6" customWidth="1"/>
    <col min="9470" max="9718" width="9.125" style="6" customWidth="1"/>
    <col min="9719" max="9719" width="6.375" style="6" customWidth="1"/>
    <col min="9720" max="9720" width="34.25" style="6" customWidth="1"/>
    <col min="9721" max="9721" width="7.375" style="6" customWidth="1"/>
    <col min="9722" max="9722" width="6.375" style="6" customWidth="1"/>
    <col min="9723" max="9723" width="13.125" style="6" customWidth="1"/>
    <col min="9724" max="9724" width="15.375" style="6" customWidth="1"/>
    <col min="9725" max="9725" width="21.25" style="6" customWidth="1"/>
    <col min="9726" max="9974" width="9.125" style="6" customWidth="1"/>
    <col min="9975" max="9975" width="6.375" style="6" customWidth="1"/>
    <col min="9976" max="9976" width="34.25" style="6" customWidth="1"/>
    <col min="9977" max="9977" width="7.375" style="6" customWidth="1"/>
    <col min="9978" max="9978" width="6.375" style="6" customWidth="1"/>
    <col min="9979" max="9979" width="13.125" style="6" customWidth="1"/>
    <col min="9980" max="9980" width="15.375" style="6" customWidth="1"/>
    <col min="9981" max="9981" width="21.25" style="6" customWidth="1"/>
    <col min="9982" max="10230" width="9.125" style="6" customWidth="1"/>
    <col min="10231" max="10231" width="6.375" style="6" customWidth="1"/>
    <col min="10232" max="10232" width="34.25" style="6" customWidth="1"/>
    <col min="10233" max="10233" width="7.375" style="6" customWidth="1"/>
    <col min="10234" max="10234" width="6.375" style="6" customWidth="1"/>
    <col min="10235" max="10235" width="13.125" style="6" customWidth="1"/>
    <col min="10236" max="10236" width="15.375" style="6" customWidth="1"/>
    <col min="10237" max="10237" width="21.25" style="6" customWidth="1"/>
    <col min="10238" max="10486" width="9.125" style="6" customWidth="1"/>
    <col min="10487" max="10487" width="6.375" style="6" customWidth="1"/>
    <col min="10488" max="10488" width="34.25" style="6" customWidth="1"/>
    <col min="10489" max="10489" width="7.375" style="6" customWidth="1"/>
    <col min="10490" max="10490" width="6.375" style="6" customWidth="1"/>
    <col min="10491" max="10491" width="13.125" style="6" customWidth="1"/>
    <col min="10492" max="10492" width="15.375" style="6" customWidth="1"/>
    <col min="10493" max="10493" width="21.25" style="6" customWidth="1"/>
    <col min="10494" max="10742" width="9.125" style="6" customWidth="1"/>
    <col min="10743" max="10743" width="6.375" style="6" customWidth="1"/>
    <col min="10744" max="10744" width="34.25" style="6" customWidth="1"/>
    <col min="10745" max="10745" width="7.375" style="6" customWidth="1"/>
    <col min="10746" max="10746" width="6.375" style="6" customWidth="1"/>
    <col min="10747" max="10747" width="13.125" style="6" customWidth="1"/>
    <col min="10748" max="10748" width="15.375" style="6" customWidth="1"/>
    <col min="10749" max="10749" width="21.25" style="6" customWidth="1"/>
    <col min="10750" max="10998" width="9.125" style="6" customWidth="1"/>
    <col min="10999" max="10999" width="6.375" style="6" customWidth="1"/>
    <col min="11000" max="11000" width="34.25" style="6" customWidth="1"/>
    <col min="11001" max="11001" width="7.375" style="6" customWidth="1"/>
    <col min="11002" max="11002" width="6.375" style="6" customWidth="1"/>
    <col min="11003" max="11003" width="13.125" style="6" customWidth="1"/>
    <col min="11004" max="11004" width="15.375" style="6" customWidth="1"/>
    <col min="11005" max="11005" width="21.25" style="6" customWidth="1"/>
    <col min="11006" max="11254" width="9.125" style="6" customWidth="1"/>
    <col min="11255" max="11255" width="6.375" style="6" customWidth="1"/>
    <col min="11256" max="11256" width="34.25" style="6" customWidth="1"/>
    <col min="11257" max="11257" width="7.375" style="6" customWidth="1"/>
    <col min="11258" max="11258" width="6.375" style="6" customWidth="1"/>
    <col min="11259" max="11259" width="13.125" style="6" customWidth="1"/>
    <col min="11260" max="11260" width="15.375" style="6" customWidth="1"/>
    <col min="11261" max="11261" width="21.25" style="6" customWidth="1"/>
    <col min="11262" max="11510" width="9.125" style="6" customWidth="1"/>
    <col min="11511" max="11511" width="6.375" style="6" customWidth="1"/>
    <col min="11512" max="11512" width="34.25" style="6" customWidth="1"/>
    <col min="11513" max="11513" width="7.375" style="6" customWidth="1"/>
    <col min="11514" max="11514" width="6.375" style="6" customWidth="1"/>
    <col min="11515" max="11515" width="13.125" style="6" customWidth="1"/>
    <col min="11516" max="11516" width="15.375" style="6" customWidth="1"/>
    <col min="11517" max="11517" width="21.25" style="6" customWidth="1"/>
    <col min="11518" max="11766" width="9.125" style="6" customWidth="1"/>
    <col min="11767" max="11767" width="6.375" style="6" customWidth="1"/>
    <col min="11768" max="11768" width="34.25" style="6" customWidth="1"/>
    <col min="11769" max="11769" width="7.375" style="6" customWidth="1"/>
    <col min="11770" max="11770" width="6.375" style="6" customWidth="1"/>
    <col min="11771" max="11771" width="13.125" style="6" customWidth="1"/>
    <col min="11772" max="11772" width="15.375" style="6" customWidth="1"/>
    <col min="11773" max="11773" width="21.25" style="6" customWidth="1"/>
    <col min="11774" max="12022" width="9.125" style="6" customWidth="1"/>
    <col min="12023" max="12023" width="6.375" style="6" customWidth="1"/>
    <col min="12024" max="12024" width="34.25" style="6" customWidth="1"/>
    <col min="12025" max="12025" width="7.375" style="6" customWidth="1"/>
    <col min="12026" max="12026" width="6.375" style="6" customWidth="1"/>
    <col min="12027" max="12027" width="13.125" style="6" customWidth="1"/>
    <col min="12028" max="12028" width="15.375" style="6" customWidth="1"/>
    <col min="12029" max="12029" width="21.25" style="6" customWidth="1"/>
    <col min="12030" max="12278" width="9.125" style="6" customWidth="1"/>
    <col min="12279" max="12279" width="6.375" style="6" customWidth="1"/>
    <col min="12280" max="12280" width="34.25" style="6" customWidth="1"/>
    <col min="12281" max="12281" width="7.375" style="6" customWidth="1"/>
    <col min="12282" max="12282" width="6.375" style="6" customWidth="1"/>
    <col min="12283" max="12283" width="13.125" style="6" customWidth="1"/>
    <col min="12284" max="12284" width="15.375" style="6" customWidth="1"/>
    <col min="12285" max="12285" width="21.25" style="6" customWidth="1"/>
    <col min="12286" max="12534" width="9.125" style="6" customWidth="1"/>
    <col min="12535" max="12535" width="6.375" style="6" customWidth="1"/>
    <col min="12536" max="12536" width="34.25" style="6" customWidth="1"/>
    <col min="12537" max="12537" width="7.375" style="6" customWidth="1"/>
    <col min="12538" max="12538" width="6.375" style="6" customWidth="1"/>
    <col min="12539" max="12539" width="13.125" style="6" customWidth="1"/>
    <col min="12540" max="12540" width="15.375" style="6" customWidth="1"/>
    <col min="12541" max="12541" width="21.25" style="6" customWidth="1"/>
    <col min="12542" max="12790" width="9.125" style="6" customWidth="1"/>
    <col min="12791" max="12791" width="6.375" style="6" customWidth="1"/>
    <col min="12792" max="12792" width="34.25" style="6" customWidth="1"/>
    <col min="12793" max="12793" width="7.375" style="6" customWidth="1"/>
    <col min="12794" max="12794" width="6.375" style="6" customWidth="1"/>
    <col min="12795" max="12795" width="13.125" style="6" customWidth="1"/>
    <col min="12796" max="12796" width="15.375" style="6" customWidth="1"/>
    <col min="12797" max="12797" width="21.25" style="6" customWidth="1"/>
    <col min="12798" max="13046" width="9.125" style="6" customWidth="1"/>
    <col min="13047" max="13047" width="6.375" style="6" customWidth="1"/>
    <col min="13048" max="13048" width="34.25" style="6" customWidth="1"/>
    <col min="13049" max="13049" width="7.375" style="6" customWidth="1"/>
    <col min="13050" max="13050" width="6.375" style="6" customWidth="1"/>
    <col min="13051" max="13051" width="13.125" style="6" customWidth="1"/>
    <col min="13052" max="13052" width="15.375" style="6" customWidth="1"/>
    <col min="13053" max="13053" width="21.25" style="6" customWidth="1"/>
    <col min="13054" max="13302" width="9.125" style="6" customWidth="1"/>
    <col min="13303" max="13303" width="6.375" style="6" customWidth="1"/>
    <col min="13304" max="13304" width="34.25" style="6" customWidth="1"/>
    <col min="13305" max="13305" width="7.375" style="6" customWidth="1"/>
    <col min="13306" max="13306" width="6.375" style="6" customWidth="1"/>
    <col min="13307" max="13307" width="13.125" style="6" customWidth="1"/>
    <col min="13308" max="13308" width="15.375" style="6" customWidth="1"/>
    <col min="13309" max="13309" width="21.25" style="6" customWidth="1"/>
    <col min="13310" max="13558" width="9.125" style="6" customWidth="1"/>
    <col min="13559" max="13559" width="6.375" style="6" customWidth="1"/>
    <col min="13560" max="13560" width="34.25" style="6" customWidth="1"/>
    <col min="13561" max="13561" width="7.375" style="6" customWidth="1"/>
    <col min="13562" max="13562" width="6.375" style="6" customWidth="1"/>
    <col min="13563" max="13563" width="13.125" style="6" customWidth="1"/>
    <col min="13564" max="13564" width="15.375" style="6" customWidth="1"/>
    <col min="13565" max="13565" width="21.25" style="6" customWidth="1"/>
    <col min="13566" max="13814" width="9.125" style="6" customWidth="1"/>
    <col min="13815" max="13815" width="6.375" style="6" customWidth="1"/>
    <col min="13816" max="13816" width="34.25" style="6" customWidth="1"/>
    <col min="13817" max="13817" width="7.375" style="6" customWidth="1"/>
    <col min="13818" max="13818" width="6.375" style="6" customWidth="1"/>
    <col min="13819" max="13819" width="13.125" style="6" customWidth="1"/>
    <col min="13820" max="13820" width="15.375" style="6" customWidth="1"/>
    <col min="13821" max="13821" width="21.25" style="6" customWidth="1"/>
    <col min="13822" max="14070" width="9.125" style="6" customWidth="1"/>
    <col min="14071" max="14071" width="6.375" style="6" customWidth="1"/>
    <col min="14072" max="14072" width="34.25" style="6" customWidth="1"/>
    <col min="14073" max="14073" width="7.375" style="6" customWidth="1"/>
    <col min="14074" max="14074" width="6.375" style="6" customWidth="1"/>
    <col min="14075" max="14075" width="13.125" style="6" customWidth="1"/>
    <col min="14076" max="14076" width="15.375" style="6" customWidth="1"/>
    <col min="14077" max="14077" width="21.25" style="6" customWidth="1"/>
    <col min="14078" max="14326" width="9.125" style="6" customWidth="1"/>
    <col min="14327" max="14327" width="6.375" style="6" customWidth="1"/>
    <col min="14328" max="14328" width="34.25" style="6" customWidth="1"/>
    <col min="14329" max="14329" width="7.375" style="6" customWidth="1"/>
    <col min="14330" max="14330" width="6.375" style="6" customWidth="1"/>
    <col min="14331" max="14331" width="13.125" style="6" customWidth="1"/>
    <col min="14332" max="14332" width="15.375" style="6" customWidth="1"/>
    <col min="14333" max="14333" width="21.25" style="6" customWidth="1"/>
    <col min="14334" max="14582" width="9.125" style="6" customWidth="1"/>
    <col min="14583" max="14583" width="6.375" style="6" customWidth="1"/>
    <col min="14584" max="14584" width="34.25" style="6" customWidth="1"/>
    <col min="14585" max="14585" width="7.375" style="6" customWidth="1"/>
    <col min="14586" max="14586" width="6.375" style="6" customWidth="1"/>
    <col min="14587" max="14587" width="13.125" style="6" customWidth="1"/>
    <col min="14588" max="14588" width="15.375" style="6" customWidth="1"/>
    <col min="14589" max="14589" width="21.25" style="6" customWidth="1"/>
    <col min="14590" max="14838" width="9.125" style="6" customWidth="1"/>
    <col min="14839" max="14839" width="6.375" style="6" customWidth="1"/>
    <col min="14840" max="14840" width="34.25" style="6" customWidth="1"/>
    <col min="14841" max="14841" width="7.375" style="6" customWidth="1"/>
    <col min="14842" max="14842" width="6.375" style="6" customWidth="1"/>
    <col min="14843" max="14843" width="13.125" style="6" customWidth="1"/>
    <col min="14844" max="14844" width="15.375" style="6" customWidth="1"/>
    <col min="14845" max="14845" width="21.25" style="6" customWidth="1"/>
    <col min="14846" max="15094" width="9.125" style="6" customWidth="1"/>
    <col min="15095" max="15095" width="6.375" style="6" customWidth="1"/>
    <col min="15096" max="15096" width="34.25" style="6" customWidth="1"/>
    <col min="15097" max="15097" width="7.375" style="6" customWidth="1"/>
    <col min="15098" max="15098" width="6.375" style="6" customWidth="1"/>
    <col min="15099" max="15099" width="13.125" style="6" customWidth="1"/>
    <col min="15100" max="15100" width="15.375" style="6" customWidth="1"/>
    <col min="15101" max="15101" width="21.25" style="6" customWidth="1"/>
    <col min="15102" max="15350" width="9.125" style="6" customWidth="1"/>
    <col min="15351" max="15351" width="6.375" style="6" customWidth="1"/>
    <col min="15352" max="15352" width="34.25" style="6" customWidth="1"/>
    <col min="15353" max="15353" width="7.375" style="6" customWidth="1"/>
    <col min="15354" max="15354" width="6.375" style="6" customWidth="1"/>
    <col min="15355" max="15355" width="13.125" style="6" customWidth="1"/>
    <col min="15356" max="15356" width="15.375" style="6" customWidth="1"/>
    <col min="15357" max="15357" width="21.25" style="6" customWidth="1"/>
    <col min="15358" max="15606" width="9.125" style="6" customWidth="1"/>
    <col min="15607" max="15607" width="6.375" style="6" customWidth="1"/>
    <col min="15608" max="15608" width="34.25" style="6" customWidth="1"/>
    <col min="15609" max="15609" width="7.375" style="6" customWidth="1"/>
    <col min="15610" max="15610" width="6.375" style="6" customWidth="1"/>
    <col min="15611" max="15611" width="13.125" style="6" customWidth="1"/>
    <col min="15612" max="15612" width="15.375" style="6" customWidth="1"/>
    <col min="15613" max="15613" width="21.25" style="6" customWidth="1"/>
    <col min="15614" max="15862" width="9.125" style="6" customWidth="1"/>
    <col min="15863" max="15863" width="6.375" style="6" customWidth="1"/>
    <col min="15864" max="15864" width="34.25" style="6" customWidth="1"/>
    <col min="15865" max="15865" width="7.375" style="6" customWidth="1"/>
    <col min="15866" max="15866" width="6.375" style="6" customWidth="1"/>
    <col min="15867" max="15867" width="13.125" style="6" customWidth="1"/>
    <col min="15868" max="15868" width="15.375" style="6" customWidth="1"/>
    <col min="15869" max="15869" width="21.25" style="6" customWidth="1"/>
    <col min="15870" max="16118" width="9.125" style="6" customWidth="1"/>
    <col min="16119" max="16119" width="6.375" style="6" customWidth="1"/>
    <col min="16120" max="16120" width="34.25" style="6" customWidth="1"/>
    <col min="16121" max="16121" width="7.375" style="6" customWidth="1"/>
    <col min="16122" max="16122" width="6.375" style="6" customWidth="1"/>
    <col min="16123" max="16123" width="13.125" style="6" customWidth="1"/>
    <col min="16124" max="16124" width="15.375" style="6" customWidth="1"/>
    <col min="16125" max="16125" width="21.25" style="6" customWidth="1"/>
    <col min="16126" max="16384" width="9.125" style="6" customWidth="1"/>
  </cols>
  <sheetData>
    <row r="1" spans="1:11" ht="48" customHeight="1"/>
    <row r="2" spans="1:11" s="1" customFormat="1" ht="51" customHeight="1">
      <c r="A2" s="10" t="s">
        <v>439</v>
      </c>
      <c r="B2" s="11"/>
      <c r="C2" s="11"/>
      <c r="D2" s="14"/>
      <c r="E2" s="61"/>
      <c r="F2" s="61"/>
      <c r="G2" s="61"/>
      <c r="H2" s="61"/>
      <c r="I2" s="12"/>
    </row>
    <row r="3" spans="1:11" ht="27" customHeight="1">
      <c r="A3" s="16"/>
      <c r="B3" s="17" t="s">
        <v>440</v>
      </c>
      <c r="C3" s="213"/>
      <c r="D3" s="214"/>
      <c r="E3" s="215"/>
      <c r="F3" s="215"/>
      <c r="G3" s="215"/>
      <c r="H3" s="215"/>
      <c r="I3" s="213"/>
    </row>
    <row r="4" spans="1:11" ht="27" customHeight="1">
      <c r="A4" s="18"/>
      <c r="B4" s="5" t="s">
        <v>441</v>
      </c>
      <c r="C4" s="216"/>
      <c r="D4" s="214"/>
      <c r="E4" s="215"/>
      <c r="F4" s="215"/>
      <c r="G4" s="215"/>
      <c r="H4" s="215"/>
      <c r="I4" s="213"/>
    </row>
    <row r="5" spans="1:11" ht="24.75" customHeight="1">
      <c r="A5" s="18"/>
      <c r="B5" s="5" t="s">
        <v>442</v>
      </c>
      <c r="C5" s="216"/>
      <c r="D5" s="214"/>
      <c r="E5" s="215"/>
      <c r="F5" s="215"/>
      <c r="G5" s="215"/>
      <c r="H5" s="215"/>
      <c r="I5" s="213"/>
    </row>
    <row r="6" spans="1:11" ht="14.25" customHeight="1">
      <c r="A6" s="18"/>
      <c r="B6" s="5" t="s">
        <v>443</v>
      </c>
      <c r="C6" s="216"/>
      <c r="D6" s="214"/>
      <c r="E6" s="215"/>
      <c r="F6" s="215"/>
      <c r="G6" s="215"/>
      <c r="H6" s="215"/>
      <c r="I6" s="213"/>
    </row>
    <row r="7" spans="1:11" ht="14.25" customHeight="1">
      <c r="A7" s="18"/>
      <c r="B7" s="5" t="s">
        <v>444</v>
      </c>
      <c r="C7" s="216" t="s">
        <v>445</v>
      </c>
      <c r="D7" s="214"/>
      <c r="E7" s="215"/>
      <c r="F7" s="215"/>
      <c r="G7" s="215"/>
      <c r="H7" s="215"/>
      <c r="I7" s="213"/>
    </row>
    <row r="8" spans="1:11" s="2" customFormat="1" ht="38.25" customHeight="1">
      <c r="A8" s="19" t="s">
        <v>446</v>
      </c>
      <c r="B8" s="19" t="s">
        <v>447</v>
      </c>
      <c r="C8" s="19" t="s">
        <v>448</v>
      </c>
      <c r="D8" s="19" t="s">
        <v>449</v>
      </c>
      <c r="E8" s="19" t="s">
        <v>450</v>
      </c>
      <c r="F8" s="84" t="s">
        <v>451</v>
      </c>
      <c r="G8" s="19" t="s">
        <v>452</v>
      </c>
      <c r="H8" s="84" t="s">
        <v>453</v>
      </c>
      <c r="I8" s="19" t="s">
        <v>454</v>
      </c>
    </row>
    <row r="9" spans="1:11" s="59" customFormat="1" ht="25.5" customHeight="1">
      <c r="A9" s="62" t="s">
        <v>455</v>
      </c>
      <c r="B9" s="63" t="s">
        <v>456</v>
      </c>
      <c r="C9" s="64" t="s">
        <v>457</v>
      </c>
      <c r="D9" s="65">
        <v>1</v>
      </c>
      <c r="E9" s="82"/>
      <c r="F9" s="82"/>
      <c r="G9" s="49">
        <f>SUBTOTAL(9,G10:G34)</f>
        <v>844167614123.95459</v>
      </c>
      <c r="H9" s="49" t="e">
        <f>SUBTOTAL(9,H10:H34)</f>
        <v>#VALUE!</v>
      </c>
      <c r="I9" s="63"/>
    </row>
    <row r="10" spans="1:11" s="4" customFormat="1" ht="25.5" customHeight="1" outlineLevel="1">
      <c r="A10" s="27" t="s">
        <v>458</v>
      </c>
      <c r="B10" s="28" t="s">
        <v>0</v>
      </c>
      <c r="C10" s="29" t="s">
        <v>457</v>
      </c>
      <c r="D10" s="30">
        <v>1</v>
      </c>
      <c r="E10" s="82">
        <f>'1A'!J9</f>
        <v>90448258261.255066</v>
      </c>
      <c r="F10" s="83">
        <f>+'1A'!K9</f>
        <v>91218444357.237183</v>
      </c>
      <c r="G10" s="32">
        <f t="shared" ref="G10:G41" si="0">+D10*E10</f>
        <v>90448258261.255066</v>
      </c>
      <c r="H10" s="58">
        <f t="shared" ref="H10:H27" si="1">+D10*F10</f>
        <v>91218444357.237183</v>
      </c>
      <c r="I10" s="28"/>
      <c r="K10" s="104"/>
    </row>
    <row r="11" spans="1:11" s="4" customFormat="1" ht="25.5" customHeight="1" outlineLevel="1">
      <c r="A11" s="27" t="s">
        <v>459</v>
      </c>
      <c r="B11" s="28" t="s">
        <v>163</v>
      </c>
      <c r="C11" s="29" t="s">
        <v>457</v>
      </c>
      <c r="D11" s="30">
        <v>1</v>
      </c>
      <c r="E11" s="82">
        <f>'2A'!J9</f>
        <v>86908268951.523987</v>
      </c>
      <c r="F11" s="83">
        <f>+'2A'!K9</f>
        <v>87899232041.337769</v>
      </c>
      <c r="G11" s="32">
        <f t="shared" si="0"/>
        <v>86908268951.523987</v>
      </c>
      <c r="H11" s="58">
        <f t="shared" si="1"/>
        <v>87899232041.337769</v>
      </c>
      <c r="I11" s="28"/>
      <c r="K11" s="104"/>
    </row>
    <row r="12" spans="1:11" s="4" customFormat="1" ht="25.5" customHeight="1" outlineLevel="1">
      <c r="A12" s="27" t="s">
        <v>460</v>
      </c>
      <c r="B12" s="28" t="s">
        <v>171</v>
      </c>
      <c r="C12" s="29" t="s">
        <v>457</v>
      </c>
      <c r="D12" s="30">
        <v>1</v>
      </c>
      <c r="E12" s="82">
        <f>'3A'!J9</f>
        <v>92953722949.404449</v>
      </c>
      <c r="F12" s="83">
        <f>+'3A'!K9</f>
        <v>93648496088.878311</v>
      </c>
      <c r="G12" s="32">
        <f t="shared" si="0"/>
        <v>92953722949.404449</v>
      </c>
      <c r="H12" s="58">
        <f t="shared" si="1"/>
        <v>93648496088.878311</v>
      </c>
      <c r="I12" s="28"/>
      <c r="K12" s="104"/>
    </row>
    <row r="13" spans="1:11" s="4" customFormat="1" ht="25.5" customHeight="1" outlineLevel="1">
      <c r="A13" s="27" t="s">
        <v>461</v>
      </c>
      <c r="B13" s="28" t="s">
        <v>187</v>
      </c>
      <c r="C13" s="29" t="s">
        <v>457</v>
      </c>
      <c r="D13" s="30">
        <v>1</v>
      </c>
      <c r="E13" s="82">
        <f>'4A'!K9</f>
        <v>119341024358.40504</v>
      </c>
      <c r="F13" s="83">
        <f>+'4A'!L9</f>
        <v>134772900342.17699</v>
      </c>
      <c r="G13" s="32">
        <f t="shared" si="0"/>
        <v>119341024358.40504</v>
      </c>
      <c r="H13" s="58">
        <f t="shared" si="1"/>
        <v>134772900342.17699</v>
      </c>
      <c r="I13" s="28"/>
      <c r="K13" s="104"/>
    </row>
    <row r="14" spans="1:11" s="4" customFormat="1" ht="25.5" customHeight="1" outlineLevel="1">
      <c r="A14" s="27" t="s">
        <v>462</v>
      </c>
      <c r="B14" s="28" t="s">
        <v>198</v>
      </c>
      <c r="C14" s="29" t="s">
        <v>457</v>
      </c>
      <c r="D14" s="30">
        <v>1</v>
      </c>
      <c r="E14" s="82">
        <f>'5A'!K9</f>
        <v>94570531605.521805</v>
      </c>
      <c r="F14" s="83">
        <f>+'5A'!L9</f>
        <v>87712753373.474426</v>
      </c>
      <c r="G14" s="32">
        <f t="shared" si="0"/>
        <v>94570531605.521805</v>
      </c>
      <c r="H14" s="58">
        <f t="shared" si="1"/>
        <v>87712753373.474426</v>
      </c>
      <c r="I14" s="28"/>
      <c r="K14" s="104"/>
    </row>
    <row r="15" spans="1:11" s="4" customFormat="1" ht="25.5" customHeight="1" outlineLevel="1">
      <c r="A15" s="27" t="s">
        <v>463</v>
      </c>
      <c r="B15" s="28" t="s">
        <v>199</v>
      </c>
      <c r="C15" s="29" t="s">
        <v>457</v>
      </c>
      <c r="D15" s="30">
        <v>1</v>
      </c>
      <c r="E15" s="82">
        <f>'6A'!J9</f>
        <v>73994582009.469574</v>
      </c>
      <c r="F15" s="83" t="e">
        <f>+'6A'!K9</f>
        <v>#VALUE!</v>
      </c>
      <c r="G15" s="32">
        <f t="shared" si="0"/>
        <v>73994582009.469574</v>
      </c>
      <c r="H15" s="58" t="e">
        <f t="shared" si="1"/>
        <v>#VALUE!</v>
      </c>
      <c r="I15" s="28"/>
      <c r="K15" s="104"/>
    </row>
    <row r="16" spans="1:11" s="4" customFormat="1" ht="25.5" customHeight="1" outlineLevel="1">
      <c r="A16" s="27" t="s">
        <v>464</v>
      </c>
      <c r="B16" s="28" t="s">
        <v>200</v>
      </c>
      <c r="C16" s="29" t="s">
        <v>457</v>
      </c>
      <c r="D16" s="30">
        <v>1</v>
      </c>
      <c r="E16" s="82">
        <f>'7A'!J9</f>
        <v>71761269208.254242</v>
      </c>
      <c r="F16" s="83">
        <f>+'7A'!K9</f>
        <v>72115055044.839615</v>
      </c>
      <c r="G16" s="32">
        <f t="shared" si="0"/>
        <v>71761269208.254242</v>
      </c>
      <c r="H16" s="58">
        <f t="shared" si="1"/>
        <v>72115055044.839615</v>
      </c>
      <c r="I16" s="28"/>
      <c r="K16" s="104"/>
    </row>
    <row r="17" spans="1:11" s="4" customFormat="1" ht="25.5" customHeight="1" outlineLevel="1">
      <c r="A17" s="27" t="s">
        <v>465</v>
      </c>
      <c r="B17" s="28" t="s">
        <v>201</v>
      </c>
      <c r="C17" s="29" t="s">
        <v>457</v>
      </c>
      <c r="D17" s="30">
        <v>1</v>
      </c>
      <c r="E17" s="82">
        <f>'8A'!J9</f>
        <v>75544945444.270844</v>
      </c>
      <c r="F17" s="83">
        <f>+'8A'!K9</f>
        <v>76319241943.360397</v>
      </c>
      <c r="G17" s="32">
        <f t="shared" si="0"/>
        <v>75544945444.270844</v>
      </c>
      <c r="H17" s="58">
        <f t="shared" si="1"/>
        <v>76319241943.360397</v>
      </c>
      <c r="I17" s="28"/>
      <c r="K17" s="104"/>
    </row>
    <row r="18" spans="1:11" s="4" customFormat="1" ht="25.5" customHeight="1" outlineLevel="1">
      <c r="A18" s="27" t="s">
        <v>466</v>
      </c>
      <c r="B18" s="28" t="s">
        <v>204</v>
      </c>
      <c r="C18" s="29" t="s">
        <v>457</v>
      </c>
      <c r="D18" s="30">
        <v>1</v>
      </c>
      <c r="E18" s="82">
        <f>'9A'!J9</f>
        <v>2202874135.3927131</v>
      </c>
      <c r="F18" s="83">
        <f>+'9A'!K9</f>
        <v>2223964180.8084264</v>
      </c>
      <c r="G18" s="32">
        <f t="shared" si="0"/>
        <v>2202874135.3927131</v>
      </c>
      <c r="H18" s="58">
        <f t="shared" si="1"/>
        <v>2223964180.8084264</v>
      </c>
      <c r="I18" s="28"/>
      <c r="K18" s="104"/>
    </row>
    <row r="19" spans="1:11" s="4" customFormat="1" ht="25.5" customHeight="1" outlineLevel="1">
      <c r="A19" s="27" t="s">
        <v>467</v>
      </c>
      <c r="B19" s="28" t="s">
        <v>208</v>
      </c>
      <c r="C19" s="29" t="s">
        <v>457</v>
      </c>
      <c r="D19" s="30">
        <v>1</v>
      </c>
      <c r="E19" s="82">
        <f>'10A'!J9</f>
        <v>1987246162.0900385</v>
      </c>
      <c r="F19" s="83">
        <f>+'10A'!K9</f>
        <v>1988765216.7945478</v>
      </c>
      <c r="G19" s="32">
        <f t="shared" si="0"/>
        <v>1987246162.0900385</v>
      </c>
      <c r="H19" s="58">
        <f t="shared" si="1"/>
        <v>1988765216.7945478</v>
      </c>
      <c r="I19" s="28"/>
      <c r="K19" s="104"/>
    </row>
    <row r="20" spans="1:11" s="4" customFormat="1" ht="25.5" customHeight="1" outlineLevel="1">
      <c r="A20" s="27" t="s">
        <v>468</v>
      </c>
      <c r="B20" s="28" t="s">
        <v>212</v>
      </c>
      <c r="C20" s="29" t="s">
        <v>457</v>
      </c>
      <c r="D20" s="30">
        <v>1</v>
      </c>
      <c r="E20" s="82">
        <f>'11A'!J9</f>
        <v>6370625675.1176481</v>
      </c>
      <c r="F20" s="83">
        <f>+'11A'!K9</f>
        <v>7021775274.6288748</v>
      </c>
      <c r="G20" s="32">
        <f t="shared" si="0"/>
        <v>6370625675.1176481</v>
      </c>
      <c r="H20" s="58">
        <f t="shared" si="1"/>
        <v>7021775274.6288748</v>
      </c>
      <c r="I20" s="28"/>
      <c r="K20" s="104"/>
    </row>
    <row r="21" spans="1:11" s="4" customFormat="1" ht="25.5" customHeight="1" outlineLevel="1">
      <c r="A21" s="27" t="s">
        <v>469</v>
      </c>
      <c r="B21" s="28" t="s">
        <v>216</v>
      </c>
      <c r="C21" s="29" t="s">
        <v>457</v>
      </c>
      <c r="D21" s="30">
        <v>1</v>
      </c>
      <c r="E21" s="82">
        <f>'12A'!J9</f>
        <v>10644382875.303942</v>
      </c>
      <c r="F21" s="83">
        <f>+'12A'!K9</f>
        <v>11369451097.039885</v>
      </c>
      <c r="G21" s="32">
        <f t="shared" si="0"/>
        <v>10644382875.303942</v>
      </c>
      <c r="H21" s="58">
        <f t="shared" si="1"/>
        <v>11369451097.039885</v>
      </c>
      <c r="I21" s="28"/>
      <c r="K21" s="104"/>
    </row>
    <row r="22" spans="1:11" s="4" customFormat="1" ht="25.5" customHeight="1" outlineLevel="1">
      <c r="A22" s="27" t="s">
        <v>470</v>
      </c>
      <c r="B22" s="28" t="s">
        <v>218</v>
      </c>
      <c r="C22" s="29" t="s">
        <v>457</v>
      </c>
      <c r="D22" s="30">
        <v>1</v>
      </c>
      <c r="E22" s="82">
        <f>'13A'!J9</f>
        <v>49939373628.017723</v>
      </c>
      <c r="F22" s="83">
        <f>+'13A'!K9</f>
        <v>50274528902.661842</v>
      </c>
      <c r="G22" s="32">
        <f t="shared" si="0"/>
        <v>49939373628.017723</v>
      </c>
      <c r="H22" s="58">
        <f t="shared" si="1"/>
        <v>50274528902.661842</v>
      </c>
      <c r="I22" s="28"/>
      <c r="K22" s="104"/>
    </row>
    <row r="23" spans="1:11" s="4" customFormat="1" ht="25.5" customHeight="1" outlineLevel="1">
      <c r="A23" s="27" t="s">
        <v>471</v>
      </c>
      <c r="B23" s="28" t="s">
        <v>242</v>
      </c>
      <c r="C23" s="29" t="s">
        <v>457</v>
      </c>
      <c r="D23" s="30">
        <v>1</v>
      </c>
      <c r="E23" s="82">
        <f>'14A'!J9</f>
        <v>30179795221.327087</v>
      </c>
      <c r="F23" s="83">
        <f>+'14A'!K9</f>
        <v>29821143288.72583</v>
      </c>
      <c r="G23" s="32">
        <f t="shared" si="0"/>
        <v>30179795221.327087</v>
      </c>
      <c r="H23" s="58">
        <f t="shared" si="1"/>
        <v>29821143288.72583</v>
      </c>
      <c r="I23" s="28"/>
      <c r="K23" s="104"/>
    </row>
    <row r="24" spans="1:11" s="4" customFormat="1" ht="25.5" customHeight="1" outlineLevel="1">
      <c r="A24" s="27" t="s">
        <v>472</v>
      </c>
      <c r="B24" s="28" t="s">
        <v>267</v>
      </c>
      <c r="C24" s="29" t="s">
        <v>457</v>
      </c>
      <c r="D24" s="30">
        <v>1</v>
      </c>
      <c r="E24" s="82">
        <f>'15A'!J9</f>
        <v>15242508528.299976</v>
      </c>
      <c r="F24" s="83">
        <f>+'15A'!K9</f>
        <v>15248528568.61574</v>
      </c>
      <c r="G24" s="32">
        <f t="shared" si="0"/>
        <v>15242508528.299976</v>
      </c>
      <c r="H24" s="58">
        <f t="shared" si="1"/>
        <v>15248528568.61574</v>
      </c>
      <c r="I24" s="28"/>
      <c r="K24" s="104"/>
    </row>
    <row r="25" spans="1:11" s="4" customFormat="1" ht="25.5" customHeight="1" outlineLevel="1">
      <c r="A25" s="27" t="s">
        <v>473</v>
      </c>
      <c r="B25" s="28" t="s">
        <v>277</v>
      </c>
      <c r="C25" s="29" t="s">
        <v>457</v>
      </c>
      <c r="D25" s="30">
        <v>1</v>
      </c>
      <c r="E25" s="82">
        <f>'16A'!I9</f>
        <v>4404193730.2779694</v>
      </c>
      <c r="F25" s="82">
        <f>+E25</f>
        <v>4404193730.2779694</v>
      </c>
      <c r="G25" s="32">
        <f t="shared" si="0"/>
        <v>4404193730.2779694</v>
      </c>
      <c r="H25" s="32">
        <f t="shared" si="1"/>
        <v>4404193730.2779694</v>
      </c>
      <c r="I25" s="28"/>
    </row>
    <row r="26" spans="1:11" s="4" customFormat="1" ht="25.5" customHeight="1" outlineLevel="1">
      <c r="A26" s="27" t="s">
        <v>474</v>
      </c>
      <c r="B26" s="28" t="s">
        <v>280</v>
      </c>
      <c r="C26" s="29" t="s">
        <v>457</v>
      </c>
      <c r="D26" s="30">
        <v>1</v>
      </c>
      <c r="E26" s="82">
        <f>'17A'!I9</f>
        <v>3160789913.5902567</v>
      </c>
      <c r="F26" s="82">
        <f>+E26</f>
        <v>3160789913.5902567</v>
      </c>
      <c r="G26" s="32">
        <f t="shared" si="0"/>
        <v>3160789913.5902567</v>
      </c>
      <c r="H26" s="32">
        <f t="shared" si="1"/>
        <v>3160789913.5902567</v>
      </c>
      <c r="I26" s="28"/>
    </row>
    <row r="27" spans="1:11" s="4" customFormat="1" ht="25.5" customHeight="1" outlineLevel="1">
      <c r="A27" s="27" t="s">
        <v>475</v>
      </c>
      <c r="B27" s="28" t="s">
        <v>281</v>
      </c>
      <c r="C27" s="29" t="s">
        <v>457</v>
      </c>
      <c r="D27" s="30">
        <v>1</v>
      </c>
      <c r="E27" s="82">
        <f>'18A'!I9</f>
        <v>1473155808.489702</v>
      </c>
      <c r="F27" s="82">
        <f>+E27</f>
        <v>1473155808.489702</v>
      </c>
      <c r="G27" s="32">
        <f t="shared" si="0"/>
        <v>1473155808.489702</v>
      </c>
      <c r="H27" s="32">
        <f t="shared" si="1"/>
        <v>1473155808.489702</v>
      </c>
      <c r="I27" s="28"/>
    </row>
    <row r="28" spans="1:11" s="4" customFormat="1" ht="25.5" customHeight="1" outlineLevel="1">
      <c r="A28" s="27" t="s">
        <v>476</v>
      </c>
      <c r="B28" s="28" t="s">
        <v>294</v>
      </c>
      <c r="C28" s="29" t="s">
        <v>457</v>
      </c>
      <c r="D28" s="30">
        <v>1</v>
      </c>
      <c r="E28" s="82">
        <f>'19A'!I9</f>
        <v>1362703570.900537</v>
      </c>
      <c r="F28" s="82">
        <f>+E28</f>
        <v>1362703570.900537</v>
      </c>
      <c r="G28" s="32">
        <f t="shared" si="0"/>
        <v>1362703570.900537</v>
      </c>
      <c r="H28" s="32">
        <f>+D28*F28</f>
        <v>1362703570.900537</v>
      </c>
      <c r="I28" s="28"/>
    </row>
    <row r="29" spans="1:11" s="4" customFormat="1" ht="38.25" customHeight="1" outlineLevel="1">
      <c r="A29" s="27" t="s">
        <v>477</v>
      </c>
      <c r="B29" s="28" t="s">
        <v>478</v>
      </c>
      <c r="C29" s="29" t="s">
        <v>457</v>
      </c>
      <c r="D29" s="30">
        <v>0</v>
      </c>
      <c r="E29" s="30">
        <v>0</v>
      </c>
      <c r="F29" s="30">
        <v>0</v>
      </c>
      <c r="G29" s="30">
        <v>0</v>
      </c>
      <c r="H29" s="30">
        <v>0</v>
      </c>
      <c r="I29" s="28" t="s">
        <v>479</v>
      </c>
    </row>
    <row r="30" spans="1:11" s="4" customFormat="1" ht="25.5" customHeight="1" outlineLevel="1">
      <c r="A30" s="27" t="s">
        <v>480</v>
      </c>
      <c r="B30" s="28" t="s">
        <v>297</v>
      </c>
      <c r="C30" s="29" t="s">
        <v>457</v>
      </c>
      <c r="D30" s="30">
        <v>1</v>
      </c>
      <c r="E30" s="82">
        <f>'21A'!J9</f>
        <v>3669477465.0622549</v>
      </c>
      <c r="F30" s="83">
        <f>'21A'!K9</f>
        <v>3682801827.3213615</v>
      </c>
      <c r="G30" s="32">
        <f t="shared" si="0"/>
        <v>3669477465.0622549</v>
      </c>
      <c r="H30" s="58">
        <f>+D30*F30</f>
        <v>3682801827.3213615</v>
      </c>
      <c r="I30" s="28"/>
    </row>
    <row r="31" spans="1:11" s="4" customFormat="1" ht="25.5" customHeight="1" outlineLevel="1">
      <c r="A31" s="27" t="s">
        <v>481</v>
      </c>
      <c r="B31" s="28" t="s">
        <v>298</v>
      </c>
      <c r="C31" s="29" t="s">
        <v>457</v>
      </c>
      <c r="D31" s="30">
        <v>1</v>
      </c>
      <c r="E31" s="82">
        <f>'22A'!J9</f>
        <v>6064412963.7445593</v>
      </c>
      <c r="F31" s="83">
        <f>'22A'!K9</f>
        <v>5550838027.8816881</v>
      </c>
      <c r="G31" s="32">
        <f t="shared" si="0"/>
        <v>6064412963.7445593</v>
      </c>
      <c r="H31" s="58">
        <f>+D31*F31</f>
        <v>5550838027.8816881</v>
      </c>
      <c r="I31" s="28"/>
    </row>
    <row r="32" spans="1:11" s="4" customFormat="1" ht="25.5" customHeight="1" outlineLevel="1">
      <c r="A32" s="27" t="s">
        <v>482</v>
      </c>
      <c r="B32" s="28" t="s">
        <v>299</v>
      </c>
      <c r="C32" s="29" t="s">
        <v>457</v>
      </c>
      <c r="D32" s="30">
        <v>1</v>
      </c>
      <c r="E32" s="82">
        <f>'23A'!I9</f>
        <v>590287860.26384997</v>
      </c>
      <c r="F32" s="82">
        <f>+E32</f>
        <v>590287860.26384997</v>
      </c>
      <c r="G32" s="32">
        <f t="shared" si="0"/>
        <v>590287860.26384997</v>
      </c>
      <c r="H32" s="82">
        <f t="shared" ref="H32:H34" si="2">+D32*F32</f>
        <v>590287860.26384997</v>
      </c>
      <c r="I32" s="28"/>
    </row>
    <row r="33" spans="1:9" s="4" customFormat="1" ht="25.5" customHeight="1" outlineLevel="1">
      <c r="A33" s="27" t="s">
        <v>483</v>
      </c>
      <c r="B33" s="28" t="s">
        <v>302</v>
      </c>
      <c r="C33" s="29" t="s">
        <v>457</v>
      </c>
      <c r="D33" s="30">
        <v>1</v>
      </c>
      <c r="E33" s="82">
        <f>'24A'!I9</f>
        <v>712701547.86176658</v>
      </c>
      <c r="F33" s="82">
        <f>+E33</f>
        <v>712701547.86176658</v>
      </c>
      <c r="G33" s="32">
        <f t="shared" si="0"/>
        <v>712701547.86176658</v>
      </c>
      <c r="H33" s="82">
        <f t="shared" si="2"/>
        <v>712701547.86176658</v>
      </c>
      <c r="I33" s="28"/>
    </row>
    <row r="34" spans="1:9" s="4" customFormat="1" ht="25.5" customHeight="1" outlineLevel="1">
      <c r="A34" s="27" t="s">
        <v>484</v>
      </c>
      <c r="B34" s="28" t="s">
        <v>303</v>
      </c>
      <c r="C34" s="29" t="s">
        <v>457</v>
      </c>
      <c r="D34" s="30">
        <v>1</v>
      </c>
      <c r="E34" s="82">
        <f>'25A'!I9</f>
        <v>640482250.10962105</v>
      </c>
      <c r="F34" s="82">
        <f>+E34</f>
        <v>640482250.10962105</v>
      </c>
      <c r="G34" s="32">
        <f t="shared" si="0"/>
        <v>640482250.10962105</v>
      </c>
      <c r="H34" s="82">
        <f t="shared" si="2"/>
        <v>640482250.10962105</v>
      </c>
      <c r="I34" s="28"/>
    </row>
    <row r="35" spans="1:9" s="59" customFormat="1" ht="25.5" customHeight="1">
      <c r="A35" s="62" t="s">
        <v>485</v>
      </c>
      <c r="B35" s="63" t="s">
        <v>486</v>
      </c>
      <c r="C35" s="64" t="s">
        <v>457</v>
      </c>
      <c r="D35" s="65">
        <v>1</v>
      </c>
      <c r="E35" s="82"/>
      <c r="F35" s="82"/>
      <c r="G35" s="49">
        <f>SUBTOTAL(9,G36:G41)</f>
        <v>108851270685.48845</v>
      </c>
      <c r="H35" s="49">
        <f>SUBTOTAL(9,H36:H41)</f>
        <v>108851270685.48845</v>
      </c>
      <c r="I35" s="63"/>
    </row>
    <row r="36" spans="1:9" s="59" customFormat="1" ht="25.5" customHeight="1" outlineLevel="1">
      <c r="A36" s="27" t="s">
        <v>487</v>
      </c>
      <c r="B36" s="28" t="s">
        <v>306</v>
      </c>
      <c r="C36" s="29" t="s">
        <v>457</v>
      </c>
      <c r="D36" s="30">
        <v>1</v>
      </c>
      <c r="E36" s="82">
        <f>'1B'!I9</f>
        <v>4562641176</v>
      </c>
      <c r="F36" s="82">
        <f>+E36</f>
        <v>4562641176</v>
      </c>
      <c r="G36" s="32">
        <f t="shared" si="0"/>
        <v>4562641176</v>
      </c>
      <c r="H36" s="82">
        <f t="shared" ref="H36:H41" si="3">+G36</f>
        <v>4562641176</v>
      </c>
      <c r="I36" s="63"/>
    </row>
    <row r="37" spans="1:9" s="59" customFormat="1" ht="25.5" customHeight="1" outlineLevel="1">
      <c r="A37" s="27" t="s">
        <v>488</v>
      </c>
      <c r="B37" s="28" t="s">
        <v>310</v>
      </c>
      <c r="C37" s="29" t="s">
        <v>457</v>
      </c>
      <c r="D37" s="30">
        <v>1</v>
      </c>
      <c r="E37" s="82">
        <f>'2B'!I9</f>
        <v>18877213870.243271</v>
      </c>
      <c r="F37" s="82">
        <f t="shared" ref="F37:F40" si="4">+E37</f>
        <v>18877213870.243271</v>
      </c>
      <c r="G37" s="32">
        <f t="shared" si="0"/>
        <v>18877213870.243271</v>
      </c>
      <c r="H37" s="82">
        <f t="shared" si="3"/>
        <v>18877213870.243271</v>
      </c>
      <c r="I37" s="63"/>
    </row>
    <row r="38" spans="1:9" s="59" customFormat="1" ht="25.5" customHeight="1" outlineLevel="1">
      <c r="A38" s="27" t="s">
        <v>489</v>
      </c>
      <c r="B38" s="28" t="s">
        <v>315</v>
      </c>
      <c r="C38" s="29" t="s">
        <v>457</v>
      </c>
      <c r="D38" s="30">
        <v>1</v>
      </c>
      <c r="E38" s="82">
        <f>'3B'!I9</f>
        <v>38094529654</v>
      </c>
      <c r="F38" s="82">
        <f t="shared" si="4"/>
        <v>38094529654</v>
      </c>
      <c r="G38" s="32">
        <f t="shared" si="0"/>
        <v>38094529654</v>
      </c>
      <c r="H38" s="82">
        <f t="shared" si="3"/>
        <v>38094529654</v>
      </c>
      <c r="I38" s="63"/>
    </row>
    <row r="39" spans="1:9" s="4" customFormat="1" ht="25.5" customHeight="1" outlineLevel="1">
      <c r="A39" s="27" t="s">
        <v>490</v>
      </c>
      <c r="B39" s="28" t="s">
        <v>359</v>
      </c>
      <c r="C39" s="29" t="s">
        <v>457</v>
      </c>
      <c r="D39" s="30">
        <v>1</v>
      </c>
      <c r="E39" s="82">
        <f>'4B'!I9</f>
        <v>3370437250</v>
      </c>
      <c r="F39" s="82">
        <f t="shared" si="4"/>
        <v>3370437250</v>
      </c>
      <c r="G39" s="32">
        <f t="shared" si="0"/>
        <v>3370437250</v>
      </c>
      <c r="H39" s="82">
        <f t="shared" si="3"/>
        <v>3370437250</v>
      </c>
      <c r="I39" s="28"/>
    </row>
    <row r="40" spans="1:9" s="4" customFormat="1" ht="25.5" customHeight="1" outlineLevel="1">
      <c r="A40" s="27" t="s">
        <v>491</v>
      </c>
      <c r="B40" s="28" t="s">
        <v>377</v>
      </c>
      <c r="C40" s="29" t="s">
        <v>457</v>
      </c>
      <c r="D40" s="30">
        <v>1</v>
      </c>
      <c r="E40" s="82">
        <f>'5B'!I9</f>
        <v>33705493876.545181</v>
      </c>
      <c r="F40" s="82">
        <f t="shared" si="4"/>
        <v>33705493876.545181</v>
      </c>
      <c r="G40" s="32">
        <f t="shared" si="0"/>
        <v>33705493876.545181</v>
      </c>
      <c r="H40" s="82">
        <f t="shared" si="3"/>
        <v>33705493876.545181</v>
      </c>
      <c r="I40" s="28"/>
    </row>
    <row r="41" spans="1:9" s="4" customFormat="1" ht="25.5" customHeight="1" outlineLevel="1">
      <c r="A41" s="27" t="s">
        <v>492</v>
      </c>
      <c r="B41" s="28" t="s">
        <v>431</v>
      </c>
      <c r="C41" s="29" t="s">
        <v>457</v>
      </c>
      <c r="D41" s="30">
        <v>1</v>
      </c>
      <c r="E41" s="82">
        <f>'6B'!I9</f>
        <v>10240954858.699999</v>
      </c>
      <c r="F41" s="82">
        <f>+E41</f>
        <v>10240954858.699999</v>
      </c>
      <c r="G41" s="32">
        <f t="shared" si="0"/>
        <v>10240954858.699999</v>
      </c>
      <c r="H41" s="82">
        <f t="shared" si="3"/>
        <v>10240954858.699999</v>
      </c>
      <c r="I41" s="28"/>
    </row>
    <row r="42" spans="1:9" s="59" customFormat="1" ht="25.5" customHeight="1">
      <c r="A42" s="62" t="s">
        <v>493</v>
      </c>
      <c r="B42" s="63" t="s">
        <v>494</v>
      </c>
      <c r="C42" s="64" t="s">
        <v>457</v>
      </c>
      <c r="D42" s="65">
        <v>1</v>
      </c>
      <c r="E42" s="82"/>
      <c r="F42" s="82"/>
      <c r="G42" s="80"/>
      <c r="H42" s="80"/>
      <c r="I42" s="63"/>
    </row>
    <row r="43" spans="1:9" s="59" customFormat="1" ht="25.5" customHeight="1">
      <c r="A43" s="62" t="s">
        <v>495</v>
      </c>
      <c r="B43" s="63" t="s">
        <v>496</v>
      </c>
      <c r="C43" s="64" t="s">
        <v>457</v>
      </c>
      <c r="D43" s="65">
        <v>1</v>
      </c>
      <c r="E43" s="81"/>
      <c r="F43" s="81"/>
      <c r="G43" s="80"/>
      <c r="H43" s="80"/>
      <c r="I43" s="63"/>
    </row>
    <row r="44" spans="1:9" s="59" customFormat="1" ht="25.5" customHeight="1">
      <c r="A44" s="62" t="s">
        <v>497</v>
      </c>
      <c r="B44" s="63" t="s">
        <v>498</v>
      </c>
      <c r="C44" s="64" t="s">
        <v>457</v>
      </c>
      <c r="D44" s="65">
        <v>1</v>
      </c>
      <c r="E44" s="80"/>
      <c r="F44" s="80"/>
      <c r="G44" s="80"/>
      <c r="H44" s="80"/>
      <c r="I44" s="63" t="s">
        <v>499</v>
      </c>
    </row>
    <row r="45" spans="1:9" s="59" customFormat="1" ht="38.25" customHeight="1">
      <c r="A45" s="62" t="s">
        <v>500</v>
      </c>
      <c r="B45" s="63" t="s">
        <v>501</v>
      </c>
      <c r="C45" s="64" t="s">
        <v>457</v>
      </c>
      <c r="D45" s="65">
        <v>1</v>
      </c>
      <c r="E45" s="80"/>
      <c r="F45" s="80"/>
      <c r="G45" s="80"/>
      <c r="H45" s="80"/>
      <c r="I45" s="63" t="s">
        <v>499</v>
      </c>
    </row>
    <row r="46" spans="1:9" s="59" customFormat="1" ht="25.5" customHeight="1">
      <c r="A46" s="62" t="s">
        <v>502</v>
      </c>
      <c r="B46" s="63" t="s">
        <v>503</v>
      </c>
      <c r="C46" s="64" t="s">
        <v>457</v>
      </c>
      <c r="D46" s="65">
        <v>1</v>
      </c>
      <c r="E46" s="80"/>
      <c r="F46" s="80"/>
      <c r="G46" s="80"/>
      <c r="H46" s="80"/>
      <c r="I46" s="63" t="s">
        <v>499</v>
      </c>
    </row>
    <row r="47" spans="1:9" s="59" customFormat="1" ht="25.5" customHeight="1">
      <c r="A47" s="62" t="s">
        <v>504</v>
      </c>
      <c r="B47" s="63" t="s">
        <v>505</v>
      </c>
      <c r="C47" s="64" t="s">
        <v>457</v>
      </c>
      <c r="D47" s="65">
        <v>1</v>
      </c>
      <c r="E47" s="80"/>
      <c r="F47" s="80"/>
      <c r="G47" s="80"/>
      <c r="H47" s="80"/>
      <c r="I47" s="63"/>
    </row>
    <row r="48" spans="1:9" s="59" customFormat="1" ht="25.5" customHeight="1">
      <c r="A48" s="62"/>
      <c r="B48" s="63" t="s">
        <v>506</v>
      </c>
      <c r="C48" s="64"/>
      <c r="D48" s="65"/>
      <c r="E48" s="81">
        <f>+SUM(E9:E41)</f>
        <v>953018884809.44299</v>
      </c>
      <c r="F48" s="81"/>
      <c r="G48" s="154">
        <f>SUBTOTAL(9,G9:G47)</f>
        <v>953018884809.44299</v>
      </c>
      <c r="H48" s="154" t="e">
        <f>SUBTOTAL(9,H9:H47)</f>
        <v>#VALUE!</v>
      </c>
      <c r="I48" s="63"/>
    </row>
  </sheetData>
  <mergeCells count="5">
    <mergeCell ref="C3:I3"/>
    <mergeCell ref="C4:I4"/>
    <mergeCell ref="C6:I6"/>
    <mergeCell ref="C7:I7"/>
    <mergeCell ref="C5:I5"/>
  </mergeCells>
  <pageMargins left="0.70866141732283505" right="0.70866141732283505" top="0.74803149606299202" bottom="0.74803149606299202" header="0.31496062992126" footer="0.31496062992126"/>
  <pageSetup paperSize="9" scale="63" fitToHeight="0" orientation="portrait"/>
  <headerFooter>
    <oddFooter>&amp;C&amp;A&amp;RPage &amp;P</oddFooter>
  </headerFooter>
  <ignoredErrors>
    <ignoredError sqref="G36:G41"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rgb="FFFF0000"/>
    <pageSetUpPr fitToPage="1"/>
  </sheetPr>
  <dimension ref="A1:M174"/>
  <sheetViews>
    <sheetView topLeftCell="A8" zoomScale="85" zoomScaleNormal="85" workbookViewId="0">
      <pane ySplit="1" topLeftCell="A55" activePane="bottomLeft" state="frozen"/>
      <selection activeCell="H41" sqref="H41"/>
      <selection pane="bottomLeft" activeCell="A56" sqref="A56"/>
    </sheetView>
  </sheetViews>
  <sheetFormatPr defaultColWidth="9" defaultRowHeight="12.75" outlineLevelRow="1" outlineLevelCol="1"/>
  <cols>
    <col min="1" max="1" width="8.25" style="2" customWidth="1"/>
    <col min="2" max="2" width="46.375" style="5" customWidth="1"/>
    <col min="3" max="3" width="30.875" style="5" customWidth="1"/>
    <col min="4" max="4" width="6.375" style="6" customWidth="1"/>
    <col min="5" max="5" width="10.125" style="8" bestFit="1" customWidth="1"/>
    <col min="6" max="6" width="10.125" style="85" customWidth="1"/>
    <col min="7" max="7" width="14" style="95" customWidth="1" outlineLevel="1"/>
    <col min="8" max="8" width="16" style="95" customWidth="1" outlineLevel="1"/>
    <col min="9" max="9" width="14" style="9" customWidth="1"/>
    <col min="10" max="10" width="16.625" style="9" customWidth="1"/>
    <col min="11" max="11" width="14" style="90" customWidth="1"/>
    <col min="12" max="12" width="14" style="9" customWidth="1"/>
    <col min="13" max="13" width="13.375" style="6" bestFit="1" customWidth="1"/>
    <col min="14" max="14" width="10.75" style="6" bestFit="1" customWidth="1"/>
    <col min="15" max="204" width="9.125" style="6" customWidth="1"/>
    <col min="205" max="205" width="6.375" style="6" customWidth="1"/>
    <col min="206" max="206" width="34.25" style="6" customWidth="1"/>
    <col min="207" max="207" width="7.375" style="6" customWidth="1"/>
    <col min="208" max="208" width="6.375" style="6" customWidth="1"/>
    <col min="209" max="209" width="13.125" style="6" customWidth="1"/>
    <col min="210" max="210" width="15.375" style="6" customWidth="1"/>
    <col min="211" max="211" width="21.25" style="6" customWidth="1"/>
    <col min="212" max="460" width="9.125" style="6" customWidth="1"/>
    <col min="461" max="461" width="6.375" style="6" customWidth="1"/>
    <col min="462" max="462" width="34.25" style="6" customWidth="1"/>
    <col min="463" max="463" width="7.375" style="6" customWidth="1"/>
    <col min="464" max="464" width="6.375" style="6" customWidth="1"/>
    <col min="465" max="465" width="13.125" style="6" customWidth="1"/>
    <col min="466" max="466" width="15.375" style="6" customWidth="1"/>
    <col min="467" max="467" width="21.25" style="6" customWidth="1"/>
    <col min="468" max="716" width="9.125" style="6" customWidth="1"/>
    <col min="717" max="717" width="6.375" style="6" customWidth="1"/>
    <col min="718" max="718" width="34.25" style="6" customWidth="1"/>
    <col min="719" max="719" width="7.375" style="6" customWidth="1"/>
    <col min="720" max="720" width="6.375" style="6" customWidth="1"/>
    <col min="721" max="721" width="13.125" style="6" customWidth="1"/>
    <col min="722" max="722" width="15.375" style="6" customWidth="1"/>
    <col min="723" max="723" width="21.25" style="6" customWidth="1"/>
    <col min="724" max="972" width="9.125" style="6" customWidth="1"/>
    <col min="973" max="973" width="6.375" style="6" customWidth="1"/>
    <col min="974" max="974" width="34.25" style="6" customWidth="1"/>
    <col min="975" max="975" width="7.375" style="6" customWidth="1"/>
    <col min="976" max="976" width="6.375" style="6" customWidth="1"/>
    <col min="977" max="977" width="13.125" style="6" customWidth="1"/>
    <col min="978" max="978" width="15.375" style="6" customWidth="1"/>
    <col min="979" max="979" width="21.25" style="6" customWidth="1"/>
    <col min="980" max="1228" width="9.125" style="6" customWidth="1"/>
    <col min="1229" max="1229" width="6.375" style="6" customWidth="1"/>
    <col min="1230" max="1230" width="34.25" style="6" customWidth="1"/>
    <col min="1231" max="1231" width="7.375" style="6" customWidth="1"/>
    <col min="1232" max="1232" width="6.375" style="6" customWidth="1"/>
    <col min="1233" max="1233" width="13.125" style="6" customWidth="1"/>
    <col min="1234" max="1234" width="15.375" style="6" customWidth="1"/>
    <col min="1235" max="1235" width="21.25" style="6" customWidth="1"/>
    <col min="1236" max="1484" width="9.125" style="6" customWidth="1"/>
    <col min="1485" max="1485" width="6.375" style="6" customWidth="1"/>
    <col min="1486" max="1486" width="34.25" style="6" customWidth="1"/>
    <col min="1487" max="1487" width="7.375" style="6" customWidth="1"/>
    <col min="1488" max="1488" width="6.375" style="6" customWidth="1"/>
    <col min="1489" max="1489" width="13.125" style="6" customWidth="1"/>
    <col min="1490" max="1490" width="15.375" style="6" customWidth="1"/>
    <col min="1491" max="1491" width="21.25" style="6" customWidth="1"/>
    <col min="1492" max="1740" width="9.125" style="6" customWidth="1"/>
    <col min="1741" max="1741" width="6.375" style="6" customWidth="1"/>
    <col min="1742" max="1742" width="34.25" style="6" customWidth="1"/>
    <col min="1743" max="1743" width="7.375" style="6" customWidth="1"/>
    <col min="1744" max="1744" width="6.375" style="6" customWidth="1"/>
    <col min="1745" max="1745" width="13.125" style="6" customWidth="1"/>
    <col min="1746" max="1746" width="15.375" style="6" customWidth="1"/>
    <col min="1747" max="1747" width="21.25" style="6" customWidth="1"/>
    <col min="1748" max="1996" width="9.125" style="6" customWidth="1"/>
    <col min="1997" max="1997" width="6.375" style="6" customWidth="1"/>
    <col min="1998" max="1998" width="34.25" style="6" customWidth="1"/>
    <col min="1999" max="1999" width="7.375" style="6" customWidth="1"/>
    <col min="2000" max="2000" width="6.375" style="6" customWidth="1"/>
    <col min="2001" max="2001" width="13.125" style="6" customWidth="1"/>
    <col min="2002" max="2002" width="15.375" style="6" customWidth="1"/>
    <col min="2003" max="2003" width="21.25" style="6" customWidth="1"/>
    <col min="2004" max="2252" width="9.125" style="6" customWidth="1"/>
    <col min="2253" max="2253" width="6.375" style="6" customWidth="1"/>
    <col min="2254" max="2254" width="34.25" style="6" customWidth="1"/>
    <col min="2255" max="2255" width="7.375" style="6" customWidth="1"/>
    <col min="2256" max="2256" width="6.375" style="6" customWidth="1"/>
    <col min="2257" max="2257" width="13.125" style="6" customWidth="1"/>
    <col min="2258" max="2258" width="15.375" style="6" customWidth="1"/>
    <col min="2259" max="2259" width="21.25" style="6" customWidth="1"/>
    <col min="2260" max="2508" width="9.125" style="6" customWidth="1"/>
    <col min="2509" max="2509" width="6.375" style="6" customWidth="1"/>
    <col min="2510" max="2510" width="34.25" style="6" customWidth="1"/>
    <col min="2511" max="2511" width="7.375" style="6" customWidth="1"/>
    <col min="2512" max="2512" width="6.375" style="6" customWidth="1"/>
    <col min="2513" max="2513" width="13.125" style="6" customWidth="1"/>
    <col min="2514" max="2514" width="15.375" style="6" customWidth="1"/>
    <col min="2515" max="2515" width="21.25" style="6" customWidth="1"/>
    <col min="2516" max="2764" width="9.125" style="6" customWidth="1"/>
    <col min="2765" max="2765" width="6.375" style="6" customWidth="1"/>
    <col min="2766" max="2766" width="34.25" style="6" customWidth="1"/>
    <col min="2767" max="2767" width="7.375" style="6" customWidth="1"/>
    <col min="2768" max="2768" width="6.375" style="6" customWidth="1"/>
    <col min="2769" max="2769" width="13.125" style="6" customWidth="1"/>
    <col min="2770" max="2770" width="15.375" style="6" customWidth="1"/>
    <col min="2771" max="2771" width="21.25" style="6" customWidth="1"/>
    <col min="2772" max="3020" width="9.125" style="6" customWidth="1"/>
    <col min="3021" max="3021" width="6.375" style="6" customWidth="1"/>
    <col min="3022" max="3022" width="34.25" style="6" customWidth="1"/>
    <col min="3023" max="3023" width="7.375" style="6" customWidth="1"/>
    <col min="3024" max="3024" width="6.375" style="6" customWidth="1"/>
    <col min="3025" max="3025" width="13.125" style="6" customWidth="1"/>
    <col min="3026" max="3026" width="15.375" style="6" customWidth="1"/>
    <col min="3027" max="3027" width="21.25" style="6" customWidth="1"/>
    <col min="3028" max="3276" width="9.125" style="6" customWidth="1"/>
    <col min="3277" max="3277" width="6.375" style="6" customWidth="1"/>
    <col min="3278" max="3278" width="34.25" style="6" customWidth="1"/>
    <col min="3279" max="3279" width="7.375" style="6" customWidth="1"/>
    <col min="3280" max="3280" width="6.375" style="6" customWidth="1"/>
    <col min="3281" max="3281" width="13.125" style="6" customWidth="1"/>
    <col min="3282" max="3282" width="15.375" style="6" customWidth="1"/>
    <col min="3283" max="3283" width="21.25" style="6" customWidth="1"/>
    <col min="3284" max="3532" width="9.125" style="6" customWidth="1"/>
    <col min="3533" max="3533" width="6.375" style="6" customWidth="1"/>
    <col min="3534" max="3534" width="34.25" style="6" customWidth="1"/>
    <col min="3535" max="3535" width="7.375" style="6" customWidth="1"/>
    <col min="3536" max="3536" width="6.375" style="6" customWidth="1"/>
    <col min="3537" max="3537" width="13.125" style="6" customWidth="1"/>
    <col min="3538" max="3538" width="15.375" style="6" customWidth="1"/>
    <col min="3539" max="3539" width="21.25" style="6" customWidth="1"/>
    <col min="3540" max="3788" width="9.125" style="6" customWidth="1"/>
    <col min="3789" max="3789" width="6.375" style="6" customWidth="1"/>
    <col min="3790" max="3790" width="34.25" style="6" customWidth="1"/>
    <col min="3791" max="3791" width="7.375" style="6" customWidth="1"/>
    <col min="3792" max="3792" width="6.375" style="6" customWidth="1"/>
    <col min="3793" max="3793" width="13.125" style="6" customWidth="1"/>
    <col min="3794" max="3794" width="15.375" style="6" customWidth="1"/>
    <col min="3795" max="3795" width="21.25" style="6" customWidth="1"/>
    <col min="3796" max="4044" width="9.125" style="6" customWidth="1"/>
    <col min="4045" max="4045" width="6.375" style="6" customWidth="1"/>
    <col min="4046" max="4046" width="34.25" style="6" customWidth="1"/>
    <col min="4047" max="4047" width="7.375" style="6" customWidth="1"/>
    <col min="4048" max="4048" width="6.375" style="6" customWidth="1"/>
    <col min="4049" max="4049" width="13.125" style="6" customWidth="1"/>
    <col min="4050" max="4050" width="15.375" style="6" customWidth="1"/>
    <col min="4051" max="4051" width="21.25" style="6" customWidth="1"/>
    <col min="4052" max="4300" width="9.125" style="6" customWidth="1"/>
    <col min="4301" max="4301" width="6.375" style="6" customWidth="1"/>
    <col min="4302" max="4302" width="34.25" style="6" customWidth="1"/>
    <col min="4303" max="4303" width="7.375" style="6" customWidth="1"/>
    <col min="4304" max="4304" width="6.375" style="6" customWidth="1"/>
    <col min="4305" max="4305" width="13.125" style="6" customWidth="1"/>
    <col min="4306" max="4306" width="15.375" style="6" customWidth="1"/>
    <col min="4307" max="4307" width="21.25" style="6" customWidth="1"/>
    <col min="4308" max="4556" width="9.125" style="6" customWidth="1"/>
    <col min="4557" max="4557" width="6.375" style="6" customWidth="1"/>
    <col min="4558" max="4558" width="34.25" style="6" customWidth="1"/>
    <col min="4559" max="4559" width="7.375" style="6" customWidth="1"/>
    <col min="4560" max="4560" width="6.375" style="6" customWidth="1"/>
    <col min="4561" max="4561" width="13.125" style="6" customWidth="1"/>
    <col min="4562" max="4562" width="15.375" style="6" customWidth="1"/>
    <col min="4563" max="4563" width="21.25" style="6" customWidth="1"/>
    <col min="4564" max="4812" width="9.125" style="6" customWidth="1"/>
    <col min="4813" max="4813" width="6.375" style="6" customWidth="1"/>
    <col min="4814" max="4814" width="34.25" style="6" customWidth="1"/>
    <col min="4815" max="4815" width="7.375" style="6" customWidth="1"/>
    <col min="4816" max="4816" width="6.375" style="6" customWidth="1"/>
    <col min="4817" max="4817" width="13.125" style="6" customWidth="1"/>
    <col min="4818" max="4818" width="15.375" style="6" customWidth="1"/>
    <col min="4819" max="4819" width="21.25" style="6" customWidth="1"/>
    <col min="4820" max="5068" width="9.125" style="6" customWidth="1"/>
    <col min="5069" max="5069" width="6.375" style="6" customWidth="1"/>
    <col min="5070" max="5070" width="34.25" style="6" customWidth="1"/>
    <col min="5071" max="5071" width="7.375" style="6" customWidth="1"/>
    <col min="5072" max="5072" width="6.375" style="6" customWidth="1"/>
    <col min="5073" max="5073" width="13.125" style="6" customWidth="1"/>
    <col min="5074" max="5074" width="15.375" style="6" customWidth="1"/>
    <col min="5075" max="5075" width="21.25" style="6" customWidth="1"/>
    <col min="5076" max="5324" width="9.125" style="6" customWidth="1"/>
    <col min="5325" max="5325" width="6.375" style="6" customWidth="1"/>
    <col min="5326" max="5326" width="34.25" style="6" customWidth="1"/>
    <col min="5327" max="5327" width="7.375" style="6" customWidth="1"/>
    <col min="5328" max="5328" width="6.375" style="6" customWidth="1"/>
    <col min="5329" max="5329" width="13.125" style="6" customWidth="1"/>
    <col min="5330" max="5330" width="15.375" style="6" customWidth="1"/>
    <col min="5331" max="5331" width="21.25" style="6" customWidth="1"/>
    <col min="5332" max="5580" width="9.125" style="6" customWidth="1"/>
    <col min="5581" max="5581" width="6.375" style="6" customWidth="1"/>
    <col min="5582" max="5582" width="34.25" style="6" customWidth="1"/>
    <col min="5583" max="5583" width="7.375" style="6" customWidth="1"/>
    <col min="5584" max="5584" width="6.375" style="6" customWidth="1"/>
    <col min="5585" max="5585" width="13.125" style="6" customWidth="1"/>
    <col min="5586" max="5586" width="15.375" style="6" customWidth="1"/>
    <col min="5587" max="5587" width="21.25" style="6" customWidth="1"/>
    <col min="5588" max="5836" width="9.125" style="6" customWidth="1"/>
    <col min="5837" max="5837" width="6.375" style="6" customWidth="1"/>
    <col min="5838" max="5838" width="34.25" style="6" customWidth="1"/>
    <col min="5839" max="5839" width="7.375" style="6" customWidth="1"/>
    <col min="5840" max="5840" width="6.375" style="6" customWidth="1"/>
    <col min="5841" max="5841" width="13.125" style="6" customWidth="1"/>
    <col min="5842" max="5842" width="15.375" style="6" customWidth="1"/>
    <col min="5843" max="5843" width="21.25" style="6" customWidth="1"/>
    <col min="5844" max="6092" width="9.125" style="6" customWidth="1"/>
    <col min="6093" max="6093" width="6.375" style="6" customWidth="1"/>
    <col min="6094" max="6094" width="34.25" style="6" customWidth="1"/>
    <col min="6095" max="6095" width="7.375" style="6" customWidth="1"/>
    <col min="6096" max="6096" width="6.375" style="6" customWidth="1"/>
    <col min="6097" max="6097" width="13.125" style="6" customWidth="1"/>
    <col min="6098" max="6098" width="15.375" style="6" customWidth="1"/>
    <col min="6099" max="6099" width="21.25" style="6" customWidth="1"/>
    <col min="6100" max="6348" width="9.125" style="6" customWidth="1"/>
    <col min="6349" max="6349" width="6.375" style="6" customWidth="1"/>
    <col min="6350" max="6350" width="34.25" style="6" customWidth="1"/>
    <col min="6351" max="6351" width="7.375" style="6" customWidth="1"/>
    <col min="6352" max="6352" width="6.375" style="6" customWidth="1"/>
    <col min="6353" max="6353" width="13.125" style="6" customWidth="1"/>
    <col min="6354" max="6354" width="15.375" style="6" customWidth="1"/>
    <col min="6355" max="6355" width="21.25" style="6" customWidth="1"/>
    <col min="6356" max="6604" width="9.125" style="6" customWidth="1"/>
    <col min="6605" max="6605" width="6.375" style="6" customWidth="1"/>
    <col min="6606" max="6606" width="34.25" style="6" customWidth="1"/>
    <col min="6607" max="6607" width="7.375" style="6" customWidth="1"/>
    <col min="6608" max="6608" width="6.375" style="6" customWidth="1"/>
    <col min="6609" max="6609" width="13.125" style="6" customWidth="1"/>
    <col min="6610" max="6610" width="15.375" style="6" customWidth="1"/>
    <col min="6611" max="6611" width="21.25" style="6" customWidth="1"/>
    <col min="6612" max="6860" width="9.125" style="6" customWidth="1"/>
    <col min="6861" max="6861" width="6.375" style="6" customWidth="1"/>
    <col min="6862" max="6862" width="34.25" style="6" customWidth="1"/>
    <col min="6863" max="6863" width="7.375" style="6" customWidth="1"/>
    <col min="6864" max="6864" width="6.375" style="6" customWidth="1"/>
    <col min="6865" max="6865" width="13.125" style="6" customWidth="1"/>
    <col min="6866" max="6866" width="15.375" style="6" customWidth="1"/>
    <col min="6867" max="6867" width="21.25" style="6" customWidth="1"/>
    <col min="6868" max="7116" width="9.125" style="6" customWidth="1"/>
    <col min="7117" max="7117" width="6.375" style="6" customWidth="1"/>
    <col min="7118" max="7118" width="34.25" style="6" customWidth="1"/>
    <col min="7119" max="7119" width="7.375" style="6" customWidth="1"/>
    <col min="7120" max="7120" width="6.375" style="6" customWidth="1"/>
    <col min="7121" max="7121" width="13.125" style="6" customWidth="1"/>
    <col min="7122" max="7122" width="15.375" style="6" customWidth="1"/>
    <col min="7123" max="7123" width="21.25" style="6" customWidth="1"/>
    <col min="7124" max="7372" width="9.125" style="6" customWidth="1"/>
    <col min="7373" max="7373" width="6.375" style="6" customWidth="1"/>
    <col min="7374" max="7374" width="34.25" style="6" customWidth="1"/>
    <col min="7375" max="7375" width="7.375" style="6" customWidth="1"/>
    <col min="7376" max="7376" width="6.375" style="6" customWidth="1"/>
    <col min="7377" max="7377" width="13.125" style="6" customWidth="1"/>
    <col min="7378" max="7378" width="15.375" style="6" customWidth="1"/>
    <col min="7379" max="7379" width="21.25" style="6" customWidth="1"/>
    <col min="7380" max="7628" width="9.125" style="6" customWidth="1"/>
    <col min="7629" max="7629" width="6.375" style="6" customWidth="1"/>
    <col min="7630" max="7630" width="34.25" style="6" customWidth="1"/>
    <col min="7631" max="7631" width="7.375" style="6" customWidth="1"/>
    <col min="7632" max="7632" width="6.375" style="6" customWidth="1"/>
    <col min="7633" max="7633" width="13.125" style="6" customWidth="1"/>
    <col min="7634" max="7634" width="15.375" style="6" customWidth="1"/>
    <col min="7635" max="7635" width="21.25" style="6" customWidth="1"/>
    <col min="7636" max="7884" width="9.125" style="6" customWidth="1"/>
    <col min="7885" max="7885" width="6.375" style="6" customWidth="1"/>
    <col min="7886" max="7886" width="34.25" style="6" customWidth="1"/>
    <col min="7887" max="7887" width="7.375" style="6" customWidth="1"/>
    <col min="7888" max="7888" width="6.375" style="6" customWidth="1"/>
    <col min="7889" max="7889" width="13.125" style="6" customWidth="1"/>
    <col min="7890" max="7890" width="15.375" style="6" customWidth="1"/>
    <col min="7891" max="7891" width="21.25" style="6" customWidth="1"/>
    <col min="7892" max="8140" width="9.125" style="6" customWidth="1"/>
    <col min="8141" max="8141" width="6.375" style="6" customWidth="1"/>
    <col min="8142" max="8142" width="34.25" style="6" customWidth="1"/>
    <col min="8143" max="8143" width="7.375" style="6" customWidth="1"/>
    <col min="8144" max="8144" width="6.375" style="6" customWidth="1"/>
    <col min="8145" max="8145" width="13.125" style="6" customWidth="1"/>
    <col min="8146" max="8146" width="15.375" style="6" customWidth="1"/>
    <col min="8147" max="8147" width="21.25" style="6" customWidth="1"/>
    <col min="8148" max="8396" width="9.125" style="6" customWidth="1"/>
    <col min="8397" max="8397" width="6.375" style="6" customWidth="1"/>
    <col min="8398" max="8398" width="34.25" style="6" customWidth="1"/>
    <col min="8399" max="8399" width="7.375" style="6" customWidth="1"/>
    <col min="8400" max="8400" width="6.375" style="6" customWidth="1"/>
    <col min="8401" max="8401" width="13.125" style="6" customWidth="1"/>
    <col min="8402" max="8402" width="15.375" style="6" customWidth="1"/>
    <col min="8403" max="8403" width="21.25" style="6" customWidth="1"/>
    <col min="8404" max="8652" width="9.125" style="6" customWidth="1"/>
    <col min="8653" max="8653" width="6.375" style="6" customWidth="1"/>
    <col min="8654" max="8654" width="34.25" style="6" customWidth="1"/>
    <col min="8655" max="8655" width="7.375" style="6" customWidth="1"/>
    <col min="8656" max="8656" width="6.375" style="6" customWidth="1"/>
    <col min="8657" max="8657" width="13.125" style="6" customWidth="1"/>
    <col min="8658" max="8658" width="15.375" style="6" customWidth="1"/>
    <col min="8659" max="8659" width="21.25" style="6" customWidth="1"/>
    <col min="8660" max="8908" width="9.125" style="6" customWidth="1"/>
    <col min="8909" max="8909" width="6.375" style="6" customWidth="1"/>
    <col min="8910" max="8910" width="34.25" style="6" customWidth="1"/>
    <col min="8911" max="8911" width="7.375" style="6" customWidth="1"/>
    <col min="8912" max="8912" width="6.375" style="6" customWidth="1"/>
    <col min="8913" max="8913" width="13.125" style="6" customWidth="1"/>
    <col min="8914" max="8914" width="15.375" style="6" customWidth="1"/>
    <col min="8915" max="8915" width="21.25" style="6" customWidth="1"/>
    <col min="8916" max="9164" width="9.125" style="6" customWidth="1"/>
    <col min="9165" max="9165" width="6.375" style="6" customWidth="1"/>
    <col min="9166" max="9166" width="34.25" style="6" customWidth="1"/>
    <col min="9167" max="9167" width="7.375" style="6" customWidth="1"/>
    <col min="9168" max="9168" width="6.375" style="6" customWidth="1"/>
    <col min="9169" max="9169" width="13.125" style="6" customWidth="1"/>
    <col min="9170" max="9170" width="15.375" style="6" customWidth="1"/>
    <col min="9171" max="9171" width="21.25" style="6" customWidth="1"/>
    <col min="9172" max="9420" width="9.125" style="6" customWidth="1"/>
    <col min="9421" max="9421" width="6.375" style="6" customWidth="1"/>
    <col min="9422" max="9422" width="34.25" style="6" customWidth="1"/>
    <col min="9423" max="9423" width="7.375" style="6" customWidth="1"/>
    <col min="9424" max="9424" width="6.375" style="6" customWidth="1"/>
    <col min="9425" max="9425" width="13.125" style="6" customWidth="1"/>
    <col min="9426" max="9426" width="15.375" style="6" customWidth="1"/>
    <col min="9427" max="9427" width="21.25" style="6" customWidth="1"/>
    <col min="9428" max="9676" width="9.125" style="6" customWidth="1"/>
    <col min="9677" max="9677" width="6.375" style="6" customWidth="1"/>
    <col min="9678" max="9678" width="34.25" style="6" customWidth="1"/>
    <col min="9679" max="9679" width="7.375" style="6" customWidth="1"/>
    <col min="9680" max="9680" width="6.375" style="6" customWidth="1"/>
    <col min="9681" max="9681" width="13.125" style="6" customWidth="1"/>
    <col min="9682" max="9682" width="15.375" style="6" customWidth="1"/>
    <col min="9683" max="9683" width="21.25" style="6" customWidth="1"/>
    <col min="9684" max="9932" width="9.125" style="6" customWidth="1"/>
    <col min="9933" max="9933" width="6.375" style="6" customWidth="1"/>
    <col min="9934" max="9934" width="34.25" style="6" customWidth="1"/>
    <col min="9935" max="9935" width="7.375" style="6" customWidth="1"/>
    <col min="9936" max="9936" width="6.375" style="6" customWidth="1"/>
    <col min="9937" max="9937" width="13.125" style="6" customWidth="1"/>
    <col min="9938" max="9938" width="15.375" style="6" customWidth="1"/>
    <col min="9939" max="9939" width="21.25" style="6" customWidth="1"/>
    <col min="9940" max="10188" width="9.125" style="6" customWidth="1"/>
    <col min="10189" max="10189" width="6.375" style="6" customWidth="1"/>
    <col min="10190" max="10190" width="34.25" style="6" customWidth="1"/>
    <col min="10191" max="10191" width="7.375" style="6" customWidth="1"/>
    <col min="10192" max="10192" width="6.375" style="6" customWidth="1"/>
    <col min="10193" max="10193" width="13.125" style="6" customWidth="1"/>
    <col min="10194" max="10194" width="15.375" style="6" customWidth="1"/>
    <col min="10195" max="10195" width="21.25" style="6" customWidth="1"/>
    <col min="10196" max="10444" width="9.125" style="6" customWidth="1"/>
    <col min="10445" max="10445" width="6.375" style="6" customWidth="1"/>
    <col min="10446" max="10446" width="34.25" style="6" customWidth="1"/>
    <col min="10447" max="10447" width="7.375" style="6" customWidth="1"/>
    <col min="10448" max="10448" width="6.375" style="6" customWidth="1"/>
    <col min="10449" max="10449" width="13.125" style="6" customWidth="1"/>
    <col min="10450" max="10450" width="15.375" style="6" customWidth="1"/>
    <col min="10451" max="10451" width="21.25" style="6" customWidth="1"/>
    <col min="10452" max="10700" width="9.125" style="6" customWidth="1"/>
    <col min="10701" max="10701" width="6.375" style="6" customWidth="1"/>
    <col min="10702" max="10702" width="34.25" style="6" customWidth="1"/>
    <col min="10703" max="10703" width="7.375" style="6" customWidth="1"/>
    <col min="10704" max="10704" width="6.375" style="6" customWidth="1"/>
    <col min="10705" max="10705" width="13.125" style="6" customWidth="1"/>
    <col min="10706" max="10706" width="15.375" style="6" customWidth="1"/>
    <col min="10707" max="10707" width="21.25" style="6" customWidth="1"/>
    <col min="10708" max="10956" width="9.125" style="6" customWidth="1"/>
    <col min="10957" max="10957" width="6.375" style="6" customWidth="1"/>
    <col min="10958" max="10958" width="34.25" style="6" customWidth="1"/>
    <col min="10959" max="10959" width="7.375" style="6" customWidth="1"/>
    <col min="10960" max="10960" width="6.375" style="6" customWidth="1"/>
    <col min="10961" max="10961" width="13.125" style="6" customWidth="1"/>
    <col min="10962" max="10962" width="15.375" style="6" customWidth="1"/>
    <col min="10963" max="10963" width="21.25" style="6" customWidth="1"/>
    <col min="10964" max="11212" width="9.125" style="6" customWidth="1"/>
    <col min="11213" max="11213" width="6.375" style="6" customWidth="1"/>
    <col min="11214" max="11214" width="34.25" style="6" customWidth="1"/>
    <col min="11215" max="11215" width="7.375" style="6" customWidth="1"/>
    <col min="11216" max="11216" width="6.375" style="6" customWidth="1"/>
    <col min="11217" max="11217" width="13.125" style="6" customWidth="1"/>
    <col min="11218" max="11218" width="15.375" style="6" customWidth="1"/>
    <col min="11219" max="11219" width="21.25" style="6" customWidth="1"/>
    <col min="11220" max="11468" width="9.125" style="6" customWidth="1"/>
    <col min="11469" max="11469" width="6.375" style="6" customWidth="1"/>
    <col min="11470" max="11470" width="34.25" style="6" customWidth="1"/>
    <col min="11471" max="11471" width="7.375" style="6" customWidth="1"/>
    <col min="11472" max="11472" width="6.375" style="6" customWidth="1"/>
    <col min="11473" max="11473" width="13.125" style="6" customWidth="1"/>
    <col min="11474" max="11474" width="15.375" style="6" customWidth="1"/>
    <col min="11475" max="11475" width="21.25" style="6" customWidth="1"/>
    <col min="11476" max="11724" width="9.125" style="6" customWidth="1"/>
    <col min="11725" max="11725" width="6.375" style="6" customWidth="1"/>
    <col min="11726" max="11726" width="34.25" style="6" customWidth="1"/>
    <col min="11727" max="11727" width="7.375" style="6" customWidth="1"/>
    <col min="11728" max="11728" width="6.375" style="6" customWidth="1"/>
    <col min="11729" max="11729" width="13.125" style="6" customWidth="1"/>
    <col min="11730" max="11730" width="15.375" style="6" customWidth="1"/>
    <col min="11731" max="11731" width="21.25" style="6" customWidth="1"/>
    <col min="11732" max="11980" width="9.125" style="6" customWidth="1"/>
    <col min="11981" max="11981" width="6.375" style="6" customWidth="1"/>
    <col min="11982" max="11982" width="34.25" style="6" customWidth="1"/>
    <col min="11983" max="11983" width="7.375" style="6" customWidth="1"/>
    <col min="11984" max="11984" width="6.375" style="6" customWidth="1"/>
    <col min="11985" max="11985" width="13.125" style="6" customWidth="1"/>
    <col min="11986" max="11986" width="15.375" style="6" customWidth="1"/>
    <col min="11987" max="11987" width="21.25" style="6" customWidth="1"/>
    <col min="11988" max="12236" width="9.125" style="6" customWidth="1"/>
    <col min="12237" max="12237" width="6.375" style="6" customWidth="1"/>
    <col min="12238" max="12238" width="34.25" style="6" customWidth="1"/>
    <col min="12239" max="12239" width="7.375" style="6" customWidth="1"/>
    <col min="12240" max="12240" width="6.375" style="6" customWidth="1"/>
    <col min="12241" max="12241" width="13.125" style="6" customWidth="1"/>
    <col min="12242" max="12242" width="15.375" style="6" customWidth="1"/>
    <col min="12243" max="12243" width="21.25" style="6" customWidth="1"/>
    <col min="12244" max="12492" width="9.125" style="6" customWidth="1"/>
    <col min="12493" max="12493" width="6.375" style="6" customWidth="1"/>
    <col min="12494" max="12494" width="34.25" style="6" customWidth="1"/>
    <col min="12495" max="12495" width="7.375" style="6" customWidth="1"/>
    <col min="12496" max="12496" width="6.375" style="6" customWidth="1"/>
    <col min="12497" max="12497" width="13.125" style="6" customWidth="1"/>
    <col min="12498" max="12498" width="15.375" style="6" customWidth="1"/>
    <col min="12499" max="12499" width="21.25" style="6" customWidth="1"/>
    <col min="12500" max="12748" width="9.125" style="6" customWidth="1"/>
    <col min="12749" max="12749" width="6.375" style="6" customWidth="1"/>
    <col min="12750" max="12750" width="34.25" style="6" customWidth="1"/>
    <col min="12751" max="12751" width="7.375" style="6" customWidth="1"/>
    <col min="12752" max="12752" width="6.375" style="6" customWidth="1"/>
    <col min="12753" max="12753" width="13.125" style="6" customWidth="1"/>
    <col min="12754" max="12754" width="15.375" style="6" customWidth="1"/>
    <col min="12755" max="12755" width="21.25" style="6" customWidth="1"/>
    <col min="12756" max="13004" width="9.125" style="6" customWidth="1"/>
    <col min="13005" max="13005" width="6.375" style="6" customWidth="1"/>
    <col min="13006" max="13006" width="34.25" style="6" customWidth="1"/>
    <col min="13007" max="13007" width="7.375" style="6" customWidth="1"/>
    <col min="13008" max="13008" width="6.375" style="6" customWidth="1"/>
    <col min="13009" max="13009" width="13.125" style="6" customWidth="1"/>
    <col min="13010" max="13010" width="15.375" style="6" customWidth="1"/>
    <col min="13011" max="13011" width="21.25" style="6" customWidth="1"/>
    <col min="13012" max="13260" width="9.125" style="6" customWidth="1"/>
    <col min="13261" max="13261" width="6.375" style="6" customWidth="1"/>
    <col min="13262" max="13262" width="34.25" style="6" customWidth="1"/>
    <col min="13263" max="13263" width="7.375" style="6" customWidth="1"/>
    <col min="13264" max="13264" width="6.375" style="6" customWidth="1"/>
    <col min="13265" max="13265" width="13.125" style="6" customWidth="1"/>
    <col min="13266" max="13266" width="15.375" style="6" customWidth="1"/>
    <col min="13267" max="13267" width="21.25" style="6" customWidth="1"/>
    <col min="13268" max="13516" width="9.125" style="6" customWidth="1"/>
    <col min="13517" max="13517" width="6.375" style="6" customWidth="1"/>
    <col min="13518" max="13518" width="34.25" style="6" customWidth="1"/>
    <col min="13519" max="13519" width="7.375" style="6" customWidth="1"/>
    <col min="13520" max="13520" width="6.375" style="6" customWidth="1"/>
    <col min="13521" max="13521" width="13.125" style="6" customWidth="1"/>
    <col min="13522" max="13522" width="15.375" style="6" customWidth="1"/>
    <col min="13523" max="13523" width="21.25" style="6" customWidth="1"/>
    <col min="13524" max="13772" width="9.125" style="6" customWidth="1"/>
    <col min="13773" max="13773" width="6.375" style="6" customWidth="1"/>
    <col min="13774" max="13774" width="34.25" style="6" customWidth="1"/>
    <col min="13775" max="13775" width="7.375" style="6" customWidth="1"/>
    <col min="13776" max="13776" width="6.375" style="6" customWidth="1"/>
    <col min="13777" max="13777" width="13.125" style="6" customWidth="1"/>
    <col min="13778" max="13778" width="15.375" style="6" customWidth="1"/>
    <col min="13779" max="13779" width="21.25" style="6" customWidth="1"/>
    <col min="13780" max="14028" width="9.125" style="6" customWidth="1"/>
    <col min="14029" max="14029" width="6.375" style="6" customWidth="1"/>
    <col min="14030" max="14030" width="34.25" style="6" customWidth="1"/>
    <col min="14031" max="14031" width="7.375" style="6" customWidth="1"/>
    <col min="14032" max="14032" width="6.375" style="6" customWidth="1"/>
    <col min="14033" max="14033" width="13.125" style="6" customWidth="1"/>
    <col min="14034" max="14034" width="15.375" style="6" customWidth="1"/>
    <col min="14035" max="14035" width="21.25" style="6" customWidth="1"/>
    <col min="14036" max="14284" width="9.125" style="6" customWidth="1"/>
    <col min="14285" max="14285" width="6.375" style="6" customWidth="1"/>
    <col min="14286" max="14286" width="34.25" style="6" customWidth="1"/>
    <col min="14287" max="14287" width="7.375" style="6" customWidth="1"/>
    <col min="14288" max="14288" width="6.375" style="6" customWidth="1"/>
    <col min="14289" max="14289" width="13.125" style="6" customWidth="1"/>
    <col min="14290" max="14290" width="15.375" style="6" customWidth="1"/>
    <col min="14291" max="14291" width="21.25" style="6" customWidth="1"/>
    <col min="14292" max="14540" width="9.125" style="6" customWidth="1"/>
    <col min="14541" max="14541" width="6.375" style="6" customWidth="1"/>
    <col min="14542" max="14542" width="34.25" style="6" customWidth="1"/>
    <col min="14543" max="14543" width="7.375" style="6" customWidth="1"/>
    <col min="14544" max="14544" width="6.375" style="6" customWidth="1"/>
    <col min="14545" max="14545" width="13.125" style="6" customWidth="1"/>
    <col min="14546" max="14546" width="15.375" style="6" customWidth="1"/>
    <col min="14547" max="14547" width="21.25" style="6" customWidth="1"/>
    <col min="14548" max="14796" width="9.125" style="6" customWidth="1"/>
    <col min="14797" max="14797" width="6.375" style="6" customWidth="1"/>
    <col min="14798" max="14798" width="34.25" style="6" customWidth="1"/>
    <col min="14799" max="14799" width="7.375" style="6" customWidth="1"/>
    <col min="14800" max="14800" width="6.375" style="6" customWidth="1"/>
    <col min="14801" max="14801" width="13.125" style="6" customWidth="1"/>
    <col min="14802" max="14802" width="15.375" style="6" customWidth="1"/>
    <col min="14803" max="14803" width="21.25" style="6" customWidth="1"/>
    <col min="14804" max="15052" width="9.125" style="6" customWidth="1"/>
    <col min="15053" max="15053" width="6.375" style="6" customWidth="1"/>
    <col min="15054" max="15054" width="34.25" style="6" customWidth="1"/>
    <col min="15055" max="15055" width="7.375" style="6" customWidth="1"/>
    <col min="15056" max="15056" width="6.375" style="6" customWidth="1"/>
    <col min="15057" max="15057" width="13.125" style="6" customWidth="1"/>
    <col min="15058" max="15058" width="15.375" style="6" customWidth="1"/>
    <col min="15059" max="15059" width="21.25" style="6" customWidth="1"/>
    <col min="15060" max="15308" width="9.125" style="6" customWidth="1"/>
    <col min="15309" max="15309" width="6.375" style="6" customWidth="1"/>
    <col min="15310" max="15310" width="34.25" style="6" customWidth="1"/>
    <col min="15311" max="15311" width="7.375" style="6" customWidth="1"/>
    <col min="15312" max="15312" width="6.375" style="6" customWidth="1"/>
    <col min="15313" max="15313" width="13.125" style="6" customWidth="1"/>
    <col min="15314" max="15314" width="15.375" style="6" customWidth="1"/>
    <col min="15315" max="15315" width="21.25" style="6" customWidth="1"/>
    <col min="15316" max="15564" width="9.125" style="6" customWidth="1"/>
    <col min="15565" max="15565" width="6.375" style="6" customWidth="1"/>
    <col min="15566" max="15566" width="34.25" style="6" customWidth="1"/>
    <col min="15567" max="15567" width="7.375" style="6" customWidth="1"/>
    <col min="15568" max="15568" width="6.375" style="6" customWidth="1"/>
    <col min="15569" max="15569" width="13.125" style="6" customWidth="1"/>
    <col min="15570" max="15570" width="15.375" style="6" customWidth="1"/>
    <col min="15571" max="15571" width="21.25" style="6" customWidth="1"/>
    <col min="15572" max="15820" width="9.125" style="6" customWidth="1"/>
    <col min="15821" max="15821" width="6.375" style="6" customWidth="1"/>
    <col min="15822" max="15822" width="34.25" style="6" customWidth="1"/>
    <col min="15823" max="15823" width="7.375" style="6" customWidth="1"/>
    <col min="15824" max="15824" width="6.375" style="6" customWidth="1"/>
    <col min="15825" max="15825" width="13.125" style="6" customWidth="1"/>
    <col min="15826" max="15826" width="15.375" style="6" customWidth="1"/>
    <col min="15827" max="15827" width="21.25" style="6" customWidth="1"/>
    <col min="15828" max="16076" width="9.125" style="6" customWidth="1"/>
    <col min="16077" max="16077" width="6.375" style="6" customWidth="1"/>
    <col min="16078" max="16078" width="34.25" style="6" customWidth="1"/>
    <col min="16079" max="16079" width="7.375" style="6" customWidth="1"/>
    <col min="16080" max="16080" width="6.375" style="6" customWidth="1"/>
    <col min="16081" max="16081" width="13.125" style="6" customWidth="1"/>
    <col min="16082" max="16082" width="15.375" style="6" customWidth="1"/>
    <col min="16083" max="16083" width="21.25" style="6" customWidth="1"/>
    <col min="16084" max="16384" width="9.125" style="6" customWidth="1"/>
  </cols>
  <sheetData>
    <row r="1" spans="1:13" ht="48" customHeight="1"/>
    <row r="2" spans="1:13" s="1" customFormat="1" ht="51" customHeight="1">
      <c r="A2" s="10" t="s">
        <v>507</v>
      </c>
      <c r="B2" s="11"/>
      <c r="C2" s="12"/>
      <c r="D2" s="11"/>
      <c r="E2" s="14"/>
      <c r="F2" s="86"/>
      <c r="G2" s="96"/>
      <c r="H2" s="96"/>
      <c r="I2" s="15"/>
      <c r="J2" s="15"/>
      <c r="K2" s="91"/>
      <c r="L2" s="15"/>
    </row>
    <row r="3" spans="1:13" ht="26.25" customHeight="1">
      <c r="A3" s="16"/>
      <c r="B3" s="17" t="s">
        <v>440</v>
      </c>
      <c r="C3" s="213"/>
      <c r="D3" s="217"/>
      <c r="E3" s="214"/>
      <c r="F3" s="218"/>
      <c r="G3" s="219"/>
      <c r="H3" s="219"/>
      <c r="I3" s="220"/>
      <c r="J3" s="220"/>
      <c r="K3" s="221"/>
      <c r="L3" s="220"/>
    </row>
    <row r="4" spans="1:13" ht="26.25" customHeight="1">
      <c r="A4" s="18"/>
      <c r="B4" s="5" t="s">
        <v>441</v>
      </c>
      <c r="C4" s="222"/>
      <c r="D4" s="217"/>
      <c r="E4" s="214"/>
      <c r="F4" s="218"/>
      <c r="G4" s="219"/>
      <c r="H4" s="219"/>
      <c r="I4" s="220"/>
      <c r="J4" s="220"/>
      <c r="K4" s="221"/>
      <c r="L4" s="220"/>
    </row>
    <row r="5" spans="1:13" ht="26.25" customHeight="1">
      <c r="A5" s="18"/>
      <c r="B5" s="5" t="s">
        <v>442</v>
      </c>
      <c r="C5" s="216"/>
      <c r="D5" s="217"/>
      <c r="E5" s="214"/>
      <c r="F5" s="218"/>
      <c r="G5" s="219"/>
      <c r="H5" s="219"/>
      <c r="I5" s="220"/>
      <c r="J5" s="220"/>
      <c r="K5" s="221"/>
      <c r="L5" s="220"/>
    </row>
    <row r="6" spans="1:13" ht="26.25" customHeight="1">
      <c r="A6" s="18"/>
      <c r="B6" s="5" t="s">
        <v>443</v>
      </c>
      <c r="C6" s="213" t="str">
        <f>INDEX(總表!$B$9:$B$47,MATCH('1A'!A9,總表!$A$9:$A$48,0))</f>
        <v>Nhà kho 1
一號倉庫</v>
      </c>
      <c r="D6" s="217"/>
      <c r="E6" s="214"/>
      <c r="F6" s="218"/>
      <c r="G6" s="219"/>
      <c r="H6" s="219"/>
      <c r="I6" s="220"/>
      <c r="J6" s="220"/>
      <c r="K6" s="221"/>
      <c r="L6" s="220"/>
    </row>
    <row r="7" spans="1:13" ht="26.25" customHeight="1">
      <c r="A7" s="18"/>
      <c r="B7" s="5" t="s">
        <v>444</v>
      </c>
      <c r="C7" s="223" t="s">
        <v>445</v>
      </c>
      <c r="D7" s="224"/>
      <c r="E7" s="224"/>
      <c r="F7" s="224"/>
      <c r="G7" s="224"/>
      <c r="H7" s="224"/>
      <c r="I7" s="224"/>
      <c r="J7" s="224"/>
      <c r="K7" s="224"/>
      <c r="L7" s="224"/>
    </row>
    <row r="8" spans="1:13" s="2" customFormat="1" ht="41.25" customHeight="1">
      <c r="A8" s="19" t="s">
        <v>446</v>
      </c>
      <c r="B8" s="19" t="s">
        <v>508</v>
      </c>
      <c r="C8" s="19" t="s">
        <v>509</v>
      </c>
      <c r="D8" s="19" t="s">
        <v>448</v>
      </c>
      <c r="E8" s="19" t="s">
        <v>449</v>
      </c>
      <c r="F8" s="84" t="s">
        <v>510</v>
      </c>
      <c r="G8" s="97" t="s">
        <v>511</v>
      </c>
      <c r="H8" s="97" t="s">
        <v>512</v>
      </c>
      <c r="I8" s="21" t="s">
        <v>450</v>
      </c>
      <c r="J8" s="21" t="s">
        <v>452</v>
      </c>
      <c r="K8" s="84" t="s">
        <v>513</v>
      </c>
      <c r="L8" s="21" t="s">
        <v>514</v>
      </c>
    </row>
    <row r="9" spans="1:13" s="3" customFormat="1" ht="25.5" customHeight="1">
      <c r="A9" s="22" t="s">
        <v>458</v>
      </c>
      <c r="B9" s="23" t="str">
        <f>C6</f>
        <v>Nhà kho 1
一號倉庫</v>
      </c>
      <c r="C9" s="23" t="s">
        <v>515</v>
      </c>
      <c r="D9" s="22"/>
      <c r="E9" s="25"/>
      <c r="F9" s="87"/>
      <c r="G9" s="98"/>
      <c r="H9" s="98"/>
      <c r="I9" s="26"/>
      <c r="J9" s="26">
        <f>SUBTOTAL(9,J10:J174)</f>
        <v>90448258261.255066</v>
      </c>
      <c r="K9" s="26">
        <f>SUBTOTAL(9,K10:K173)</f>
        <v>91218444357.237183</v>
      </c>
      <c r="L9" s="26"/>
      <c r="M9" s="103"/>
    </row>
    <row r="10" spans="1:13" s="3" customFormat="1" ht="25.5" customHeight="1">
      <c r="A10" s="22" t="str">
        <f>$A$9&amp;".C"</f>
        <v>1A.C</v>
      </c>
      <c r="B10" s="23" t="s">
        <v>1</v>
      </c>
      <c r="C10" s="23" t="s">
        <v>515</v>
      </c>
      <c r="D10" s="22"/>
      <c r="E10" s="25"/>
      <c r="F10" s="87"/>
      <c r="G10" s="25"/>
      <c r="H10" s="25"/>
      <c r="I10" s="26"/>
      <c r="J10" s="26"/>
      <c r="K10" s="89"/>
      <c r="L10" s="26"/>
    </row>
    <row r="11" spans="1:13" s="3" customFormat="1" ht="25.5" customHeight="1">
      <c r="A11" s="22" t="str">
        <f>$A$10&amp;1</f>
        <v>1A.C1</v>
      </c>
      <c r="B11" s="23" t="s">
        <v>2</v>
      </c>
      <c r="C11" s="23" t="s">
        <v>515</v>
      </c>
      <c r="D11" s="22"/>
      <c r="E11" s="25"/>
      <c r="F11" s="87"/>
      <c r="G11" s="25"/>
      <c r="H11" s="25"/>
      <c r="I11" s="26"/>
      <c r="J11" s="26">
        <f>SUBTOTAL(9,J12:J22)</f>
        <v>14974624949.999998</v>
      </c>
      <c r="K11" s="26">
        <f>SUBTOTAL(9,K12:K22)</f>
        <v>14974624949.999998</v>
      </c>
      <c r="L11" s="26"/>
    </row>
    <row r="12" spans="1:13" s="4" customFormat="1" ht="25.5" customHeight="1" outlineLevel="1">
      <c r="A12" s="27" t="str">
        <f t="shared" ref="A12:A22" si="0">$A$11&amp;"."&amp;ROW()-ROW($A$11)</f>
        <v>1A.C1.1</v>
      </c>
      <c r="B12" s="28" t="s">
        <v>3</v>
      </c>
      <c r="C12" s="28" t="s">
        <v>515</v>
      </c>
      <c r="D12" s="29" t="s">
        <v>516</v>
      </c>
      <c r="E12" s="31">
        <v>1</v>
      </c>
      <c r="F12" s="36">
        <v>1</v>
      </c>
      <c r="G12" s="31">
        <f>_xlfn.XLOOKUP(B12, Rate_Master!$A:$A, Rate_Master!$C:$C, "")</f>
        <v>0</v>
      </c>
      <c r="H12" s="31">
        <f>_xlfn.XLOOKUP(B12, Rate_Master!$A:$A, Rate_Master!$D:$D, "")</f>
        <v>114999999.99999999</v>
      </c>
      <c r="I12" s="66">
        <f t="shared" ref="I12:I22" si="1">G12+H12</f>
        <v>114999999.99999999</v>
      </c>
      <c r="J12" s="32">
        <f t="shared" ref="J12:J22" si="2">I12*E12</f>
        <v>114999999.99999999</v>
      </c>
      <c r="K12" s="58">
        <f t="shared" ref="K12:K22" si="3">+F12*I12</f>
        <v>114999999.99999999</v>
      </c>
      <c r="L12" s="32"/>
    </row>
    <row r="13" spans="1:13" s="4" customFormat="1" ht="25.5" customHeight="1" outlineLevel="1">
      <c r="A13" s="27" t="str">
        <f t="shared" si="0"/>
        <v>1A.C1.2</v>
      </c>
      <c r="B13" s="28" t="s">
        <v>4</v>
      </c>
      <c r="C13" s="28" t="s">
        <v>515</v>
      </c>
      <c r="D13" s="29" t="s">
        <v>517</v>
      </c>
      <c r="E13" s="31">
        <v>288</v>
      </c>
      <c r="F13" s="36">
        <v>288</v>
      </c>
      <c r="G13" s="144">
        <f>_xlfn.XLOOKUP(B13, Rate_Master!$A:$A, Rate_Master!$C:$C, "")</f>
        <v>425499.99999999994</v>
      </c>
      <c r="H13" s="31">
        <f>_xlfn.XLOOKUP(B13, Rate_Master!$A:$A, Rate_Master!$D:$D, "")</f>
        <v>0</v>
      </c>
      <c r="I13" s="66">
        <f t="shared" si="1"/>
        <v>425499.99999999994</v>
      </c>
      <c r="J13" s="32">
        <f t="shared" si="2"/>
        <v>122543999.99999999</v>
      </c>
      <c r="K13" s="58">
        <f t="shared" si="3"/>
        <v>122543999.99999999</v>
      </c>
      <c r="L13" s="32"/>
    </row>
    <row r="14" spans="1:13" s="4" customFormat="1" ht="25.5" customHeight="1" outlineLevel="1">
      <c r="A14" s="27" t="str">
        <f t="shared" si="0"/>
        <v>1A.C1.3</v>
      </c>
      <c r="B14" s="28" t="s">
        <v>5</v>
      </c>
      <c r="C14" s="28" t="s">
        <v>515</v>
      </c>
      <c r="D14" s="29" t="s">
        <v>517</v>
      </c>
      <c r="E14" s="31">
        <v>264</v>
      </c>
      <c r="F14" s="36">
        <v>264</v>
      </c>
      <c r="G14" s="31">
        <f>_xlfn.XLOOKUP(B14, Rate_Master!$A:$A, Rate_Master!$C:$C, "")</f>
        <v>0</v>
      </c>
      <c r="H14" s="31">
        <f>_xlfn.XLOOKUP(B14, Rate_Master!$A:$A, Rate_Master!$D:$D, "")</f>
        <v>69000</v>
      </c>
      <c r="I14" s="66">
        <f t="shared" si="1"/>
        <v>69000</v>
      </c>
      <c r="J14" s="32">
        <f t="shared" si="2"/>
        <v>18216000</v>
      </c>
      <c r="K14" s="58">
        <f t="shared" si="3"/>
        <v>18216000</v>
      </c>
      <c r="L14" s="32"/>
    </row>
    <row r="15" spans="1:13" s="4" customFormat="1" ht="25.5" customHeight="1" outlineLevel="1">
      <c r="A15" s="27" t="str">
        <f t="shared" si="0"/>
        <v>1A.C1.4</v>
      </c>
      <c r="B15" s="28" t="s">
        <v>6</v>
      </c>
      <c r="C15" s="28" t="s">
        <v>515</v>
      </c>
      <c r="D15" s="29" t="s">
        <v>517</v>
      </c>
      <c r="E15" s="31">
        <v>276</v>
      </c>
      <c r="F15" s="36">
        <v>276</v>
      </c>
      <c r="G15" s="31">
        <f>_xlfn.XLOOKUP(B15, Rate_Master!$A:$A, Rate_Master!$C:$C, "")</f>
        <v>0</v>
      </c>
      <c r="H15" s="31">
        <f>_xlfn.XLOOKUP(B15, Rate_Master!$A:$A, Rate_Master!$D:$D, "")</f>
        <v>57499.999999999993</v>
      </c>
      <c r="I15" s="66">
        <f t="shared" si="1"/>
        <v>57499.999999999993</v>
      </c>
      <c r="J15" s="32">
        <f t="shared" si="2"/>
        <v>15869999.999999998</v>
      </c>
      <c r="K15" s="58">
        <f t="shared" si="3"/>
        <v>15869999.999999998</v>
      </c>
      <c r="L15" s="32"/>
    </row>
    <row r="16" spans="1:13" s="4" customFormat="1" ht="89.25" customHeight="1" outlineLevel="1">
      <c r="A16" s="27" t="str">
        <f t="shared" si="0"/>
        <v>1A.C1.5</v>
      </c>
      <c r="B16" s="28" t="s">
        <v>7</v>
      </c>
      <c r="C16" s="28" t="s">
        <v>515</v>
      </c>
      <c r="D16" s="29" t="s">
        <v>518</v>
      </c>
      <c r="E16" s="31">
        <v>12</v>
      </c>
      <c r="F16" s="36">
        <v>12</v>
      </c>
      <c r="G16" s="31">
        <f>_xlfn.XLOOKUP(B16, Rate_Master!$A:$A, Rate_Master!$C:$C, "")</f>
        <v>0</v>
      </c>
      <c r="H16" s="31">
        <f>_xlfn.XLOOKUP(B16, Rate_Master!$A:$A, Rate_Master!$D:$D, "")</f>
        <v>13799999.999999998</v>
      </c>
      <c r="I16" s="66">
        <f t="shared" si="1"/>
        <v>13799999.999999998</v>
      </c>
      <c r="J16" s="32">
        <f t="shared" si="2"/>
        <v>165599999.99999997</v>
      </c>
      <c r="K16" s="58">
        <f t="shared" si="3"/>
        <v>165599999.99999997</v>
      </c>
      <c r="L16" s="32"/>
    </row>
    <row r="17" spans="1:12" s="4" customFormat="1" ht="25.5" customHeight="1" outlineLevel="1">
      <c r="A17" s="27" t="str">
        <f t="shared" si="0"/>
        <v>1A.C1.6</v>
      </c>
      <c r="B17" s="28" t="s">
        <v>8</v>
      </c>
      <c r="C17" s="28" t="s">
        <v>515</v>
      </c>
      <c r="D17" s="29" t="s">
        <v>518</v>
      </c>
      <c r="E17" s="31">
        <v>237</v>
      </c>
      <c r="F17" s="36">
        <v>237</v>
      </c>
      <c r="G17" s="31">
        <f>_xlfn.XLOOKUP(B17, Rate_Master!$A:$A, Rate_Master!$C:$C, "")</f>
        <v>0</v>
      </c>
      <c r="H17" s="31">
        <f>_xlfn.XLOOKUP(B17, Rate_Master!$A:$A, Rate_Master!$D:$D, "")</f>
        <v>252999.99999999997</v>
      </c>
      <c r="I17" s="66">
        <f t="shared" si="1"/>
        <v>252999.99999999997</v>
      </c>
      <c r="J17" s="32">
        <f t="shared" si="2"/>
        <v>59960999.999999993</v>
      </c>
      <c r="K17" s="58">
        <f t="shared" si="3"/>
        <v>59960999.999999993</v>
      </c>
      <c r="L17" s="32"/>
    </row>
    <row r="18" spans="1:12" s="4" customFormat="1" ht="25.5" customHeight="1" outlineLevel="1">
      <c r="A18" s="27" t="str">
        <f t="shared" si="0"/>
        <v>1A.C1.7</v>
      </c>
      <c r="B18" s="28" t="s">
        <v>9</v>
      </c>
      <c r="C18" s="28" t="s">
        <v>515</v>
      </c>
      <c r="D18" s="29" t="s">
        <v>517</v>
      </c>
      <c r="E18" s="31">
        <v>25784</v>
      </c>
      <c r="F18" s="36">
        <v>25784</v>
      </c>
      <c r="G18" s="144">
        <f>_xlfn.XLOOKUP(B18, Rate_Master!$A:$A, Rate_Master!$C:$C, "")</f>
        <v>402499.99999999994</v>
      </c>
      <c r="H18" s="31">
        <f>_xlfn.XLOOKUP(B18, Rate_Master!$A:$A, Rate_Master!$D:$D, "")</f>
        <v>0</v>
      </c>
      <c r="I18" s="66">
        <f t="shared" si="1"/>
        <v>402499.99999999994</v>
      </c>
      <c r="J18" s="32">
        <f t="shared" si="2"/>
        <v>10378059999.999998</v>
      </c>
      <c r="K18" s="58">
        <f t="shared" si="3"/>
        <v>10378059999.999998</v>
      </c>
      <c r="L18" s="32"/>
    </row>
    <row r="19" spans="1:12" s="4" customFormat="1" ht="25.5" customHeight="1" outlineLevel="1">
      <c r="A19" s="27" t="str">
        <f t="shared" si="0"/>
        <v>1A.C1.8</v>
      </c>
      <c r="B19" s="28" t="s">
        <v>10</v>
      </c>
      <c r="C19" s="28" t="s">
        <v>515</v>
      </c>
      <c r="D19" s="29" t="s">
        <v>518</v>
      </c>
      <c r="E19" s="31">
        <v>1184</v>
      </c>
      <c r="F19" s="36">
        <v>1184</v>
      </c>
      <c r="G19" s="31">
        <f>_xlfn.XLOOKUP(B19, Rate_Master!$A:$A, Rate_Master!$C:$C, "")</f>
        <v>80500</v>
      </c>
      <c r="H19" s="31">
        <f>_xlfn.XLOOKUP(B19, Rate_Master!$A:$A, Rate_Master!$D:$D, "")</f>
        <v>0</v>
      </c>
      <c r="I19" s="66">
        <f t="shared" si="1"/>
        <v>80500</v>
      </c>
      <c r="J19" s="32">
        <f t="shared" si="2"/>
        <v>95312000</v>
      </c>
      <c r="K19" s="58">
        <f t="shared" si="3"/>
        <v>95312000</v>
      </c>
      <c r="L19" s="32"/>
    </row>
    <row r="20" spans="1:12" s="4" customFormat="1" ht="25.5" customHeight="1" outlineLevel="1">
      <c r="A20" s="27" t="str">
        <f t="shared" si="0"/>
        <v>1A.C1.9</v>
      </c>
      <c r="B20" s="28" t="s">
        <v>11</v>
      </c>
      <c r="C20" s="28" t="s">
        <v>515</v>
      </c>
      <c r="D20" s="29" t="s">
        <v>517</v>
      </c>
      <c r="E20" s="31">
        <v>25092.3</v>
      </c>
      <c r="F20" s="36">
        <v>25092.3</v>
      </c>
      <c r="G20" s="31">
        <f>_xlfn.XLOOKUP(B20, Rate_Master!$A:$A, Rate_Master!$C:$C, "")</f>
        <v>0</v>
      </c>
      <c r="H20" s="31">
        <f>_xlfn.XLOOKUP(B20, Rate_Master!$A:$A, Rate_Master!$D:$D, "")</f>
        <v>69000</v>
      </c>
      <c r="I20" s="66">
        <f t="shared" si="1"/>
        <v>69000</v>
      </c>
      <c r="J20" s="32">
        <f t="shared" si="2"/>
        <v>1731368700</v>
      </c>
      <c r="K20" s="58">
        <f t="shared" si="3"/>
        <v>1731368700</v>
      </c>
      <c r="L20" s="32"/>
    </row>
    <row r="21" spans="1:12" s="4" customFormat="1" ht="25.5" customHeight="1" outlineLevel="1">
      <c r="A21" s="27" t="str">
        <f t="shared" si="0"/>
        <v>1A.C1.10</v>
      </c>
      <c r="B21" s="28" t="s">
        <v>12</v>
      </c>
      <c r="C21" s="28" t="s">
        <v>515</v>
      </c>
      <c r="D21" s="29" t="s">
        <v>517</v>
      </c>
      <c r="E21" s="31">
        <v>26264.3</v>
      </c>
      <c r="F21" s="36">
        <v>26264.3</v>
      </c>
      <c r="G21" s="31">
        <f>_xlfn.XLOOKUP(B21, Rate_Master!$A:$A, Rate_Master!$C:$C, "")</f>
        <v>0</v>
      </c>
      <c r="H21" s="31">
        <f>_xlfn.XLOOKUP(B21, Rate_Master!$A:$A, Rate_Master!$D:$D, "")</f>
        <v>57499.999999999993</v>
      </c>
      <c r="I21" s="66">
        <f t="shared" si="1"/>
        <v>57499.999999999993</v>
      </c>
      <c r="J21" s="32">
        <f t="shared" si="2"/>
        <v>1510197249.9999998</v>
      </c>
      <c r="K21" s="58">
        <f t="shared" si="3"/>
        <v>1510197249.9999998</v>
      </c>
      <c r="L21" s="32"/>
    </row>
    <row r="22" spans="1:12" s="4" customFormat="1" ht="51" customHeight="1" outlineLevel="1">
      <c r="A22" s="27" t="str">
        <f t="shared" si="0"/>
        <v>1A.C1.11</v>
      </c>
      <c r="B22" s="28" t="s">
        <v>13</v>
      </c>
      <c r="C22" s="28" t="s">
        <v>515</v>
      </c>
      <c r="D22" s="29" t="s">
        <v>518</v>
      </c>
      <c r="E22" s="31">
        <v>1184</v>
      </c>
      <c r="F22" s="36">
        <v>1184</v>
      </c>
      <c r="G22" s="144">
        <f>_xlfn.XLOOKUP(B22, Rate_Master!$A:$A, Rate_Master!$C:$C, "")</f>
        <v>482999.99999999994</v>
      </c>
      <c r="H22" s="31">
        <f>_xlfn.XLOOKUP(B22, Rate_Master!$A:$A, Rate_Master!$D:$D, "")</f>
        <v>161000</v>
      </c>
      <c r="I22" s="66">
        <f t="shared" si="1"/>
        <v>644000</v>
      </c>
      <c r="J22" s="32">
        <f t="shared" si="2"/>
        <v>762496000</v>
      </c>
      <c r="K22" s="58">
        <f t="shared" si="3"/>
        <v>762496000</v>
      </c>
      <c r="L22" s="32"/>
    </row>
    <row r="23" spans="1:12" s="3" customFormat="1" ht="25.5" customHeight="1">
      <c r="A23" s="22" t="str">
        <f>$A$10&amp;2</f>
        <v>1A.C2</v>
      </c>
      <c r="B23" s="23" t="s">
        <v>14</v>
      </c>
      <c r="C23" s="23" t="s">
        <v>515</v>
      </c>
      <c r="D23" s="22"/>
      <c r="E23" s="25"/>
      <c r="F23" s="87"/>
      <c r="G23" s="145">
        <f>_xlfn.XLOOKUP(B23, Rate_Master!$A:$A, Rate_Master!$C:$C, "")</f>
        <v>0</v>
      </c>
      <c r="H23" s="25">
        <f>_xlfn.XLOOKUP(B23, Rate_Master!$A:$A, Rate_Master!$D:$D, "")</f>
        <v>0</v>
      </c>
      <c r="I23" s="26"/>
      <c r="J23" s="26">
        <f>SUBTOTAL(9,J24:J31)</f>
        <v>3982115365.5249996</v>
      </c>
      <c r="K23" s="26">
        <f>SUBTOTAL(9,K24:K31)</f>
        <v>3982115365.5249996</v>
      </c>
      <c r="L23" s="26"/>
    </row>
    <row r="24" spans="1:12" s="4" customFormat="1" ht="25.5" customHeight="1" outlineLevel="1">
      <c r="A24" s="27" t="str">
        <f t="shared" ref="A24:A31" si="4">$A$23&amp;"."&amp;ROW()-ROW($A$23)</f>
        <v>1A.C2.1</v>
      </c>
      <c r="B24" s="28" t="s">
        <v>15</v>
      </c>
      <c r="C24" s="28" t="s">
        <v>515</v>
      </c>
      <c r="D24" s="29" t="s">
        <v>519</v>
      </c>
      <c r="E24" s="31">
        <v>5734.03</v>
      </c>
      <c r="F24" s="36">
        <v>5734.03</v>
      </c>
      <c r="G24" s="144">
        <f>_xlfn.XLOOKUP(B24, Rate_Master!$A:$A, Rate_Master!$C:$C, "")</f>
        <v>0</v>
      </c>
      <c r="H24" s="31">
        <f>_xlfn.XLOOKUP(B24, Rate_Master!$A:$A, Rate_Master!$D:$D, "")</f>
        <v>32199.999999999996</v>
      </c>
      <c r="I24" s="66">
        <f t="shared" ref="I24:I31" si="5">G24+H24</f>
        <v>32199.999999999996</v>
      </c>
      <c r="J24" s="32">
        <f t="shared" ref="J24:J31" si="6">I24*E24</f>
        <v>184635765.99999997</v>
      </c>
      <c r="K24" s="58">
        <f t="shared" ref="K24:K31" si="7">+F24*I24</f>
        <v>184635765.99999997</v>
      </c>
      <c r="L24" s="32"/>
    </row>
    <row r="25" spans="1:12" s="4" customFormat="1" ht="25.5" customHeight="1" outlineLevel="1">
      <c r="A25" s="27" t="str">
        <f t="shared" si="4"/>
        <v>1A.C2.2</v>
      </c>
      <c r="B25" s="28" t="s">
        <v>16</v>
      </c>
      <c r="C25" s="28" t="s">
        <v>515</v>
      </c>
      <c r="D25" s="29" t="s">
        <v>520</v>
      </c>
      <c r="E25" s="31">
        <v>4049.6970000000001</v>
      </c>
      <c r="F25" s="36">
        <v>4049.6970000000001</v>
      </c>
      <c r="G25" s="144">
        <f>_xlfn.XLOOKUP(B25, Rate_Master!$A:$A, Rate_Master!$C:$C, "")</f>
        <v>0</v>
      </c>
      <c r="H25" s="31">
        <f>_xlfn.XLOOKUP(B25, Rate_Master!$A:$A, Rate_Master!$D:$D, "")</f>
        <v>17250</v>
      </c>
      <c r="I25" s="66">
        <f t="shared" si="5"/>
        <v>17250</v>
      </c>
      <c r="J25" s="32">
        <f t="shared" si="6"/>
        <v>69857273.25</v>
      </c>
      <c r="K25" s="58">
        <f t="shared" si="7"/>
        <v>69857273.25</v>
      </c>
      <c r="L25" s="32"/>
    </row>
    <row r="26" spans="1:12" s="4" customFormat="1" ht="25.5" customHeight="1" outlineLevel="1">
      <c r="A26" s="27" t="str">
        <f t="shared" si="4"/>
        <v>1A.C2.3</v>
      </c>
      <c r="B26" s="28" t="s">
        <v>17</v>
      </c>
      <c r="C26" s="28" t="s">
        <v>515</v>
      </c>
      <c r="D26" s="29" t="s">
        <v>519</v>
      </c>
      <c r="E26" s="31">
        <v>4200.1360000000004</v>
      </c>
      <c r="F26" s="36">
        <v>4200.1360000000004</v>
      </c>
      <c r="G26" s="144">
        <f>_xlfn.XLOOKUP(B26, Rate_Master!$A:$A, Rate_Master!$C:$C, "")</f>
        <v>0</v>
      </c>
      <c r="H26" s="31">
        <f>_xlfn.XLOOKUP(B26, Rate_Master!$A:$A, Rate_Master!$D:$D, "")</f>
        <v>37950</v>
      </c>
      <c r="I26" s="66">
        <f t="shared" si="5"/>
        <v>37950</v>
      </c>
      <c r="J26" s="32">
        <f t="shared" si="6"/>
        <v>159395161.20000002</v>
      </c>
      <c r="K26" s="58">
        <f t="shared" si="7"/>
        <v>159395161.20000002</v>
      </c>
      <c r="L26" s="32"/>
    </row>
    <row r="27" spans="1:12" s="4" customFormat="1" ht="25.5" customHeight="1" outlineLevel="1">
      <c r="A27" s="27" t="str">
        <f t="shared" si="4"/>
        <v>1A.C2.4</v>
      </c>
      <c r="B27" s="34" t="s">
        <v>18</v>
      </c>
      <c r="C27" s="34" t="s">
        <v>521</v>
      </c>
      <c r="D27" s="29" t="s">
        <v>519</v>
      </c>
      <c r="E27" s="31">
        <v>1533.894</v>
      </c>
      <c r="F27" s="36">
        <v>1533.894</v>
      </c>
      <c r="G27" s="144">
        <f>_xlfn.XLOOKUP(B27, Rate_Master!$A:$A, Rate_Master!$C:$C, "")</f>
        <v>0</v>
      </c>
      <c r="H27" s="31">
        <f>_xlfn.XLOOKUP(B27, Rate_Master!$A:$A, Rate_Master!$D:$D, "")</f>
        <v>32199.999999999996</v>
      </c>
      <c r="I27" s="66">
        <f t="shared" si="5"/>
        <v>32199.999999999996</v>
      </c>
      <c r="J27" s="32">
        <f t="shared" si="6"/>
        <v>49391386.799999997</v>
      </c>
      <c r="K27" s="58">
        <f t="shared" si="7"/>
        <v>49391386.799999997</v>
      </c>
      <c r="L27" s="32"/>
    </row>
    <row r="28" spans="1:12" s="4" customFormat="1" ht="25.5" customHeight="1" outlineLevel="1">
      <c r="A28" s="27" t="str">
        <f t="shared" si="4"/>
        <v>1A.C2.5</v>
      </c>
      <c r="B28" s="28" t="s">
        <v>19</v>
      </c>
      <c r="C28" s="28" t="s">
        <v>515</v>
      </c>
      <c r="D28" s="29" t="s">
        <v>520</v>
      </c>
      <c r="E28" s="31">
        <v>4049.6970000000001</v>
      </c>
      <c r="F28" s="36">
        <v>4049.6970000000001</v>
      </c>
      <c r="G28" s="144">
        <f>_xlfn.XLOOKUP(B28, Rate_Master!$A:$A, Rate_Master!$C:$C, "")</f>
        <v>6899.9999999999991</v>
      </c>
      <c r="H28" s="31">
        <f>_xlfn.XLOOKUP(B28, Rate_Master!$A:$A, Rate_Master!$D:$D, "")</f>
        <v>1724.9999999999998</v>
      </c>
      <c r="I28" s="66">
        <f t="shared" si="5"/>
        <v>8624.9999999999982</v>
      </c>
      <c r="J28" s="32">
        <f t="shared" si="6"/>
        <v>34928636.624999993</v>
      </c>
      <c r="K28" s="58">
        <f t="shared" si="7"/>
        <v>34928636.624999993</v>
      </c>
      <c r="L28" s="32"/>
    </row>
    <row r="29" spans="1:12" s="4" customFormat="1" ht="38.25" customHeight="1" outlineLevel="1">
      <c r="A29" s="27" t="str">
        <f t="shared" si="4"/>
        <v>1A.C2.6</v>
      </c>
      <c r="B29" s="28" t="s">
        <v>20</v>
      </c>
      <c r="C29" s="28" t="s">
        <v>515</v>
      </c>
      <c r="D29" s="29" t="s">
        <v>520</v>
      </c>
      <c r="E29" s="31">
        <v>12881.334000000001</v>
      </c>
      <c r="F29" s="36">
        <v>12881.334000000001</v>
      </c>
      <c r="G29" s="144">
        <f>_xlfn.XLOOKUP(B29, Rate_Master!$A:$A, Rate_Master!$C:$C, "")</f>
        <v>34500</v>
      </c>
      <c r="H29" s="31">
        <f>_xlfn.XLOOKUP(B29, Rate_Master!$A:$A, Rate_Master!$D:$D, "")</f>
        <v>5750</v>
      </c>
      <c r="I29" s="66">
        <f t="shared" si="5"/>
        <v>40250</v>
      </c>
      <c r="J29" s="32">
        <f t="shared" si="6"/>
        <v>518473693.50000006</v>
      </c>
      <c r="K29" s="58">
        <f t="shared" si="7"/>
        <v>518473693.50000006</v>
      </c>
      <c r="L29" s="32"/>
    </row>
    <row r="30" spans="1:12" s="4" customFormat="1" ht="25.5" customHeight="1" outlineLevel="1">
      <c r="A30" s="27" t="str">
        <f t="shared" si="4"/>
        <v>1A.C2.7</v>
      </c>
      <c r="B30" s="34" t="s">
        <v>21</v>
      </c>
      <c r="C30" s="28" t="s">
        <v>515</v>
      </c>
      <c r="D30" s="29" t="s">
        <v>520</v>
      </c>
      <c r="E30" s="31">
        <v>12881.334000000001</v>
      </c>
      <c r="F30" s="36">
        <v>12881.334000000001</v>
      </c>
      <c r="G30" s="144">
        <f>_xlfn.XLOOKUP(B30, Rate_Master!$A:$A, Rate_Master!$C:$C, "")</f>
        <v>0</v>
      </c>
      <c r="H30" s="31">
        <f>_xlfn.XLOOKUP(B30, Rate_Master!$A:$A, Rate_Master!$D:$D, "")</f>
        <v>13799.999999999998</v>
      </c>
      <c r="I30" s="66">
        <f t="shared" si="5"/>
        <v>13799.999999999998</v>
      </c>
      <c r="J30" s="32">
        <f t="shared" si="6"/>
        <v>177762409.19999999</v>
      </c>
      <c r="K30" s="58">
        <f t="shared" si="7"/>
        <v>177762409.19999999</v>
      </c>
      <c r="L30" s="32"/>
    </row>
    <row r="31" spans="1:12" s="4" customFormat="1" ht="25.5" customHeight="1" outlineLevel="1">
      <c r="A31" s="27" t="str">
        <f t="shared" si="4"/>
        <v>1A.C2.8</v>
      </c>
      <c r="B31" s="28" t="s">
        <v>22</v>
      </c>
      <c r="C31" s="28" t="s">
        <v>515</v>
      </c>
      <c r="D31" s="29" t="s">
        <v>519</v>
      </c>
      <c r="E31" s="31">
        <v>4526.7259999999997</v>
      </c>
      <c r="F31" s="36">
        <v>4526.7259999999997</v>
      </c>
      <c r="G31" s="144">
        <f>_xlfn.XLOOKUP(B31, Rate_Master!$A:$A, Rate_Master!$C:$C, "")</f>
        <v>512325</v>
      </c>
      <c r="H31" s="31">
        <f>_xlfn.XLOOKUP(B31, Rate_Master!$A:$A, Rate_Master!$D:$D, "")</f>
        <v>103499.99999999999</v>
      </c>
      <c r="I31" s="66">
        <f t="shared" si="5"/>
        <v>615825</v>
      </c>
      <c r="J31" s="32">
        <f t="shared" si="6"/>
        <v>2787671038.9499998</v>
      </c>
      <c r="K31" s="58">
        <f t="shared" si="7"/>
        <v>2787671038.9499998</v>
      </c>
      <c r="L31" s="32"/>
    </row>
    <row r="32" spans="1:12" s="3" customFormat="1" ht="25.5" customHeight="1">
      <c r="A32" s="22" t="str">
        <f>$A$10&amp;3</f>
        <v>1A.C3</v>
      </c>
      <c r="B32" s="23" t="s">
        <v>23</v>
      </c>
      <c r="C32" s="23" t="s">
        <v>515</v>
      </c>
      <c r="D32" s="22"/>
      <c r="E32" s="25"/>
      <c r="F32" s="87"/>
      <c r="G32" s="25">
        <f>_xlfn.XLOOKUP(B32, Rate_Master!$A:$A, Rate_Master!$C:$C, "")</f>
        <v>0</v>
      </c>
      <c r="H32" s="25">
        <f>_xlfn.XLOOKUP(B32, Rate_Master!$A:$A, Rate_Master!$D:$D, "")</f>
        <v>0</v>
      </c>
      <c r="I32" s="26"/>
      <c r="J32" s="26">
        <f>SUBTOTAL(9,J33:J39)</f>
        <v>12302134046.538889</v>
      </c>
      <c r="K32" s="26">
        <f>SUBTOTAL(9,K33:K39)</f>
        <v>12302134046.538889</v>
      </c>
      <c r="L32" s="26"/>
    </row>
    <row r="33" spans="1:12" s="4" customFormat="1" ht="25.5" customHeight="1" outlineLevel="1">
      <c r="A33" s="27" t="str">
        <f t="shared" ref="A33:A39" si="8">$A$32&amp;"."&amp;ROW()-ROW($A$32)</f>
        <v>1A.C3.1</v>
      </c>
      <c r="B33" s="28" t="s">
        <v>24</v>
      </c>
      <c r="C33" s="28" t="s">
        <v>515</v>
      </c>
      <c r="D33" s="29" t="s">
        <v>519</v>
      </c>
      <c r="E33" s="31">
        <v>407.88</v>
      </c>
      <c r="F33" s="36">
        <v>407.88</v>
      </c>
      <c r="G33" s="141">
        <f>_xlfn.XLOOKUP(B33, Rate_Master!$A:$A, Rate_Master!$C:$C, "")</f>
        <v>1249762.5</v>
      </c>
      <c r="H33" s="141">
        <f>_xlfn.XLOOKUP(B33, Rate_Master!$A:$A, Rate_Master!$D:$D, "")</f>
        <v>206999.99999999997</v>
      </c>
      <c r="I33" s="66">
        <f t="shared" ref="I33:I39" si="9">+H33+G33</f>
        <v>1456762.5</v>
      </c>
      <c r="J33" s="32">
        <f t="shared" ref="J33:J39" si="10">I33*E33</f>
        <v>594184288.5</v>
      </c>
      <c r="K33" s="58">
        <f t="shared" ref="K33:K39" si="11">+F33*I33</f>
        <v>594184288.5</v>
      </c>
      <c r="L33" s="32"/>
    </row>
    <row r="34" spans="1:12" s="4" customFormat="1" ht="54" customHeight="1" outlineLevel="1">
      <c r="A34" s="27" t="str">
        <f t="shared" si="8"/>
        <v>1A.C3.2</v>
      </c>
      <c r="B34" s="28" t="s">
        <v>25</v>
      </c>
      <c r="C34" s="28" t="s">
        <v>515</v>
      </c>
      <c r="D34" s="29" t="s">
        <v>519</v>
      </c>
      <c r="E34" s="31">
        <v>6339.0569999999998</v>
      </c>
      <c r="F34" s="36">
        <v>6339.0569999999998</v>
      </c>
      <c r="G34" s="142">
        <f>_xlfn.XLOOKUP(B34, Rate_Master!$A:$A, Rate_Master!$C:$C, "")</f>
        <v>1607444.4444444443</v>
      </c>
      <c r="H34" s="142">
        <f>_xlfn.XLOOKUP(B34, Rate_Master!$A:$A, Rate_Master!$D:$D, "")</f>
        <v>149500</v>
      </c>
      <c r="I34" s="66">
        <f t="shared" si="9"/>
        <v>1756944.4444444443</v>
      </c>
      <c r="J34" s="32">
        <f t="shared" si="10"/>
        <v>11137370979.166666</v>
      </c>
      <c r="K34" s="58">
        <f t="shared" si="11"/>
        <v>11137370979.166666</v>
      </c>
      <c r="L34" s="32"/>
    </row>
    <row r="35" spans="1:12" s="4" customFormat="1" ht="25.5" customHeight="1" outlineLevel="1">
      <c r="A35" s="27" t="str">
        <f t="shared" si="8"/>
        <v>1A.C3.3</v>
      </c>
      <c r="B35" s="28" t="s">
        <v>26</v>
      </c>
      <c r="C35" s="28" t="s">
        <v>515</v>
      </c>
      <c r="D35" s="29" t="s">
        <v>519</v>
      </c>
      <c r="E35" s="31">
        <v>89.421999999999997</v>
      </c>
      <c r="F35" s="36">
        <v>89.421999999999997</v>
      </c>
      <c r="G35" s="142">
        <f>_xlfn.XLOOKUP(B35, Rate_Master!$A:$A, Rate_Master!$C:$C, "")</f>
        <v>1520555.5555555553</v>
      </c>
      <c r="H35" s="142">
        <f>_xlfn.XLOOKUP(B35, Rate_Master!$A:$A, Rate_Master!$D:$D, "")</f>
        <v>252999.99999999997</v>
      </c>
      <c r="I35" s="66">
        <f t="shared" si="9"/>
        <v>1773555.5555555553</v>
      </c>
      <c r="J35" s="32">
        <f t="shared" si="10"/>
        <v>158594884.88888887</v>
      </c>
      <c r="K35" s="58">
        <f t="shared" si="11"/>
        <v>158594884.88888887</v>
      </c>
      <c r="L35" s="32"/>
    </row>
    <row r="36" spans="1:12" s="4" customFormat="1" ht="25.5" customHeight="1" outlineLevel="1">
      <c r="A36" s="27" t="str">
        <f t="shared" si="8"/>
        <v>1A.C3.4</v>
      </c>
      <c r="B36" s="28" t="s">
        <v>27</v>
      </c>
      <c r="C36" s="28" t="s">
        <v>515</v>
      </c>
      <c r="D36" s="29" t="s">
        <v>519</v>
      </c>
      <c r="E36" s="31">
        <v>135.26</v>
      </c>
      <c r="F36" s="36">
        <v>135.26</v>
      </c>
      <c r="G36" s="142">
        <f>_xlfn.XLOOKUP(B36, Rate_Master!$A:$A, Rate_Master!$C:$C, "")</f>
        <v>1520555.5555555553</v>
      </c>
      <c r="H36" s="142">
        <f>_xlfn.XLOOKUP(B36, Rate_Master!$A:$A, Rate_Master!$D:$D, "")</f>
        <v>149500</v>
      </c>
      <c r="I36" s="66">
        <f t="shared" si="9"/>
        <v>1670055.5555555553</v>
      </c>
      <c r="J36" s="32">
        <f t="shared" si="10"/>
        <v>225891714.44444439</v>
      </c>
      <c r="K36" s="58">
        <f t="shared" si="11"/>
        <v>225891714.44444439</v>
      </c>
      <c r="L36" s="32"/>
    </row>
    <row r="37" spans="1:12" s="4" customFormat="1" ht="25.5" customHeight="1" outlineLevel="1">
      <c r="A37" s="27" t="str">
        <f t="shared" si="8"/>
        <v>1A.C3.5</v>
      </c>
      <c r="B37" s="28" t="s">
        <v>28</v>
      </c>
      <c r="C37" s="28" t="s">
        <v>515</v>
      </c>
      <c r="D37" s="29" t="s">
        <v>519</v>
      </c>
      <c r="E37" s="31">
        <v>20.931360000000002</v>
      </c>
      <c r="F37" s="36">
        <v>20.931360000000002</v>
      </c>
      <c r="G37" s="142">
        <f>_xlfn.XLOOKUP(B37, Rate_Master!$A:$A, Rate_Master!$C:$C, "")</f>
        <v>1390222.2222222222</v>
      </c>
      <c r="H37" s="142">
        <f>_xlfn.XLOOKUP(B37, Rate_Master!$A:$A, Rate_Master!$D:$D, "")</f>
        <v>149500</v>
      </c>
      <c r="I37" s="66">
        <f t="shared" si="9"/>
        <v>1539722.2222222222</v>
      </c>
      <c r="J37" s="32">
        <f t="shared" si="10"/>
        <v>32228480.133333337</v>
      </c>
      <c r="K37" s="58">
        <f t="shared" si="11"/>
        <v>32228480.133333337</v>
      </c>
      <c r="L37" s="32"/>
    </row>
    <row r="38" spans="1:12" s="4" customFormat="1" ht="25.5" customHeight="1" outlineLevel="1">
      <c r="A38" s="27" t="str">
        <f t="shared" si="8"/>
        <v>1A.C3.6</v>
      </c>
      <c r="B38" s="28" t="s">
        <v>29</v>
      </c>
      <c r="C38" s="28" t="s">
        <v>515</v>
      </c>
      <c r="D38" s="29" t="s">
        <v>519</v>
      </c>
      <c r="E38" s="31">
        <v>50.262999999999998</v>
      </c>
      <c r="F38" s="36">
        <v>50.262999999999998</v>
      </c>
      <c r="G38" s="142">
        <f>_xlfn.XLOOKUP(B38, Rate_Master!$A:$A, Rate_Master!$C:$C, "")</f>
        <v>1390222.2222222222</v>
      </c>
      <c r="H38" s="142">
        <f>_xlfn.XLOOKUP(B38, Rate_Master!$A:$A, Rate_Master!$D:$D, "")</f>
        <v>149500</v>
      </c>
      <c r="I38" s="66">
        <f t="shared" si="9"/>
        <v>1539722.2222222222</v>
      </c>
      <c r="J38" s="32">
        <f t="shared" si="10"/>
        <v>77391058.055555552</v>
      </c>
      <c r="K38" s="58">
        <f t="shared" si="11"/>
        <v>77391058.055555552</v>
      </c>
      <c r="L38" s="32"/>
    </row>
    <row r="39" spans="1:12" s="4" customFormat="1" ht="38.25" customHeight="1" outlineLevel="1">
      <c r="A39" s="27" t="str">
        <f t="shared" si="8"/>
        <v>1A.C3.7</v>
      </c>
      <c r="B39" s="28" t="s">
        <v>30</v>
      </c>
      <c r="C39" s="28" t="s">
        <v>515</v>
      </c>
      <c r="D39" s="29" t="s">
        <v>519</v>
      </c>
      <c r="E39" s="31">
        <v>2.51315</v>
      </c>
      <c r="F39" s="36">
        <v>2.51315</v>
      </c>
      <c r="G39" s="143">
        <f>_xlfn.XLOOKUP(B39, Rate_Master!$A:$A, Rate_Master!$C:$C, "")</f>
        <v>22425000</v>
      </c>
      <c r="H39" s="143">
        <f>_xlfn.XLOOKUP(B39, Rate_Master!$A:$A, Rate_Master!$D:$D, "")</f>
        <v>8003999.9999999991</v>
      </c>
      <c r="I39" s="66">
        <f t="shared" si="9"/>
        <v>30429000</v>
      </c>
      <c r="J39" s="32">
        <f t="shared" si="10"/>
        <v>76472641.349999994</v>
      </c>
      <c r="K39" s="58">
        <f t="shared" si="11"/>
        <v>76472641.349999994</v>
      </c>
      <c r="L39" s="32"/>
    </row>
    <row r="40" spans="1:12" s="3" customFormat="1" ht="25.5" customHeight="1">
      <c r="A40" s="22" t="str">
        <f>$A$10&amp;4</f>
        <v>1A.C4</v>
      </c>
      <c r="B40" s="23" t="s">
        <v>31</v>
      </c>
      <c r="C40" s="23" t="s">
        <v>515</v>
      </c>
      <c r="D40" s="22"/>
      <c r="E40" s="25"/>
      <c r="F40" s="87"/>
      <c r="G40" s="25">
        <f>_xlfn.XLOOKUP(B40, Rate_Master!$A:$A, Rate_Master!$C:$C, "")</f>
        <v>0</v>
      </c>
      <c r="H40" s="25">
        <f>_xlfn.XLOOKUP(B40, Rate_Master!$A:$A, Rate_Master!$D:$D, "")</f>
        <v>0</v>
      </c>
      <c r="I40" s="26"/>
      <c r="J40" s="26">
        <f>SUBTOTAL(9,J41:J45)</f>
        <v>2859732485</v>
      </c>
      <c r="K40" s="26">
        <f>SUBTOTAL(9,K41:K45)</f>
        <v>2859732485</v>
      </c>
      <c r="L40" s="26"/>
    </row>
    <row r="41" spans="1:12" s="4" customFormat="1" ht="25.5" customHeight="1" outlineLevel="1">
      <c r="A41" s="27" t="str">
        <f>$A$40&amp;"."&amp;ROW()-ROW($A$40)</f>
        <v>1A.C4.1</v>
      </c>
      <c r="B41" s="28" t="s">
        <v>32</v>
      </c>
      <c r="C41" s="28" t="s">
        <v>515</v>
      </c>
      <c r="D41" s="29" t="s">
        <v>520</v>
      </c>
      <c r="E41" s="31">
        <v>1078.6030000000001</v>
      </c>
      <c r="F41" s="36">
        <v>1078.6030000000001</v>
      </c>
      <c r="G41" s="142">
        <f>_xlfn.XLOOKUP(B41, Rate_Master!$A:$A, Rate_Master!$C:$C, "")</f>
        <v>80500</v>
      </c>
      <c r="H41" s="142">
        <f>_xlfn.XLOOKUP(B41, Rate_Master!$A:$A, Rate_Master!$D:$D, "")</f>
        <v>92000</v>
      </c>
      <c r="I41" s="66">
        <f>+H41+G41</f>
        <v>172500</v>
      </c>
      <c r="J41" s="32">
        <f>I41*E41</f>
        <v>186059017.5</v>
      </c>
      <c r="K41" s="58">
        <f>+F41*I41</f>
        <v>186059017.5</v>
      </c>
      <c r="L41" s="32"/>
    </row>
    <row r="42" spans="1:12" s="4" customFormat="1" ht="38.25" customHeight="1" outlineLevel="1">
      <c r="A42" s="27" t="str">
        <f>$A$40&amp;"."&amp;ROW()-ROW($A$40)</f>
        <v>1A.C4.2</v>
      </c>
      <c r="B42" s="28" t="s">
        <v>33</v>
      </c>
      <c r="C42" s="28" t="s">
        <v>515</v>
      </c>
      <c r="D42" s="29" t="s">
        <v>520</v>
      </c>
      <c r="E42" s="31">
        <v>8972.1190000000006</v>
      </c>
      <c r="F42" s="36">
        <v>8972.1190000000006</v>
      </c>
      <c r="G42" s="142">
        <f>_xlfn.XLOOKUP(B42, Rate_Master!$A:$A, Rate_Master!$C:$C, "")</f>
        <v>126499.99999999999</v>
      </c>
      <c r="H42" s="142">
        <f>_xlfn.XLOOKUP(B42, Rate_Master!$A:$A, Rate_Master!$D:$D, "")</f>
        <v>103499.99999999999</v>
      </c>
      <c r="I42" s="66">
        <f>+H42+G42</f>
        <v>229999.99999999997</v>
      </c>
      <c r="J42" s="32">
        <f>I42*E42</f>
        <v>2063587369.9999998</v>
      </c>
      <c r="K42" s="58">
        <f>+F42*I42</f>
        <v>2063587369.9999998</v>
      </c>
      <c r="L42" s="32"/>
    </row>
    <row r="43" spans="1:12" s="4" customFormat="1" ht="25.5" customHeight="1" outlineLevel="1">
      <c r="A43" s="27" t="str">
        <f>$A$40&amp;"."&amp;ROW()-ROW($A$40)</f>
        <v>1A.C4.3</v>
      </c>
      <c r="B43" s="28" t="s">
        <v>34</v>
      </c>
      <c r="C43" s="28" t="s">
        <v>515</v>
      </c>
      <c r="D43" s="29" t="s">
        <v>520</v>
      </c>
      <c r="E43" s="31">
        <v>1160.7439999999999</v>
      </c>
      <c r="F43" s="36">
        <v>1160.7439999999999</v>
      </c>
      <c r="G43" s="142">
        <f>_xlfn.XLOOKUP(B43, Rate_Master!$A:$A, Rate_Master!$C:$C, "")</f>
        <v>126499.99999999999</v>
      </c>
      <c r="H43" s="142">
        <f>_xlfn.XLOOKUP(B43, Rate_Master!$A:$A, Rate_Master!$D:$D, "")</f>
        <v>149500</v>
      </c>
      <c r="I43" s="66">
        <f>+H43+G43</f>
        <v>276000</v>
      </c>
      <c r="J43" s="32">
        <f>I43*E43</f>
        <v>320365344</v>
      </c>
      <c r="K43" s="58">
        <f>+F43*I43</f>
        <v>320365344</v>
      </c>
      <c r="L43" s="32"/>
    </row>
    <row r="44" spans="1:12" s="4" customFormat="1" ht="25.5" customHeight="1" outlineLevel="1">
      <c r="A44" s="27" t="str">
        <f>$A$40&amp;"."&amp;ROW()-ROW($A$40)</f>
        <v>1A.C4.4</v>
      </c>
      <c r="B44" s="28" t="s">
        <v>35</v>
      </c>
      <c r="C44" s="28" t="s">
        <v>515</v>
      </c>
      <c r="D44" s="29" t="s">
        <v>520</v>
      </c>
      <c r="E44" s="31">
        <v>914.94399999999996</v>
      </c>
      <c r="F44" s="36">
        <v>914.94399999999996</v>
      </c>
      <c r="G44" s="142">
        <f>_xlfn.XLOOKUP(B44, Rate_Master!$A:$A, Rate_Master!$C:$C, "")</f>
        <v>126499.99999999999</v>
      </c>
      <c r="H44" s="142">
        <f>_xlfn.XLOOKUP(B44, Rate_Master!$A:$A, Rate_Master!$D:$D, "")</f>
        <v>114999.99999999999</v>
      </c>
      <c r="I44" s="66">
        <f>+H44+G44</f>
        <v>241499.99999999997</v>
      </c>
      <c r="J44" s="32">
        <f>I44*E44</f>
        <v>220958975.99999997</v>
      </c>
      <c r="K44" s="58">
        <f>+F44*I44</f>
        <v>220958975.99999997</v>
      </c>
      <c r="L44" s="32"/>
    </row>
    <row r="45" spans="1:12" s="4" customFormat="1" ht="25.5" customHeight="1" outlineLevel="1">
      <c r="A45" s="27" t="str">
        <f>$A$40&amp;"."&amp;ROW()-ROW($A$40)</f>
        <v>1A.C4.5</v>
      </c>
      <c r="B45" s="28" t="s">
        <v>36</v>
      </c>
      <c r="C45" s="28" t="s">
        <v>515</v>
      </c>
      <c r="D45" s="29" t="s">
        <v>520</v>
      </c>
      <c r="E45" s="31">
        <v>306.63</v>
      </c>
      <c r="F45" s="36">
        <v>306.63</v>
      </c>
      <c r="G45" s="142">
        <f>_xlfn.XLOOKUP(B45, Rate_Master!$A:$A, Rate_Master!$C:$C, "")</f>
        <v>126499.99999999999</v>
      </c>
      <c r="H45" s="142">
        <f>_xlfn.XLOOKUP(B45, Rate_Master!$A:$A, Rate_Master!$D:$D, "")</f>
        <v>97749.999999999985</v>
      </c>
      <c r="I45" s="66">
        <f>+H45+G45</f>
        <v>224249.99999999997</v>
      </c>
      <c r="J45" s="32">
        <f>I45*E45</f>
        <v>68761777.499999985</v>
      </c>
      <c r="K45" s="58">
        <f>+F45*I45</f>
        <v>68761777.499999985</v>
      </c>
      <c r="L45" s="32"/>
    </row>
    <row r="46" spans="1:12" s="3" customFormat="1" ht="25.5" customHeight="1">
      <c r="A46" s="22" t="str">
        <f>$A$10&amp;5</f>
        <v>1A.C5</v>
      </c>
      <c r="B46" s="23" t="s">
        <v>37</v>
      </c>
      <c r="C46" s="23" t="s">
        <v>515</v>
      </c>
      <c r="D46" s="22"/>
      <c r="E46" s="25"/>
      <c r="F46" s="87"/>
      <c r="G46" s="25">
        <f>_xlfn.XLOOKUP(B46, Rate_Master!$A:$A, Rate_Master!$C:$C, "")</f>
        <v>0</v>
      </c>
      <c r="H46" s="25">
        <f>_xlfn.XLOOKUP(B46, Rate_Master!$A:$A, Rate_Master!$D:$D, "")</f>
        <v>0</v>
      </c>
      <c r="I46" s="26"/>
      <c r="J46" s="26">
        <f>SUBTOTAL(9,J47:J51)</f>
        <v>17440366216.622997</v>
      </c>
      <c r="K46" s="26">
        <f>SUBTOTAL(9,K47:K51)</f>
        <v>17440366216.622997</v>
      </c>
      <c r="L46" s="26"/>
    </row>
    <row r="47" spans="1:12" s="4" customFormat="1" ht="38.25" customHeight="1" outlineLevel="1">
      <c r="A47" s="27" t="str">
        <f>$A$46&amp;"."&amp;ROW()-ROW($A$46)</f>
        <v>1A.C5.1</v>
      </c>
      <c r="B47" s="28" t="s">
        <v>38</v>
      </c>
      <c r="C47" s="28" t="s">
        <v>522</v>
      </c>
      <c r="D47" s="29" t="s">
        <v>523</v>
      </c>
      <c r="E47" s="31">
        <v>803573.03403703705</v>
      </c>
      <c r="F47" s="36">
        <v>803573.03403703705</v>
      </c>
      <c r="G47" s="142">
        <f>_xlfn.XLOOKUP(B47, Rate_Master!$A:$A, Rate_Master!$C:$C, "")</f>
        <v>16770.564999999999</v>
      </c>
      <c r="H47" s="142">
        <f>_xlfn.XLOOKUP(B47, Rate_Master!$A:$A, Rate_Master!$D:$D, "")</f>
        <v>2875</v>
      </c>
      <c r="I47" s="66">
        <f>+H47+G47</f>
        <v>19645.564999999999</v>
      </c>
      <c r="J47" s="32">
        <f>I47*E47</f>
        <v>15786646272.421824</v>
      </c>
      <c r="K47" s="58">
        <f>+F47*I47</f>
        <v>15786646272.421824</v>
      </c>
      <c r="L47" s="32"/>
    </row>
    <row r="48" spans="1:12" s="4" customFormat="1" ht="25.5" customHeight="1" outlineLevel="1">
      <c r="A48" s="27" t="str">
        <f>$A$46&amp;"."&amp;ROW()-ROW($A$46)</f>
        <v>1A.C5.2</v>
      </c>
      <c r="B48" s="28" t="s">
        <v>39</v>
      </c>
      <c r="C48" s="28" t="s">
        <v>522</v>
      </c>
      <c r="D48" s="29" t="s">
        <v>523</v>
      </c>
      <c r="E48" s="31">
        <v>26019.186000000002</v>
      </c>
      <c r="F48" s="36">
        <v>26019.186000000002</v>
      </c>
      <c r="G48" s="142">
        <f>_xlfn.XLOOKUP(B48, Rate_Master!$A:$A, Rate_Master!$C:$C, "")</f>
        <v>16770.564999999999</v>
      </c>
      <c r="H48" s="142">
        <f>_xlfn.XLOOKUP(B48, Rate_Master!$A:$A, Rate_Master!$D:$D, "")</f>
        <v>3679.9999999999995</v>
      </c>
      <c r="I48" s="66">
        <f>+H48+G48</f>
        <v>20450.564999999999</v>
      </c>
      <c r="J48" s="32">
        <f>I48*E48</f>
        <v>532107054.54009002</v>
      </c>
      <c r="K48" s="58">
        <f>+F48*I48</f>
        <v>532107054.54009002</v>
      </c>
      <c r="L48" s="32"/>
    </row>
    <row r="49" spans="1:12" s="4" customFormat="1" ht="25.5" customHeight="1" outlineLevel="1">
      <c r="A49" s="27" t="str">
        <f>$A$46&amp;"."&amp;ROW()-ROW($A$46)</f>
        <v>1A.C5.3</v>
      </c>
      <c r="B49" s="28" t="s">
        <v>40</v>
      </c>
      <c r="C49" s="28" t="s">
        <v>522</v>
      </c>
      <c r="D49" s="29" t="s">
        <v>523</v>
      </c>
      <c r="E49" s="31">
        <v>18698.719000000001</v>
      </c>
      <c r="F49" s="36">
        <v>18698.719000000001</v>
      </c>
      <c r="G49" s="142">
        <f>_xlfn.XLOOKUP(B49, Rate_Master!$A:$A, Rate_Master!$C:$C, "")</f>
        <v>16770.564999999999</v>
      </c>
      <c r="H49" s="142">
        <f>_xlfn.XLOOKUP(B49, Rate_Master!$A:$A, Rate_Master!$D:$D, "")</f>
        <v>3449.9999999999995</v>
      </c>
      <c r="I49" s="66">
        <f>+H49+G49</f>
        <v>20220.564999999999</v>
      </c>
      <c r="J49" s="32">
        <f>I49*E49</f>
        <v>378098662.95623499</v>
      </c>
      <c r="K49" s="58">
        <f>+F49*I49</f>
        <v>378098662.95623499</v>
      </c>
      <c r="L49" s="32"/>
    </row>
    <row r="50" spans="1:12" s="4" customFormat="1" ht="25.5" customHeight="1" outlineLevel="1">
      <c r="A50" s="27" t="str">
        <f>$A$46&amp;"."&amp;ROW()-ROW($A$46)</f>
        <v>1A.C5.4</v>
      </c>
      <c r="B50" s="28" t="s">
        <v>41</v>
      </c>
      <c r="C50" s="28" t="s">
        <v>522</v>
      </c>
      <c r="D50" s="29" t="s">
        <v>523</v>
      </c>
      <c r="E50" s="31">
        <v>35877.387999999999</v>
      </c>
      <c r="F50" s="36">
        <v>35877.387999999999</v>
      </c>
      <c r="G50" s="142">
        <f>_xlfn.XLOOKUP(B50, Rate_Master!$A:$A, Rate_Master!$C:$C, "")</f>
        <v>16770.564999999999</v>
      </c>
      <c r="H50" s="142">
        <f>_xlfn.XLOOKUP(B50, Rate_Master!$A:$A, Rate_Master!$D:$D, "")</f>
        <v>3679.9999999999995</v>
      </c>
      <c r="I50" s="66">
        <f>+H50+G50</f>
        <v>20450.564999999999</v>
      </c>
      <c r="J50" s="32">
        <f>I50*E50</f>
        <v>733712855.32421994</v>
      </c>
      <c r="K50" s="58">
        <f>+F50*I50</f>
        <v>733712855.32421994</v>
      </c>
      <c r="L50" s="32"/>
    </row>
    <row r="51" spans="1:12" s="4" customFormat="1" ht="25.5" customHeight="1" outlineLevel="1">
      <c r="A51" s="27" t="str">
        <f>$A$46&amp;"."&amp;ROW()-ROW($A$46)</f>
        <v>1A.C5.5</v>
      </c>
      <c r="B51" s="28" t="s">
        <v>42</v>
      </c>
      <c r="C51" s="28" t="s">
        <v>524</v>
      </c>
      <c r="D51" s="29" t="s">
        <v>523</v>
      </c>
      <c r="E51" s="31">
        <v>460.48991999999998</v>
      </c>
      <c r="F51" s="36">
        <v>460.48991999999998</v>
      </c>
      <c r="G51" s="142">
        <f>_xlfn.XLOOKUP(B51, Rate_Master!$A:$A, Rate_Master!$C:$C, "")</f>
        <v>17834.66</v>
      </c>
      <c r="H51" s="142">
        <f>_xlfn.XLOOKUP(B51, Rate_Master!$A:$A, Rate_Master!$D:$D, "")</f>
        <v>3449.9999999999995</v>
      </c>
      <c r="I51" s="66">
        <f>+H51+G51</f>
        <v>21284.66</v>
      </c>
      <c r="J51" s="32">
        <f>I51*E51</f>
        <v>9801371.3806272</v>
      </c>
      <c r="K51" s="58">
        <f>+F51*I51</f>
        <v>9801371.3806272</v>
      </c>
      <c r="L51" s="32"/>
    </row>
    <row r="52" spans="1:12" s="3" customFormat="1" ht="25.5" customHeight="1">
      <c r="A52" s="22" t="str">
        <f>$A$10&amp;6</f>
        <v>1A.C6</v>
      </c>
      <c r="B52" s="23" t="s">
        <v>43</v>
      </c>
      <c r="C52" s="23" t="s">
        <v>515</v>
      </c>
      <c r="D52" s="22"/>
      <c r="E52" s="25"/>
      <c r="F52" s="87"/>
      <c r="G52" s="25">
        <f>_xlfn.XLOOKUP(B52, Rate_Master!$A:$A, Rate_Master!$C:$C, "")</f>
        <v>0</v>
      </c>
      <c r="H52" s="25">
        <f>_xlfn.XLOOKUP(B52, Rate_Master!$A:$A, Rate_Master!$D:$D, "")</f>
        <v>0</v>
      </c>
      <c r="I52" s="26">
        <f>G52+H52</f>
        <v>0</v>
      </c>
      <c r="J52" s="26">
        <f>SUBTOTAL(9,J53:J55)</f>
        <v>864588899.0999999</v>
      </c>
      <c r="K52" s="26">
        <f>SUBTOTAL(9,K53:K55)</f>
        <v>864588899.0999999</v>
      </c>
      <c r="L52" s="26"/>
    </row>
    <row r="53" spans="1:12" s="4" customFormat="1" ht="25.5" customHeight="1" outlineLevel="1">
      <c r="A53" s="27" t="str">
        <f>$A$52&amp;"."&amp;ROW()-ROW($A$52)</f>
        <v>1A.C6.1</v>
      </c>
      <c r="B53" s="28" t="s">
        <v>44</v>
      </c>
      <c r="C53" s="28" t="s">
        <v>515</v>
      </c>
      <c r="D53" s="29" t="s">
        <v>520</v>
      </c>
      <c r="E53" s="31">
        <v>16240.203</v>
      </c>
      <c r="F53" s="36">
        <v>16240.203</v>
      </c>
      <c r="G53" s="142">
        <f>_xlfn.XLOOKUP(B53, Rate_Master!$A:$A, Rate_Master!$C:$C, "")</f>
        <v>14949.999999999998</v>
      </c>
      <c r="H53" s="142">
        <f>_xlfn.XLOOKUP(B53, Rate_Master!$A:$A, Rate_Master!$D:$D, "")</f>
        <v>17250</v>
      </c>
      <c r="I53" s="66">
        <f>+H53+G53</f>
        <v>32200</v>
      </c>
      <c r="J53" s="32">
        <f>I53*E53</f>
        <v>522934536.59999996</v>
      </c>
      <c r="K53" s="58">
        <f>+F53*I53</f>
        <v>522934536.59999996</v>
      </c>
      <c r="L53" s="32"/>
    </row>
    <row r="54" spans="1:12" s="4" customFormat="1" ht="51" customHeight="1" outlineLevel="1">
      <c r="A54" s="27" t="str">
        <f>$A$52&amp;"."&amp;ROW()-ROW($A$52)</f>
        <v>1A.C6.2</v>
      </c>
      <c r="B54" s="34" t="s">
        <v>45</v>
      </c>
      <c r="C54" s="28" t="s">
        <v>515</v>
      </c>
      <c r="D54" s="29" t="s">
        <v>517</v>
      </c>
      <c r="E54" s="31">
        <v>11883.63</v>
      </c>
      <c r="F54" s="36">
        <v>11883.63</v>
      </c>
      <c r="G54" s="142">
        <f>_xlfn.XLOOKUP(B54, Rate_Master!$A:$A, Rate_Master!$C:$C, "")</f>
        <v>5750</v>
      </c>
      <c r="H54" s="142">
        <f>_xlfn.XLOOKUP(B54, Rate_Master!$A:$A, Rate_Master!$D:$D, "")</f>
        <v>23000</v>
      </c>
      <c r="I54" s="66">
        <f>+H54+G54</f>
        <v>28750</v>
      </c>
      <c r="J54" s="32">
        <f>I54*E54</f>
        <v>341654362.5</v>
      </c>
      <c r="K54" s="58">
        <f>+F54*I54</f>
        <v>341654362.5</v>
      </c>
      <c r="L54" s="32"/>
    </row>
    <row r="55" spans="1:12" s="4" customFormat="1" ht="25.5" customHeight="1" outlineLevel="1">
      <c r="A55" s="27" t="str">
        <f>$A$52&amp;"."&amp;ROW()-ROW($A$52)</f>
        <v>1A.C6.3</v>
      </c>
      <c r="B55" s="28" t="s">
        <v>46</v>
      </c>
      <c r="C55" s="28" t="s">
        <v>515</v>
      </c>
      <c r="D55" s="29" t="s">
        <v>517</v>
      </c>
      <c r="E55" s="31">
        <v>0</v>
      </c>
      <c r="F55" s="36">
        <v>0</v>
      </c>
      <c r="G55" s="142">
        <f>_xlfn.XLOOKUP(B55, Rate_Master!$A:$A, Rate_Master!$C:$C, "")</f>
        <v>172500</v>
      </c>
      <c r="H55" s="142">
        <f>_xlfn.XLOOKUP(B55, Rate_Master!$A:$A, Rate_Master!$D:$D, "")</f>
        <v>57499.999999999993</v>
      </c>
      <c r="I55" s="66">
        <f>+H55+G55</f>
        <v>230000</v>
      </c>
      <c r="J55" s="32">
        <f>I55*E55</f>
        <v>0</v>
      </c>
      <c r="K55" s="58">
        <f>+F55*I55</f>
        <v>0</v>
      </c>
      <c r="L55" s="32"/>
    </row>
    <row r="56" spans="1:12" s="3" customFormat="1" ht="25.5" customHeight="1">
      <c r="A56" s="22" t="str">
        <f>$A$9&amp;".S"</f>
        <v>1A.S</v>
      </c>
      <c r="B56" s="23" t="s">
        <v>47</v>
      </c>
      <c r="C56" s="23" t="s">
        <v>515</v>
      </c>
      <c r="D56" s="22"/>
      <c r="E56" s="25"/>
      <c r="F56" s="87"/>
      <c r="G56" s="25">
        <f>_xlfn.XLOOKUP(B56, Rate_Master!$A:$A, Rate_Master!$C:$C, "")</f>
        <v>0</v>
      </c>
      <c r="H56" s="25">
        <f>_xlfn.XLOOKUP(B56, Rate_Master!$A:$A, Rate_Master!$D:$D, "")</f>
        <v>0</v>
      </c>
      <c r="I56" s="26"/>
      <c r="J56" s="26"/>
      <c r="K56" s="89"/>
      <c r="L56" s="26"/>
    </row>
    <row r="57" spans="1:12" s="3" customFormat="1" ht="25.5" customHeight="1">
      <c r="A57" s="62" t="str">
        <f>$A$56&amp;1</f>
        <v>1A.S1</v>
      </c>
      <c r="B57" s="63" t="s">
        <v>48</v>
      </c>
      <c r="C57" s="63" t="s">
        <v>515</v>
      </c>
      <c r="D57" s="62"/>
      <c r="E57" s="116"/>
      <c r="F57" s="117"/>
      <c r="G57" s="116">
        <f>_xlfn.XLOOKUP(B57, Rate_Master!$A:$A, Rate_Master!$C:$C, "")</f>
        <v>0</v>
      </c>
      <c r="H57" s="116">
        <f>_xlfn.XLOOKUP(B57, Rate_Master!$A:$A, Rate_Master!$D:$D, "")</f>
        <v>0</v>
      </c>
      <c r="I57" s="49"/>
      <c r="J57" s="49">
        <f>SUBTOTAL(9,J58:J72)</f>
        <v>15950676950.400646</v>
      </c>
      <c r="K57" s="49">
        <f>SUBTOTAL(9,K58:K72)</f>
        <v>16972069498.737549</v>
      </c>
      <c r="L57" s="49"/>
    </row>
    <row r="58" spans="1:12" s="4" customFormat="1" ht="51" customHeight="1" outlineLevel="1">
      <c r="A58" s="27" t="str">
        <f t="shared" ref="A58:A72" si="12">$A$57&amp;"."&amp;ROW()-ROW($A$57)</f>
        <v>1A.S1.1</v>
      </c>
      <c r="B58" s="28" t="s">
        <v>49</v>
      </c>
      <c r="C58" s="28" t="s">
        <v>525</v>
      </c>
      <c r="D58" s="29" t="s">
        <v>523</v>
      </c>
      <c r="E58" s="31">
        <v>387946.03759000002</v>
      </c>
      <c r="F58" s="36">
        <v>393832.96236999979</v>
      </c>
      <c r="G58" s="93">
        <f>_xlfn.XLOOKUP(B58, Rate_Master!$A:$A, Rate_Master!$C:$C, "")</f>
        <v>20475</v>
      </c>
      <c r="H58" s="93">
        <f>_xlfn.XLOOKUP(B58, Rate_Master!$A:$A, Rate_Master!$D:$D, "")</f>
        <v>0</v>
      </c>
      <c r="I58" s="32">
        <f t="shared" ref="I58:I72" si="13">+G58+H58</f>
        <v>20475</v>
      </c>
      <c r="J58" s="32">
        <f t="shared" ref="J58:J72" si="14">I58*E58</f>
        <v>7943195119.6552505</v>
      </c>
      <c r="K58" s="58">
        <f t="shared" ref="K58:K72" si="15">+F58*I58</f>
        <v>8063729904.5257454</v>
      </c>
      <c r="L58" s="32"/>
    </row>
    <row r="59" spans="1:12" s="4" customFormat="1" ht="76.5" customHeight="1" outlineLevel="1">
      <c r="A59" s="27" t="str">
        <f t="shared" si="12"/>
        <v>1A.S1.2</v>
      </c>
      <c r="B59" s="28" t="s">
        <v>50</v>
      </c>
      <c r="C59" s="28" t="s">
        <v>526</v>
      </c>
      <c r="D59" s="29" t="s">
        <v>523</v>
      </c>
      <c r="E59" s="31">
        <v>64978.070419999996</v>
      </c>
      <c r="F59" s="36">
        <v>69739.932339199993</v>
      </c>
      <c r="G59" s="93">
        <f>_xlfn.XLOOKUP(B59, Rate_Master!$A:$A, Rate_Master!$C:$C, "")</f>
        <v>26775</v>
      </c>
      <c r="H59" s="93">
        <f>_xlfn.XLOOKUP(B59, Rate_Master!$A:$A, Rate_Master!$D:$D, "")</f>
        <v>0</v>
      </c>
      <c r="I59" s="32">
        <f t="shared" si="13"/>
        <v>26775</v>
      </c>
      <c r="J59" s="32">
        <f t="shared" si="14"/>
        <v>1739787835.4954998</v>
      </c>
      <c r="K59" s="58">
        <f t="shared" si="15"/>
        <v>1867286688.3820798</v>
      </c>
      <c r="L59" s="32"/>
    </row>
    <row r="60" spans="1:12" s="4" customFormat="1" ht="76.5" customHeight="1" outlineLevel="1">
      <c r="A60" s="27" t="str">
        <f t="shared" si="12"/>
        <v>1A.S1.3</v>
      </c>
      <c r="B60" s="28" t="s">
        <v>51</v>
      </c>
      <c r="C60" s="28" t="s">
        <v>527</v>
      </c>
      <c r="D60" s="29" t="s">
        <v>523</v>
      </c>
      <c r="E60" s="31">
        <v>3760.43519838673</v>
      </c>
      <c r="F60" s="36">
        <v>4399.8600000000006</v>
      </c>
      <c r="G60" s="93">
        <f>_xlfn.XLOOKUP(B60, Rate_Master!$A:$A, Rate_Master!$C:$C, "")</f>
        <v>36750</v>
      </c>
      <c r="H60" s="93">
        <f>_xlfn.XLOOKUP(B60, Rate_Master!$A:$A, Rate_Master!$D:$D, "")</f>
        <v>0</v>
      </c>
      <c r="I60" s="32">
        <f t="shared" si="13"/>
        <v>36750</v>
      </c>
      <c r="J60" s="32">
        <f t="shared" si="14"/>
        <v>138195993.54071233</v>
      </c>
      <c r="K60" s="58">
        <f t="shared" si="15"/>
        <v>161694855.00000003</v>
      </c>
      <c r="L60" s="32"/>
    </row>
    <row r="61" spans="1:12" s="4" customFormat="1" ht="76.5" customHeight="1" outlineLevel="1">
      <c r="A61" s="27" t="str">
        <f t="shared" si="12"/>
        <v>1A.S1.4</v>
      </c>
      <c r="B61" s="28" t="s">
        <v>52</v>
      </c>
      <c r="C61" s="28" t="s">
        <v>527</v>
      </c>
      <c r="D61" s="29" t="s">
        <v>523</v>
      </c>
      <c r="E61" s="31">
        <v>9241.02</v>
      </c>
      <c r="F61" s="36">
        <v>9552.1420799999996</v>
      </c>
      <c r="G61" s="93">
        <f>_xlfn.XLOOKUP(B61, Rate_Master!$A:$A, Rate_Master!$C:$C, "")</f>
        <v>26775</v>
      </c>
      <c r="H61" s="93">
        <f>_xlfn.XLOOKUP(B61, Rate_Master!$A:$A, Rate_Master!$D:$D, "")</f>
        <v>0</v>
      </c>
      <c r="I61" s="32">
        <f t="shared" si="13"/>
        <v>26775</v>
      </c>
      <c r="J61" s="32">
        <f t="shared" si="14"/>
        <v>247428310.5</v>
      </c>
      <c r="K61" s="58">
        <f t="shared" si="15"/>
        <v>255758604.192</v>
      </c>
      <c r="L61" s="32"/>
    </row>
    <row r="62" spans="1:12" s="4" customFormat="1" ht="25.5" customHeight="1" outlineLevel="1">
      <c r="A62" s="27" t="str">
        <f t="shared" si="12"/>
        <v>1A.S1.5</v>
      </c>
      <c r="B62" s="28" t="s">
        <v>53</v>
      </c>
      <c r="C62" s="28" t="s">
        <v>528</v>
      </c>
      <c r="D62" s="29" t="s">
        <v>523</v>
      </c>
      <c r="E62" s="31">
        <v>87669.660359999994</v>
      </c>
      <c r="F62" s="36">
        <v>108172.8587</v>
      </c>
      <c r="G62" s="93">
        <f>_xlfn.XLOOKUP(B62, Rate_Master!$A:$A, Rate_Master!$C:$C, "")</f>
        <v>22365</v>
      </c>
      <c r="H62" s="93">
        <f>_xlfn.XLOOKUP(B62, Rate_Master!$A:$A, Rate_Master!$D:$D, "")</f>
        <v>0</v>
      </c>
      <c r="I62" s="32">
        <f t="shared" si="13"/>
        <v>22365</v>
      </c>
      <c r="J62" s="32">
        <f t="shared" si="14"/>
        <v>1960731953.9513998</v>
      </c>
      <c r="K62" s="58">
        <f t="shared" si="15"/>
        <v>2419285984.8255</v>
      </c>
      <c r="L62" s="32"/>
    </row>
    <row r="63" spans="1:12" s="4" customFormat="1" ht="38.25" customHeight="1" outlineLevel="1">
      <c r="A63" s="27" t="str">
        <f t="shared" si="12"/>
        <v>1A.S1.6</v>
      </c>
      <c r="B63" s="28" t="s">
        <v>54</v>
      </c>
      <c r="C63" s="28" t="s">
        <v>529</v>
      </c>
      <c r="D63" s="29" t="s">
        <v>523</v>
      </c>
      <c r="E63" s="31">
        <v>9037.4376071091192</v>
      </c>
      <c r="F63" s="36">
        <v>8497.777777777781</v>
      </c>
      <c r="G63" s="93">
        <f>_xlfn.XLOOKUP(B63, Rate_Master!$A:$A, Rate_Master!$C:$C, "")</f>
        <v>36750</v>
      </c>
      <c r="H63" s="93">
        <f>_xlfn.XLOOKUP(B63, Rate_Master!$A:$A, Rate_Master!$D:$D, "")</f>
        <v>0</v>
      </c>
      <c r="I63" s="32">
        <f t="shared" si="13"/>
        <v>36750</v>
      </c>
      <c r="J63" s="32">
        <f t="shared" si="14"/>
        <v>332125832.0612601</v>
      </c>
      <c r="K63" s="58">
        <f t="shared" si="15"/>
        <v>312293333.33333343</v>
      </c>
      <c r="L63" s="32"/>
    </row>
    <row r="64" spans="1:12" s="4" customFormat="1" ht="25.5" customHeight="1" outlineLevel="1">
      <c r="A64" s="27" t="str">
        <f t="shared" si="12"/>
        <v>1A.S1.7</v>
      </c>
      <c r="B64" s="28" t="s">
        <v>55</v>
      </c>
      <c r="C64" s="28" t="s">
        <v>530</v>
      </c>
      <c r="D64" s="29" t="s">
        <v>523</v>
      </c>
      <c r="E64" s="31">
        <v>6723.6192000000001</v>
      </c>
      <c r="F64" s="36">
        <v>8799.2473579612943</v>
      </c>
      <c r="G64" s="93">
        <f>_xlfn.XLOOKUP(B64, Rate_Master!$A:$A, Rate_Master!$C:$C, "")</f>
        <v>27930</v>
      </c>
      <c r="H64" s="93">
        <f>_xlfn.XLOOKUP(B64, Rate_Master!$A:$A, Rate_Master!$D:$D, "")</f>
        <v>0</v>
      </c>
      <c r="I64" s="32">
        <f t="shared" si="13"/>
        <v>27930</v>
      </c>
      <c r="J64" s="32">
        <f t="shared" si="14"/>
        <v>187790684.25600001</v>
      </c>
      <c r="K64" s="58">
        <f t="shared" si="15"/>
        <v>245762978.70785895</v>
      </c>
      <c r="L64" s="32"/>
    </row>
    <row r="65" spans="1:12" s="4" customFormat="1" ht="25.5" customHeight="1" outlineLevel="1">
      <c r="A65" s="27" t="str">
        <f t="shared" si="12"/>
        <v>1A.S1.8</v>
      </c>
      <c r="B65" s="28" t="s">
        <v>56</v>
      </c>
      <c r="C65" s="28" t="s">
        <v>531</v>
      </c>
      <c r="D65" s="29" t="s">
        <v>523</v>
      </c>
      <c r="E65" s="31">
        <v>10507.8</v>
      </c>
      <c r="F65" s="36">
        <v>10490.4</v>
      </c>
      <c r="G65" s="93">
        <f>_xlfn.XLOOKUP(B65, Rate_Master!$A:$A, Rate_Master!$C:$C, "")</f>
        <v>52500</v>
      </c>
      <c r="H65" s="93">
        <f>_xlfn.XLOOKUP(B65, Rate_Master!$A:$A, Rate_Master!$D:$D, "")</f>
        <v>0</v>
      </c>
      <c r="I65" s="32">
        <f t="shared" si="13"/>
        <v>52500</v>
      </c>
      <c r="J65" s="32">
        <f t="shared" si="14"/>
        <v>551659500</v>
      </c>
      <c r="K65" s="58">
        <f t="shared" si="15"/>
        <v>550746000</v>
      </c>
      <c r="L65" s="32"/>
    </row>
    <row r="66" spans="1:12" s="4" customFormat="1" ht="25.5" customHeight="1" outlineLevel="1">
      <c r="A66" s="27" t="str">
        <f t="shared" si="12"/>
        <v>1A.S1.9</v>
      </c>
      <c r="B66" s="28" t="s">
        <v>57</v>
      </c>
      <c r="C66" s="28" t="s">
        <v>532</v>
      </c>
      <c r="D66" s="29" t="s">
        <v>523</v>
      </c>
      <c r="E66" s="31">
        <v>4229.51</v>
      </c>
      <c r="F66" s="36">
        <v>4755.0199999999986</v>
      </c>
      <c r="G66" s="93">
        <f>_xlfn.XLOOKUP(B66, Rate_Master!$A:$A, Rate_Master!$C:$C, "")</f>
        <v>60900</v>
      </c>
      <c r="H66" s="93">
        <f>_xlfn.XLOOKUP(B66, Rate_Master!$A:$A, Rate_Master!$D:$D, "")</f>
        <v>0</v>
      </c>
      <c r="I66" s="32">
        <f t="shared" si="13"/>
        <v>60900</v>
      </c>
      <c r="J66" s="32">
        <f t="shared" si="14"/>
        <v>257577159</v>
      </c>
      <c r="K66" s="58">
        <f t="shared" si="15"/>
        <v>289580717.99999994</v>
      </c>
      <c r="L66" s="32"/>
    </row>
    <row r="67" spans="1:12" s="4" customFormat="1" ht="25.5" customHeight="1" outlineLevel="1">
      <c r="A67" s="27" t="str">
        <f t="shared" si="12"/>
        <v>1A.S1.10</v>
      </c>
      <c r="B67" s="28" t="s">
        <v>58</v>
      </c>
      <c r="C67" s="28" t="s">
        <v>533</v>
      </c>
      <c r="D67" s="29" t="s">
        <v>523</v>
      </c>
      <c r="E67" s="31">
        <v>1451.03</v>
      </c>
      <c r="F67" s="36">
        <v>1161.5820000000001</v>
      </c>
      <c r="G67" s="93">
        <f>_xlfn.XLOOKUP(B67, Rate_Master!$A:$A, Rate_Master!$C:$C, "")</f>
        <v>60900</v>
      </c>
      <c r="H67" s="93">
        <f>_xlfn.XLOOKUP(B67, Rate_Master!$A:$A, Rate_Master!$D:$D, "")</f>
        <v>0</v>
      </c>
      <c r="I67" s="32">
        <f t="shared" si="13"/>
        <v>60900</v>
      </c>
      <c r="J67" s="32">
        <f t="shared" si="14"/>
        <v>88367727</v>
      </c>
      <c r="K67" s="58">
        <f t="shared" si="15"/>
        <v>70740343.800000012</v>
      </c>
      <c r="L67" s="32"/>
    </row>
    <row r="68" spans="1:12" s="4" customFormat="1" ht="25.5" customHeight="1" outlineLevel="1">
      <c r="A68" s="27" t="str">
        <f t="shared" si="12"/>
        <v>1A.S1.11</v>
      </c>
      <c r="B68" s="28" t="s">
        <v>59</v>
      </c>
      <c r="C68" s="28" t="s">
        <v>534</v>
      </c>
      <c r="D68" s="29" t="s">
        <v>518</v>
      </c>
      <c r="E68" s="31">
        <v>6178</v>
      </c>
      <c r="F68" s="36">
        <v>6580</v>
      </c>
      <c r="G68" s="93">
        <f>_xlfn.XLOOKUP(B68, Rate_Master!$A:$A, Rate_Master!$C:$C, "")</f>
        <v>21000</v>
      </c>
      <c r="H68" s="93">
        <f>_xlfn.XLOOKUP(B68, Rate_Master!$A:$A, Rate_Master!$D:$D, "")</f>
        <v>0</v>
      </c>
      <c r="I68" s="32">
        <f t="shared" si="13"/>
        <v>21000</v>
      </c>
      <c r="J68" s="32">
        <f t="shared" si="14"/>
        <v>129738000</v>
      </c>
      <c r="K68" s="58">
        <f t="shared" si="15"/>
        <v>138180000</v>
      </c>
      <c r="L68" s="32"/>
    </row>
    <row r="69" spans="1:12" s="4" customFormat="1" ht="25.5" customHeight="1" outlineLevel="1">
      <c r="A69" s="27" t="str">
        <f t="shared" si="12"/>
        <v>1A.S1.12</v>
      </c>
      <c r="B69" s="28" t="s">
        <v>60</v>
      </c>
      <c r="C69" s="28" t="s">
        <v>515</v>
      </c>
      <c r="D69" s="29" t="s">
        <v>523</v>
      </c>
      <c r="E69" s="31">
        <v>10507.8</v>
      </c>
      <c r="F69" s="36">
        <v>10490.4</v>
      </c>
      <c r="G69" s="93">
        <f>_xlfn.XLOOKUP(B69, Rate_Master!$A:$A, Rate_Master!$C:$C, "")</f>
        <v>630</v>
      </c>
      <c r="H69" s="93">
        <f>_xlfn.XLOOKUP(B69, Rate_Master!$A:$A, Rate_Master!$D:$D, "")</f>
        <v>0</v>
      </c>
      <c r="I69" s="32">
        <f t="shared" si="13"/>
        <v>630</v>
      </c>
      <c r="J69" s="32">
        <f t="shared" si="14"/>
        <v>6619914</v>
      </c>
      <c r="K69" s="58">
        <f t="shared" si="15"/>
        <v>6608952</v>
      </c>
      <c r="L69" s="32"/>
    </row>
    <row r="70" spans="1:12" s="4" customFormat="1" ht="25.5" customHeight="1" outlineLevel="1">
      <c r="A70" s="27" t="str">
        <f t="shared" si="12"/>
        <v>1A.S1.13</v>
      </c>
      <c r="B70" s="28" t="s">
        <v>61</v>
      </c>
      <c r="C70" s="28" t="s">
        <v>515</v>
      </c>
      <c r="D70" s="29" t="s">
        <v>523</v>
      </c>
      <c r="E70" s="31">
        <v>569356.28037549602</v>
      </c>
      <c r="F70" s="36">
        <v>608911.38262493897</v>
      </c>
      <c r="G70" s="93">
        <f>_xlfn.XLOOKUP(B70, Rate_Master!$A:$A, Rate_Master!$C:$C, "")</f>
        <v>630</v>
      </c>
      <c r="H70" s="93">
        <f>_xlfn.XLOOKUP(B70, Rate_Master!$A:$A, Rate_Master!$D:$D, "")</f>
        <v>0</v>
      </c>
      <c r="I70" s="32">
        <f t="shared" si="13"/>
        <v>630</v>
      </c>
      <c r="J70" s="32">
        <f t="shared" si="14"/>
        <v>358694456.63656247</v>
      </c>
      <c r="K70" s="58">
        <f t="shared" si="15"/>
        <v>383614171.05371153</v>
      </c>
      <c r="L70" s="32"/>
    </row>
    <row r="71" spans="1:12" s="4" customFormat="1" ht="25.5" customHeight="1" outlineLevel="1">
      <c r="A71" s="27" t="str">
        <f t="shared" si="12"/>
        <v>1A.S1.14</v>
      </c>
      <c r="B71" s="28" t="s">
        <v>62</v>
      </c>
      <c r="C71" s="28" t="s">
        <v>515</v>
      </c>
      <c r="D71" s="29" t="s">
        <v>518</v>
      </c>
      <c r="E71" s="31">
        <v>1266</v>
      </c>
      <c r="F71" s="36">
        <v>1575</v>
      </c>
      <c r="G71" s="93">
        <f>_xlfn.XLOOKUP(B71, Rate_Master!$A:$A, Rate_Master!$C:$C, "")</f>
        <v>0</v>
      </c>
      <c r="H71" s="93">
        <f>_xlfn.XLOOKUP(B71, Rate_Master!$A:$A, Rate_Master!$D:$D, "")</f>
        <v>264500</v>
      </c>
      <c r="I71" s="32">
        <f t="shared" si="13"/>
        <v>264500</v>
      </c>
      <c r="J71" s="32">
        <f t="shared" si="14"/>
        <v>334857000</v>
      </c>
      <c r="K71" s="58">
        <f t="shared" si="15"/>
        <v>416587500</v>
      </c>
      <c r="L71" s="32"/>
    </row>
    <row r="72" spans="1:12" s="4" customFormat="1" ht="25.5" customHeight="1" outlineLevel="1">
      <c r="A72" s="27" t="str">
        <f t="shared" si="12"/>
        <v>1A.S1.15</v>
      </c>
      <c r="B72" s="28" t="s">
        <v>63</v>
      </c>
      <c r="C72" s="28" t="s">
        <v>515</v>
      </c>
      <c r="D72" s="29" t="s">
        <v>523</v>
      </c>
      <c r="E72" s="31">
        <v>569356.28037549602</v>
      </c>
      <c r="F72" s="36">
        <v>608911.38262493897</v>
      </c>
      <c r="G72" s="93">
        <f>_xlfn.XLOOKUP(B72, Rate_Master!$A:$A, Rate_Master!$C:$C, "")</f>
        <v>2940</v>
      </c>
      <c r="H72" s="93">
        <f>_xlfn.XLOOKUP(B72, Rate_Master!$A:$A, Rate_Master!$D:$D, "")</f>
        <v>0</v>
      </c>
      <c r="I72" s="32">
        <f t="shared" si="13"/>
        <v>2940</v>
      </c>
      <c r="J72" s="32">
        <f t="shared" si="14"/>
        <v>1673907464.3039582</v>
      </c>
      <c r="K72" s="58">
        <f t="shared" si="15"/>
        <v>1790199464.9173205</v>
      </c>
      <c r="L72" s="32"/>
    </row>
    <row r="73" spans="1:12" s="3" customFormat="1" ht="25.5" customHeight="1">
      <c r="A73" s="62" t="str">
        <f>$A$56&amp;2</f>
        <v>1A.S2</v>
      </c>
      <c r="B73" s="63" t="s">
        <v>64</v>
      </c>
      <c r="C73" s="63" t="s">
        <v>515</v>
      </c>
      <c r="D73" s="62"/>
      <c r="E73" s="116"/>
      <c r="F73" s="117"/>
      <c r="G73" s="118">
        <f>_xlfn.XLOOKUP(B73, Rate_Master!$A:$A, Rate_Master!$C:$C, "")</f>
        <v>0</v>
      </c>
      <c r="H73" s="118">
        <f>_xlfn.XLOOKUP(B73, Rate_Master!$A:$A, Rate_Master!$D:$D, "")</f>
        <v>0</v>
      </c>
      <c r="I73" s="49"/>
      <c r="J73" s="49">
        <f>SUBTOTAL(9,J74:J78)</f>
        <v>0</v>
      </c>
      <c r="K73" s="119"/>
      <c r="L73" s="49"/>
    </row>
    <row r="74" spans="1:12" s="4" customFormat="1" ht="25.5" customHeight="1" outlineLevel="1">
      <c r="A74" s="37" t="str">
        <f>$A$73&amp;"."&amp;ROW()-ROW($A$73)</f>
        <v>1A.S2.1</v>
      </c>
      <c r="B74" s="38" t="s">
        <v>65</v>
      </c>
      <c r="C74" s="38" t="s">
        <v>535</v>
      </c>
      <c r="D74" s="39" t="s">
        <v>520</v>
      </c>
      <c r="E74" s="40">
        <v>0</v>
      </c>
      <c r="F74" s="88"/>
      <c r="G74" s="99">
        <f>_xlfn.XLOOKUP(B74, Rate_Master!$A:$A, Rate_Master!$C:$C, "")</f>
        <v>0</v>
      </c>
      <c r="H74" s="99">
        <f>_xlfn.XLOOKUP(B74, Rate_Master!$A:$A, Rate_Master!$D:$D, "")</f>
        <v>0</v>
      </c>
      <c r="I74" s="41">
        <f>G74+H74</f>
        <v>0</v>
      </c>
      <c r="J74" s="41">
        <f>I74*E74</f>
        <v>0</v>
      </c>
      <c r="K74" s="92"/>
      <c r="L74" s="41"/>
    </row>
    <row r="75" spans="1:12" s="4" customFormat="1" ht="25.5" customHeight="1" outlineLevel="1">
      <c r="A75" s="37" t="str">
        <f>$A$73&amp;"."&amp;ROW()-ROW($A$73)</f>
        <v>1A.S2.2</v>
      </c>
      <c r="B75" s="38" t="s">
        <v>66</v>
      </c>
      <c r="C75" s="38" t="s">
        <v>536</v>
      </c>
      <c r="D75" s="39" t="s">
        <v>518</v>
      </c>
      <c r="E75" s="40">
        <v>0</v>
      </c>
      <c r="F75" s="88"/>
      <c r="G75" s="99">
        <f>_xlfn.XLOOKUP(B75, Rate_Master!$A:$A, Rate_Master!$C:$C, "")</f>
        <v>0</v>
      </c>
      <c r="H75" s="99">
        <f>_xlfn.XLOOKUP(B75, Rate_Master!$A:$A, Rate_Master!$D:$D, "")</f>
        <v>0</v>
      </c>
      <c r="I75" s="41">
        <f>G75+H75</f>
        <v>0</v>
      </c>
      <c r="J75" s="41">
        <f>I75*E75</f>
        <v>0</v>
      </c>
      <c r="K75" s="92"/>
      <c r="L75" s="41"/>
    </row>
    <row r="76" spans="1:12" s="4" customFormat="1" ht="25.5" customHeight="1" outlineLevel="1">
      <c r="A76" s="37" t="str">
        <f>$A$73&amp;"."&amp;ROW()-ROW($A$73)</f>
        <v>1A.S2.3</v>
      </c>
      <c r="B76" s="38" t="s">
        <v>67</v>
      </c>
      <c r="C76" s="38" t="s">
        <v>515</v>
      </c>
      <c r="D76" s="39" t="s">
        <v>520</v>
      </c>
      <c r="E76" s="40">
        <v>0</v>
      </c>
      <c r="F76" s="88"/>
      <c r="G76" s="99">
        <f>_xlfn.XLOOKUP(B76, Rate_Master!$A:$A, Rate_Master!$C:$C, "")</f>
        <v>0</v>
      </c>
      <c r="H76" s="99">
        <f>_xlfn.XLOOKUP(B76, Rate_Master!$A:$A, Rate_Master!$D:$D, "")</f>
        <v>0</v>
      </c>
      <c r="I76" s="41">
        <f>G76+H76</f>
        <v>0</v>
      </c>
      <c r="J76" s="41">
        <f>I76*E76</f>
        <v>0</v>
      </c>
      <c r="K76" s="92"/>
      <c r="L76" s="41"/>
    </row>
    <row r="77" spans="1:12" s="4" customFormat="1" ht="25.5" customHeight="1" outlineLevel="1">
      <c r="A77" s="37" t="str">
        <f>$A$73&amp;"."&amp;ROW()-ROW($A$73)</f>
        <v>1A.S2.4</v>
      </c>
      <c r="B77" s="38" t="s">
        <v>68</v>
      </c>
      <c r="C77" s="38" t="s">
        <v>515</v>
      </c>
      <c r="D77" s="39" t="s">
        <v>457</v>
      </c>
      <c r="E77" s="40">
        <v>0</v>
      </c>
      <c r="F77" s="88"/>
      <c r="G77" s="99">
        <f>_xlfn.XLOOKUP(B77, Rate_Master!$A:$A, Rate_Master!$C:$C, "")</f>
        <v>0</v>
      </c>
      <c r="H77" s="99">
        <f>_xlfn.XLOOKUP(B77, Rate_Master!$A:$A, Rate_Master!$D:$D, "")</f>
        <v>0</v>
      </c>
      <c r="I77" s="41">
        <f>G77+H77</f>
        <v>0</v>
      </c>
      <c r="J77" s="41">
        <f>I77*E77</f>
        <v>0</v>
      </c>
      <c r="K77" s="92"/>
      <c r="L77" s="41"/>
    </row>
    <row r="78" spans="1:12" s="4" customFormat="1" ht="25.5" customHeight="1" outlineLevel="1">
      <c r="A78" s="37" t="str">
        <f>$A$73&amp;"."&amp;ROW()-ROW($A$73)</f>
        <v>1A.S2.5</v>
      </c>
      <c r="B78" s="38" t="s">
        <v>69</v>
      </c>
      <c r="C78" s="38" t="s">
        <v>515</v>
      </c>
      <c r="D78" s="39" t="s">
        <v>520</v>
      </c>
      <c r="E78" s="40">
        <v>0</v>
      </c>
      <c r="F78" s="88"/>
      <c r="G78" s="99">
        <f>_xlfn.XLOOKUP(B78, Rate_Master!$A:$A, Rate_Master!$C:$C, "")</f>
        <v>0</v>
      </c>
      <c r="H78" s="99">
        <f>_xlfn.XLOOKUP(B78, Rate_Master!$A:$A, Rate_Master!$D:$D, "")</f>
        <v>0</v>
      </c>
      <c r="I78" s="41">
        <f>G78+H78</f>
        <v>0</v>
      </c>
      <c r="J78" s="41">
        <f>I78*E78</f>
        <v>0</v>
      </c>
      <c r="K78" s="92"/>
      <c r="L78" s="41"/>
    </row>
    <row r="79" spans="1:12" s="3" customFormat="1" ht="25.5" customHeight="1">
      <c r="A79" s="62" t="str">
        <f>$A$56&amp;3</f>
        <v>1A.S3</v>
      </c>
      <c r="B79" s="63" t="s">
        <v>70</v>
      </c>
      <c r="C79" s="63" t="s">
        <v>515</v>
      </c>
      <c r="D79" s="62"/>
      <c r="E79" s="116"/>
      <c r="F79" s="117"/>
      <c r="G79" s="118">
        <f>_xlfn.XLOOKUP(B79, Rate_Master!$A:$A, Rate_Master!$C:$C, "")</f>
        <v>0</v>
      </c>
      <c r="H79" s="118">
        <f>_xlfn.XLOOKUP(B79, Rate_Master!$A:$A, Rate_Master!$D:$D, "")</f>
        <v>0</v>
      </c>
      <c r="I79" s="49"/>
      <c r="J79" s="49">
        <f>SUBTOTAL(9,J80:J93)</f>
        <v>8063851254.2356071</v>
      </c>
      <c r="K79" s="49">
        <f>SUBTOTAL(9,K80:K93)</f>
        <v>8015863840.2206068</v>
      </c>
      <c r="L79" s="49"/>
    </row>
    <row r="80" spans="1:12" s="4" customFormat="1" ht="51" customHeight="1" outlineLevel="1">
      <c r="A80" s="27" t="str">
        <f t="shared" ref="A80:A93" si="16">$A$79&amp;"."&amp;ROW()-ROW($A$79)</f>
        <v>1A.S3.1</v>
      </c>
      <c r="B80" s="28" t="s">
        <v>71</v>
      </c>
      <c r="C80" s="76" t="s">
        <v>537</v>
      </c>
      <c r="D80" s="29" t="s">
        <v>520</v>
      </c>
      <c r="E80" s="31">
        <v>16343.46</v>
      </c>
      <c r="F80" s="36">
        <v>16259.093999999999</v>
      </c>
      <c r="G80" s="93">
        <f>_xlfn.XLOOKUP(B80, Rate_Master!$A:$A, Rate_Master!$C:$C, "")</f>
        <v>248399.99999999997</v>
      </c>
      <c r="H80" s="93">
        <f>_xlfn.XLOOKUP(B80, Rate_Master!$A:$A, Rate_Master!$D:$D, "")</f>
        <v>34500</v>
      </c>
      <c r="I80" s="32">
        <f t="shared" ref="I80:I93" si="17">+G80+H80</f>
        <v>282900</v>
      </c>
      <c r="J80" s="32">
        <f t="shared" ref="J80:J93" si="18">I80*E80</f>
        <v>4623564834</v>
      </c>
      <c r="K80" s="58">
        <f t="shared" ref="K80:K93" si="19">+F80*I80</f>
        <v>4599697692.5999994</v>
      </c>
      <c r="L80" s="32"/>
    </row>
    <row r="81" spans="1:12" s="4" customFormat="1" ht="51" customHeight="1" outlineLevel="1">
      <c r="A81" s="27" t="str">
        <f t="shared" si="16"/>
        <v>1A.S3.2</v>
      </c>
      <c r="B81" s="28" t="s">
        <v>72</v>
      </c>
      <c r="C81" s="76" t="s">
        <v>537</v>
      </c>
      <c r="D81" s="29" t="s">
        <v>520</v>
      </c>
      <c r="E81" s="31">
        <v>806.38199999999995</v>
      </c>
      <c r="F81" s="36">
        <v>629.80200000000002</v>
      </c>
      <c r="G81" s="93">
        <f>_xlfn.XLOOKUP(B81, Rate_Master!$A:$A, Rate_Master!$C:$C, "")</f>
        <v>206999.99999999997</v>
      </c>
      <c r="H81" s="93">
        <f>_xlfn.XLOOKUP(B81, Rate_Master!$A:$A, Rate_Master!$D:$D, "")</f>
        <v>34500</v>
      </c>
      <c r="I81" s="32">
        <f t="shared" si="17"/>
        <v>241499.99999999997</v>
      </c>
      <c r="J81" s="32">
        <f t="shared" si="18"/>
        <v>194741252.99999997</v>
      </c>
      <c r="K81" s="58">
        <f t="shared" si="19"/>
        <v>152097183</v>
      </c>
      <c r="L81" s="32"/>
    </row>
    <row r="82" spans="1:12" s="4" customFormat="1" ht="51" customHeight="1" outlineLevel="1">
      <c r="A82" s="27" t="str">
        <f t="shared" si="16"/>
        <v>1A.S3.3</v>
      </c>
      <c r="B82" s="28" t="s">
        <v>73</v>
      </c>
      <c r="C82" s="28" t="str">
        <f>+C80</f>
        <v xml:space="preserve">Tôn liên doanh Việt hàn, AZ170
</v>
      </c>
      <c r="D82" s="29" t="s">
        <v>520</v>
      </c>
      <c r="E82" s="31">
        <v>409.58800000000002</v>
      </c>
      <c r="F82" s="36">
        <v>361.05599999999998</v>
      </c>
      <c r="G82" s="93">
        <f>_xlfn.XLOOKUP(B82, Rate_Master!$A:$A, Rate_Master!$C:$C, "")</f>
        <v>195499.99999999997</v>
      </c>
      <c r="H82" s="93">
        <f>_xlfn.XLOOKUP(B82, Rate_Master!$A:$A, Rate_Master!$D:$D, "")</f>
        <v>34500</v>
      </c>
      <c r="I82" s="32">
        <f t="shared" si="17"/>
        <v>229999.99999999997</v>
      </c>
      <c r="J82" s="32">
        <f t="shared" si="18"/>
        <v>94205240</v>
      </c>
      <c r="K82" s="58">
        <f t="shared" si="19"/>
        <v>83042879.999999985</v>
      </c>
      <c r="L82" s="32"/>
    </row>
    <row r="83" spans="1:12" s="4" customFormat="1" ht="25.5" customHeight="1" outlineLevel="1">
      <c r="A83" s="27" t="str">
        <f t="shared" si="16"/>
        <v>1A.S3.4</v>
      </c>
      <c r="B83" s="28" t="s">
        <v>74</v>
      </c>
      <c r="C83" s="28" t="s">
        <v>515</v>
      </c>
      <c r="D83" s="29" t="s">
        <v>520</v>
      </c>
      <c r="E83" s="31">
        <v>16343.46</v>
      </c>
      <c r="F83" s="36">
        <v>16259.093999999999</v>
      </c>
      <c r="G83" s="93">
        <f>_xlfn.XLOOKUP(B83, Rate_Master!$A:$A, Rate_Master!$C:$C, "")</f>
        <v>23000</v>
      </c>
      <c r="H83" s="93">
        <f>_xlfn.XLOOKUP(B83, Rate_Master!$A:$A, Rate_Master!$D:$D, "")</f>
        <v>11500</v>
      </c>
      <c r="I83" s="32">
        <f t="shared" si="17"/>
        <v>34500</v>
      </c>
      <c r="J83" s="32">
        <f t="shared" si="18"/>
        <v>563849370</v>
      </c>
      <c r="K83" s="58">
        <f t="shared" si="19"/>
        <v>560938743</v>
      </c>
      <c r="L83" s="32"/>
    </row>
    <row r="84" spans="1:12" s="4" customFormat="1" ht="25.5" customHeight="1" outlineLevel="1">
      <c r="A84" s="27" t="str">
        <f t="shared" si="16"/>
        <v>1A.S3.5</v>
      </c>
      <c r="B84" s="28" t="s">
        <v>75</v>
      </c>
      <c r="C84" s="28" t="s">
        <v>538</v>
      </c>
      <c r="D84" s="29" t="s">
        <v>517</v>
      </c>
      <c r="E84" s="31">
        <v>921.8</v>
      </c>
      <c r="F84" s="36">
        <v>1264.83</v>
      </c>
      <c r="G84" s="93">
        <f>_xlfn.XLOOKUP(B84, Rate_Master!$A:$A, Rate_Master!$C:$C, "")</f>
        <v>110399.99999999999</v>
      </c>
      <c r="H84" s="93">
        <f>_xlfn.XLOOKUP(B84, Rate_Master!$A:$A, Rate_Master!$D:$D, "")</f>
        <v>17250</v>
      </c>
      <c r="I84" s="32">
        <f t="shared" si="17"/>
        <v>127649.99999999999</v>
      </c>
      <c r="J84" s="32">
        <f t="shared" si="18"/>
        <v>117667769.99999999</v>
      </c>
      <c r="K84" s="58">
        <f t="shared" si="19"/>
        <v>161455549.49999997</v>
      </c>
      <c r="L84" s="32"/>
    </row>
    <row r="85" spans="1:12" s="4" customFormat="1" ht="25.5" customHeight="1" outlineLevel="1">
      <c r="A85" s="27" t="str">
        <f t="shared" si="16"/>
        <v>1A.S3.6</v>
      </c>
      <c r="B85" s="28" t="s">
        <v>75</v>
      </c>
      <c r="C85" s="28" t="s">
        <v>539</v>
      </c>
      <c r="D85" s="29" t="s">
        <v>517</v>
      </c>
      <c r="E85" s="31">
        <v>2592</v>
      </c>
      <c r="F85" s="36">
        <v>2564.4</v>
      </c>
      <c r="G85" s="93">
        <f>_xlfn.XLOOKUP(B85, Rate_Master!$A:$A, Rate_Master!$C:$C, "")</f>
        <v>110399.99999999999</v>
      </c>
      <c r="H85" s="93">
        <f>_xlfn.XLOOKUP(B85, Rate_Master!$A:$A, Rate_Master!$D:$D, "")</f>
        <v>17250</v>
      </c>
      <c r="I85" s="32">
        <f t="shared" si="17"/>
        <v>127649.99999999999</v>
      </c>
      <c r="J85" s="32">
        <f t="shared" si="18"/>
        <v>330868799.99999994</v>
      </c>
      <c r="K85" s="58">
        <f t="shared" si="19"/>
        <v>327345660</v>
      </c>
      <c r="L85" s="32"/>
    </row>
    <row r="86" spans="1:12" s="4" customFormat="1" ht="25.5" customHeight="1" outlineLevel="1">
      <c r="A86" s="27" t="str">
        <f t="shared" si="16"/>
        <v>1A.S3.7</v>
      </c>
      <c r="B86" s="28" t="s">
        <v>76</v>
      </c>
      <c r="C86" s="28" t="s">
        <v>540</v>
      </c>
      <c r="D86" s="29" t="s">
        <v>517</v>
      </c>
      <c r="E86" s="31">
        <v>392.4</v>
      </c>
      <c r="F86" s="36">
        <v>392.4</v>
      </c>
      <c r="G86" s="93">
        <f>_xlfn.XLOOKUP(B86, Rate_Master!$A:$A, Rate_Master!$C:$C, "")</f>
        <v>1976115.3983999996</v>
      </c>
      <c r="H86" s="93">
        <f>_xlfn.XLOOKUP(B86, Rate_Master!$A:$A, Rate_Master!$D:$D, "")</f>
        <v>28749.999999999996</v>
      </c>
      <c r="I86" s="32">
        <f t="shared" si="17"/>
        <v>2004865.3983999996</v>
      </c>
      <c r="J86" s="32">
        <f t="shared" si="18"/>
        <v>786709182.33215976</v>
      </c>
      <c r="K86" s="58">
        <f t="shared" si="19"/>
        <v>786709182.33215976</v>
      </c>
      <c r="L86" s="32"/>
    </row>
    <row r="87" spans="1:12" s="4" customFormat="1" ht="25.5" customHeight="1" outlineLevel="1">
      <c r="A87" s="27" t="str">
        <f t="shared" si="16"/>
        <v>1A.S3.8</v>
      </c>
      <c r="B87" s="28" t="s">
        <v>77</v>
      </c>
      <c r="C87" s="28" t="s">
        <v>541</v>
      </c>
      <c r="D87" s="29" t="s">
        <v>517</v>
      </c>
      <c r="E87" s="31">
        <v>196.2</v>
      </c>
      <c r="F87" s="36">
        <v>196.2</v>
      </c>
      <c r="G87" s="93">
        <f>_xlfn.XLOOKUP(B87, Rate_Master!$A:$A, Rate_Master!$C:$C, "")</f>
        <v>1077881.1263999997</v>
      </c>
      <c r="H87" s="93">
        <f>_xlfn.XLOOKUP(B87, Rate_Master!$A:$A, Rate_Master!$D:$D, "")</f>
        <v>23000</v>
      </c>
      <c r="I87" s="32">
        <f t="shared" si="17"/>
        <v>1100881.1263999997</v>
      </c>
      <c r="J87" s="32">
        <f t="shared" si="18"/>
        <v>215992876.99967992</v>
      </c>
      <c r="K87" s="58">
        <f t="shared" si="19"/>
        <v>215992876.99967992</v>
      </c>
      <c r="L87" s="32"/>
    </row>
    <row r="88" spans="1:12" s="4" customFormat="1" ht="25.5" customHeight="1" outlineLevel="1">
      <c r="A88" s="27" t="str">
        <f t="shared" si="16"/>
        <v>1A.S3.9</v>
      </c>
      <c r="B88" s="28" t="s">
        <v>78</v>
      </c>
      <c r="C88" s="28" t="s">
        <v>515</v>
      </c>
      <c r="D88" s="29" t="s">
        <v>518</v>
      </c>
      <c r="E88" s="31">
        <v>24</v>
      </c>
      <c r="F88" s="36">
        <v>38</v>
      </c>
      <c r="G88" s="93">
        <f>_xlfn.XLOOKUP(B88, Rate_Master!$A:$A, Rate_Master!$C:$C, "")</f>
        <v>92000</v>
      </c>
      <c r="H88" s="93">
        <f>_xlfn.XLOOKUP(B88, Rate_Master!$A:$A, Rate_Master!$D:$D, "")</f>
        <v>11500</v>
      </c>
      <c r="I88" s="32">
        <f t="shared" si="17"/>
        <v>103500</v>
      </c>
      <c r="J88" s="32">
        <f t="shared" si="18"/>
        <v>2484000</v>
      </c>
      <c r="K88" s="58">
        <f t="shared" si="19"/>
        <v>3933000</v>
      </c>
      <c r="L88" s="32"/>
    </row>
    <row r="89" spans="1:12" s="4" customFormat="1" ht="63.75" customHeight="1" outlineLevel="1">
      <c r="A89" s="27" t="str">
        <f t="shared" si="16"/>
        <v>1A.S3.10</v>
      </c>
      <c r="B89" s="28" t="s">
        <v>79</v>
      </c>
      <c r="C89" s="28" t="s">
        <v>542</v>
      </c>
      <c r="D89" s="29" t="s">
        <v>517</v>
      </c>
      <c r="E89" s="31">
        <v>376.2</v>
      </c>
      <c r="F89" s="36">
        <v>364.8</v>
      </c>
      <c r="G89" s="93">
        <f>_xlfn.XLOOKUP(B89, Rate_Master!$A:$A, Rate_Master!$C:$C, "")</f>
        <v>297443.47499999998</v>
      </c>
      <c r="H89" s="93">
        <f>_xlfn.XLOOKUP(B89, Rate_Master!$A:$A, Rate_Master!$D:$D, "")</f>
        <v>23000</v>
      </c>
      <c r="I89" s="32">
        <f t="shared" si="17"/>
        <v>320443.47499999998</v>
      </c>
      <c r="J89" s="32">
        <f t="shared" si="18"/>
        <v>120550835.29499999</v>
      </c>
      <c r="K89" s="58">
        <f t="shared" si="19"/>
        <v>116897779.67999999</v>
      </c>
      <c r="L89" s="32"/>
    </row>
    <row r="90" spans="1:12" s="4" customFormat="1" ht="25.5" customHeight="1" outlineLevel="1">
      <c r="A90" s="27" t="str">
        <f t="shared" si="16"/>
        <v>1A.S3.11</v>
      </c>
      <c r="B90" s="28" t="s">
        <v>80</v>
      </c>
      <c r="C90" s="28" t="s">
        <v>515</v>
      </c>
      <c r="D90" s="29" t="s">
        <v>457</v>
      </c>
      <c r="E90" s="31">
        <v>1</v>
      </c>
      <c r="F90" s="36">
        <v>1</v>
      </c>
      <c r="G90" s="93">
        <f>_xlfn.XLOOKUP(B90, Rate_Master!$A:$A, Rate_Master!$C:$C, "")</f>
        <v>0</v>
      </c>
      <c r="H90" s="93">
        <f>_xlfn.XLOOKUP(B90, Rate_Master!$A:$A, Rate_Master!$D:$D, "")</f>
        <v>57499999.999999993</v>
      </c>
      <c r="I90" s="32">
        <f t="shared" si="17"/>
        <v>57499999.999999993</v>
      </c>
      <c r="J90" s="32">
        <f t="shared" si="18"/>
        <v>57499999.999999993</v>
      </c>
      <c r="K90" s="58">
        <f t="shared" si="19"/>
        <v>57499999.999999993</v>
      </c>
      <c r="L90" s="32"/>
    </row>
    <row r="91" spans="1:12" s="4" customFormat="1" ht="25.5" customHeight="1" outlineLevel="1">
      <c r="A91" s="27" t="str">
        <f t="shared" si="16"/>
        <v>1A.S3.12</v>
      </c>
      <c r="B91" s="28" t="s">
        <v>81</v>
      </c>
      <c r="C91" s="28" t="s">
        <v>515</v>
      </c>
      <c r="D91" s="29" t="s">
        <v>520</v>
      </c>
      <c r="E91" s="31">
        <v>17559.43</v>
      </c>
      <c r="F91" s="36">
        <v>17249.952000000001</v>
      </c>
      <c r="G91" s="93">
        <f>_xlfn.XLOOKUP(B91, Rate_Master!$A:$A, Rate_Master!$C:$C, "")</f>
        <v>0</v>
      </c>
      <c r="H91" s="93">
        <f>_xlfn.XLOOKUP(B91, Rate_Master!$A:$A, Rate_Master!$D:$D, "")</f>
        <v>40250</v>
      </c>
      <c r="I91" s="32">
        <f t="shared" si="17"/>
        <v>40250</v>
      </c>
      <c r="J91" s="32">
        <f t="shared" si="18"/>
        <v>706767057.5</v>
      </c>
      <c r="K91" s="58">
        <f t="shared" si="19"/>
        <v>694310568</v>
      </c>
      <c r="L91" s="32"/>
    </row>
    <row r="92" spans="1:12" s="4" customFormat="1" ht="38.25" customHeight="1" outlineLevel="1">
      <c r="A92" s="27" t="str">
        <f t="shared" si="16"/>
        <v>1A.S3.13</v>
      </c>
      <c r="B92" s="28" t="s">
        <v>82</v>
      </c>
      <c r="C92" s="28" t="s">
        <v>515</v>
      </c>
      <c r="D92" s="29" t="s">
        <v>517</v>
      </c>
      <c r="E92" s="31">
        <v>4478.6000000000004</v>
      </c>
      <c r="F92" s="36">
        <v>4782.6299999999992</v>
      </c>
      <c r="G92" s="93">
        <f>_xlfn.XLOOKUP(B92, Rate_Master!$A:$A, Rate_Master!$C:$C, "")</f>
        <v>0</v>
      </c>
      <c r="H92" s="93">
        <f>_xlfn.XLOOKUP(B92, Rate_Master!$A:$A, Rate_Master!$D:$D, "")</f>
        <v>23000</v>
      </c>
      <c r="I92" s="32">
        <f t="shared" si="17"/>
        <v>23000</v>
      </c>
      <c r="J92" s="32">
        <f t="shared" si="18"/>
        <v>103007800.00000001</v>
      </c>
      <c r="K92" s="58">
        <f t="shared" si="19"/>
        <v>110000489.99999999</v>
      </c>
      <c r="L92" s="32"/>
    </row>
    <row r="93" spans="1:12" s="4" customFormat="1" ht="25.5" customHeight="1" outlineLevel="1">
      <c r="A93" s="27" t="str">
        <f t="shared" si="16"/>
        <v>1A.S3.14</v>
      </c>
      <c r="B93" s="28" t="s">
        <v>83</v>
      </c>
      <c r="C93" s="28" t="s">
        <v>543</v>
      </c>
      <c r="D93" s="29" t="s">
        <v>457</v>
      </c>
      <c r="E93" s="31">
        <v>1</v>
      </c>
      <c r="F93" s="36">
        <v>1</v>
      </c>
      <c r="G93" s="93">
        <f>_xlfn.XLOOKUP(B93, Rate_Master!$A:$A, Rate_Master!$C:$C, "")</f>
        <v>145942235.10876715</v>
      </c>
      <c r="H93" s="93">
        <f>_xlfn.XLOOKUP(B93, Rate_Master!$A:$A, Rate_Master!$D:$D, "")</f>
        <v>0</v>
      </c>
      <c r="I93" s="32">
        <f t="shared" si="17"/>
        <v>145942235.10876715</v>
      </c>
      <c r="J93" s="32">
        <f t="shared" si="18"/>
        <v>145942235.10876715</v>
      </c>
      <c r="K93" s="58">
        <f t="shared" si="19"/>
        <v>145942235.10876715</v>
      </c>
      <c r="L93" s="32"/>
    </row>
    <row r="94" spans="1:12" s="3" customFormat="1" ht="25.5" customHeight="1">
      <c r="A94" s="62" t="str">
        <f>$A$56&amp;4</f>
        <v>1A.S4</v>
      </c>
      <c r="B94" s="63" t="s">
        <v>84</v>
      </c>
      <c r="C94" s="63" t="s">
        <v>515</v>
      </c>
      <c r="D94" s="62"/>
      <c r="E94" s="116"/>
      <c r="F94" s="117"/>
      <c r="G94" s="118">
        <f>_xlfn.XLOOKUP(B94, Rate_Master!$A:$A, Rate_Master!$C:$C, "")</f>
        <v>0</v>
      </c>
      <c r="H94" s="118">
        <f>_xlfn.XLOOKUP(B94, Rate_Master!$A:$A, Rate_Master!$D:$D, "")</f>
        <v>0</v>
      </c>
      <c r="I94" s="49"/>
      <c r="J94" s="49">
        <f>SUBTOTAL(9,J95:J102)</f>
        <v>624070738.3398</v>
      </c>
      <c r="K94" s="49">
        <f>SUBTOTAL(9,K95:K102)</f>
        <v>420851700</v>
      </c>
      <c r="L94" s="49"/>
    </row>
    <row r="95" spans="1:12" s="4" customFormat="1" ht="38.25" customHeight="1" outlineLevel="1">
      <c r="A95" s="27" t="str">
        <f t="shared" ref="A95:A102" si="20">$A$94&amp;"."&amp;ROW()-ROW($A$94)</f>
        <v>1A.S4.1</v>
      </c>
      <c r="B95" s="28" t="s">
        <v>85</v>
      </c>
      <c r="C95" s="28" t="s">
        <v>544</v>
      </c>
      <c r="D95" s="29" t="s">
        <v>517</v>
      </c>
      <c r="E95" s="31">
        <v>17.995000000000001</v>
      </c>
      <c r="F95" s="53">
        <v>12</v>
      </c>
      <c r="G95" s="93">
        <f>_xlfn.XLOOKUP(B95, Rate_Master!$A:$A, Rate_Master!$C:$C, "")</f>
        <v>5175000</v>
      </c>
      <c r="H95" s="93">
        <f>_xlfn.XLOOKUP(B95, Rate_Master!$A:$A, Rate_Master!$D:$D, "")</f>
        <v>0</v>
      </c>
      <c r="I95" s="67">
        <f t="shared" ref="I95:I102" si="21">+G95+H95</f>
        <v>5175000</v>
      </c>
      <c r="J95" s="32">
        <f t="shared" ref="J95:J102" si="22">I95*E95</f>
        <v>93124125</v>
      </c>
      <c r="K95" s="58">
        <f>+F95*I95</f>
        <v>62100000</v>
      </c>
      <c r="L95" s="32"/>
    </row>
    <row r="96" spans="1:12" s="4" customFormat="1" ht="38.25" customHeight="1" outlineLevel="1">
      <c r="A96" s="37" t="str">
        <f t="shared" si="20"/>
        <v>1A.S4.2</v>
      </c>
      <c r="B96" s="38" t="s">
        <v>86</v>
      </c>
      <c r="C96" s="38" t="s">
        <v>545</v>
      </c>
      <c r="D96" s="39" t="s">
        <v>517</v>
      </c>
      <c r="E96" s="40">
        <v>0</v>
      </c>
      <c r="F96" s="88"/>
      <c r="G96" s="99">
        <f>_xlfn.XLOOKUP(B96, Rate_Master!$A:$A, Rate_Master!$C:$C, "")</f>
        <v>0</v>
      </c>
      <c r="H96" s="99">
        <f>_xlfn.XLOOKUP(B96, Rate_Master!$A:$A, Rate_Master!$D:$D, "")</f>
        <v>0</v>
      </c>
      <c r="I96" s="67">
        <f t="shared" si="21"/>
        <v>0</v>
      </c>
      <c r="J96" s="41">
        <f t="shared" si="22"/>
        <v>0</v>
      </c>
      <c r="K96" s="92"/>
      <c r="L96" s="41"/>
    </row>
    <row r="97" spans="1:12" s="4" customFormat="1" ht="25.5" customHeight="1" outlineLevel="1">
      <c r="A97" s="37" t="str">
        <f t="shared" si="20"/>
        <v>1A.S4.3</v>
      </c>
      <c r="B97" s="38" t="s">
        <v>87</v>
      </c>
      <c r="C97" s="38" t="s">
        <v>546</v>
      </c>
      <c r="D97" s="39" t="s">
        <v>517</v>
      </c>
      <c r="E97" s="40">
        <v>0</v>
      </c>
      <c r="F97" s="88"/>
      <c r="G97" s="99">
        <f>_xlfn.XLOOKUP(B97, Rate_Master!$A:$A, Rate_Master!$C:$C, "")</f>
        <v>0</v>
      </c>
      <c r="H97" s="99">
        <f>_xlfn.XLOOKUP(B97, Rate_Master!$A:$A, Rate_Master!$D:$D, "")</f>
        <v>0</v>
      </c>
      <c r="I97" s="67">
        <f t="shared" si="21"/>
        <v>0</v>
      </c>
      <c r="J97" s="41">
        <f t="shared" si="22"/>
        <v>0</v>
      </c>
      <c r="K97" s="92"/>
      <c r="L97" s="41"/>
    </row>
    <row r="98" spans="1:12" s="4" customFormat="1" ht="25.5" customHeight="1" outlineLevel="1">
      <c r="A98" s="37" t="str">
        <f t="shared" si="20"/>
        <v>1A.S4.4</v>
      </c>
      <c r="B98" s="38" t="s">
        <v>88</v>
      </c>
      <c r="C98" s="38" t="s">
        <v>546</v>
      </c>
      <c r="D98" s="39" t="s">
        <v>517</v>
      </c>
      <c r="E98" s="40">
        <v>0</v>
      </c>
      <c r="F98" s="88"/>
      <c r="G98" s="99">
        <f>_xlfn.XLOOKUP(B98, Rate_Master!$A:$A, Rate_Master!$C:$C, "")</f>
        <v>0</v>
      </c>
      <c r="H98" s="99">
        <f>_xlfn.XLOOKUP(B98, Rate_Master!$A:$A, Rate_Master!$D:$D, "")</f>
        <v>0</v>
      </c>
      <c r="I98" s="67">
        <f t="shared" si="21"/>
        <v>0</v>
      </c>
      <c r="J98" s="41">
        <f t="shared" si="22"/>
        <v>0</v>
      </c>
      <c r="K98" s="92"/>
      <c r="L98" s="41"/>
    </row>
    <row r="99" spans="1:12" s="4" customFormat="1" ht="51" customHeight="1" outlineLevel="1">
      <c r="A99" s="27" t="str">
        <f t="shared" si="20"/>
        <v>1A.S4.5</v>
      </c>
      <c r="B99" s="28" t="s">
        <v>89</v>
      </c>
      <c r="C99" s="28" t="s">
        <v>547</v>
      </c>
      <c r="D99" s="29" t="s">
        <v>520</v>
      </c>
      <c r="E99" s="31">
        <v>15597.9</v>
      </c>
      <c r="F99" s="36">
        <v>15597.9</v>
      </c>
      <c r="G99" s="93">
        <f>_xlfn.XLOOKUP(B99, Rate_Master!$A:$A, Rate_Master!$C:$C, "")</f>
        <v>17250</v>
      </c>
      <c r="H99" s="93">
        <f>_xlfn.XLOOKUP(B99, Rate_Master!$A:$A, Rate_Master!$D:$D, "")</f>
        <v>5750</v>
      </c>
      <c r="I99" s="67">
        <f t="shared" si="21"/>
        <v>23000</v>
      </c>
      <c r="J99" s="32">
        <f t="shared" si="22"/>
        <v>358751700</v>
      </c>
      <c r="K99" s="58">
        <f>+F99*I99</f>
        <v>358751700</v>
      </c>
      <c r="L99" s="32"/>
    </row>
    <row r="100" spans="1:12" s="4" customFormat="1" ht="25.5" customHeight="1" outlineLevel="1">
      <c r="A100" s="27" t="str">
        <f t="shared" si="20"/>
        <v>1A.S4.6</v>
      </c>
      <c r="B100" s="28" t="s">
        <v>90</v>
      </c>
      <c r="C100" s="28" t="s">
        <v>548</v>
      </c>
      <c r="D100" s="29" t="s">
        <v>520</v>
      </c>
      <c r="E100" s="31">
        <v>8807.9239560000005</v>
      </c>
      <c r="F100" s="36"/>
      <c r="G100" s="93">
        <f>_xlfn.XLOOKUP(B100, Rate_Master!$A:$A, Rate_Master!$C:$C, "")</f>
        <v>0</v>
      </c>
      <c r="H100" s="93">
        <f>_xlfn.XLOOKUP(B100, Rate_Master!$A:$A, Rate_Master!$D:$D, "")</f>
        <v>0</v>
      </c>
      <c r="I100" s="67">
        <f t="shared" si="21"/>
        <v>0</v>
      </c>
      <c r="J100" s="32">
        <f t="shared" si="22"/>
        <v>0</v>
      </c>
      <c r="K100" s="58"/>
      <c r="L100" s="75" t="s">
        <v>549</v>
      </c>
    </row>
    <row r="101" spans="1:12" s="4" customFormat="1" ht="25.5" customHeight="1" outlineLevel="1">
      <c r="A101" s="27" t="str">
        <f t="shared" si="20"/>
        <v>1A.S4.7</v>
      </c>
      <c r="B101" s="28" t="s">
        <v>91</v>
      </c>
      <c r="C101" s="28" t="s">
        <v>515</v>
      </c>
      <c r="D101" s="29" t="s">
        <v>457</v>
      </c>
      <c r="E101" s="31">
        <v>1</v>
      </c>
      <c r="F101" s="36"/>
      <c r="G101" s="93">
        <f>_xlfn.XLOOKUP(B101, Rate_Master!$A:$A, Rate_Master!$C:$C, "")</f>
        <v>0</v>
      </c>
      <c r="H101" s="93">
        <f>_xlfn.XLOOKUP(B101, Rate_Master!$A:$A, Rate_Master!$D:$D, "")</f>
        <v>0</v>
      </c>
      <c r="I101" s="67">
        <f t="shared" si="21"/>
        <v>0</v>
      </c>
      <c r="J101" s="32">
        <f t="shared" si="22"/>
        <v>0</v>
      </c>
      <c r="K101" s="58"/>
      <c r="L101" s="75" t="s">
        <v>549</v>
      </c>
    </row>
    <row r="102" spans="1:12" s="4" customFormat="1" ht="51" customHeight="1" outlineLevel="1">
      <c r="A102" s="27" t="str">
        <f t="shared" si="20"/>
        <v>1A.S4.8</v>
      </c>
      <c r="B102" s="28" t="s">
        <v>92</v>
      </c>
      <c r="C102" s="28" t="s">
        <v>550</v>
      </c>
      <c r="D102" s="29" t="s">
        <v>520</v>
      </c>
      <c r="E102" s="31">
        <v>8807.9239560000005</v>
      </c>
      <c r="F102" s="36"/>
      <c r="G102" s="93">
        <f>_xlfn.XLOOKUP(B102, Rate_Master!$A:$A, Rate_Master!$C:$C, "")</f>
        <v>16099.999999999998</v>
      </c>
      <c r="H102" s="93">
        <f>_xlfn.XLOOKUP(B102, Rate_Master!$A:$A, Rate_Master!$D:$D, "")</f>
        <v>3449.9999999999995</v>
      </c>
      <c r="I102" s="67">
        <f t="shared" si="21"/>
        <v>19549.999999999996</v>
      </c>
      <c r="J102" s="32">
        <f t="shared" si="22"/>
        <v>172194913.33979997</v>
      </c>
      <c r="K102" s="58"/>
      <c r="L102" s="75" t="s">
        <v>549</v>
      </c>
    </row>
    <row r="103" spans="1:12" s="3" customFormat="1" ht="25.5" customHeight="1">
      <c r="A103" s="62" t="str">
        <f>$A$9&amp;".F"</f>
        <v>1A.F</v>
      </c>
      <c r="B103" s="63" t="s">
        <v>93</v>
      </c>
      <c r="C103" s="63" t="s">
        <v>515</v>
      </c>
      <c r="D103" s="62"/>
      <c r="E103" s="116"/>
      <c r="F103" s="117"/>
      <c r="G103" s="116">
        <f>_xlfn.XLOOKUP(B103, Rate_Master!$A:$A, Rate_Master!$C:$C, "")</f>
        <v>0</v>
      </c>
      <c r="H103" s="116">
        <f>_xlfn.XLOOKUP(B103, Rate_Master!$A:$A, Rate_Master!$D:$D, "")</f>
        <v>0</v>
      </c>
      <c r="I103" s="49">
        <f>G103+H103</f>
        <v>0</v>
      </c>
      <c r="J103" s="49"/>
      <c r="K103" s="120"/>
      <c r="L103" s="49"/>
    </row>
    <row r="104" spans="1:12" s="3" customFormat="1" ht="25.5" customHeight="1">
      <c r="A104" s="22" t="str">
        <f>$A$103&amp;1</f>
        <v>1A.F1</v>
      </c>
      <c r="B104" s="23" t="s">
        <v>94</v>
      </c>
      <c r="C104" s="23" t="s">
        <v>515</v>
      </c>
      <c r="D104" s="22"/>
      <c r="E104" s="25"/>
      <c r="F104" s="87"/>
      <c r="G104" s="25">
        <f>_xlfn.XLOOKUP(B104, Rate_Master!$A:$A, Rate_Master!$C:$C, "")</f>
        <v>0</v>
      </c>
      <c r="H104" s="25">
        <f>_xlfn.XLOOKUP(B104, Rate_Master!$A:$A, Rate_Master!$D:$D, "")</f>
        <v>0</v>
      </c>
      <c r="I104" s="26">
        <f>G104+H104</f>
        <v>0</v>
      </c>
      <c r="J104" s="26">
        <f>SUBTOTAL(9,J105:J122)</f>
        <v>8475990112.8421583</v>
      </c>
      <c r="K104" s="121">
        <f>SUBTOTAL(9,K105:K122)</f>
        <v>8475990112.8421583</v>
      </c>
      <c r="L104" s="26"/>
    </row>
    <row r="105" spans="1:12" s="4" customFormat="1" ht="25.5" customHeight="1" outlineLevel="1">
      <c r="A105" s="27" t="str">
        <f t="shared" ref="A105:A122" si="23">$A$104&amp;"."&amp;ROW()-ROW($A$104)</f>
        <v>1A.F1.1</v>
      </c>
      <c r="B105" s="35" t="s">
        <v>95</v>
      </c>
      <c r="C105" s="34" t="s">
        <v>551</v>
      </c>
      <c r="D105" s="29" t="s">
        <v>519</v>
      </c>
      <c r="E105" s="31">
        <v>1211.4469999999999</v>
      </c>
      <c r="F105" s="36">
        <v>1211.4469999999999</v>
      </c>
      <c r="G105" s="142">
        <f>_xlfn.XLOOKUP(B105, Rate_Master!$A:$A, Rate_Master!$C:$C, "")</f>
        <v>1587600.0077618286</v>
      </c>
      <c r="H105" s="142">
        <f>_xlfn.XLOOKUP(B105, Rate_Master!$A:$A, Rate_Master!$D:$D, "")</f>
        <v>1086539.80861244</v>
      </c>
      <c r="I105" s="32">
        <f t="shared" ref="I105:I122" si="24">+H105+G105</f>
        <v>2674139.8163742684</v>
      </c>
      <c r="J105" s="32">
        <f t="shared" ref="J105:J122" si="25">I105*E105</f>
        <v>3239578658.1271582</v>
      </c>
      <c r="K105" s="122">
        <f t="shared" ref="K105:K122" si="26">I105*F105</f>
        <v>3239578658.1271582</v>
      </c>
      <c r="L105" s="32"/>
    </row>
    <row r="106" spans="1:12" s="4" customFormat="1" ht="25.5" customHeight="1" outlineLevel="1">
      <c r="A106" s="27" t="str">
        <f t="shared" si="23"/>
        <v>1A.F1.2</v>
      </c>
      <c r="B106" s="35" t="s">
        <v>96</v>
      </c>
      <c r="C106" s="34" t="s">
        <v>551</v>
      </c>
      <c r="D106" s="29" t="s">
        <v>519</v>
      </c>
      <c r="E106" s="31">
        <v>7.3869999999999996</v>
      </c>
      <c r="F106" s="36">
        <v>7.3869999999999996</v>
      </c>
      <c r="G106" s="142">
        <f>_xlfn.XLOOKUP(B106, Rate_Master!$A:$A, Rate_Master!$C:$C, "")</f>
        <v>1368500</v>
      </c>
      <c r="H106" s="142">
        <f>_xlfn.XLOOKUP(B106, Rate_Master!$A:$A, Rate_Master!$D:$D, "")</f>
        <v>948749.99999999988</v>
      </c>
      <c r="I106" s="32">
        <f t="shared" si="24"/>
        <v>2317250</v>
      </c>
      <c r="J106" s="32">
        <f t="shared" si="25"/>
        <v>17117525.75</v>
      </c>
      <c r="K106" s="122">
        <f t="shared" si="26"/>
        <v>17117525.75</v>
      </c>
      <c r="L106" s="32"/>
    </row>
    <row r="107" spans="1:12" s="4" customFormat="1" ht="63.75" customHeight="1" outlineLevel="1">
      <c r="A107" s="27" t="str">
        <f t="shared" si="23"/>
        <v>1A.F1.3</v>
      </c>
      <c r="B107" s="28" t="s">
        <v>97</v>
      </c>
      <c r="C107" s="34" t="s">
        <v>552</v>
      </c>
      <c r="D107" s="29" t="s">
        <v>520</v>
      </c>
      <c r="E107" s="31">
        <v>0</v>
      </c>
      <c r="F107" s="36">
        <v>0</v>
      </c>
      <c r="G107" s="142">
        <f>_xlfn.XLOOKUP(B107, Rate_Master!$A:$A, Rate_Master!$C:$C, "")</f>
        <v>229999.99999999997</v>
      </c>
      <c r="H107" s="142">
        <f>_xlfn.XLOOKUP(B107, Rate_Master!$A:$A, Rate_Master!$D:$D, "")</f>
        <v>46000</v>
      </c>
      <c r="I107" s="32">
        <f t="shared" si="24"/>
        <v>276000</v>
      </c>
      <c r="J107" s="32">
        <f t="shared" si="25"/>
        <v>0</v>
      </c>
      <c r="K107" s="122">
        <f t="shared" si="26"/>
        <v>0</v>
      </c>
      <c r="L107" s="32"/>
    </row>
    <row r="108" spans="1:12" s="4" customFormat="1" ht="38.25" customHeight="1" outlineLevel="1">
      <c r="A108" s="27" t="str">
        <f t="shared" si="23"/>
        <v>1A.F1.4</v>
      </c>
      <c r="B108" s="28" t="s">
        <v>98</v>
      </c>
      <c r="C108" s="34" t="s">
        <v>553</v>
      </c>
      <c r="D108" s="29" t="s">
        <v>520</v>
      </c>
      <c r="E108" s="31">
        <v>154.09800000000001</v>
      </c>
      <c r="F108" s="36">
        <v>154.09800000000001</v>
      </c>
      <c r="G108" s="142">
        <f>_xlfn.XLOOKUP(B108, Rate_Master!$A:$A, Rate_Master!$C:$C, "")</f>
        <v>0</v>
      </c>
      <c r="H108" s="142">
        <f>_xlfn.XLOOKUP(B108, Rate_Master!$A:$A, Rate_Master!$D:$D, "")</f>
        <v>0</v>
      </c>
      <c r="I108" s="32">
        <f t="shared" si="24"/>
        <v>0</v>
      </c>
      <c r="J108" s="32">
        <f t="shared" si="25"/>
        <v>0</v>
      </c>
      <c r="K108" s="122">
        <f t="shared" si="26"/>
        <v>0</v>
      </c>
      <c r="L108" s="32"/>
    </row>
    <row r="109" spans="1:12" s="4" customFormat="1" ht="38.25" customHeight="1" outlineLevel="1">
      <c r="A109" s="27" t="str">
        <f t="shared" si="23"/>
        <v>1A.F1.5</v>
      </c>
      <c r="B109" s="28" t="s">
        <v>99</v>
      </c>
      <c r="C109" s="34" t="s">
        <v>553</v>
      </c>
      <c r="D109" s="29" t="s">
        <v>520</v>
      </c>
      <c r="E109" s="31">
        <v>0</v>
      </c>
      <c r="F109" s="36">
        <v>0</v>
      </c>
      <c r="G109" s="142">
        <f>_xlfn.XLOOKUP(B109, Rate_Master!$A:$A, Rate_Master!$C:$C, "")</f>
        <v>931499.99999999988</v>
      </c>
      <c r="H109" s="142">
        <f>_xlfn.XLOOKUP(B109, Rate_Master!$A:$A, Rate_Master!$D:$D, "")</f>
        <v>114999.99999999999</v>
      </c>
      <c r="I109" s="32">
        <f t="shared" si="24"/>
        <v>1046499.9999999999</v>
      </c>
      <c r="J109" s="32">
        <f t="shared" si="25"/>
        <v>0</v>
      </c>
      <c r="K109" s="122">
        <f t="shared" si="26"/>
        <v>0</v>
      </c>
      <c r="L109" s="32"/>
    </row>
    <row r="110" spans="1:12" s="4" customFormat="1" ht="25.5" customHeight="1" outlineLevel="1">
      <c r="A110" s="27" t="str">
        <f t="shared" si="23"/>
        <v>1A.F1.6</v>
      </c>
      <c r="B110" s="28" t="s">
        <v>100</v>
      </c>
      <c r="C110" s="34" t="s">
        <v>554</v>
      </c>
      <c r="D110" s="29" t="s">
        <v>520</v>
      </c>
      <c r="E110" s="31">
        <v>819.84100000000001</v>
      </c>
      <c r="F110" s="36">
        <v>819.84100000000001</v>
      </c>
      <c r="G110" s="142">
        <f>_xlfn.XLOOKUP(B110, Rate_Master!$A:$A, Rate_Master!$C:$C, "")</f>
        <v>1586790</v>
      </c>
      <c r="H110" s="142">
        <f>_xlfn.XLOOKUP(B110, Rate_Master!$A:$A, Rate_Master!$D:$D, "")</f>
        <v>372210</v>
      </c>
      <c r="I110" s="32">
        <f t="shared" si="24"/>
        <v>1959000</v>
      </c>
      <c r="J110" s="32">
        <f t="shared" si="25"/>
        <v>1606068519</v>
      </c>
      <c r="K110" s="122">
        <f t="shared" si="26"/>
        <v>1606068519</v>
      </c>
      <c r="L110" s="32"/>
    </row>
    <row r="111" spans="1:12" s="4" customFormat="1" ht="51" customHeight="1" outlineLevel="1">
      <c r="A111" s="27" t="str">
        <f t="shared" si="23"/>
        <v>1A.F1.7</v>
      </c>
      <c r="B111" s="28" t="s">
        <v>101</v>
      </c>
      <c r="C111" s="28" t="s">
        <v>515</v>
      </c>
      <c r="D111" s="29" t="s">
        <v>520</v>
      </c>
      <c r="E111" s="31">
        <v>49.64</v>
      </c>
      <c r="F111" s="36">
        <v>49.64</v>
      </c>
      <c r="G111" s="142">
        <f>_xlfn.XLOOKUP(B111, Rate_Master!$A:$A, Rate_Master!$C:$C, "")</f>
        <v>1121250</v>
      </c>
      <c r="H111" s="142">
        <f>_xlfn.XLOOKUP(B111, Rate_Master!$A:$A, Rate_Master!$D:$D, "")</f>
        <v>114999.99999999999</v>
      </c>
      <c r="I111" s="32">
        <f t="shared" si="24"/>
        <v>1236250</v>
      </c>
      <c r="J111" s="32">
        <f t="shared" si="25"/>
        <v>61367450</v>
      </c>
      <c r="K111" s="122">
        <f t="shared" si="26"/>
        <v>61367450</v>
      </c>
      <c r="L111" s="32"/>
    </row>
    <row r="112" spans="1:12" s="4" customFormat="1" ht="51" customHeight="1" outlineLevel="1">
      <c r="A112" s="27" t="str">
        <f t="shared" si="23"/>
        <v>1A.F1.8</v>
      </c>
      <c r="B112" s="28" t="s">
        <v>102</v>
      </c>
      <c r="C112" s="34" t="s">
        <v>555</v>
      </c>
      <c r="D112" s="29" t="s">
        <v>520</v>
      </c>
      <c r="E112" s="31">
        <v>0</v>
      </c>
      <c r="F112" s="36">
        <v>0</v>
      </c>
      <c r="G112" s="142">
        <f>_xlfn.XLOOKUP(B112, Rate_Master!$A:$A, Rate_Master!$C:$C, "")</f>
        <v>0</v>
      </c>
      <c r="H112" s="142">
        <f>_xlfn.XLOOKUP(B112, Rate_Master!$A:$A, Rate_Master!$D:$D, "")</f>
        <v>0</v>
      </c>
      <c r="I112" s="32">
        <f t="shared" si="24"/>
        <v>0</v>
      </c>
      <c r="J112" s="32">
        <f t="shared" si="25"/>
        <v>0</v>
      </c>
      <c r="K112" s="122">
        <f t="shared" si="26"/>
        <v>0</v>
      </c>
      <c r="L112" s="32"/>
    </row>
    <row r="113" spans="1:12" s="4" customFormat="1" ht="51" customHeight="1" outlineLevel="1">
      <c r="A113" s="27" t="str">
        <f t="shared" si="23"/>
        <v>1A.F1.9</v>
      </c>
      <c r="B113" s="28" t="s">
        <v>103</v>
      </c>
      <c r="C113" s="34" t="s">
        <v>555</v>
      </c>
      <c r="D113" s="29" t="s">
        <v>520</v>
      </c>
      <c r="E113" s="31">
        <v>0</v>
      </c>
      <c r="F113" s="36">
        <v>0</v>
      </c>
      <c r="G113" s="142">
        <f>_xlfn.XLOOKUP(B113, Rate_Master!$A:$A, Rate_Master!$C:$C, "")</f>
        <v>0</v>
      </c>
      <c r="H113" s="142">
        <f>_xlfn.XLOOKUP(B113, Rate_Master!$A:$A, Rate_Master!$D:$D, "")</f>
        <v>0</v>
      </c>
      <c r="I113" s="32">
        <f t="shared" si="24"/>
        <v>0</v>
      </c>
      <c r="J113" s="32">
        <f t="shared" si="25"/>
        <v>0</v>
      </c>
      <c r="K113" s="122">
        <f t="shared" si="26"/>
        <v>0</v>
      </c>
      <c r="L113" s="32"/>
    </row>
    <row r="114" spans="1:12" s="4" customFormat="1" ht="25.5" customHeight="1" outlineLevel="1">
      <c r="A114" s="27" t="str">
        <f t="shared" si="23"/>
        <v>1A.F1.10</v>
      </c>
      <c r="B114" s="28" t="s">
        <v>104</v>
      </c>
      <c r="C114" s="28" t="s">
        <v>515</v>
      </c>
      <c r="D114" s="29" t="s">
        <v>520</v>
      </c>
      <c r="E114" s="31">
        <v>6547.38</v>
      </c>
      <c r="F114" s="36">
        <v>6547.38</v>
      </c>
      <c r="G114" s="142">
        <f>_xlfn.XLOOKUP(B114, Rate_Master!$A:$A, Rate_Master!$C:$C, "")</f>
        <v>46000</v>
      </c>
      <c r="H114" s="142">
        <f>_xlfn.XLOOKUP(B114, Rate_Master!$A:$A, Rate_Master!$D:$D, "")</f>
        <v>34500</v>
      </c>
      <c r="I114" s="32">
        <f t="shared" si="24"/>
        <v>80500</v>
      </c>
      <c r="J114" s="32">
        <f t="shared" si="25"/>
        <v>527064090</v>
      </c>
      <c r="K114" s="122">
        <f t="shared" si="26"/>
        <v>527064090</v>
      </c>
      <c r="L114" s="32"/>
    </row>
    <row r="115" spans="1:12" s="4" customFormat="1" ht="25.5" customHeight="1" outlineLevel="1">
      <c r="A115" s="27" t="str">
        <f t="shared" si="23"/>
        <v>1A.F1.11</v>
      </c>
      <c r="B115" s="28" t="s">
        <v>105</v>
      </c>
      <c r="C115" s="34" t="s">
        <v>556</v>
      </c>
      <c r="D115" s="29" t="s">
        <v>520</v>
      </c>
      <c r="E115" s="31">
        <v>5383.1989999999996</v>
      </c>
      <c r="F115" s="36">
        <v>5383.1989999999996</v>
      </c>
      <c r="G115" s="142">
        <f>_xlfn.XLOOKUP(B115, Rate_Master!$A:$A, Rate_Master!$C:$C, "")</f>
        <v>26565.000000000004</v>
      </c>
      <c r="H115" s="142">
        <f>_xlfn.XLOOKUP(B115, Rate_Master!$A:$A, Rate_Master!$D:$D, "")</f>
        <v>132250</v>
      </c>
      <c r="I115" s="32">
        <f t="shared" si="24"/>
        <v>158815</v>
      </c>
      <c r="J115" s="32">
        <f t="shared" si="25"/>
        <v>854932749.18499994</v>
      </c>
      <c r="K115" s="122">
        <f t="shared" si="26"/>
        <v>854932749.18499994</v>
      </c>
      <c r="L115" s="32"/>
    </row>
    <row r="116" spans="1:12" s="4" customFormat="1" ht="25.5" customHeight="1" outlineLevel="1">
      <c r="A116" s="27" t="str">
        <f t="shared" si="23"/>
        <v>1A.F1.12</v>
      </c>
      <c r="B116" s="28" t="s">
        <v>106</v>
      </c>
      <c r="C116" s="34" t="s">
        <v>556</v>
      </c>
      <c r="D116" s="29" t="s">
        <v>520</v>
      </c>
      <c r="E116" s="31">
        <v>7519.3419999999996</v>
      </c>
      <c r="F116" s="36">
        <v>7519.3419999999996</v>
      </c>
      <c r="G116" s="142">
        <f>_xlfn.XLOOKUP(B116, Rate_Master!$A:$A, Rate_Master!$C:$C, "")</f>
        <v>26565.000000000004</v>
      </c>
      <c r="H116" s="142">
        <f>_xlfn.XLOOKUP(B116, Rate_Master!$A:$A, Rate_Master!$D:$D, "")</f>
        <v>117299.99999999999</v>
      </c>
      <c r="I116" s="32">
        <f t="shared" si="24"/>
        <v>143865</v>
      </c>
      <c r="J116" s="32">
        <f t="shared" si="25"/>
        <v>1081770136.8299999</v>
      </c>
      <c r="K116" s="122">
        <f t="shared" si="26"/>
        <v>1081770136.8299999</v>
      </c>
      <c r="L116" s="32"/>
    </row>
    <row r="117" spans="1:12" s="4" customFormat="1" ht="38.25" customHeight="1" outlineLevel="1">
      <c r="A117" s="27" t="str">
        <f t="shared" si="23"/>
        <v>1A.F1.13</v>
      </c>
      <c r="B117" s="28" t="s">
        <v>107</v>
      </c>
      <c r="C117" s="28" t="s">
        <v>515</v>
      </c>
      <c r="D117" s="29" t="s">
        <v>520</v>
      </c>
      <c r="E117" s="31">
        <v>151.125</v>
      </c>
      <c r="F117" s="36">
        <v>151.125</v>
      </c>
      <c r="G117" s="142">
        <f>_xlfn.XLOOKUP(B117, Rate_Master!$A:$A, Rate_Master!$C:$C, "")</f>
        <v>218499.99999999997</v>
      </c>
      <c r="H117" s="142">
        <f>_xlfn.XLOOKUP(B117, Rate_Master!$A:$A, Rate_Master!$D:$D, "")</f>
        <v>138000</v>
      </c>
      <c r="I117" s="32">
        <f t="shared" si="24"/>
        <v>356500</v>
      </c>
      <c r="J117" s="32">
        <f t="shared" si="25"/>
        <v>53876062.5</v>
      </c>
      <c r="K117" s="122">
        <f t="shared" si="26"/>
        <v>53876062.5</v>
      </c>
      <c r="L117" s="32"/>
    </row>
    <row r="118" spans="1:12" s="4" customFormat="1" ht="25.5" customHeight="1" outlineLevel="1">
      <c r="A118" s="27" t="str">
        <f t="shared" si="23"/>
        <v>1A.F1.14</v>
      </c>
      <c r="B118" s="34" t="s">
        <v>108</v>
      </c>
      <c r="C118" s="28" t="s">
        <v>515</v>
      </c>
      <c r="D118" s="29" t="s">
        <v>520</v>
      </c>
      <c r="E118" s="31">
        <v>5383.1989999999996</v>
      </c>
      <c r="F118" s="36">
        <v>5383.1989999999996</v>
      </c>
      <c r="G118" s="142">
        <f>_xlfn.XLOOKUP(B118, Rate_Master!$A:$A, Rate_Master!$C:$C, "")</f>
        <v>51749.999999999993</v>
      </c>
      <c r="H118" s="142">
        <f>_xlfn.XLOOKUP(B118, Rate_Master!$A:$A, Rate_Master!$D:$D, "")</f>
        <v>34500</v>
      </c>
      <c r="I118" s="32">
        <f t="shared" si="24"/>
        <v>86250</v>
      </c>
      <c r="J118" s="32">
        <f t="shared" si="25"/>
        <v>464300913.74999994</v>
      </c>
      <c r="K118" s="122">
        <f t="shared" si="26"/>
        <v>464300913.74999994</v>
      </c>
      <c r="L118" s="32"/>
    </row>
    <row r="119" spans="1:12" s="4" customFormat="1" ht="25.5" customHeight="1" outlineLevel="1">
      <c r="A119" s="27" t="str">
        <f t="shared" si="23"/>
        <v>1A.F1.15</v>
      </c>
      <c r="B119" s="34" t="s">
        <v>109</v>
      </c>
      <c r="C119" s="28" t="s">
        <v>515</v>
      </c>
      <c r="D119" s="29" t="s">
        <v>520</v>
      </c>
      <c r="E119" s="31">
        <v>7304.674</v>
      </c>
      <c r="F119" s="36">
        <v>7304.674</v>
      </c>
      <c r="G119" s="142">
        <f>_xlfn.XLOOKUP(B119, Rate_Master!$A:$A, Rate_Master!$C:$C, "")</f>
        <v>46000</v>
      </c>
      <c r="H119" s="142">
        <f>_xlfn.XLOOKUP(B119, Rate_Master!$A:$A, Rate_Master!$D:$D, "")</f>
        <v>19550</v>
      </c>
      <c r="I119" s="32">
        <f t="shared" si="24"/>
        <v>65550</v>
      </c>
      <c r="J119" s="32">
        <f t="shared" si="25"/>
        <v>478821380.69999999</v>
      </c>
      <c r="K119" s="122">
        <f t="shared" si="26"/>
        <v>478821380.69999999</v>
      </c>
      <c r="L119" s="32"/>
    </row>
    <row r="120" spans="1:12" s="4" customFormat="1" ht="25.5" customHeight="1" outlineLevel="1">
      <c r="A120" s="27" t="str">
        <f t="shared" si="23"/>
        <v>1A.F1.16</v>
      </c>
      <c r="B120" s="34" t="s">
        <v>110</v>
      </c>
      <c r="C120" s="28" t="s">
        <v>515</v>
      </c>
      <c r="D120" s="29" t="s">
        <v>520</v>
      </c>
      <c r="E120" s="31">
        <v>63.542999999999999</v>
      </c>
      <c r="F120" s="36">
        <v>63.542999999999999</v>
      </c>
      <c r="G120" s="142">
        <f>_xlfn.XLOOKUP(B120, Rate_Master!$A:$A, Rate_Master!$C:$C, "")</f>
        <v>51749.999999999993</v>
      </c>
      <c r="H120" s="142">
        <f>_xlfn.XLOOKUP(B120, Rate_Master!$A:$A, Rate_Master!$D:$D, "")</f>
        <v>17250</v>
      </c>
      <c r="I120" s="32">
        <f t="shared" si="24"/>
        <v>69000</v>
      </c>
      <c r="J120" s="32">
        <f t="shared" si="25"/>
        <v>4384467</v>
      </c>
      <c r="K120" s="122">
        <f t="shared" si="26"/>
        <v>4384467</v>
      </c>
      <c r="L120" s="32"/>
    </row>
    <row r="121" spans="1:12" s="4" customFormat="1" ht="25.5" customHeight="1" outlineLevel="1">
      <c r="A121" s="27" t="str">
        <f t="shared" si="23"/>
        <v>1A.F1.17</v>
      </c>
      <c r="B121" s="34" t="s">
        <v>111</v>
      </c>
      <c r="C121" s="28" t="s">
        <v>515</v>
      </c>
      <c r="D121" s="29" t="s">
        <v>520</v>
      </c>
      <c r="E121" s="31">
        <v>0</v>
      </c>
      <c r="F121" s="36">
        <v>0</v>
      </c>
      <c r="G121" s="142">
        <f>_xlfn.XLOOKUP(B121, Rate_Master!$A:$A, Rate_Master!$C:$C, "")</f>
        <v>172500</v>
      </c>
      <c r="H121" s="142">
        <f>_xlfn.XLOOKUP(B121, Rate_Master!$A:$A, Rate_Master!$D:$D, "")</f>
        <v>28749.999999999996</v>
      </c>
      <c r="I121" s="32">
        <f t="shared" si="24"/>
        <v>201250</v>
      </c>
      <c r="J121" s="32">
        <f t="shared" si="25"/>
        <v>0</v>
      </c>
      <c r="K121" s="122">
        <f t="shared" si="26"/>
        <v>0</v>
      </c>
      <c r="L121" s="32"/>
    </row>
    <row r="122" spans="1:12" s="4" customFormat="1" ht="38.25" customHeight="1" outlineLevel="1">
      <c r="A122" s="27" t="str">
        <f t="shared" si="23"/>
        <v>1A.F1.18</v>
      </c>
      <c r="B122" s="34" t="s">
        <v>112</v>
      </c>
      <c r="C122" s="34" t="s">
        <v>557</v>
      </c>
      <c r="D122" s="29" t="s">
        <v>517</v>
      </c>
      <c r="E122" s="31">
        <v>403.2</v>
      </c>
      <c r="F122" s="36">
        <v>403.2</v>
      </c>
      <c r="G122" s="143">
        <f>_xlfn.XLOOKUP(B122, Rate_Master!$A:$A, Rate_Master!$C:$C, "")</f>
        <v>163300</v>
      </c>
      <c r="H122" s="143">
        <f>_xlfn.XLOOKUP(B122, Rate_Master!$A:$A, Rate_Master!$D:$D, "")</f>
        <v>51749.999999999993</v>
      </c>
      <c r="I122" s="32">
        <f t="shared" si="24"/>
        <v>215050</v>
      </c>
      <c r="J122" s="32">
        <f t="shared" si="25"/>
        <v>86708160</v>
      </c>
      <c r="K122" s="122">
        <f t="shared" si="26"/>
        <v>86708160</v>
      </c>
      <c r="L122" s="32"/>
    </row>
    <row r="123" spans="1:12" s="3" customFormat="1" ht="25.5" customHeight="1">
      <c r="A123" s="22" t="str">
        <f>$A$103&amp;2</f>
        <v>1A.F2</v>
      </c>
      <c r="B123" s="23" t="s">
        <v>113</v>
      </c>
      <c r="C123" s="23" t="s">
        <v>515</v>
      </c>
      <c r="D123" s="22"/>
      <c r="E123" s="25"/>
      <c r="F123" s="87"/>
      <c r="G123" s="25">
        <f>_xlfn.XLOOKUP(B123, Rate_Master!$A:$A, Rate_Master!$C:$C, "")</f>
        <v>0</v>
      </c>
      <c r="H123" s="25">
        <f>_xlfn.XLOOKUP(B123, Rate_Master!$A:$A, Rate_Master!$D:$D, "")</f>
        <v>0</v>
      </c>
      <c r="I123" s="26">
        <f>G123+H123</f>
        <v>0</v>
      </c>
      <c r="J123" s="26">
        <f>SUBTOTAL(9,J124:J128)</f>
        <v>1260232095.3999999</v>
      </c>
      <c r="K123" s="121">
        <f>SUBTOTAL(9,K124:K128)</f>
        <v>1260232095.3999999</v>
      </c>
      <c r="L123" s="26"/>
    </row>
    <row r="124" spans="1:12" s="4" customFormat="1" ht="51" outlineLevel="1">
      <c r="A124" s="27" t="str">
        <f>$A$123&amp;"."&amp;ROW()-ROW($A$123)</f>
        <v>1A.F2.1</v>
      </c>
      <c r="B124" s="34" t="s">
        <v>114</v>
      </c>
      <c r="C124" s="28" t="s">
        <v>515</v>
      </c>
      <c r="D124" s="29" t="s">
        <v>520</v>
      </c>
      <c r="E124" s="31">
        <v>52.56</v>
      </c>
      <c r="F124" s="36">
        <v>52.56</v>
      </c>
      <c r="G124" s="142">
        <f>_xlfn.XLOOKUP(B124, Rate_Master!$A:$A, Rate_Master!$C:$C, "")</f>
        <v>206999.99999999997</v>
      </c>
      <c r="H124" s="142">
        <f>_xlfn.XLOOKUP(B124, Rate_Master!$A:$A, Rate_Master!$D:$D, "")</f>
        <v>126499.99999999999</v>
      </c>
      <c r="I124" s="32">
        <f>+H124+G124</f>
        <v>333499.99999999994</v>
      </c>
      <c r="J124" s="32">
        <f>I124*E124</f>
        <v>17528759.999999996</v>
      </c>
      <c r="K124" s="122">
        <f>I124*F124</f>
        <v>17528759.999999996</v>
      </c>
      <c r="L124" s="32"/>
    </row>
    <row r="125" spans="1:12" s="4" customFormat="1" ht="38.25" customHeight="1" outlineLevel="1">
      <c r="A125" s="27" t="str">
        <f>$A$123&amp;"."&amp;ROW()-ROW($A$123)</f>
        <v>1A.F2.2</v>
      </c>
      <c r="B125" s="28" t="s">
        <v>115</v>
      </c>
      <c r="C125" s="28" t="s">
        <v>515</v>
      </c>
      <c r="D125" s="29" t="s">
        <v>520</v>
      </c>
      <c r="E125" s="31">
        <v>15891.347</v>
      </c>
      <c r="F125" s="36">
        <v>15891.347</v>
      </c>
      <c r="G125" s="142">
        <f>_xlfn.XLOOKUP(B125, Rate_Master!$A:$A, Rate_Master!$C:$C, "")</f>
        <v>28749.999999999996</v>
      </c>
      <c r="H125" s="142">
        <f>_xlfn.XLOOKUP(B125, Rate_Master!$A:$A, Rate_Master!$D:$D, "")</f>
        <v>49449.999999999993</v>
      </c>
      <c r="I125" s="32">
        <f>+H125+G125</f>
        <v>78199.999999999985</v>
      </c>
      <c r="J125" s="32">
        <f>I125*E125</f>
        <v>1242703335.3999999</v>
      </c>
      <c r="K125" s="122">
        <f>I125*F125</f>
        <v>1242703335.3999999</v>
      </c>
      <c r="L125" s="32"/>
    </row>
    <row r="126" spans="1:12" s="4" customFormat="1" ht="51" customHeight="1" outlineLevel="1">
      <c r="A126" s="27" t="str">
        <f>$A$123&amp;"."&amp;ROW()-ROW($A$123)</f>
        <v>1A.F2.3</v>
      </c>
      <c r="B126" s="34" t="s">
        <v>116</v>
      </c>
      <c r="C126" s="28" t="s">
        <v>515</v>
      </c>
      <c r="D126" s="29" t="s">
        <v>520</v>
      </c>
      <c r="E126" s="31">
        <v>0</v>
      </c>
      <c r="F126" s="36">
        <v>0</v>
      </c>
      <c r="G126" s="31">
        <f>_xlfn.XLOOKUP(B126, Rate_Master!$A:$A, Rate_Master!$C:$C, "")</f>
        <v>0</v>
      </c>
      <c r="H126" s="31">
        <f>_xlfn.XLOOKUP(B126, Rate_Master!$A:$A, Rate_Master!$D:$D, "")</f>
        <v>0</v>
      </c>
      <c r="I126" s="32">
        <f>G126+H126</f>
        <v>0</v>
      </c>
      <c r="J126" s="32">
        <f>I126*E126</f>
        <v>0</v>
      </c>
      <c r="K126" s="122">
        <f>I126*F126</f>
        <v>0</v>
      </c>
      <c r="L126" s="32"/>
    </row>
    <row r="127" spans="1:12" s="4" customFormat="1" ht="51" customHeight="1" outlineLevel="1">
      <c r="A127" s="27" t="str">
        <f>$A$123&amp;"."&amp;ROW()-ROW($A$123)</f>
        <v>1A.F2.4</v>
      </c>
      <c r="B127" s="34" t="s">
        <v>117</v>
      </c>
      <c r="C127" s="28" t="s">
        <v>515</v>
      </c>
      <c r="D127" s="29" t="s">
        <v>520</v>
      </c>
      <c r="E127" s="31">
        <v>0</v>
      </c>
      <c r="F127" s="36">
        <v>0</v>
      </c>
      <c r="G127" s="31">
        <f>_xlfn.XLOOKUP(B127, Rate_Master!$A:$A, Rate_Master!$C:$C, "")</f>
        <v>0</v>
      </c>
      <c r="H127" s="31">
        <f>_xlfn.XLOOKUP(B127, Rate_Master!$A:$A, Rate_Master!$D:$D, "")</f>
        <v>0</v>
      </c>
      <c r="I127" s="32">
        <f>G127+H127</f>
        <v>0</v>
      </c>
      <c r="J127" s="32">
        <f>I127*E127</f>
        <v>0</v>
      </c>
      <c r="K127" s="122">
        <f>I127*F127</f>
        <v>0</v>
      </c>
      <c r="L127" s="32"/>
    </row>
    <row r="128" spans="1:12" s="4" customFormat="1" ht="25.5" customHeight="1" outlineLevel="1">
      <c r="A128" s="27" t="str">
        <f>$A$123&amp;"."&amp;ROW()-ROW($A$123)</f>
        <v>1A.F2.5</v>
      </c>
      <c r="B128" s="34" t="s">
        <v>118</v>
      </c>
      <c r="C128" s="28" t="s">
        <v>515</v>
      </c>
      <c r="D128" s="29" t="s">
        <v>520</v>
      </c>
      <c r="E128" s="31">
        <v>0</v>
      </c>
      <c r="F128" s="36">
        <v>0</v>
      </c>
      <c r="G128" s="31">
        <f>_xlfn.XLOOKUP(B128, Rate_Master!$A:$A, Rate_Master!$C:$C, "")</f>
        <v>0</v>
      </c>
      <c r="H128" s="31">
        <f>_xlfn.XLOOKUP(B128, Rate_Master!$A:$A, Rate_Master!$D:$D, "")</f>
        <v>0</v>
      </c>
      <c r="I128" s="32">
        <f>G128+H128</f>
        <v>0</v>
      </c>
      <c r="J128" s="32">
        <f>I128*E128</f>
        <v>0</v>
      </c>
      <c r="K128" s="122">
        <f>I128*F128</f>
        <v>0</v>
      </c>
      <c r="L128" s="32"/>
    </row>
    <row r="129" spans="1:12" s="3" customFormat="1" ht="25.5" customHeight="1">
      <c r="A129" s="22" t="str">
        <f>$A$103&amp;3</f>
        <v>1A.F3</v>
      </c>
      <c r="B129" s="23" t="s">
        <v>119</v>
      </c>
      <c r="C129" s="23" t="s">
        <v>515</v>
      </c>
      <c r="D129" s="22"/>
      <c r="E129" s="25"/>
      <c r="F129" s="87"/>
      <c r="G129" s="25">
        <f>_xlfn.XLOOKUP(B129, Rate_Master!$A:$A, Rate_Master!$C:$C, "")</f>
        <v>0</v>
      </c>
      <c r="H129" s="25">
        <f>_xlfn.XLOOKUP(B129, Rate_Master!$A:$A, Rate_Master!$D:$D, "")</f>
        <v>0</v>
      </c>
      <c r="I129" s="26">
        <f>G129+H129</f>
        <v>0</v>
      </c>
      <c r="J129" s="26">
        <f>SUBTOTAL(9,J130:J137)</f>
        <v>51418903.5</v>
      </c>
      <c r="K129" s="121">
        <f>SUBTOTAL(9,K130:K137)</f>
        <v>51418903.5</v>
      </c>
      <c r="L129" s="26"/>
    </row>
    <row r="130" spans="1:12" s="4" customFormat="1" ht="25.5" customHeight="1" outlineLevel="1">
      <c r="A130" s="27" t="str">
        <f t="shared" ref="A130:A137" si="27">$A$129&amp;"."&amp;ROW()-ROW($A$129)</f>
        <v>1A.F3.1</v>
      </c>
      <c r="B130" s="34" t="s">
        <v>120</v>
      </c>
      <c r="C130" s="28" t="s">
        <v>515</v>
      </c>
      <c r="D130" s="29" t="s">
        <v>520</v>
      </c>
      <c r="E130" s="31">
        <v>433.21899999999999</v>
      </c>
      <c r="F130" s="36">
        <v>433.21899999999999</v>
      </c>
      <c r="G130" s="142">
        <f>_xlfn.XLOOKUP(B130, Rate_Master!$A:$A, Rate_Master!$C:$C, "")</f>
        <v>28749.999999999996</v>
      </c>
      <c r="H130" s="142">
        <f>_xlfn.XLOOKUP(B130, Rate_Master!$A:$A, Rate_Master!$D:$D, "")</f>
        <v>0</v>
      </c>
      <c r="I130" s="32">
        <f>+H130+G130</f>
        <v>28749.999999999996</v>
      </c>
      <c r="J130" s="32">
        <f t="shared" ref="J130:J136" si="28">I130*E130</f>
        <v>12455046.249999998</v>
      </c>
      <c r="K130" s="122">
        <f t="shared" ref="K130:K136" si="29">I130*F130</f>
        <v>12455046.249999998</v>
      </c>
      <c r="L130" s="32"/>
    </row>
    <row r="131" spans="1:12" s="4" customFormat="1" ht="25.5" customHeight="1" outlineLevel="1">
      <c r="A131" s="27" t="str">
        <f t="shared" si="27"/>
        <v>1A.F3.2</v>
      </c>
      <c r="B131" s="34" t="s">
        <v>121</v>
      </c>
      <c r="C131" s="28" t="s">
        <v>515</v>
      </c>
      <c r="D131" s="29" t="s">
        <v>520</v>
      </c>
      <c r="E131" s="31">
        <v>381.49200000000002</v>
      </c>
      <c r="F131" s="36">
        <v>381.49200000000002</v>
      </c>
      <c r="G131" s="142">
        <f>_xlfn.XLOOKUP(B131, Rate_Master!$A:$A, Rate_Master!$C:$C, "")</f>
        <v>0</v>
      </c>
      <c r="H131" s="142">
        <f>_xlfn.XLOOKUP(B131, Rate_Master!$A:$A, Rate_Master!$D:$D, "")</f>
        <v>0</v>
      </c>
      <c r="I131" s="32">
        <v>92000</v>
      </c>
      <c r="J131" s="32">
        <f t="shared" si="28"/>
        <v>35097264</v>
      </c>
      <c r="K131" s="122">
        <f t="shared" si="29"/>
        <v>35097264</v>
      </c>
      <c r="L131" s="32"/>
    </row>
    <row r="132" spans="1:12" s="4" customFormat="1" ht="25.5" customHeight="1" outlineLevel="1">
      <c r="A132" s="27" t="str">
        <f t="shared" si="27"/>
        <v>1A.F3.3</v>
      </c>
      <c r="B132" s="34" t="s">
        <v>122</v>
      </c>
      <c r="C132" s="28" t="s">
        <v>515</v>
      </c>
      <c r="D132" s="29" t="s">
        <v>520</v>
      </c>
      <c r="E132" s="31">
        <v>51.726999999999997</v>
      </c>
      <c r="F132" s="36">
        <v>51.726999999999997</v>
      </c>
      <c r="G132" s="142">
        <f>_xlfn.XLOOKUP(B132, Rate_Master!$A:$A, Rate_Master!$C:$C, "")</f>
        <v>51749.999999999993</v>
      </c>
      <c r="H132" s="142">
        <f>_xlfn.XLOOKUP(B132, Rate_Master!$A:$A, Rate_Master!$D:$D, "")</f>
        <v>23000</v>
      </c>
      <c r="I132" s="32">
        <f>+H132+G132</f>
        <v>74750</v>
      </c>
      <c r="J132" s="32">
        <f t="shared" si="28"/>
        <v>3866593.2499999995</v>
      </c>
      <c r="K132" s="122">
        <f t="shared" si="29"/>
        <v>3866593.2499999995</v>
      </c>
      <c r="L132" s="32"/>
    </row>
    <row r="133" spans="1:12" s="4" customFormat="1" ht="25.5" customHeight="1" outlineLevel="1">
      <c r="A133" s="27" t="str">
        <f t="shared" si="27"/>
        <v>1A.F3.4</v>
      </c>
      <c r="B133" s="34" t="s">
        <v>123</v>
      </c>
      <c r="C133" s="28" t="s">
        <v>515</v>
      </c>
      <c r="D133" s="29" t="s">
        <v>520</v>
      </c>
      <c r="E133" s="31">
        <v>0</v>
      </c>
      <c r="F133" s="36">
        <v>0</v>
      </c>
      <c r="G133" s="142">
        <f>_xlfn.XLOOKUP(B133, Rate_Master!$A:$A, Rate_Master!$C:$C, "")</f>
        <v>172500</v>
      </c>
      <c r="H133" s="142">
        <f>_xlfn.XLOOKUP(B133, Rate_Master!$A:$A, Rate_Master!$D:$D, "")</f>
        <v>34500</v>
      </c>
      <c r="I133" s="32">
        <f>+H133+G133</f>
        <v>207000</v>
      </c>
      <c r="J133" s="32">
        <f t="shared" si="28"/>
        <v>0</v>
      </c>
      <c r="K133" s="122">
        <f t="shared" si="29"/>
        <v>0</v>
      </c>
      <c r="L133" s="32"/>
    </row>
    <row r="134" spans="1:12" s="4" customFormat="1" ht="51" customHeight="1" outlineLevel="1">
      <c r="A134" s="27" t="str">
        <f t="shared" si="27"/>
        <v>1A.F3.5</v>
      </c>
      <c r="B134" s="28" t="s">
        <v>124</v>
      </c>
      <c r="C134" s="34" t="s">
        <v>553</v>
      </c>
      <c r="D134" s="29" t="s">
        <v>520</v>
      </c>
      <c r="E134" s="31">
        <v>0</v>
      </c>
      <c r="F134" s="36">
        <v>0</v>
      </c>
      <c r="G134" s="142">
        <f>_xlfn.XLOOKUP(B134, Rate_Master!$A:$A, Rate_Master!$C:$C, "")</f>
        <v>1069500</v>
      </c>
      <c r="H134" s="142">
        <f>_xlfn.XLOOKUP(B134, Rate_Master!$A:$A, Rate_Master!$D:$D, "")</f>
        <v>172500</v>
      </c>
      <c r="I134" s="32">
        <f>+H134+G134</f>
        <v>1242000</v>
      </c>
      <c r="J134" s="32">
        <f t="shared" si="28"/>
        <v>0</v>
      </c>
      <c r="K134" s="122">
        <f t="shared" si="29"/>
        <v>0</v>
      </c>
      <c r="L134" s="32"/>
    </row>
    <row r="135" spans="1:12" s="4" customFormat="1" ht="51" customHeight="1" outlineLevel="1">
      <c r="A135" s="27" t="str">
        <f t="shared" si="27"/>
        <v>1A.F3.6</v>
      </c>
      <c r="B135" s="34" t="s">
        <v>125</v>
      </c>
      <c r="C135" s="28" t="s">
        <v>515</v>
      </c>
      <c r="D135" s="29" t="s">
        <v>520</v>
      </c>
      <c r="E135" s="31">
        <v>0</v>
      </c>
      <c r="F135" s="36">
        <v>0</v>
      </c>
      <c r="G135" s="142">
        <f>_xlfn.XLOOKUP(B135, Rate_Master!$A:$A, Rate_Master!$C:$C, "")</f>
        <v>965999.99999999988</v>
      </c>
      <c r="H135" s="142">
        <f>_xlfn.XLOOKUP(B135, Rate_Master!$A:$A, Rate_Master!$D:$D, "")</f>
        <v>138000</v>
      </c>
      <c r="I135" s="32">
        <f>+H135+G135</f>
        <v>1104000</v>
      </c>
      <c r="J135" s="32">
        <f t="shared" si="28"/>
        <v>0</v>
      </c>
      <c r="K135" s="122">
        <f t="shared" si="29"/>
        <v>0</v>
      </c>
      <c r="L135" s="32"/>
    </row>
    <row r="136" spans="1:12" s="4" customFormat="1" ht="25.5" customHeight="1" outlineLevel="1">
      <c r="A136" s="27" t="str">
        <f t="shared" si="27"/>
        <v>1A.F3.7</v>
      </c>
      <c r="B136" s="28" t="s">
        <v>126</v>
      </c>
      <c r="C136" s="28" t="s">
        <v>515</v>
      </c>
      <c r="D136" s="29" t="s">
        <v>520</v>
      </c>
      <c r="E136" s="31">
        <v>213.94300000000001</v>
      </c>
      <c r="F136" s="36">
        <v>213.94300000000001</v>
      </c>
      <c r="G136" s="144">
        <f>_xlfn.XLOOKUP(B136, Rate_Master!$A:$A, Rate_Master!$C:$C, "")</f>
        <v>0</v>
      </c>
      <c r="H136" s="144">
        <f>_xlfn.XLOOKUP(B136, Rate_Master!$A:$A, Rate_Master!$D:$D, "")</f>
        <v>0</v>
      </c>
      <c r="I136" s="32">
        <f>+H136+G136</f>
        <v>0</v>
      </c>
      <c r="J136" s="32">
        <f t="shared" si="28"/>
        <v>0</v>
      </c>
      <c r="K136" s="122">
        <f t="shared" si="29"/>
        <v>0</v>
      </c>
      <c r="L136" s="32"/>
    </row>
    <row r="137" spans="1:12" s="4" customFormat="1" ht="25.5" customHeight="1" outlineLevel="1">
      <c r="A137" s="27" t="str">
        <f t="shared" si="27"/>
        <v>1A.F3.8</v>
      </c>
      <c r="B137" s="34" t="s">
        <v>127</v>
      </c>
      <c r="C137" s="28" t="s">
        <v>515</v>
      </c>
      <c r="D137" s="29" t="s">
        <v>520</v>
      </c>
      <c r="E137" s="31">
        <v>0</v>
      </c>
      <c r="F137" s="36">
        <v>0</v>
      </c>
      <c r="G137" s="30">
        <f>_xlfn.XLOOKUP(B137, Rate_Master!$A:$A, Rate_Master!$C:$C, "")</f>
        <v>0</v>
      </c>
      <c r="H137" s="30">
        <f>_xlfn.XLOOKUP(B137, Rate_Master!$A:$A, Rate_Master!$D:$D, "")</f>
        <v>0</v>
      </c>
      <c r="I137" s="32">
        <f>G137+H137</f>
        <v>0</v>
      </c>
      <c r="J137" s="32"/>
      <c r="K137" s="122"/>
      <c r="L137" s="32"/>
    </row>
    <row r="138" spans="1:12" s="3" customFormat="1" ht="25.5" customHeight="1">
      <c r="A138" s="22" t="str">
        <f>$A$103&amp;4</f>
        <v>1A.F4</v>
      </c>
      <c r="B138" s="23" t="s">
        <v>128</v>
      </c>
      <c r="C138" s="23" t="s">
        <v>515</v>
      </c>
      <c r="D138" s="22"/>
      <c r="E138" s="25"/>
      <c r="F138" s="87"/>
      <c r="G138" s="25">
        <f>_xlfn.XLOOKUP(B138, Rate_Master!$A:$A, Rate_Master!$C:$C, "")</f>
        <v>0</v>
      </c>
      <c r="H138" s="25">
        <f>_xlfn.XLOOKUP(B138, Rate_Master!$A:$A, Rate_Master!$D:$D, "")</f>
        <v>0</v>
      </c>
      <c r="I138" s="26">
        <f>G138+H138</f>
        <v>0</v>
      </c>
      <c r="J138" s="26">
        <f>SUBTOTAL(9,J139:J152)</f>
        <v>1199185000</v>
      </c>
      <c r="K138" s="121">
        <f>SUBTOTAL(9,K139:K152)</f>
        <v>1199185000</v>
      </c>
      <c r="L138" s="26"/>
    </row>
    <row r="139" spans="1:12" s="4" customFormat="1" ht="51" customHeight="1" outlineLevel="1">
      <c r="A139" s="27" t="str">
        <f t="shared" ref="A139:A152" si="30">$A$138&amp;"."&amp;ROW()-ROW($A$138)</f>
        <v>1A.F4.1</v>
      </c>
      <c r="B139" s="28" t="s">
        <v>129</v>
      </c>
      <c r="C139" s="28" t="s">
        <v>515</v>
      </c>
      <c r="D139" s="29" t="s">
        <v>516</v>
      </c>
      <c r="E139" s="31">
        <v>1</v>
      </c>
      <c r="F139" s="36">
        <v>1</v>
      </c>
      <c r="G139" s="144">
        <f>_xlfn.XLOOKUP(B139, Rate_Master!$A:$A, Rate_Master!$C:$C, "")</f>
        <v>4269375</v>
      </c>
      <c r="H139" s="144">
        <f>_xlfn.XLOOKUP(B139, Rate_Master!$A:$A, Rate_Master!$D:$D, "")</f>
        <v>284625</v>
      </c>
      <c r="I139" s="32">
        <f t="shared" ref="I139:I152" si="31">+G139+H139</f>
        <v>4554000</v>
      </c>
      <c r="J139" s="32">
        <f t="shared" ref="J139:J152" si="32">I139*E139</f>
        <v>4554000</v>
      </c>
      <c r="K139" s="122">
        <f t="shared" ref="K139:K152" si="33">I139*F139</f>
        <v>4554000</v>
      </c>
      <c r="L139" s="32"/>
    </row>
    <row r="140" spans="1:12" s="4" customFormat="1" ht="63.75" customHeight="1" outlineLevel="1">
      <c r="A140" s="27" t="str">
        <f t="shared" si="30"/>
        <v>1A.F4.2</v>
      </c>
      <c r="B140" s="28" t="s">
        <v>130</v>
      </c>
      <c r="C140" s="28" t="s">
        <v>515</v>
      </c>
      <c r="D140" s="29" t="s">
        <v>516</v>
      </c>
      <c r="E140" s="31">
        <v>5</v>
      </c>
      <c r="F140" s="36">
        <v>5</v>
      </c>
      <c r="G140" s="144">
        <f>_xlfn.XLOOKUP(B140, Rate_Master!$A:$A, Rate_Master!$C:$C, "")</f>
        <v>3104999.9999999995</v>
      </c>
      <c r="H140" s="144">
        <f>_xlfn.XLOOKUP(B140, Rate_Master!$A:$A, Rate_Master!$D:$D, "")</f>
        <v>206999.99999999997</v>
      </c>
      <c r="I140" s="32">
        <f t="shared" si="31"/>
        <v>3311999.9999999995</v>
      </c>
      <c r="J140" s="32">
        <f t="shared" si="32"/>
        <v>16559999.999999998</v>
      </c>
      <c r="K140" s="122">
        <f t="shared" si="33"/>
        <v>16559999.999999998</v>
      </c>
      <c r="L140" s="32"/>
    </row>
    <row r="141" spans="1:12" s="4" customFormat="1" ht="63.75" customHeight="1" outlineLevel="1">
      <c r="A141" s="27" t="str">
        <f t="shared" si="30"/>
        <v>1A.F4.3</v>
      </c>
      <c r="B141" s="28" t="s">
        <v>131</v>
      </c>
      <c r="C141" s="28" t="s">
        <v>515</v>
      </c>
      <c r="D141" s="29" t="s">
        <v>516</v>
      </c>
      <c r="E141" s="31">
        <v>88</v>
      </c>
      <c r="F141" s="36">
        <v>88</v>
      </c>
      <c r="G141" s="144">
        <f>_xlfn.XLOOKUP(B141, Rate_Master!$A:$A, Rate_Master!$C:$C, "")</f>
        <v>5037000</v>
      </c>
      <c r="H141" s="144">
        <f>_xlfn.XLOOKUP(B141, Rate_Master!$A:$A, Rate_Master!$D:$D, "")</f>
        <v>206999.99999999997</v>
      </c>
      <c r="I141" s="32">
        <f t="shared" si="31"/>
        <v>5244000</v>
      </c>
      <c r="J141" s="32">
        <f t="shared" si="32"/>
        <v>461472000</v>
      </c>
      <c r="K141" s="122">
        <f t="shared" si="33"/>
        <v>461472000</v>
      </c>
      <c r="L141" s="32"/>
    </row>
    <row r="142" spans="1:12" s="4" customFormat="1" ht="51" customHeight="1" outlineLevel="1">
      <c r="A142" s="27" t="str">
        <f t="shared" si="30"/>
        <v>1A.F4.4</v>
      </c>
      <c r="B142" s="28" t="s">
        <v>132</v>
      </c>
      <c r="C142" s="28" t="s">
        <v>515</v>
      </c>
      <c r="D142" s="29" t="s">
        <v>516</v>
      </c>
      <c r="E142" s="31">
        <v>1</v>
      </c>
      <c r="F142" s="36">
        <v>1</v>
      </c>
      <c r="G142" s="144">
        <f>_xlfn.XLOOKUP(B142, Rate_Master!$A:$A, Rate_Master!$C:$C, "")</f>
        <v>7115624.9999999991</v>
      </c>
      <c r="H142" s="144">
        <f>_xlfn.XLOOKUP(B142, Rate_Master!$A:$A, Rate_Master!$D:$D, "")</f>
        <v>474374.99999999994</v>
      </c>
      <c r="I142" s="32">
        <f t="shared" si="31"/>
        <v>7589999.9999999991</v>
      </c>
      <c r="J142" s="32">
        <f t="shared" si="32"/>
        <v>7589999.9999999991</v>
      </c>
      <c r="K142" s="122">
        <f t="shared" si="33"/>
        <v>7589999.9999999991</v>
      </c>
      <c r="L142" s="32"/>
    </row>
    <row r="143" spans="1:12" s="4" customFormat="1" ht="51" customHeight="1" outlineLevel="1">
      <c r="A143" s="27" t="str">
        <f t="shared" si="30"/>
        <v>1A.F4.5</v>
      </c>
      <c r="B143" s="28" t="s">
        <v>133</v>
      </c>
      <c r="C143" s="28" t="s">
        <v>515</v>
      </c>
      <c r="D143" s="29" t="s">
        <v>516</v>
      </c>
      <c r="E143" s="31">
        <v>5</v>
      </c>
      <c r="F143" s="36">
        <v>5</v>
      </c>
      <c r="G143" s="144">
        <f>_xlfn.XLOOKUP(B143, Rate_Master!$A:$A, Rate_Master!$C:$C, "")</f>
        <v>8538750</v>
      </c>
      <c r="H143" s="144">
        <f>_xlfn.XLOOKUP(B143, Rate_Master!$A:$A, Rate_Master!$D:$D, "")</f>
        <v>569250</v>
      </c>
      <c r="I143" s="32">
        <f t="shared" si="31"/>
        <v>9108000</v>
      </c>
      <c r="J143" s="32">
        <f t="shared" si="32"/>
        <v>45540000</v>
      </c>
      <c r="K143" s="122">
        <f t="shared" si="33"/>
        <v>45540000</v>
      </c>
      <c r="L143" s="32"/>
    </row>
    <row r="144" spans="1:12" s="4" customFormat="1" ht="51" customHeight="1" outlineLevel="1">
      <c r="A144" s="27" t="str">
        <f t="shared" si="30"/>
        <v>1A.F4.6</v>
      </c>
      <c r="B144" s="34" t="s">
        <v>134</v>
      </c>
      <c r="C144" s="28" t="s">
        <v>515</v>
      </c>
      <c r="D144" s="29" t="s">
        <v>516</v>
      </c>
      <c r="E144" s="31">
        <v>2</v>
      </c>
      <c r="F144" s="36">
        <v>2</v>
      </c>
      <c r="G144" s="144">
        <f>_xlfn.XLOOKUP(B144, Rate_Master!$A:$A, Rate_Master!$C:$C, "")</f>
        <v>7920000</v>
      </c>
      <c r="H144" s="144">
        <f>_xlfn.XLOOKUP(B144, Rate_Master!$A:$A, Rate_Master!$D:$D, "")</f>
        <v>3080000</v>
      </c>
      <c r="I144" s="32">
        <f t="shared" si="31"/>
        <v>11000000</v>
      </c>
      <c r="J144" s="32">
        <f t="shared" si="32"/>
        <v>22000000</v>
      </c>
      <c r="K144" s="122">
        <f t="shared" si="33"/>
        <v>22000000</v>
      </c>
      <c r="L144" s="32"/>
    </row>
    <row r="145" spans="1:12" s="4" customFormat="1" ht="76.5" customHeight="1" outlineLevel="1">
      <c r="A145" s="27" t="str">
        <f t="shared" si="30"/>
        <v>1A.F4.7</v>
      </c>
      <c r="B145" s="56" t="s">
        <v>135</v>
      </c>
      <c r="C145" s="28" t="s">
        <v>558</v>
      </c>
      <c r="D145" s="29" t="s">
        <v>516</v>
      </c>
      <c r="E145" s="31">
        <v>3</v>
      </c>
      <c r="F145" s="36">
        <v>3</v>
      </c>
      <c r="G145" s="144">
        <f>_xlfn.XLOOKUP(B145, Rate_Master!$A:$A, Rate_Master!$C:$C, "")</f>
        <v>33119999.999999996</v>
      </c>
      <c r="H145" s="144">
        <f>_xlfn.XLOOKUP(B145, Rate_Master!$A:$A, Rate_Master!$D:$D, "")</f>
        <v>345000</v>
      </c>
      <c r="I145" s="32">
        <f t="shared" si="31"/>
        <v>33464999.999999996</v>
      </c>
      <c r="J145" s="32">
        <f t="shared" si="32"/>
        <v>100394999.99999999</v>
      </c>
      <c r="K145" s="122">
        <f t="shared" si="33"/>
        <v>100394999.99999999</v>
      </c>
      <c r="L145" s="71" t="s">
        <v>559</v>
      </c>
    </row>
    <row r="146" spans="1:12" s="4" customFormat="1" ht="51" customHeight="1" outlineLevel="1">
      <c r="A146" s="27" t="str">
        <f t="shared" si="30"/>
        <v>1A.F4.8</v>
      </c>
      <c r="B146" s="28" t="s">
        <v>136</v>
      </c>
      <c r="C146" s="28" t="s">
        <v>515</v>
      </c>
      <c r="D146" s="29" t="s">
        <v>516</v>
      </c>
      <c r="E146" s="31">
        <v>11</v>
      </c>
      <c r="F146" s="36">
        <v>11</v>
      </c>
      <c r="G146" s="144">
        <f>_xlfn.XLOOKUP(B146, Rate_Master!$A:$A, Rate_Master!$C:$C, "")</f>
        <v>15240960</v>
      </c>
      <c r="H146" s="144">
        <f>_xlfn.XLOOKUP(B146, Rate_Master!$A:$A, Rate_Master!$D:$D, "")</f>
        <v>5927040.0000000009</v>
      </c>
      <c r="I146" s="32">
        <f t="shared" si="31"/>
        <v>21168000</v>
      </c>
      <c r="J146" s="32">
        <f t="shared" si="32"/>
        <v>232848000</v>
      </c>
      <c r="K146" s="122">
        <f t="shared" si="33"/>
        <v>232848000</v>
      </c>
      <c r="L146" s="32"/>
    </row>
    <row r="147" spans="1:12" s="4" customFormat="1" ht="51" customHeight="1" outlineLevel="1">
      <c r="A147" s="27" t="str">
        <f t="shared" si="30"/>
        <v>1A.F4.9</v>
      </c>
      <c r="B147" s="28" t="s">
        <v>137</v>
      </c>
      <c r="C147" s="28" t="s">
        <v>515</v>
      </c>
      <c r="D147" s="29" t="s">
        <v>516</v>
      </c>
      <c r="E147" s="31">
        <v>3</v>
      </c>
      <c r="F147" s="36">
        <v>3</v>
      </c>
      <c r="G147" s="144">
        <f>_xlfn.XLOOKUP(B147, Rate_Master!$A:$A, Rate_Master!$C:$C, "")</f>
        <v>8112500</v>
      </c>
      <c r="H147" s="144">
        <f>_xlfn.XLOOKUP(B147, Rate_Master!$A:$A, Rate_Master!$D:$D, "")</f>
        <v>660000</v>
      </c>
      <c r="I147" s="32">
        <f t="shared" si="31"/>
        <v>8772500</v>
      </c>
      <c r="J147" s="32">
        <f t="shared" si="32"/>
        <v>26317500</v>
      </c>
      <c r="K147" s="122">
        <f t="shared" si="33"/>
        <v>26317500</v>
      </c>
      <c r="L147" s="32"/>
    </row>
    <row r="148" spans="1:12" s="4" customFormat="1" ht="51" customHeight="1" outlineLevel="1">
      <c r="A148" s="27" t="str">
        <f t="shared" si="30"/>
        <v>1A.F4.10</v>
      </c>
      <c r="B148" s="28" t="s">
        <v>138</v>
      </c>
      <c r="C148" s="28" t="s">
        <v>515</v>
      </c>
      <c r="D148" s="29" t="s">
        <v>516</v>
      </c>
      <c r="E148" s="31">
        <v>1</v>
      </c>
      <c r="F148" s="36">
        <v>1</v>
      </c>
      <c r="G148" s="144">
        <f>_xlfn.XLOOKUP(B148, Rate_Master!$A:$A, Rate_Master!$C:$C, "")</f>
        <v>13584374.999999998</v>
      </c>
      <c r="H148" s="144">
        <f>_xlfn.XLOOKUP(B148, Rate_Master!$A:$A, Rate_Master!$D:$D, "")</f>
        <v>664125</v>
      </c>
      <c r="I148" s="32">
        <f t="shared" si="31"/>
        <v>14248499.999999998</v>
      </c>
      <c r="J148" s="32">
        <f t="shared" si="32"/>
        <v>14248499.999999998</v>
      </c>
      <c r="K148" s="122">
        <f t="shared" si="33"/>
        <v>14248499.999999998</v>
      </c>
      <c r="L148" s="32"/>
    </row>
    <row r="149" spans="1:12" s="4" customFormat="1" ht="51" customHeight="1" outlineLevel="1">
      <c r="A149" s="27" t="str">
        <f t="shared" si="30"/>
        <v>1A.F4.11</v>
      </c>
      <c r="B149" s="28" t="s">
        <v>139</v>
      </c>
      <c r="C149" s="28" t="s">
        <v>515</v>
      </c>
      <c r="D149" s="29" t="s">
        <v>516</v>
      </c>
      <c r="E149" s="31">
        <v>5</v>
      </c>
      <c r="F149" s="36">
        <v>5</v>
      </c>
      <c r="G149" s="144">
        <f>_xlfn.XLOOKUP(B149, Rate_Master!$A:$A, Rate_Master!$C:$C, "")</f>
        <v>19923750</v>
      </c>
      <c r="H149" s="144">
        <f>_xlfn.XLOOKUP(B149, Rate_Master!$A:$A, Rate_Master!$D:$D, "")</f>
        <v>2716875</v>
      </c>
      <c r="I149" s="32">
        <f t="shared" si="31"/>
        <v>22640625</v>
      </c>
      <c r="J149" s="32">
        <f t="shared" si="32"/>
        <v>113203125</v>
      </c>
      <c r="K149" s="122">
        <f t="shared" si="33"/>
        <v>113203125</v>
      </c>
      <c r="L149" s="32"/>
    </row>
    <row r="150" spans="1:12" s="4" customFormat="1" ht="51" customHeight="1" outlineLevel="1">
      <c r="A150" s="27" t="str">
        <f t="shared" si="30"/>
        <v>1A.F4.12</v>
      </c>
      <c r="B150" s="28" t="s">
        <v>140</v>
      </c>
      <c r="C150" s="28" t="s">
        <v>515</v>
      </c>
      <c r="D150" s="29" t="s">
        <v>516</v>
      </c>
      <c r="E150" s="31">
        <v>3</v>
      </c>
      <c r="F150" s="36">
        <v>3</v>
      </c>
      <c r="G150" s="144">
        <f>_xlfn.XLOOKUP(B150, Rate_Master!$A:$A, Rate_Master!$C:$C, "")</f>
        <v>27168749.999999996</v>
      </c>
      <c r="H150" s="144">
        <f>_xlfn.XLOOKUP(B150, Rate_Master!$A:$A, Rate_Master!$D:$D, "")</f>
        <v>2716875</v>
      </c>
      <c r="I150" s="32">
        <f t="shared" si="31"/>
        <v>29885624.999999996</v>
      </c>
      <c r="J150" s="32">
        <f t="shared" si="32"/>
        <v>89656874.999999985</v>
      </c>
      <c r="K150" s="122">
        <f t="shared" si="33"/>
        <v>89656874.999999985</v>
      </c>
      <c r="L150" s="32"/>
    </row>
    <row r="151" spans="1:12" s="4" customFormat="1" ht="41.25" customHeight="1" outlineLevel="1">
      <c r="A151" s="27" t="str">
        <f t="shared" si="30"/>
        <v>1A.F4.13</v>
      </c>
      <c r="B151" s="28" t="s">
        <v>141</v>
      </c>
      <c r="C151" s="28" t="s">
        <v>515</v>
      </c>
      <c r="D151" s="29" t="s">
        <v>516</v>
      </c>
      <c r="E151" s="31">
        <v>6</v>
      </c>
      <c r="F151" s="36">
        <v>6</v>
      </c>
      <c r="G151" s="144">
        <f>_xlfn.XLOOKUP(B151, Rate_Master!$A:$A, Rate_Master!$C:$C, "")</f>
        <v>3888000</v>
      </c>
      <c r="H151" s="144">
        <f>_xlfn.XLOOKUP(B151, Rate_Master!$A:$A, Rate_Master!$D:$D, "")</f>
        <v>1512000</v>
      </c>
      <c r="I151" s="32">
        <f t="shared" si="31"/>
        <v>5400000</v>
      </c>
      <c r="J151" s="32">
        <f t="shared" si="32"/>
        <v>32400000</v>
      </c>
      <c r="K151" s="122">
        <f t="shared" si="33"/>
        <v>32400000</v>
      </c>
      <c r="L151" s="32"/>
    </row>
    <row r="152" spans="1:12" s="4" customFormat="1" ht="25.5" customHeight="1" outlineLevel="1">
      <c r="A152" s="27" t="str">
        <f t="shared" si="30"/>
        <v>1A.F4.14</v>
      </c>
      <c r="B152" s="28" t="s">
        <v>142</v>
      </c>
      <c r="C152" s="28" t="s">
        <v>515</v>
      </c>
      <c r="D152" s="29" t="s">
        <v>516</v>
      </c>
      <c r="E152" s="31">
        <v>6</v>
      </c>
      <c r="F152" s="36">
        <v>6</v>
      </c>
      <c r="G152" s="144">
        <f>_xlfn.XLOOKUP(B152, Rate_Master!$A:$A, Rate_Master!$C:$C, "")</f>
        <v>3888000</v>
      </c>
      <c r="H152" s="144">
        <f>_xlfn.XLOOKUP(B152, Rate_Master!$A:$A, Rate_Master!$D:$D, "")</f>
        <v>1512000</v>
      </c>
      <c r="I152" s="32">
        <f t="shared" si="31"/>
        <v>5400000</v>
      </c>
      <c r="J152" s="32">
        <f t="shared" si="32"/>
        <v>32400000</v>
      </c>
      <c r="K152" s="122">
        <f t="shared" si="33"/>
        <v>32400000</v>
      </c>
      <c r="L152" s="32"/>
    </row>
    <row r="153" spans="1:12" s="3" customFormat="1" ht="25.5" customHeight="1">
      <c r="A153" s="22" t="str">
        <f>$A$103&amp;5</f>
        <v>1A.F5</v>
      </c>
      <c r="B153" s="23" t="s">
        <v>143</v>
      </c>
      <c r="C153" s="23" t="s">
        <v>515</v>
      </c>
      <c r="D153" s="22"/>
      <c r="E153" s="25"/>
      <c r="F153" s="87"/>
      <c r="G153" s="25">
        <f>_xlfn.XLOOKUP(B153, Rate_Master!$A:$A, Rate_Master!$C:$C, "")</f>
        <v>0</v>
      </c>
      <c r="H153" s="25">
        <f>_xlfn.XLOOKUP(B153, Rate_Master!$A:$A, Rate_Master!$D:$D, "")</f>
        <v>0</v>
      </c>
      <c r="I153" s="26">
        <f>G153+H153</f>
        <v>0</v>
      </c>
      <c r="J153" s="26">
        <f>SUBTOTAL(9,J154:J156)</f>
        <v>227250465</v>
      </c>
      <c r="K153" s="121">
        <f>SUBTOTAL(9,K154:K156)</f>
        <v>227250465</v>
      </c>
      <c r="L153" s="26"/>
    </row>
    <row r="154" spans="1:12" s="4" customFormat="1" ht="38.25" customHeight="1" outlineLevel="1">
      <c r="A154" s="27" t="str">
        <f>$A$153&amp;"."&amp;ROW()-ROW($A$153)</f>
        <v>1A.F5.1</v>
      </c>
      <c r="B154" s="34" t="s">
        <v>144</v>
      </c>
      <c r="C154" s="28" t="s">
        <v>515</v>
      </c>
      <c r="D154" s="29" t="s">
        <v>517</v>
      </c>
      <c r="E154" s="31">
        <v>884.32</v>
      </c>
      <c r="F154" s="36">
        <v>884.32</v>
      </c>
      <c r="G154" s="141">
        <f>_xlfn.XLOOKUP(B154, Rate_Master!$A:$A, Rate_Master!$C:$C, "")</f>
        <v>161000</v>
      </c>
      <c r="H154" s="141">
        <f>_xlfn.XLOOKUP(B154, Rate_Master!$A:$A, Rate_Master!$D:$D, "")</f>
        <v>34500</v>
      </c>
      <c r="I154" s="32">
        <f>+H154+G154</f>
        <v>195500</v>
      </c>
      <c r="J154" s="32">
        <f>I154*E154</f>
        <v>172884560</v>
      </c>
      <c r="K154" s="122">
        <f>I154*F154</f>
        <v>172884560</v>
      </c>
      <c r="L154" s="32"/>
    </row>
    <row r="155" spans="1:12" s="4" customFormat="1" ht="38.25" customHeight="1" outlineLevel="1">
      <c r="A155" s="27" t="str">
        <f>$A$153&amp;"."&amp;ROW()-ROW($A$153)</f>
        <v>1A.F5.2</v>
      </c>
      <c r="B155" s="34" t="s">
        <v>145</v>
      </c>
      <c r="C155" s="28" t="s">
        <v>515</v>
      </c>
      <c r="D155" s="29" t="s">
        <v>517</v>
      </c>
      <c r="E155" s="31">
        <v>42.976999999999997</v>
      </c>
      <c r="F155" s="36">
        <v>42.976999999999997</v>
      </c>
      <c r="G155" s="142">
        <f>_xlfn.XLOOKUP(B155, Rate_Master!$A:$A, Rate_Master!$C:$C, "")</f>
        <v>517499.99999999994</v>
      </c>
      <c r="H155" s="142">
        <f>_xlfn.XLOOKUP(B155, Rate_Master!$A:$A, Rate_Master!$D:$D, "")</f>
        <v>57499.999999999993</v>
      </c>
      <c r="I155" s="32">
        <f>+H155+G155</f>
        <v>574999.99999999988</v>
      </c>
      <c r="J155" s="32">
        <f>I155*E155</f>
        <v>24711774.999999993</v>
      </c>
      <c r="K155" s="122">
        <f>I155*F155</f>
        <v>24711774.999999993</v>
      </c>
      <c r="L155" s="32"/>
    </row>
    <row r="156" spans="1:12" s="4" customFormat="1" ht="38.25" customHeight="1" outlineLevel="1">
      <c r="A156" s="27" t="str">
        <f>$A$153&amp;"."&amp;ROW()-ROW($A$153)</f>
        <v>1A.F5.3</v>
      </c>
      <c r="B156" s="34" t="s">
        <v>146</v>
      </c>
      <c r="C156" s="28" t="s">
        <v>515</v>
      </c>
      <c r="D156" s="29" t="s">
        <v>517</v>
      </c>
      <c r="E156" s="31">
        <v>42.976999999999997</v>
      </c>
      <c r="F156" s="36">
        <v>42.976999999999997</v>
      </c>
      <c r="G156" s="142">
        <f>_xlfn.XLOOKUP(B156, Rate_Master!$A:$A, Rate_Master!$C:$C, "")</f>
        <v>632500</v>
      </c>
      <c r="H156" s="142">
        <f>_xlfn.XLOOKUP(B156, Rate_Master!$A:$A, Rate_Master!$D:$D, "")</f>
        <v>57499.999999999993</v>
      </c>
      <c r="I156" s="32">
        <f>+H156+G156</f>
        <v>690000</v>
      </c>
      <c r="J156" s="32">
        <f>I156*E156</f>
        <v>29654129.999999996</v>
      </c>
      <c r="K156" s="122">
        <f>I156*F156</f>
        <v>29654129.999999996</v>
      </c>
      <c r="L156" s="32"/>
    </row>
    <row r="157" spans="1:12" s="3" customFormat="1" ht="25.5" customHeight="1">
      <c r="A157" s="22" t="str">
        <f>$A$103&amp;6</f>
        <v>1A.F6</v>
      </c>
      <c r="B157" s="23" t="s">
        <v>147</v>
      </c>
      <c r="C157" s="23" t="s">
        <v>515</v>
      </c>
      <c r="D157" s="22"/>
      <c r="E157" s="25"/>
      <c r="F157" s="87"/>
      <c r="G157" s="25">
        <f>_xlfn.XLOOKUP(B157, Rate_Master!$A:$A, Rate_Master!$C:$C, "")</f>
        <v>0</v>
      </c>
      <c r="H157" s="25">
        <f>_xlfn.XLOOKUP(B157, Rate_Master!$A:$A, Rate_Master!$D:$D, "")</f>
        <v>0</v>
      </c>
      <c r="I157" s="26">
        <f>G157+H157</f>
        <v>0</v>
      </c>
      <c r="J157" s="26">
        <f>SUBTOTAL(9,J158:J162)</f>
        <v>339983904.75</v>
      </c>
      <c r="K157" s="121">
        <f>SUBTOTAL(9,K158:K162)</f>
        <v>339983904.75</v>
      </c>
      <c r="L157" s="26"/>
    </row>
    <row r="158" spans="1:12" s="4" customFormat="1" ht="51" customHeight="1" outlineLevel="1">
      <c r="A158" s="27" t="str">
        <f>$A$157&amp;"."&amp;ROW()-ROW($A$157)</f>
        <v>1A.F6.1</v>
      </c>
      <c r="B158" s="34" t="s">
        <v>148</v>
      </c>
      <c r="C158" s="34" t="s">
        <v>515</v>
      </c>
      <c r="D158" s="29" t="s">
        <v>520</v>
      </c>
      <c r="E158" s="31">
        <v>126.02800000000001</v>
      </c>
      <c r="F158" s="36">
        <v>126.02800000000001</v>
      </c>
      <c r="G158" s="144">
        <f>_xlfn.XLOOKUP(B158, Rate_Master!$A:$A, Rate_Master!$C:$C, "")</f>
        <v>155000</v>
      </c>
      <c r="H158" s="144">
        <f>_xlfn.XLOOKUP(B158, Rate_Master!$A:$A, Rate_Master!$D:$D, "")</f>
        <v>45000</v>
      </c>
      <c r="I158" s="32">
        <f>+H158+G158</f>
        <v>200000</v>
      </c>
      <c r="J158" s="32">
        <f>I158*E158</f>
        <v>25205600</v>
      </c>
      <c r="K158" s="122">
        <f>I158*F158</f>
        <v>25205600</v>
      </c>
      <c r="L158" s="32"/>
    </row>
    <row r="159" spans="1:12" s="4" customFormat="1" ht="25.5" customHeight="1" outlineLevel="1">
      <c r="A159" s="27" t="str">
        <f>$A$157&amp;"."&amp;ROW()-ROW($A$157)</f>
        <v>1A.F6.2</v>
      </c>
      <c r="B159" s="34" t="s">
        <v>149</v>
      </c>
      <c r="C159" s="34" t="s">
        <v>515</v>
      </c>
      <c r="D159" s="29" t="s">
        <v>520</v>
      </c>
      <c r="E159" s="31">
        <v>348.85599999999999</v>
      </c>
      <c r="F159" s="36">
        <v>348.85599999999999</v>
      </c>
      <c r="G159" s="144">
        <f>_xlfn.XLOOKUP(B159, Rate_Master!$A:$A, Rate_Master!$C:$C, "")</f>
        <v>310500</v>
      </c>
      <c r="H159" s="144">
        <f>_xlfn.XLOOKUP(B159, Rate_Master!$A:$A, Rate_Master!$D:$D, "")</f>
        <v>34500</v>
      </c>
      <c r="I159" s="32">
        <f>+H159+G159</f>
        <v>345000</v>
      </c>
      <c r="J159" s="32">
        <f>I159*E159</f>
        <v>120355320</v>
      </c>
      <c r="K159" s="122">
        <f>I159*F159</f>
        <v>120355320</v>
      </c>
      <c r="L159" s="32"/>
    </row>
    <row r="160" spans="1:12" s="4" customFormat="1" ht="51" customHeight="1" outlineLevel="1">
      <c r="A160" s="27" t="str">
        <f>$A$157&amp;"."&amp;ROW()-ROW($A$157)</f>
        <v>1A.F6.3</v>
      </c>
      <c r="B160" s="34" t="s">
        <v>150</v>
      </c>
      <c r="C160" s="34" t="s">
        <v>515</v>
      </c>
      <c r="D160" s="29" t="s">
        <v>520</v>
      </c>
      <c r="E160" s="31">
        <v>348.85599999999999</v>
      </c>
      <c r="F160" s="36">
        <v>348.85599999999999</v>
      </c>
      <c r="G160" s="144">
        <f>_xlfn.XLOOKUP(B160, Rate_Master!$A:$A, Rate_Master!$C:$C, "")</f>
        <v>287500</v>
      </c>
      <c r="H160" s="144">
        <f>_xlfn.XLOOKUP(B160, Rate_Master!$A:$A, Rate_Master!$D:$D, "")</f>
        <v>69000</v>
      </c>
      <c r="I160" s="32">
        <f>+H160+G160</f>
        <v>356500</v>
      </c>
      <c r="J160" s="32">
        <f>I160*E160</f>
        <v>124367164</v>
      </c>
      <c r="K160" s="122">
        <f>I160*F160</f>
        <v>124367164</v>
      </c>
      <c r="L160" s="32"/>
    </row>
    <row r="161" spans="1:12" s="4" customFormat="1" ht="51" customHeight="1" outlineLevel="1">
      <c r="A161" s="27" t="str">
        <f>$A$157&amp;"."&amp;ROW()-ROW($A$157)</f>
        <v>1A.F6.4</v>
      </c>
      <c r="B161" s="34" t="s">
        <v>151</v>
      </c>
      <c r="C161" s="34" t="s">
        <v>515</v>
      </c>
      <c r="D161" s="29" t="s">
        <v>520</v>
      </c>
      <c r="E161" s="31">
        <v>348.85599999999999</v>
      </c>
      <c r="F161" s="36">
        <v>348.85599999999999</v>
      </c>
      <c r="G161" s="144">
        <f>_xlfn.XLOOKUP(B161, Rate_Master!$A:$A, Rate_Master!$C:$C, "")</f>
        <v>23000</v>
      </c>
      <c r="H161" s="144">
        <f>_xlfn.XLOOKUP(B161, Rate_Master!$A:$A, Rate_Master!$D:$D, "")</f>
        <v>126499.99999999999</v>
      </c>
      <c r="I161" s="32">
        <f>+H161+G161</f>
        <v>149500</v>
      </c>
      <c r="J161" s="32">
        <f>I161*E161</f>
        <v>52153972</v>
      </c>
      <c r="K161" s="122">
        <f>I161*F161</f>
        <v>52153972</v>
      </c>
      <c r="L161" s="32"/>
    </row>
    <row r="162" spans="1:12" s="4" customFormat="1" ht="63.75" customHeight="1" outlineLevel="1">
      <c r="A162" s="27" t="str">
        <f>$A$157&amp;"."&amp;ROW()-ROW($A$157)</f>
        <v>1A.F6.5</v>
      </c>
      <c r="B162" s="34" t="s">
        <v>152</v>
      </c>
      <c r="C162" s="34" t="s">
        <v>560</v>
      </c>
      <c r="D162" s="29" t="s">
        <v>517</v>
      </c>
      <c r="E162" s="31">
        <v>84.144999999999996</v>
      </c>
      <c r="F162" s="36">
        <v>84.144999999999996</v>
      </c>
      <c r="G162" s="144">
        <f>_xlfn.XLOOKUP(B162, Rate_Master!$A:$A, Rate_Master!$C:$C, "")</f>
        <v>155250</v>
      </c>
      <c r="H162" s="144">
        <f>_xlfn.XLOOKUP(B162, Rate_Master!$A:$A, Rate_Master!$D:$D, "")</f>
        <v>57499.999999999993</v>
      </c>
      <c r="I162" s="32">
        <f>+H162+G162</f>
        <v>212750</v>
      </c>
      <c r="J162" s="32">
        <f>I162*E162</f>
        <v>17901848.75</v>
      </c>
      <c r="K162" s="122">
        <f>I162*F162</f>
        <v>17901848.75</v>
      </c>
      <c r="L162" s="32"/>
    </row>
    <row r="163" spans="1:12" s="3" customFormat="1" ht="25.5" customHeight="1">
      <c r="A163" s="22" t="str">
        <f>$A$103&amp;7</f>
        <v>1A.F7</v>
      </c>
      <c r="B163" s="23" t="s">
        <v>84</v>
      </c>
      <c r="C163" s="23" t="s">
        <v>515</v>
      </c>
      <c r="D163" s="22"/>
      <c r="E163" s="25"/>
      <c r="F163" s="87"/>
      <c r="G163" s="25">
        <f>_xlfn.XLOOKUP(B163, Rate_Master!$A:$A, Rate_Master!$C:$C, "")</f>
        <v>0</v>
      </c>
      <c r="H163" s="25">
        <f>_xlfn.XLOOKUP(B163, Rate_Master!$A:$A, Rate_Master!$D:$D, "")</f>
        <v>0</v>
      </c>
      <c r="I163" s="26">
        <f>G163+H163</f>
        <v>0</v>
      </c>
      <c r="J163" s="26">
        <f>SUBTOTAL(9,J164:J173)</f>
        <v>1832036874</v>
      </c>
      <c r="K163" s="121">
        <f>SUBTOTAL(9,K164:K173)</f>
        <v>1832036874</v>
      </c>
      <c r="L163" s="26"/>
    </row>
    <row r="164" spans="1:12" s="4" customFormat="1" ht="38.25" customHeight="1" outlineLevel="1">
      <c r="A164" s="27" t="str">
        <f t="shared" ref="A164:A173" si="34">$A$163&amp;"."&amp;ROW()-ROW($A$163)</f>
        <v>1A.F7.1</v>
      </c>
      <c r="B164" s="48" t="s">
        <v>153</v>
      </c>
      <c r="C164" s="34" t="s">
        <v>561</v>
      </c>
      <c r="D164" s="29" t="s">
        <v>517</v>
      </c>
      <c r="E164" s="31">
        <v>2.78</v>
      </c>
      <c r="F164" s="36">
        <v>2.78</v>
      </c>
      <c r="G164" s="144">
        <f>_xlfn.XLOOKUP(B164, Rate_Master!$A:$A, Rate_Master!$C:$C, "")</f>
        <v>4024999.9999999995</v>
      </c>
      <c r="H164" s="144">
        <f>_xlfn.XLOOKUP(B164, Rate_Master!$A:$A, Rate_Master!$D:$D, "")</f>
        <v>1380000</v>
      </c>
      <c r="I164" s="32">
        <f t="shared" ref="I164:I173" si="35">+H164+G164</f>
        <v>5405000</v>
      </c>
      <c r="J164" s="32">
        <f t="shared" ref="J164:J173" si="36">I164*E164</f>
        <v>15025899.999999998</v>
      </c>
      <c r="K164" s="122">
        <f t="shared" ref="K164:K173" si="37">I164*F164</f>
        <v>15025899.999999998</v>
      </c>
      <c r="L164" s="32"/>
    </row>
    <row r="165" spans="1:12" s="4" customFormat="1" ht="25.5" customHeight="1" outlineLevel="1">
      <c r="A165" s="27" t="str">
        <f t="shared" si="34"/>
        <v>1A.F7.2</v>
      </c>
      <c r="B165" s="48" t="s">
        <v>154</v>
      </c>
      <c r="C165" s="28" t="s">
        <v>515</v>
      </c>
      <c r="D165" s="50" t="s">
        <v>517</v>
      </c>
      <c r="E165" s="31">
        <v>3</v>
      </c>
      <c r="F165" s="36">
        <v>3</v>
      </c>
      <c r="G165" s="144">
        <f>_xlfn.XLOOKUP(B165, Rate_Master!$A:$A, Rate_Master!$C:$C, "")</f>
        <v>359375</v>
      </c>
      <c r="H165" s="144">
        <f>_xlfn.XLOOKUP(B165, Rate_Master!$A:$A, Rate_Master!$D:$D, "")</f>
        <v>71875</v>
      </c>
      <c r="I165" s="32">
        <f t="shared" si="35"/>
        <v>431250</v>
      </c>
      <c r="J165" s="32">
        <f t="shared" si="36"/>
        <v>1293750</v>
      </c>
      <c r="K165" s="122">
        <f t="shared" si="37"/>
        <v>1293750</v>
      </c>
      <c r="L165" s="32"/>
    </row>
    <row r="166" spans="1:12" s="4" customFormat="1" ht="25.5" customHeight="1" outlineLevel="1">
      <c r="A166" s="27" t="str">
        <f t="shared" si="34"/>
        <v>1A.F7.3</v>
      </c>
      <c r="B166" s="51" t="s">
        <v>155</v>
      </c>
      <c r="C166" s="28" t="s">
        <v>515</v>
      </c>
      <c r="D166" s="50" t="s">
        <v>517</v>
      </c>
      <c r="E166" s="31">
        <v>2.78</v>
      </c>
      <c r="F166" s="36">
        <v>2.78</v>
      </c>
      <c r="G166" s="144">
        <f>_xlfn.XLOOKUP(B166, Rate_Master!$A:$A, Rate_Master!$C:$C, "")</f>
        <v>1954999.9999999998</v>
      </c>
      <c r="H166" s="144">
        <f>_xlfn.XLOOKUP(B166, Rate_Master!$A:$A, Rate_Master!$D:$D, "")</f>
        <v>114999.99999999999</v>
      </c>
      <c r="I166" s="32">
        <f t="shared" si="35"/>
        <v>2069999.9999999998</v>
      </c>
      <c r="J166" s="32">
        <f t="shared" si="36"/>
        <v>5754599.9999999991</v>
      </c>
      <c r="K166" s="122">
        <f t="shared" si="37"/>
        <v>5754599.9999999991</v>
      </c>
      <c r="L166" s="32"/>
    </row>
    <row r="167" spans="1:12" s="4" customFormat="1" ht="38.25" customHeight="1" outlineLevel="1">
      <c r="A167" s="27" t="str">
        <f t="shared" si="34"/>
        <v>1A.F7.4</v>
      </c>
      <c r="B167" s="48" t="s">
        <v>156</v>
      </c>
      <c r="C167" s="28" t="s">
        <v>515</v>
      </c>
      <c r="D167" s="54" t="s">
        <v>518</v>
      </c>
      <c r="E167" s="31">
        <v>24</v>
      </c>
      <c r="F167" s="36">
        <v>24</v>
      </c>
      <c r="G167" s="144">
        <f>_xlfn.XLOOKUP(B167, Rate_Master!$A:$A, Rate_Master!$C:$C, "")</f>
        <v>1724999.9999999998</v>
      </c>
      <c r="H167" s="144">
        <f>_xlfn.XLOOKUP(B167, Rate_Master!$A:$A, Rate_Master!$D:$D, "")</f>
        <v>287500</v>
      </c>
      <c r="I167" s="32">
        <f t="shared" si="35"/>
        <v>2012499.9999999998</v>
      </c>
      <c r="J167" s="32">
        <f t="shared" si="36"/>
        <v>48299999.999999993</v>
      </c>
      <c r="K167" s="122">
        <f t="shared" si="37"/>
        <v>48299999.999999993</v>
      </c>
      <c r="L167" s="32"/>
    </row>
    <row r="168" spans="1:12" s="4" customFormat="1" ht="25.5" customHeight="1" outlineLevel="1">
      <c r="A168" s="27" t="str">
        <f t="shared" si="34"/>
        <v>1A.F7.5</v>
      </c>
      <c r="B168" s="48" t="s">
        <v>157</v>
      </c>
      <c r="C168" s="28" t="s">
        <v>515</v>
      </c>
      <c r="D168" s="29" t="s">
        <v>517</v>
      </c>
      <c r="E168" s="31">
        <v>375.16</v>
      </c>
      <c r="F168" s="36">
        <v>375.16</v>
      </c>
      <c r="G168" s="144">
        <f>_xlfn.XLOOKUP(B168, Rate_Master!$A:$A, Rate_Master!$C:$C, "")</f>
        <v>632500</v>
      </c>
      <c r="H168" s="144">
        <f>_xlfn.XLOOKUP(B168, Rate_Master!$A:$A, Rate_Master!$D:$D, "")</f>
        <v>57499.999999999993</v>
      </c>
      <c r="I168" s="32">
        <f t="shared" si="35"/>
        <v>690000</v>
      </c>
      <c r="J168" s="32">
        <f t="shared" si="36"/>
        <v>258860400.00000003</v>
      </c>
      <c r="K168" s="122">
        <f t="shared" si="37"/>
        <v>258860400.00000003</v>
      </c>
      <c r="L168" s="32"/>
    </row>
    <row r="169" spans="1:12" s="4" customFormat="1" ht="25.5" customHeight="1" outlineLevel="1">
      <c r="A169" s="27" t="str">
        <f t="shared" si="34"/>
        <v>1A.F7.6</v>
      </c>
      <c r="B169" s="34" t="s">
        <v>158</v>
      </c>
      <c r="C169" s="56" t="s">
        <v>562</v>
      </c>
      <c r="D169" s="29" t="s">
        <v>516</v>
      </c>
      <c r="E169" s="31">
        <v>11</v>
      </c>
      <c r="F169" s="36">
        <v>11</v>
      </c>
      <c r="G169" s="144">
        <f>_xlfn.XLOOKUP(B169, Rate_Master!$A:$A, Rate_Master!$C:$C, "")</f>
        <v>68400000</v>
      </c>
      <c r="H169" s="144">
        <f>_xlfn.XLOOKUP(B169, Rate_Master!$A:$A, Rate_Master!$D:$D, "")</f>
        <v>26600000</v>
      </c>
      <c r="I169" s="32">
        <f t="shared" si="35"/>
        <v>95000000</v>
      </c>
      <c r="J169" s="32">
        <f t="shared" si="36"/>
        <v>1045000000</v>
      </c>
      <c r="K169" s="122">
        <f t="shared" si="37"/>
        <v>1045000000</v>
      </c>
      <c r="L169" s="71" t="s">
        <v>563</v>
      </c>
    </row>
    <row r="170" spans="1:12" s="4" customFormat="1" ht="25.5" customHeight="1" outlineLevel="1">
      <c r="A170" s="27" t="str">
        <f t="shared" si="34"/>
        <v>1A.F7.7</v>
      </c>
      <c r="B170" s="34" t="s">
        <v>159</v>
      </c>
      <c r="C170" s="28" t="s">
        <v>515</v>
      </c>
      <c r="D170" s="29" t="s">
        <v>516</v>
      </c>
      <c r="E170" s="31">
        <v>11</v>
      </c>
      <c r="F170" s="36">
        <v>11</v>
      </c>
      <c r="G170" s="144">
        <f>_xlfn.XLOOKUP(B170, Rate_Master!$A:$A, Rate_Master!$C:$C, "")</f>
        <v>25200000</v>
      </c>
      <c r="H170" s="144">
        <f>_xlfn.XLOOKUP(B170, Rate_Master!$A:$A, Rate_Master!$D:$D, "")</f>
        <v>9800000.0000000019</v>
      </c>
      <c r="I170" s="32">
        <f t="shared" si="35"/>
        <v>35000000</v>
      </c>
      <c r="J170" s="32">
        <f t="shared" si="36"/>
        <v>385000000</v>
      </c>
      <c r="K170" s="122">
        <f t="shared" si="37"/>
        <v>385000000</v>
      </c>
      <c r="L170" s="32"/>
    </row>
    <row r="171" spans="1:12" s="4" customFormat="1" ht="25.5" customHeight="1" outlineLevel="1">
      <c r="A171" s="27" t="str">
        <f t="shared" si="34"/>
        <v>1A.F7.8</v>
      </c>
      <c r="B171" s="34" t="s">
        <v>160</v>
      </c>
      <c r="C171" s="28" t="s">
        <v>515</v>
      </c>
      <c r="D171" s="29" t="s">
        <v>518</v>
      </c>
      <c r="E171" s="31">
        <v>22</v>
      </c>
      <c r="F171" s="36">
        <v>22</v>
      </c>
      <c r="G171" s="144">
        <f>_xlfn.XLOOKUP(B171, Rate_Master!$A:$A, Rate_Master!$C:$C, "")</f>
        <v>1440000</v>
      </c>
      <c r="H171" s="144">
        <f>_xlfn.XLOOKUP(B171, Rate_Master!$A:$A, Rate_Master!$D:$D, "")</f>
        <v>560000</v>
      </c>
      <c r="I171" s="32">
        <f t="shared" si="35"/>
        <v>2000000</v>
      </c>
      <c r="J171" s="32">
        <f t="shared" si="36"/>
        <v>44000000</v>
      </c>
      <c r="K171" s="122">
        <f t="shared" si="37"/>
        <v>44000000</v>
      </c>
      <c r="L171" s="32"/>
    </row>
    <row r="172" spans="1:12" s="4" customFormat="1" ht="25.5" customHeight="1" outlineLevel="1">
      <c r="A172" s="27" t="str">
        <f t="shared" si="34"/>
        <v>1A.F7.9</v>
      </c>
      <c r="B172" s="48" t="s">
        <v>161</v>
      </c>
      <c r="C172" s="28" t="s">
        <v>515</v>
      </c>
      <c r="D172" s="29" t="s">
        <v>517</v>
      </c>
      <c r="E172" s="31">
        <v>114.68600000000001</v>
      </c>
      <c r="F172" s="36">
        <v>114.68600000000001</v>
      </c>
      <c r="G172" s="144">
        <f>_xlfn.XLOOKUP(B172, Rate_Master!$A:$A, Rate_Master!$C:$C, "")</f>
        <v>149500</v>
      </c>
      <c r="H172" s="144">
        <f>_xlfn.XLOOKUP(B172, Rate_Master!$A:$A, Rate_Master!$D:$D, "")</f>
        <v>34500</v>
      </c>
      <c r="I172" s="32">
        <f t="shared" si="35"/>
        <v>184000</v>
      </c>
      <c r="J172" s="32">
        <f t="shared" si="36"/>
        <v>21102224</v>
      </c>
      <c r="K172" s="122">
        <f t="shared" si="37"/>
        <v>21102224</v>
      </c>
      <c r="L172" s="32"/>
    </row>
    <row r="173" spans="1:12" s="4" customFormat="1" ht="25.5" customHeight="1" outlineLevel="1">
      <c r="A173" s="27" t="str">
        <f t="shared" si="34"/>
        <v>1A.F7.10</v>
      </c>
      <c r="B173" s="34" t="s">
        <v>162</v>
      </c>
      <c r="C173" s="28" t="s">
        <v>515</v>
      </c>
      <c r="D173" s="29" t="s">
        <v>517</v>
      </c>
      <c r="E173" s="31">
        <v>22</v>
      </c>
      <c r="F173" s="36">
        <v>22</v>
      </c>
      <c r="G173" s="144">
        <f>_xlfn.XLOOKUP(B173, Rate_Master!$A:$A, Rate_Master!$C:$C, "")</f>
        <v>252000</v>
      </c>
      <c r="H173" s="144">
        <f>_xlfn.XLOOKUP(B173, Rate_Master!$A:$A, Rate_Master!$D:$D, "")</f>
        <v>98000</v>
      </c>
      <c r="I173" s="32">
        <f t="shared" si="35"/>
        <v>350000</v>
      </c>
      <c r="J173" s="32">
        <f t="shared" si="36"/>
        <v>7700000</v>
      </c>
      <c r="K173" s="122">
        <f t="shared" si="37"/>
        <v>7700000</v>
      </c>
      <c r="L173" s="32"/>
    </row>
    <row r="174" spans="1:12">
      <c r="G174" s="8"/>
      <c r="H174" s="8"/>
      <c r="K174" s="123"/>
    </row>
  </sheetData>
  <mergeCells count="5">
    <mergeCell ref="C5:L5"/>
    <mergeCell ref="C4:L4"/>
    <mergeCell ref="C3:L3"/>
    <mergeCell ref="C7:L7"/>
    <mergeCell ref="C6:L6"/>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pageSetUpPr fitToPage="1"/>
  </sheetPr>
  <dimension ref="A1:P172"/>
  <sheetViews>
    <sheetView topLeftCell="A8" zoomScale="85" zoomScaleNormal="85" workbookViewId="0">
      <pane ySplit="1" topLeftCell="A9" activePane="bottomLeft" state="frozen"/>
      <selection activeCell="A8" sqref="A8"/>
      <selection pane="bottomLeft" activeCell="B9" sqref="B9"/>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0.125" style="8" customWidth="1"/>
    <col min="6" max="6" width="10.125" style="85" customWidth="1"/>
    <col min="7" max="7" width="10.5" style="8" bestFit="1" customWidth="1" outlineLevel="1"/>
    <col min="8" max="8" width="14" style="8" customWidth="1" outlineLevel="1"/>
    <col min="9" max="9" width="13.25" style="9" bestFit="1" customWidth="1"/>
    <col min="10" max="10" width="14" style="9" customWidth="1"/>
    <col min="11" max="11" width="14.25" style="124" bestFit="1" customWidth="1"/>
    <col min="12" max="12" width="14" style="9" customWidth="1"/>
    <col min="13" max="13" width="14.25" style="6" bestFit="1" customWidth="1"/>
    <col min="14" max="231" width="9.125" style="6" customWidth="1"/>
    <col min="232" max="232" width="6.375" style="6" customWidth="1"/>
    <col min="233" max="233" width="34.25" style="6" customWidth="1"/>
    <col min="234" max="234" width="7.375" style="6" customWidth="1"/>
    <col min="235" max="235" width="6.375" style="6" customWidth="1"/>
    <col min="236" max="236" width="13.125" style="6" customWidth="1"/>
    <col min="237" max="237" width="15.375" style="6" customWidth="1"/>
    <col min="238" max="238" width="21.25" style="6" customWidth="1"/>
    <col min="239" max="487" width="9.125" style="6" customWidth="1"/>
    <col min="488" max="488" width="6.375" style="6" customWidth="1"/>
    <col min="489" max="489" width="34.25" style="6" customWidth="1"/>
    <col min="490" max="490" width="7.375" style="6" customWidth="1"/>
    <col min="491" max="491" width="6.375" style="6" customWidth="1"/>
    <col min="492" max="492" width="13.125" style="6" customWidth="1"/>
    <col min="493" max="493" width="15.375" style="6" customWidth="1"/>
    <col min="494" max="494" width="21.25" style="6" customWidth="1"/>
    <col min="495" max="743" width="9.125" style="6" customWidth="1"/>
    <col min="744" max="744" width="6.375" style="6" customWidth="1"/>
    <col min="745" max="745" width="34.25" style="6" customWidth="1"/>
    <col min="746" max="746" width="7.375" style="6" customWidth="1"/>
    <col min="747" max="747" width="6.375" style="6" customWidth="1"/>
    <col min="748" max="748" width="13.125" style="6" customWidth="1"/>
    <col min="749" max="749" width="15.375" style="6" customWidth="1"/>
    <col min="750" max="750" width="21.25" style="6" customWidth="1"/>
    <col min="751" max="999" width="9.125" style="6" customWidth="1"/>
    <col min="1000" max="1000" width="6.375" style="6" customWidth="1"/>
    <col min="1001" max="1001" width="34.25" style="6" customWidth="1"/>
    <col min="1002" max="1002" width="7.375" style="6" customWidth="1"/>
    <col min="1003" max="1003" width="6.375" style="6" customWidth="1"/>
    <col min="1004" max="1004" width="13.125" style="6" customWidth="1"/>
    <col min="1005" max="1005" width="15.375" style="6" customWidth="1"/>
    <col min="1006" max="1006" width="21.25" style="6" customWidth="1"/>
    <col min="1007" max="1255" width="9.125" style="6" customWidth="1"/>
    <col min="1256" max="1256" width="6.375" style="6" customWidth="1"/>
    <col min="1257" max="1257" width="34.25" style="6" customWidth="1"/>
    <col min="1258" max="1258" width="7.375" style="6" customWidth="1"/>
    <col min="1259" max="1259" width="6.375" style="6" customWidth="1"/>
    <col min="1260" max="1260" width="13.125" style="6" customWidth="1"/>
    <col min="1261" max="1261" width="15.375" style="6" customWidth="1"/>
    <col min="1262" max="1262" width="21.25" style="6" customWidth="1"/>
    <col min="1263" max="1511" width="9.125" style="6" customWidth="1"/>
    <col min="1512" max="1512" width="6.375" style="6" customWidth="1"/>
    <col min="1513" max="1513" width="34.25" style="6" customWidth="1"/>
    <col min="1514" max="1514" width="7.375" style="6" customWidth="1"/>
    <col min="1515" max="1515" width="6.375" style="6" customWidth="1"/>
    <col min="1516" max="1516" width="13.125" style="6" customWidth="1"/>
    <col min="1517" max="1517" width="15.375" style="6" customWidth="1"/>
    <col min="1518" max="1518" width="21.25" style="6" customWidth="1"/>
    <col min="1519" max="1767" width="9.125" style="6" customWidth="1"/>
    <col min="1768" max="1768" width="6.375" style="6" customWidth="1"/>
    <col min="1769" max="1769" width="34.25" style="6" customWidth="1"/>
    <col min="1770" max="1770" width="7.375" style="6" customWidth="1"/>
    <col min="1771" max="1771" width="6.375" style="6" customWidth="1"/>
    <col min="1772" max="1772" width="13.125" style="6" customWidth="1"/>
    <col min="1773" max="1773" width="15.375" style="6" customWidth="1"/>
    <col min="1774" max="1774" width="21.25" style="6" customWidth="1"/>
    <col min="1775" max="2023" width="9.125" style="6" customWidth="1"/>
    <col min="2024" max="2024" width="6.375" style="6" customWidth="1"/>
    <col min="2025" max="2025" width="34.25" style="6" customWidth="1"/>
    <col min="2026" max="2026" width="7.375" style="6" customWidth="1"/>
    <col min="2027" max="2027" width="6.375" style="6" customWidth="1"/>
    <col min="2028" max="2028" width="13.125" style="6" customWidth="1"/>
    <col min="2029" max="2029" width="15.375" style="6" customWidth="1"/>
    <col min="2030" max="2030" width="21.25" style="6" customWidth="1"/>
    <col min="2031" max="2279" width="9.125" style="6" customWidth="1"/>
    <col min="2280" max="2280" width="6.375" style="6" customWidth="1"/>
    <col min="2281" max="2281" width="34.25" style="6" customWidth="1"/>
    <col min="2282" max="2282" width="7.375" style="6" customWidth="1"/>
    <col min="2283" max="2283" width="6.375" style="6" customWidth="1"/>
    <col min="2284" max="2284" width="13.125" style="6" customWidth="1"/>
    <col min="2285" max="2285" width="15.375" style="6" customWidth="1"/>
    <col min="2286" max="2286" width="21.25" style="6" customWidth="1"/>
    <col min="2287" max="2535" width="9.125" style="6" customWidth="1"/>
    <col min="2536" max="2536" width="6.375" style="6" customWidth="1"/>
    <col min="2537" max="2537" width="34.25" style="6" customWidth="1"/>
    <col min="2538" max="2538" width="7.375" style="6" customWidth="1"/>
    <col min="2539" max="2539" width="6.375" style="6" customWidth="1"/>
    <col min="2540" max="2540" width="13.125" style="6" customWidth="1"/>
    <col min="2541" max="2541" width="15.375" style="6" customWidth="1"/>
    <col min="2542" max="2542" width="21.25" style="6" customWidth="1"/>
    <col min="2543" max="2791" width="9.125" style="6" customWidth="1"/>
    <col min="2792" max="2792" width="6.375" style="6" customWidth="1"/>
    <col min="2793" max="2793" width="34.25" style="6" customWidth="1"/>
    <col min="2794" max="2794" width="7.375" style="6" customWidth="1"/>
    <col min="2795" max="2795" width="6.375" style="6" customWidth="1"/>
    <col min="2796" max="2796" width="13.125" style="6" customWidth="1"/>
    <col min="2797" max="2797" width="15.375" style="6" customWidth="1"/>
    <col min="2798" max="2798" width="21.25" style="6" customWidth="1"/>
    <col min="2799" max="3047" width="9.125" style="6" customWidth="1"/>
    <col min="3048" max="3048" width="6.375" style="6" customWidth="1"/>
    <col min="3049" max="3049" width="34.25" style="6" customWidth="1"/>
    <col min="3050" max="3050" width="7.375" style="6" customWidth="1"/>
    <col min="3051" max="3051" width="6.375" style="6" customWidth="1"/>
    <col min="3052" max="3052" width="13.125" style="6" customWidth="1"/>
    <col min="3053" max="3053" width="15.375" style="6" customWidth="1"/>
    <col min="3054" max="3054" width="21.25" style="6" customWidth="1"/>
    <col min="3055" max="3303" width="9.125" style="6" customWidth="1"/>
    <col min="3304" max="3304" width="6.375" style="6" customWidth="1"/>
    <col min="3305" max="3305" width="34.25" style="6" customWidth="1"/>
    <col min="3306" max="3306" width="7.375" style="6" customWidth="1"/>
    <col min="3307" max="3307" width="6.375" style="6" customWidth="1"/>
    <col min="3308" max="3308" width="13.125" style="6" customWidth="1"/>
    <col min="3309" max="3309" width="15.375" style="6" customWidth="1"/>
    <col min="3310" max="3310" width="21.25" style="6" customWidth="1"/>
    <col min="3311" max="3559" width="9.125" style="6" customWidth="1"/>
    <col min="3560" max="3560" width="6.375" style="6" customWidth="1"/>
    <col min="3561" max="3561" width="34.25" style="6" customWidth="1"/>
    <col min="3562" max="3562" width="7.375" style="6" customWidth="1"/>
    <col min="3563" max="3563" width="6.375" style="6" customWidth="1"/>
    <col min="3564" max="3564" width="13.125" style="6" customWidth="1"/>
    <col min="3565" max="3565" width="15.375" style="6" customWidth="1"/>
    <col min="3566" max="3566" width="21.25" style="6" customWidth="1"/>
    <col min="3567" max="3815" width="9.125" style="6" customWidth="1"/>
    <col min="3816" max="3816" width="6.375" style="6" customWidth="1"/>
    <col min="3817" max="3817" width="34.25" style="6" customWidth="1"/>
    <col min="3818" max="3818" width="7.375" style="6" customWidth="1"/>
    <col min="3819" max="3819" width="6.375" style="6" customWidth="1"/>
    <col min="3820" max="3820" width="13.125" style="6" customWidth="1"/>
    <col min="3821" max="3821" width="15.375" style="6" customWidth="1"/>
    <col min="3822" max="3822" width="21.25" style="6" customWidth="1"/>
    <col min="3823" max="4071" width="9.125" style="6" customWidth="1"/>
    <col min="4072" max="4072" width="6.375" style="6" customWidth="1"/>
    <col min="4073" max="4073" width="34.25" style="6" customWidth="1"/>
    <col min="4074" max="4074" width="7.375" style="6" customWidth="1"/>
    <col min="4075" max="4075" width="6.375" style="6" customWidth="1"/>
    <col min="4076" max="4076" width="13.125" style="6" customWidth="1"/>
    <col min="4077" max="4077" width="15.375" style="6" customWidth="1"/>
    <col min="4078" max="4078" width="21.25" style="6" customWidth="1"/>
    <col min="4079" max="4327" width="9.125" style="6" customWidth="1"/>
    <col min="4328" max="4328" width="6.375" style="6" customWidth="1"/>
    <col min="4329" max="4329" width="34.25" style="6" customWidth="1"/>
    <col min="4330" max="4330" width="7.375" style="6" customWidth="1"/>
    <col min="4331" max="4331" width="6.375" style="6" customWidth="1"/>
    <col min="4332" max="4332" width="13.125" style="6" customWidth="1"/>
    <col min="4333" max="4333" width="15.375" style="6" customWidth="1"/>
    <col min="4334" max="4334" width="21.25" style="6" customWidth="1"/>
    <col min="4335" max="4583" width="9.125" style="6" customWidth="1"/>
    <col min="4584" max="4584" width="6.375" style="6" customWidth="1"/>
    <col min="4585" max="4585" width="34.25" style="6" customWidth="1"/>
    <col min="4586" max="4586" width="7.375" style="6" customWidth="1"/>
    <col min="4587" max="4587" width="6.375" style="6" customWidth="1"/>
    <col min="4588" max="4588" width="13.125" style="6" customWidth="1"/>
    <col min="4589" max="4589" width="15.375" style="6" customWidth="1"/>
    <col min="4590" max="4590" width="21.25" style="6" customWidth="1"/>
    <col min="4591" max="4839" width="9.125" style="6" customWidth="1"/>
    <col min="4840" max="4840" width="6.375" style="6" customWidth="1"/>
    <col min="4841" max="4841" width="34.25" style="6" customWidth="1"/>
    <col min="4842" max="4842" width="7.375" style="6" customWidth="1"/>
    <col min="4843" max="4843" width="6.375" style="6" customWidth="1"/>
    <col min="4844" max="4844" width="13.125" style="6" customWidth="1"/>
    <col min="4845" max="4845" width="15.375" style="6" customWidth="1"/>
    <col min="4846" max="4846" width="21.25" style="6" customWidth="1"/>
    <col min="4847" max="5095" width="9.125" style="6" customWidth="1"/>
    <col min="5096" max="5096" width="6.375" style="6" customWidth="1"/>
    <col min="5097" max="5097" width="34.25" style="6" customWidth="1"/>
    <col min="5098" max="5098" width="7.375" style="6" customWidth="1"/>
    <col min="5099" max="5099" width="6.375" style="6" customWidth="1"/>
    <col min="5100" max="5100" width="13.125" style="6" customWidth="1"/>
    <col min="5101" max="5101" width="15.375" style="6" customWidth="1"/>
    <col min="5102" max="5102" width="21.25" style="6" customWidth="1"/>
    <col min="5103" max="5351" width="9.125" style="6" customWidth="1"/>
    <col min="5352" max="5352" width="6.375" style="6" customWidth="1"/>
    <col min="5353" max="5353" width="34.25" style="6" customWidth="1"/>
    <col min="5354" max="5354" width="7.375" style="6" customWidth="1"/>
    <col min="5355" max="5355" width="6.375" style="6" customWidth="1"/>
    <col min="5356" max="5356" width="13.125" style="6" customWidth="1"/>
    <col min="5357" max="5357" width="15.375" style="6" customWidth="1"/>
    <col min="5358" max="5358" width="21.25" style="6" customWidth="1"/>
    <col min="5359" max="5607" width="9.125" style="6" customWidth="1"/>
    <col min="5608" max="5608" width="6.375" style="6" customWidth="1"/>
    <col min="5609" max="5609" width="34.25" style="6" customWidth="1"/>
    <col min="5610" max="5610" width="7.375" style="6" customWidth="1"/>
    <col min="5611" max="5611" width="6.375" style="6" customWidth="1"/>
    <col min="5612" max="5612" width="13.125" style="6" customWidth="1"/>
    <col min="5613" max="5613" width="15.375" style="6" customWidth="1"/>
    <col min="5614" max="5614" width="21.25" style="6" customWidth="1"/>
    <col min="5615" max="5863" width="9.125" style="6" customWidth="1"/>
    <col min="5864" max="5864" width="6.375" style="6" customWidth="1"/>
    <col min="5865" max="5865" width="34.25" style="6" customWidth="1"/>
    <col min="5866" max="5866" width="7.375" style="6" customWidth="1"/>
    <col min="5867" max="5867" width="6.375" style="6" customWidth="1"/>
    <col min="5868" max="5868" width="13.125" style="6" customWidth="1"/>
    <col min="5869" max="5869" width="15.375" style="6" customWidth="1"/>
    <col min="5870" max="5870" width="21.25" style="6" customWidth="1"/>
    <col min="5871" max="6119" width="9.125" style="6" customWidth="1"/>
    <col min="6120" max="6120" width="6.375" style="6" customWidth="1"/>
    <col min="6121" max="6121" width="34.25" style="6" customWidth="1"/>
    <col min="6122" max="6122" width="7.375" style="6" customWidth="1"/>
    <col min="6123" max="6123" width="6.375" style="6" customWidth="1"/>
    <col min="6124" max="6124" width="13.125" style="6" customWidth="1"/>
    <col min="6125" max="6125" width="15.375" style="6" customWidth="1"/>
    <col min="6126" max="6126" width="21.25" style="6" customWidth="1"/>
    <col min="6127" max="6375" width="9.125" style="6" customWidth="1"/>
    <col min="6376" max="6376" width="6.375" style="6" customWidth="1"/>
    <col min="6377" max="6377" width="34.25" style="6" customWidth="1"/>
    <col min="6378" max="6378" width="7.375" style="6" customWidth="1"/>
    <col min="6379" max="6379" width="6.375" style="6" customWidth="1"/>
    <col min="6380" max="6380" width="13.125" style="6" customWidth="1"/>
    <col min="6381" max="6381" width="15.375" style="6" customWidth="1"/>
    <col min="6382" max="6382" width="21.25" style="6" customWidth="1"/>
    <col min="6383" max="6631" width="9.125" style="6" customWidth="1"/>
    <col min="6632" max="6632" width="6.375" style="6" customWidth="1"/>
    <col min="6633" max="6633" width="34.25" style="6" customWidth="1"/>
    <col min="6634" max="6634" width="7.375" style="6" customWidth="1"/>
    <col min="6635" max="6635" width="6.375" style="6" customWidth="1"/>
    <col min="6636" max="6636" width="13.125" style="6" customWidth="1"/>
    <col min="6637" max="6637" width="15.375" style="6" customWidth="1"/>
    <col min="6638" max="6638" width="21.25" style="6" customWidth="1"/>
    <col min="6639" max="6887" width="9.125" style="6" customWidth="1"/>
    <col min="6888" max="6888" width="6.375" style="6" customWidth="1"/>
    <col min="6889" max="6889" width="34.25" style="6" customWidth="1"/>
    <col min="6890" max="6890" width="7.375" style="6" customWidth="1"/>
    <col min="6891" max="6891" width="6.375" style="6" customWidth="1"/>
    <col min="6892" max="6892" width="13.125" style="6" customWidth="1"/>
    <col min="6893" max="6893" width="15.375" style="6" customWidth="1"/>
    <col min="6894" max="6894" width="21.25" style="6" customWidth="1"/>
    <col min="6895" max="7143" width="9.125" style="6" customWidth="1"/>
    <col min="7144" max="7144" width="6.375" style="6" customWidth="1"/>
    <col min="7145" max="7145" width="34.25" style="6" customWidth="1"/>
    <col min="7146" max="7146" width="7.375" style="6" customWidth="1"/>
    <col min="7147" max="7147" width="6.375" style="6" customWidth="1"/>
    <col min="7148" max="7148" width="13.125" style="6" customWidth="1"/>
    <col min="7149" max="7149" width="15.375" style="6" customWidth="1"/>
    <col min="7150" max="7150" width="21.25" style="6" customWidth="1"/>
    <col min="7151" max="7399" width="9.125" style="6" customWidth="1"/>
    <col min="7400" max="7400" width="6.375" style="6" customWidth="1"/>
    <col min="7401" max="7401" width="34.25" style="6" customWidth="1"/>
    <col min="7402" max="7402" width="7.375" style="6" customWidth="1"/>
    <col min="7403" max="7403" width="6.375" style="6" customWidth="1"/>
    <col min="7404" max="7404" width="13.125" style="6" customWidth="1"/>
    <col min="7405" max="7405" width="15.375" style="6" customWidth="1"/>
    <col min="7406" max="7406" width="21.25" style="6" customWidth="1"/>
    <col min="7407" max="7655" width="9.125" style="6" customWidth="1"/>
    <col min="7656" max="7656" width="6.375" style="6" customWidth="1"/>
    <col min="7657" max="7657" width="34.25" style="6" customWidth="1"/>
    <col min="7658" max="7658" width="7.375" style="6" customWidth="1"/>
    <col min="7659" max="7659" width="6.375" style="6" customWidth="1"/>
    <col min="7660" max="7660" width="13.125" style="6" customWidth="1"/>
    <col min="7661" max="7661" width="15.375" style="6" customWidth="1"/>
    <col min="7662" max="7662" width="21.25" style="6" customWidth="1"/>
    <col min="7663" max="7911" width="9.125" style="6" customWidth="1"/>
    <col min="7912" max="7912" width="6.375" style="6" customWidth="1"/>
    <col min="7913" max="7913" width="34.25" style="6" customWidth="1"/>
    <col min="7914" max="7914" width="7.375" style="6" customWidth="1"/>
    <col min="7915" max="7915" width="6.375" style="6" customWidth="1"/>
    <col min="7916" max="7916" width="13.125" style="6" customWidth="1"/>
    <col min="7917" max="7917" width="15.375" style="6" customWidth="1"/>
    <col min="7918" max="7918" width="21.25" style="6" customWidth="1"/>
    <col min="7919" max="8167" width="9.125" style="6" customWidth="1"/>
    <col min="8168" max="8168" width="6.375" style="6" customWidth="1"/>
    <col min="8169" max="8169" width="34.25" style="6" customWidth="1"/>
    <col min="8170" max="8170" width="7.375" style="6" customWidth="1"/>
    <col min="8171" max="8171" width="6.375" style="6" customWidth="1"/>
    <col min="8172" max="8172" width="13.125" style="6" customWidth="1"/>
    <col min="8173" max="8173" width="15.375" style="6" customWidth="1"/>
    <col min="8174" max="8174" width="21.25" style="6" customWidth="1"/>
    <col min="8175" max="8423" width="9.125" style="6" customWidth="1"/>
    <col min="8424" max="8424" width="6.375" style="6" customWidth="1"/>
    <col min="8425" max="8425" width="34.25" style="6" customWidth="1"/>
    <col min="8426" max="8426" width="7.375" style="6" customWidth="1"/>
    <col min="8427" max="8427" width="6.375" style="6" customWidth="1"/>
    <col min="8428" max="8428" width="13.125" style="6" customWidth="1"/>
    <col min="8429" max="8429" width="15.375" style="6" customWidth="1"/>
    <col min="8430" max="8430" width="21.25" style="6" customWidth="1"/>
    <col min="8431" max="8679" width="9.125" style="6" customWidth="1"/>
    <col min="8680" max="8680" width="6.375" style="6" customWidth="1"/>
    <col min="8681" max="8681" width="34.25" style="6" customWidth="1"/>
    <col min="8682" max="8682" width="7.375" style="6" customWidth="1"/>
    <col min="8683" max="8683" width="6.375" style="6" customWidth="1"/>
    <col min="8684" max="8684" width="13.125" style="6" customWidth="1"/>
    <col min="8685" max="8685" width="15.375" style="6" customWidth="1"/>
    <col min="8686" max="8686" width="21.25" style="6" customWidth="1"/>
    <col min="8687" max="8935" width="9.125" style="6" customWidth="1"/>
    <col min="8936" max="8936" width="6.375" style="6" customWidth="1"/>
    <col min="8937" max="8937" width="34.25" style="6" customWidth="1"/>
    <col min="8938" max="8938" width="7.375" style="6" customWidth="1"/>
    <col min="8939" max="8939" width="6.375" style="6" customWidth="1"/>
    <col min="8940" max="8940" width="13.125" style="6" customWidth="1"/>
    <col min="8941" max="8941" width="15.375" style="6" customWidth="1"/>
    <col min="8942" max="8942" width="21.25" style="6" customWidth="1"/>
    <col min="8943" max="9191" width="9.125" style="6" customWidth="1"/>
    <col min="9192" max="9192" width="6.375" style="6" customWidth="1"/>
    <col min="9193" max="9193" width="34.25" style="6" customWidth="1"/>
    <col min="9194" max="9194" width="7.375" style="6" customWidth="1"/>
    <col min="9195" max="9195" width="6.375" style="6" customWidth="1"/>
    <col min="9196" max="9196" width="13.125" style="6" customWidth="1"/>
    <col min="9197" max="9197" width="15.375" style="6" customWidth="1"/>
    <col min="9198" max="9198" width="21.25" style="6" customWidth="1"/>
    <col min="9199" max="9447" width="9.125" style="6" customWidth="1"/>
    <col min="9448" max="9448" width="6.375" style="6" customWidth="1"/>
    <col min="9449" max="9449" width="34.25" style="6" customWidth="1"/>
    <col min="9450" max="9450" width="7.375" style="6" customWidth="1"/>
    <col min="9451" max="9451" width="6.375" style="6" customWidth="1"/>
    <col min="9452" max="9452" width="13.125" style="6" customWidth="1"/>
    <col min="9453" max="9453" width="15.375" style="6" customWidth="1"/>
    <col min="9454" max="9454" width="21.25" style="6" customWidth="1"/>
    <col min="9455" max="9703" width="9.125" style="6" customWidth="1"/>
    <col min="9704" max="9704" width="6.375" style="6" customWidth="1"/>
    <col min="9705" max="9705" width="34.25" style="6" customWidth="1"/>
    <col min="9706" max="9706" width="7.375" style="6" customWidth="1"/>
    <col min="9707" max="9707" width="6.375" style="6" customWidth="1"/>
    <col min="9708" max="9708" width="13.125" style="6" customWidth="1"/>
    <col min="9709" max="9709" width="15.375" style="6" customWidth="1"/>
    <col min="9710" max="9710" width="21.25" style="6" customWidth="1"/>
    <col min="9711" max="9959" width="9.125" style="6" customWidth="1"/>
    <col min="9960" max="9960" width="6.375" style="6" customWidth="1"/>
    <col min="9961" max="9961" width="34.25" style="6" customWidth="1"/>
    <col min="9962" max="9962" width="7.375" style="6" customWidth="1"/>
    <col min="9963" max="9963" width="6.375" style="6" customWidth="1"/>
    <col min="9964" max="9964" width="13.125" style="6" customWidth="1"/>
    <col min="9965" max="9965" width="15.375" style="6" customWidth="1"/>
    <col min="9966" max="9966" width="21.25" style="6" customWidth="1"/>
    <col min="9967" max="10215" width="9.125" style="6" customWidth="1"/>
    <col min="10216" max="10216" width="6.375" style="6" customWidth="1"/>
    <col min="10217" max="10217" width="34.25" style="6" customWidth="1"/>
    <col min="10218" max="10218" width="7.375" style="6" customWidth="1"/>
    <col min="10219" max="10219" width="6.375" style="6" customWidth="1"/>
    <col min="10220" max="10220" width="13.125" style="6" customWidth="1"/>
    <col min="10221" max="10221" width="15.375" style="6" customWidth="1"/>
    <col min="10222" max="10222" width="21.25" style="6" customWidth="1"/>
    <col min="10223" max="10471" width="9.125" style="6" customWidth="1"/>
    <col min="10472" max="10472" width="6.375" style="6" customWidth="1"/>
    <col min="10473" max="10473" width="34.25" style="6" customWidth="1"/>
    <col min="10474" max="10474" width="7.375" style="6" customWidth="1"/>
    <col min="10475" max="10475" width="6.375" style="6" customWidth="1"/>
    <col min="10476" max="10476" width="13.125" style="6" customWidth="1"/>
    <col min="10477" max="10477" width="15.375" style="6" customWidth="1"/>
    <col min="10478" max="10478" width="21.25" style="6" customWidth="1"/>
    <col min="10479" max="10727" width="9.125" style="6" customWidth="1"/>
    <col min="10728" max="10728" width="6.375" style="6" customWidth="1"/>
    <col min="10729" max="10729" width="34.25" style="6" customWidth="1"/>
    <col min="10730" max="10730" width="7.375" style="6" customWidth="1"/>
    <col min="10731" max="10731" width="6.375" style="6" customWidth="1"/>
    <col min="10732" max="10732" width="13.125" style="6" customWidth="1"/>
    <col min="10733" max="10733" width="15.375" style="6" customWidth="1"/>
    <col min="10734" max="10734" width="21.25" style="6" customWidth="1"/>
    <col min="10735" max="10983" width="9.125" style="6" customWidth="1"/>
    <col min="10984" max="10984" width="6.375" style="6" customWidth="1"/>
    <col min="10985" max="10985" width="34.25" style="6" customWidth="1"/>
    <col min="10986" max="10986" width="7.375" style="6" customWidth="1"/>
    <col min="10987" max="10987" width="6.375" style="6" customWidth="1"/>
    <col min="10988" max="10988" width="13.125" style="6" customWidth="1"/>
    <col min="10989" max="10989" width="15.375" style="6" customWidth="1"/>
    <col min="10990" max="10990" width="21.25" style="6" customWidth="1"/>
    <col min="10991" max="11239" width="9.125" style="6" customWidth="1"/>
    <col min="11240" max="11240" width="6.375" style="6" customWidth="1"/>
    <col min="11241" max="11241" width="34.25" style="6" customWidth="1"/>
    <col min="11242" max="11242" width="7.375" style="6" customWidth="1"/>
    <col min="11243" max="11243" width="6.375" style="6" customWidth="1"/>
    <col min="11244" max="11244" width="13.125" style="6" customWidth="1"/>
    <col min="11245" max="11245" width="15.375" style="6" customWidth="1"/>
    <col min="11246" max="11246" width="21.25" style="6" customWidth="1"/>
    <col min="11247" max="11495" width="9.125" style="6" customWidth="1"/>
    <col min="11496" max="11496" width="6.375" style="6" customWidth="1"/>
    <col min="11497" max="11497" width="34.25" style="6" customWidth="1"/>
    <col min="11498" max="11498" width="7.375" style="6" customWidth="1"/>
    <col min="11499" max="11499" width="6.375" style="6" customWidth="1"/>
    <col min="11500" max="11500" width="13.125" style="6" customWidth="1"/>
    <col min="11501" max="11501" width="15.375" style="6" customWidth="1"/>
    <col min="11502" max="11502" width="21.25" style="6" customWidth="1"/>
    <col min="11503" max="11751" width="9.125" style="6" customWidth="1"/>
    <col min="11752" max="11752" width="6.375" style="6" customWidth="1"/>
    <col min="11753" max="11753" width="34.25" style="6" customWidth="1"/>
    <col min="11754" max="11754" width="7.375" style="6" customWidth="1"/>
    <col min="11755" max="11755" width="6.375" style="6" customWidth="1"/>
    <col min="11756" max="11756" width="13.125" style="6" customWidth="1"/>
    <col min="11757" max="11757" width="15.375" style="6" customWidth="1"/>
    <col min="11758" max="11758" width="21.25" style="6" customWidth="1"/>
    <col min="11759" max="12007" width="9.125" style="6" customWidth="1"/>
    <col min="12008" max="12008" width="6.375" style="6" customWidth="1"/>
    <col min="12009" max="12009" width="34.25" style="6" customWidth="1"/>
    <col min="12010" max="12010" width="7.375" style="6" customWidth="1"/>
    <col min="12011" max="12011" width="6.375" style="6" customWidth="1"/>
    <col min="12012" max="12012" width="13.125" style="6" customWidth="1"/>
    <col min="12013" max="12013" width="15.375" style="6" customWidth="1"/>
    <col min="12014" max="12014" width="21.25" style="6" customWidth="1"/>
    <col min="12015" max="12263" width="9.125" style="6" customWidth="1"/>
    <col min="12264" max="12264" width="6.375" style="6" customWidth="1"/>
    <col min="12265" max="12265" width="34.25" style="6" customWidth="1"/>
    <col min="12266" max="12266" width="7.375" style="6" customWidth="1"/>
    <col min="12267" max="12267" width="6.375" style="6" customWidth="1"/>
    <col min="12268" max="12268" width="13.125" style="6" customWidth="1"/>
    <col min="12269" max="12269" width="15.375" style="6" customWidth="1"/>
    <col min="12270" max="12270" width="21.25" style="6" customWidth="1"/>
    <col min="12271" max="12519" width="9.125" style="6" customWidth="1"/>
    <col min="12520" max="12520" width="6.375" style="6" customWidth="1"/>
    <col min="12521" max="12521" width="34.25" style="6" customWidth="1"/>
    <col min="12522" max="12522" width="7.375" style="6" customWidth="1"/>
    <col min="12523" max="12523" width="6.375" style="6" customWidth="1"/>
    <col min="12524" max="12524" width="13.125" style="6" customWidth="1"/>
    <col min="12525" max="12525" width="15.375" style="6" customWidth="1"/>
    <col min="12526" max="12526" width="21.25" style="6" customWidth="1"/>
    <col min="12527" max="12775" width="9.125" style="6" customWidth="1"/>
    <col min="12776" max="12776" width="6.375" style="6" customWidth="1"/>
    <col min="12777" max="12777" width="34.25" style="6" customWidth="1"/>
    <col min="12778" max="12778" width="7.375" style="6" customWidth="1"/>
    <col min="12779" max="12779" width="6.375" style="6" customWidth="1"/>
    <col min="12780" max="12780" width="13.125" style="6" customWidth="1"/>
    <col min="12781" max="12781" width="15.375" style="6" customWidth="1"/>
    <col min="12782" max="12782" width="21.25" style="6" customWidth="1"/>
    <col min="12783" max="13031" width="9.125" style="6" customWidth="1"/>
    <col min="13032" max="13032" width="6.375" style="6" customWidth="1"/>
    <col min="13033" max="13033" width="34.25" style="6" customWidth="1"/>
    <col min="13034" max="13034" width="7.375" style="6" customWidth="1"/>
    <col min="13035" max="13035" width="6.375" style="6" customWidth="1"/>
    <col min="13036" max="13036" width="13.125" style="6" customWidth="1"/>
    <col min="13037" max="13037" width="15.375" style="6" customWidth="1"/>
    <col min="13038" max="13038" width="21.25" style="6" customWidth="1"/>
    <col min="13039" max="13287" width="9.125" style="6" customWidth="1"/>
    <col min="13288" max="13288" width="6.375" style="6" customWidth="1"/>
    <col min="13289" max="13289" width="34.25" style="6" customWidth="1"/>
    <col min="13290" max="13290" width="7.375" style="6" customWidth="1"/>
    <col min="13291" max="13291" width="6.375" style="6" customWidth="1"/>
    <col min="13292" max="13292" width="13.125" style="6" customWidth="1"/>
    <col min="13293" max="13293" width="15.375" style="6" customWidth="1"/>
    <col min="13294" max="13294" width="21.25" style="6" customWidth="1"/>
    <col min="13295" max="13543" width="9.125" style="6" customWidth="1"/>
    <col min="13544" max="13544" width="6.375" style="6" customWidth="1"/>
    <col min="13545" max="13545" width="34.25" style="6" customWidth="1"/>
    <col min="13546" max="13546" width="7.375" style="6" customWidth="1"/>
    <col min="13547" max="13547" width="6.375" style="6" customWidth="1"/>
    <col min="13548" max="13548" width="13.125" style="6" customWidth="1"/>
    <col min="13549" max="13549" width="15.375" style="6" customWidth="1"/>
    <col min="13550" max="13550" width="21.25" style="6" customWidth="1"/>
    <col min="13551" max="13799" width="9.125" style="6" customWidth="1"/>
    <col min="13800" max="13800" width="6.375" style="6" customWidth="1"/>
    <col min="13801" max="13801" width="34.25" style="6" customWidth="1"/>
    <col min="13802" max="13802" width="7.375" style="6" customWidth="1"/>
    <col min="13803" max="13803" width="6.375" style="6" customWidth="1"/>
    <col min="13804" max="13804" width="13.125" style="6" customWidth="1"/>
    <col min="13805" max="13805" width="15.375" style="6" customWidth="1"/>
    <col min="13806" max="13806" width="21.25" style="6" customWidth="1"/>
    <col min="13807" max="14055" width="9.125" style="6" customWidth="1"/>
    <col min="14056" max="14056" width="6.375" style="6" customWidth="1"/>
    <col min="14057" max="14057" width="34.25" style="6" customWidth="1"/>
    <col min="14058" max="14058" width="7.375" style="6" customWidth="1"/>
    <col min="14059" max="14059" width="6.375" style="6" customWidth="1"/>
    <col min="14060" max="14060" width="13.125" style="6" customWidth="1"/>
    <col min="14061" max="14061" width="15.375" style="6" customWidth="1"/>
    <col min="14062" max="14062" width="21.25" style="6" customWidth="1"/>
    <col min="14063" max="14311" width="9.125" style="6" customWidth="1"/>
    <col min="14312" max="14312" width="6.375" style="6" customWidth="1"/>
    <col min="14313" max="14313" width="34.25" style="6" customWidth="1"/>
    <col min="14314" max="14314" width="7.375" style="6" customWidth="1"/>
    <col min="14315" max="14315" width="6.375" style="6" customWidth="1"/>
    <col min="14316" max="14316" width="13.125" style="6" customWidth="1"/>
    <col min="14317" max="14317" width="15.375" style="6" customWidth="1"/>
    <col min="14318" max="14318" width="21.25" style="6" customWidth="1"/>
    <col min="14319" max="14567" width="9.125" style="6" customWidth="1"/>
    <col min="14568" max="14568" width="6.375" style="6" customWidth="1"/>
    <col min="14569" max="14569" width="34.25" style="6" customWidth="1"/>
    <col min="14570" max="14570" width="7.375" style="6" customWidth="1"/>
    <col min="14571" max="14571" width="6.375" style="6" customWidth="1"/>
    <col min="14572" max="14572" width="13.125" style="6" customWidth="1"/>
    <col min="14573" max="14573" width="15.375" style="6" customWidth="1"/>
    <col min="14574" max="14574" width="21.25" style="6" customWidth="1"/>
    <col min="14575" max="14823" width="9.125" style="6" customWidth="1"/>
    <col min="14824" max="14824" width="6.375" style="6" customWidth="1"/>
    <col min="14825" max="14825" width="34.25" style="6" customWidth="1"/>
    <col min="14826" max="14826" width="7.375" style="6" customWidth="1"/>
    <col min="14827" max="14827" width="6.375" style="6" customWidth="1"/>
    <col min="14828" max="14828" width="13.125" style="6" customWidth="1"/>
    <col min="14829" max="14829" width="15.375" style="6" customWidth="1"/>
    <col min="14830" max="14830" width="21.25" style="6" customWidth="1"/>
    <col min="14831" max="15079" width="9.125" style="6" customWidth="1"/>
    <col min="15080" max="15080" width="6.375" style="6" customWidth="1"/>
    <col min="15081" max="15081" width="34.25" style="6" customWidth="1"/>
    <col min="15082" max="15082" width="7.375" style="6" customWidth="1"/>
    <col min="15083" max="15083" width="6.375" style="6" customWidth="1"/>
    <col min="15084" max="15084" width="13.125" style="6" customWidth="1"/>
    <col min="15085" max="15085" width="15.375" style="6" customWidth="1"/>
    <col min="15086" max="15086" width="21.25" style="6" customWidth="1"/>
    <col min="15087" max="15335" width="9.125" style="6" customWidth="1"/>
    <col min="15336" max="15336" width="6.375" style="6" customWidth="1"/>
    <col min="15337" max="15337" width="34.25" style="6" customWidth="1"/>
    <col min="15338" max="15338" width="7.375" style="6" customWidth="1"/>
    <col min="15339" max="15339" width="6.375" style="6" customWidth="1"/>
    <col min="15340" max="15340" width="13.125" style="6" customWidth="1"/>
    <col min="15341" max="15341" width="15.375" style="6" customWidth="1"/>
    <col min="15342" max="15342" width="21.25" style="6" customWidth="1"/>
    <col min="15343" max="15591" width="9.125" style="6" customWidth="1"/>
    <col min="15592" max="15592" width="6.375" style="6" customWidth="1"/>
    <col min="15593" max="15593" width="34.25" style="6" customWidth="1"/>
    <col min="15594" max="15594" width="7.375" style="6" customWidth="1"/>
    <col min="15595" max="15595" width="6.375" style="6" customWidth="1"/>
    <col min="15596" max="15596" width="13.125" style="6" customWidth="1"/>
    <col min="15597" max="15597" width="15.375" style="6" customWidth="1"/>
    <col min="15598" max="15598" width="21.25" style="6" customWidth="1"/>
    <col min="15599" max="15847" width="9.125" style="6" customWidth="1"/>
    <col min="15848" max="15848" width="6.375" style="6" customWidth="1"/>
    <col min="15849" max="15849" width="34.25" style="6" customWidth="1"/>
    <col min="15850" max="15850" width="7.375" style="6" customWidth="1"/>
    <col min="15851" max="15851" width="6.375" style="6" customWidth="1"/>
    <col min="15852" max="15852" width="13.125" style="6" customWidth="1"/>
    <col min="15853" max="15853" width="15.375" style="6" customWidth="1"/>
    <col min="15854" max="15854" width="21.25" style="6" customWidth="1"/>
    <col min="15855" max="16103" width="9.125" style="6" customWidth="1"/>
    <col min="16104" max="16104" width="6.375" style="6" customWidth="1"/>
    <col min="16105" max="16105" width="34.25" style="6" customWidth="1"/>
    <col min="16106" max="16106" width="7.375" style="6" customWidth="1"/>
    <col min="16107" max="16107" width="6.375" style="6" customWidth="1"/>
    <col min="16108" max="16108" width="13.125" style="6" customWidth="1"/>
    <col min="16109" max="16109" width="15.375" style="6" customWidth="1"/>
    <col min="16110" max="16110" width="21.25" style="6" customWidth="1"/>
    <col min="16111" max="16384" width="9.125" style="6" customWidth="1"/>
  </cols>
  <sheetData>
    <row r="1" spans="1:14" ht="48" customHeight="1"/>
    <row r="2" spans="1:14" s="1" customFormat="1" ht="51" customHeight="1">
      <c r="A2" s="10" t="s">
        <v>507</v>
      </c>
      <c r="B2" s="11"/>
      <c r="C2" s="12"/>
      <c r="D2" s="11"/>
      <c r="E2" s="14"/>
      <c r="F2" s="86"/>
      <c r="G2" s="14"/>
      <c r="H2" s="14"/>
      <c r="I2" s="15"/>
      <c r="J2" s="15"/>
      <c r="K2" s="125"/>
      <c r="L2" s="15"/>
    </row>
    <row r="3" spans="1:14" ht="26.25" customHeight="1">
      <c r="A3" s="16"/>
      <c r="B3" s="17" t="s">
        <v>440</v>
      </c>
      <c r="C3" s="213"/>
      <c r="D3" s="217"/>
      <c r="E3" s="214"/>
      <c r="F3" s="218"/>
      <c r="G3" s="214"/>
      <c r="H3" s="214"/>
      <c r="I3" s="220"/>
      <c r="J3" s="220"/>
      <c r="K3" s="225"/>
      <c r="L3" s="220"/>
    </row>
    <row r="4" spans="1:14" ht="26.25" customHeight="1">
      <c r="A4" s="18"/>
      <c r="B4" s="5" t="s">
        <v>441</v>
      </c>
      <c r="C4" s="222"/>
      <c r="D4" s="217"/>
      <c r="E4" s="214"/>
      <c r="F4" s="218"/>
      <c r="G4" s="214"/>
      <c r="H4" s="214"/>
      <c r="I4" s="220"/>
      <c r="J4" s="220"/>
      <c r="K4" s="225"/>
      <c r="L4" s="220"/>
    </row>
    <row r="5" spans="1:14" ht="26.25" customHeight="1">
      <c r="A5" s="18"/>
      <c r="B5" s="5" t="s">
        <v>442</v>
      </c>
      <c r="C5" s="216"/>
      <c r="D5" s="217"/>
      <c r="E5" s="214"/>
      <c r="F5" s="218"/>
      <c r="G5" s="214"/>
      <c r="H5" s="214"/>
      <c r="I5" s="220"/>
      <c r="J5" s="220"/>
      <c r="K5" s="225"/>
      <c r="L5" s="220"/>
    </row>
    <row r="6" spans="1:14" ht="26.25" customHeight="1">
      <c r="A6" s="18"/>
      <c r="B6" s="5" t="s">
        <v>443</v>
      </c>
      <c r="C6" s="213" t="str">
        <f>INDEX(總表!$B$9:$B$47,MATCH('2A'!A9,總表!$A$9:$A$48,0))</f>
        <v>Nhà xưởng sản xuất 1
一號生產廠房</v>
      </c>
      <c r="D6" s="217"/>
      <c r="E6" s="214"/>
      <c r="F6" s="218"/>
      <c r="G6" s="214"/>
      <c r="H6" s="214"/>
      <c r="I6" s="220"/>
      <c r="J6" s="220"/>
      <c r="K6" s="225"/>
      <c r="L6" s="220"/>
    </row>
    <row r="7" spans="1:14" ht="26.25" customHeight="1">
      <c r="A7" s="18"/>
      <c r="B7" s="5" t="s">
        <v>444</v>
      </c>
      <c r="C7" s="223" t="s">
        <v>445</v>
      </c>
      <c r="D7" s="224"/>
      <c r="E7" s="224"/>
      <c r="F7" s="224"/>
      <c r="G7" s="224"/>
      <c r="H7" s="224"/>
      <c r="I7" s="224"/>
      <c r="J7" s="224"/>
      <c r="K7" s="224"/>
      <c r="L7" s="224"/>
    </row>
    <row r="8" spans="1:14" s="2" customFormat="1" ht="41.25" customHeight="1">
      <c r="A8" s="19" t="s">
        <v>446</v>
      </c>
      <c r="B8" s="19" t="s">
        <v>508</v>
      </c>
      <c r="C8" s="19" t="s">
        <v>509</v>
      </c>
      <c r="D8" s="19" t="s">
        <v>448</v>
      </c>
      <c r="E8" s="19" t="s">
        <v>449</v>
      </c>
      <c r="F8" s="84" t="s">
        <v>510</v>
      </c>
      <c r="G8" s="19" t="s">
        <v>511</v>
      </c>
      <c r="H8" s="19" t="s">
        <v>512</v>
      </c>
      <c r="I8" s="21" t="s">
        <v>450</v>
      </c>
      <c r="J8" s="21" t="s">
        <v>452</v>
      </c>
      <c r="K8" s="126" t="s">
        <v>513</v>
      </c>
      <c r="L8" s="21" t="s">
        <v>514</v>
      </c>
    </row>
    <row r="9" spans="1:14" s="3" customFormat="1" ht="25.5" customHeight="1">
      <c r="A9" s="22" t="s">
        <v>459</v>
      </c>
      <c r="B9" s="23" t="str">
        <f>C6</f>
        <v>Nhà xưởng sản xuất 1
一號生產廠房</v>
      </c>
      <c r="C9" s="23" t="s">
        <v>515</v>
      </c>
      <c r="D9" s="22"/>
      <c r="E9" s="25"/>
      <c r="F9" s="87"/>
      <c r="G9" s="25">
        <f>_xlfn.XLOOKUP(B9, Rate_Master!$A:$A, Rate_Master!$C:$C, "")</f>
        <v>0</v>
      </c>
      <c r="H9" s="25">
        <f>_xlfn.XLOOKUP(B9, Rate_Master!$A:$A, Rate_Master!$D:$D, "")</f>
        <v>0</v>
      </c>
      <c r="I9" s="26"/>
      <c r="J9" s="26">
        <f>SUBTOTAL(9,J10:J172)</f>
        <v>86908268951.523987</v>
      </c>
      <c r="K9" s="26">
        <f>SUBTOTAL(9,K10:K172)</f>
        <v>87899232041.337769</v>
      </c>
      <c r="L9" s="26"/>
      <c r="M9" s="103"/>
    </row>
    <row r="10" spans="1:14" s="3" customFormat="1" ht="25.5" customHeight="1">
      <c r="A10" s="22" t="str">
        <f>$A$9&amp;".C"</f>
        <v>2A.C</v>
      </c>
      <c r="B10" s="23" t="s">
        <v>1</v>
      </c>
      <c r="C10" s="23" t="s">
        <v>515</v>
      </c>
      <c r="D10" s="22"/>
      <c r="E10" s="25"/>
      <c r="F10" s="87"/>
      <c r="G10" s="25">
        <f>_xlfn.XLOOKUP(B10, Rate_Master!$A:$A, Rate_Master!$C:$C, "")</f>
        <v>0</v>
      </c>
      <c r="H10" s="25">
        <f>_xlfn.XLOOKUP(B10, Rate_Master!$A:$A, Rate_Master!$D:$D, "")</f>
        <v>0</v>
      </c>
      <c r="I10" s="26"/>
      <c r="J10" s="26"/>
      <c r="K10" s="128"/>
      <c r="L10" s="26"/>
    </row>
    <row r="11" spans="1:14" s="3" customFormat="1" ht="25.5" customHeight="1">
      <c r="A11" s="22" t="str">
        <f>$A$10&amp;1</f>
        <v>2A.C1</v>
      </c>
      <c r="B11" s="23" t="s">
        <v>2</v>
      </c>
      <c r="C11" s="23" t="s">
        <v>515</v>
      </c>
      <c r="D11" s="22"/>
      <c r="E11" s="25"/>
      <c r="F11" s="87"/>
      <c r="G11" s="25">
        <f>_xlfn.XLOOKUP(B11, Rate_Master!$A:$A, Rate_Master!$C:$C, "")</f>
        <v>0</v>
      </c>
      <c r="H11" s="25">
        <f>_xlfn.XLOOKUP(B11, Rate_Master!$A:$A, Rate_Master!$D:$D, "")</f>
        <v>0</v>
      </c>
      <c r="I11" s="26"/>
      <c r="J11" s="26">
        <f>SUBTOTAL(9,J12:J22)</f>
        <v>14994592399.999998</v>
      </c>
      <c r="K11" s="128">
        <f>SUBTOTAL(9,K12:K22)</f>
        <v>14994592399.999998</v>
      </c>
      <c r="L11" s="26"/>
      <c r="N11" s="103"/>
    </row>
    <row r="12" spans="1:14" s="4" customFormat="1" ht="25.5" customHeight="1" outlineLevel="1">
      <c r="A12" s="27" t="str">
        <f t="shared" ref="A12:A22" si="0">$A$11&amp;"."&amp;ROW()-ROW($A$11)</f>
        <v>2A.C1.1</v>
      </c>
      <c r="B12" s="28" t="s">
        <v>3</v>
      </c>
      <c r="C12" s="28" t="s">
        <v>515</v>
      </c>
      <c r="D12" s="29" t="s">
        <v>516</v>
      </c>
      <c r="E12" s="31">
        <v>1</v>
      </c>
      <c r="F12" s="31">
        <v>1</v>
      </c>
      <c r="G12" s="144">
        <f>_xlfn.XLOOKUP(B12, Rate_Master!$A:$A, Rate_Master!$C:$C, "")</f>
        <v>0</v>
      </c>
      <c r="H12" s="144">
        <f>_xlfn.XLOOKUP(B12, Rate_Master!$A:$A, Rate_Master!$D:$D, "")</f>
        <v>114999999.99999999</v>
      </c>
      <c r="I12" s="66">
        <f t="shared" ref="I12:I22" si="1">G12+H12</f>
        <v>114999999.99999999</v>
      </c>
      <c r="J12" s="32">
        <f t="shared" ref="J12:J22" si="2">I12*E12</f>
        <v>114999999.99999999</v>
      </c>
      <c r="K12" s="129">
        <f t="shared" ref="K12:K22" si="3">I12*F12</f>
        <v>114999999.99999999</v>
      </c>
      <c r="L12" s="32"/>
      <c r="N12" s="103"/>
    </row>
    <row r="13" spans="1:14" s="4" customFormat="1" ht="25.5" customHeight="1" outlineLevel="1">
      <c r="A13" s="27" t="str">
        <f t="shared" si="0"/>
        <v>2A.C1.2</v>
      </c>
      <c r="B13" s="28" t="s">
        <v>4</v>
      </c>
      <c r="C13" s="28" t="s">
        <v>515</v>
      </c>
      <c r="D13" s="29" t="s">
        <v>517</v>
      </c>
      <c r="E13" s="31">
        <v>288</v>
      </c>
      <c r="F13" s="31">
        <v>288</v>
      </c>
      <c r="G13" s="144">
        <f>_xlfn.XLOOKUP(B13, Rate_Master!$A:$A, Rate_Master!$C:$C, "")</f>
        <v>425499.99999999994</v>
      </c>
      <c r="H13" s="144">
        <f>_xlfn.XLOOKUP(B13, Rate_Master!$A:$A, Rate_Master!$D:$D, "")</f>
        <v>0</v>
      </c>
      <c r="I13" s="66">
        <f t="shared" si="1"/>
        <v>425499.99999999994</v>
      </c>
      <c r="J13" s="32">
        <f t="shared" si="2"/>
        <v>122543999.99999999</v>
      </c>
      <c r="K13" s="129">
        <f t="shared" si="3"/>
        <v>122543999.99999999</v>
      </c>
      <c r="L13" s="32"/>
      <c r="N13" s="103"/>
    </row>
    <row r="14" spans="1:14" s="4" customFormat="1" ht="25.5" customHeight="1" outlineLevel="1">
      <c r="A14" s="27" t="str">
        <f t="shared" si="0"/>
        <v>2A.C1.3</v>
      </c>
      <c r="B14" s="28" t="s">
        <v>5</v>
      </c>
      <c r="C14" s="28" t="s">
        <v>515</v>
      </c>
      <c r="D14" s="29" t="s">
        <v>517</v>
      </c>
      <c r="E14" s="31">
        <v>264</v>
      </c>
      <c r="F14" s="31">
        <v>264</v>
      </c>
      <c r="G14" s="144">
        <f>_xlfn.XLOOKUP(B14, Rate_Master!$A:$A, Rate_Master!$C:$C, "")</f>
        <v>0</v>
      </c>
      <c r="H14" s="144">
        <f>_xlfn.XLOOKUP(B14, Rate_Master!$A:$A, Rate_Master!$D:$D, "")</f>
        <v>69000</v>
      </c>
      <c r="I14" s="66">
        <f t="shared" si="1"/>
        <v>69000</v>
      </c>
      <c r="J14" s="32">
        <f t="shared" si="2"/>
        <v>18216000</v>
      </c>
      <c r="K14" s="129">
        <f t="shared" si="3"/>
        <v>18216000</v>
      </c>
      <c r="L14" s="32"/>
      <c r="N14" s="103"/>
    </row>
    <row r="15" spans="1:14" s="4" customFormat="1" ht="25.5" customHeight="1" outlineLevel="1">
      <c r="A15" s="27" t="str">
        <f t="shared" si="0"/>
        <v>2A.C1.4</v>
      </c>
      <c r="B15" s="28" t="s">
        <v>6</v>
      </c>
      <c r="C15" s="28" t="s">
        <v>515</v>
      </c>
      <c r="D15" s="29" t="s">
        <v>517</v>
      </c>
      <c r="E15" s="31">
        <v>276</v>
      </c>
      <c r="F15" s="31">
        <v>276</v>
      </c>
      <c r="G15" s="144">
        <f>_xlfn.XLOOKUP(B15, Rate_Master!$A:$A, Rate_Master!$C:$C, "")</f>
        <v>0</v>
      </c>
      <c r="H15" s="144">
        <f>_xlfn.XLOOKUP(B15, Rate_Master!$A:$A, Rate_Master!$D:$D, "")</f>
        <v>57499.999999999993</v>
      </c>
      <c r="I15" s="66">
        <f t="shared" si="1"/>
        <v>57499.999999999993</v>
      </c>
      <c r="J15" s="32">
        <f t="shared" si="2"/>
        <v>15869999.999999998</v>
      </c>
      <c r="K15" s="129">
        <f t="shared" si="3"/>
        <v>15869999.999999998</v>
      </c>
      <c r="L15" s="32"/>
      <c r="N15" s="103"/>
    </row>
    <row r="16" spans="1:14" s="4" customFormat="1" ht="102" customHeight="1" outlineLevel="1">
      <c r="A16" s="27" t="str">
        <f t="shared" si="0"/>
        <v>2A.C1.5</v>
      </c>
      <c r="B16" s="28" t="s">
        <v>7</v>
      </c>
      <c r="C16" s="28" t="s">
        <v>515</v>
      </c>
      <c r="D16" s="29" t="s">
        <v>518</v>
      </c>
      <c r="E16" s="31">
        <v>12</v>
      </c>
      <c r="F16" s="31">
        <v>12</v>
      </c>
      <c r="G16" s="144">
        <f>_xlfn.XLOOKUP(B16, Rate_Master!$A:$A, Rate_Master!$C:$C, "")</f>
        <v>0</v>
      </c>
      <c r="H16" s="144">
        <f>_xlfn.XLOOKUP(B16, Rate_Master!$A:$A, Rate_Master!$D:$D, "")</f>
        <v>13799999.999999998</v>
      </c>
      <c r="I16" s="66">
        <f t="shared" si="1"/>
        <v>13799999.999999998</v>
      </c>
      <c r="J16" s="32">
        <f t="shared" si="2"/>
        <v>165599999.99999997</v>
      </c>
      <c r="K16" s="129">
        <f t="shared" si="3"/>
        <v>165599999.99999997</v>
      </c>
      <c r="L16" s="32"/>
      <c r="N16" s="103"/>
    </row>
    <row r="17" spans="1:14" s="4" customFormat="1" ht="25.5" customHeight="1" outlineLevel="1">
      <c r="A17" s="27" t="str">
        <f t="shared" si="0"/>
        <v>2A.C1.6</v>
      </c>
      <c r="B17" s="28" t="s">
        <v>8</v>
      </c>
      <c r="C17" s="28" t="s">
        <v>515</v>
      </c>
      <c r="D17" s="29" t="s">
        <v>518</v>
      </c>
      <c r="E17" s="31">
        <v>238</v>
      </c>
      <c r="F17" s="31">
        <v>238</v>
      </c>
      <c r="G17" s="144">
        <f>_xlfn.XLOOKUP(B17, Rate_Master!$A:$A, Rate_Master!$C:$C, "")</f>
        <v>0</v>
      </c>
      <c r="H17" s="144">
        <f>_xlfn.XLOOKUP(B17, Rate_Master!$A:$A, Rate_Master!$D:$D, "")</f>
        <v>252999.99999999997</v>
      </c>
      <c r="I17" s="66">
        <f t="shared" si="1"/>
        <v>252999.99999999997</v>
      </c>
      <c r="J17" s="32">
        <f t="shared" si="2"/>
        <v>60213999.999999993</v>
      </c>
      <c r="K17" s="129">
        <f t="shared" si="3"/>
        <v>60213999.999999993</v>
      </c>
      <c r="L17" s="32"/>
      <c r="N17" s="103"/>
    </row>
    <row r="18" spans="1:14" s="4" customFormat="1" ht="25.5" customHeight="1" outlineLevel="1">
      <c r="A18" s="27" t="str">
        <f t="shared" si="0"/>
        <v>2A.C1.7</v>
      </c>
      <c r="B18" s="28" t="s">
        <v>9</v>
      </c>
      <c r="C18" s="28" t="s">
        <v>515</v>
      </c>
      <c r="D18" s="29" t="s">
        <v>517</v>
      </c>
      <c r="E18" s="31">
        <v>25850</v>
      </c>
      <c r="F18" s="31">
        <v>25850</v>
      </c>
      <c r="G18" s="144">
        <f>_xlfn.XLOOKUP(B18, Rate_Master!$A:$A, Rate_Master!$C:$C, "")</f>
        <v>402499.99999999994</v>
      </c>
      <c r="H18" s="144">
        <f>_xlfn.XLOOKUP(B18, Rate_Master!$A:$A, Rate_Master!$D:$D, "")</f>
        <v>0</v>
      </c>
      <c r="I18" s="66">
        <f t="shared" si="1"/>
        <v>402499.99999999994</v>
      </c>
      <c r="J18" s="32">
        <f t="shared" si="2"/>
        <v>10404624999.999998</v>
      </c>
      <c r="K18" s="129">
        <f t="shared" si="3"/>
        <v>10404624999.999998</v>
      </c>
      <c r="L18" s="32"/>
      <c r="N18" s="103"/>
    </row>
    <row r="19" spans="1:14" s="4" customFormat="1" ht="25.5" customHeight="1" outlineLevel="1">
      <c r="A19" s="27" t="str">
        <f t="shared" si="0"/>
        <v>2A.C1.8</v>
      </c>
      <c r="B19" s="28" t="s">
        <v>10</v>
      </c>
      <c r="C19" s="28" t="s">
        <v>515</v>
      </c>
      <c r="D19" s="29" t="s">
        <v>518</v>
      </c>
      <c r="E19" s="31">
        <v>1187</v>
      </c>
      <c r="F19" s="31">
        <v>1187</v>
      </c>
      <c r="G19" s="144">
        <f>_xlfn.XLOOKUP(B19, Rate_Master!$A:$A, Rate_Master!$C:$C, "")</f>
        <v>80500</v>
      </c>
      <c r="H19" s="144">
        <f>_xlfn.XLOOKUP(B19, Rate_Master!$A:$A, Rate_Master!$D:$D, "")</f>
        <v>0</v>
      </c>
      <c r="I19" s="66">
        <f t="shared" si="1"/>
        <v>80500</v>
      </c>
      <c r="J19" s="32">
        <f t="shared" si="2"/>
        <v>95553500</v>
      </c>
      <c r="K19" s="129">
        <f t="shared" si="3"/>
        <v>95553500</v>
      </c>
      <c r="L19" s="32"/>
      <c r="N19" s="103"/>
    </row>
    <row r="20" spans="1:14" s="4" customFormat="1" ht="25.5" customHeight="1" outlineLevel="1">
      <c r="A20" s="27" t="str">
        <f t="shared" si="0"/>
        <v>2A.C1.9</v>
      </c>
      <c r="B20" s="28" t="s">
        <v>11</v>
      </c>
      <c r="C20" s="28" t="s">
        <v>515</v>
      </c>
      <c r="D20" s="29" t="s">
        <v>517</v>
      </c>
      <c r="E20" s="31">
        <v>25019.599999999999</v>
      </c>
      <c r="F20" s="31">
        <v>25019.599999999999</v>
      </c>
      <c r="G20" s="144">
        <f>_xlfn.XLOOKUP(B20, Rate_Master!$A:$A, Rate_Master!$C:$C, "")</f>
        <v>0</v>
      </c>
      <c r="H20" s="144">
        <f>_xlfn.XLOOKUP(B20, Rate_Master!$A:$A, Rate_Master!$D:$D, "")</f>
        <v>69000</v>
      </c>
      <c r="I20" s="66">
        <f t="shared" si="1"/>
        <v>69000</v>
      </c>
      <c r="J20" s="32">
        <f t="shared" si="2"/>
        <v>1726352400</v>
      </c>
      <c r="K20" s="129">
        <f t="shared" si="3"/>
        <v>1726352400</v>
      </c>
      <c r="L20" s="32"/>
      <c r="N20" s="103"/>
    </row>
    <row r="21" spans="1:14" s="4" customFormat="1" ht="25.5" customHeight="1" outlineLevel="1">
      <c r="A21" s="27" t="str">
        <f t="shared" si="0"/>
        <v>2A.C1.10</v>
      </c>
      <c r="B21" s="28" t="s">
        <v>12</v>
      </c>
      <c r="C21" s="28" t="s">
        <v>515</v>
      </c>
      <c r="D21" s="29" t="s">
        <v>517</v>
      </c>
      <c r="E21" s="31">
        <v>26194.6</v>
      </c>
      <c r="F21" s="31">
        <v>26194.6</v>
      </c>
      <c r="G21" s="144">
        <f>_xlfn.XLOOKUP(B21, Rate_Master!$A:$A, Rate_Master!$C:$C, "")</f>
        <v>0</v>
      </c>
      <c r="H21" s="144">
        <f>_xlfn.XLOOKUP(B21, Rate_Master!$A:$A, Rate_Master!$D:$D, "")</f>
        <v>57499.999999999993</v>
      </c>
      <c r="I21" s="66">
        <f t="shared" si="1"/>
        <v>57499.999999999993</v>
      </c>
      <c r="J21" s="32">
        <f t="shared" si="2"/>
        <v>1506189499.9999998</v>
      </c>
      <c r="K21" s="129">
        <f t="shared" si="3"/>
        <v>1506189499.9999998</v>
      </c>
      <c r="L21" s="32"/>
      <c r="N21" s="103"/>
    </row>
    <row r="22" spans="1:14" s="4" customFormat="1" ht="63.75" customHeight="1" outlineLevel="1">
      <c r="A22" s="27" t="str">
        <f t="shared" si="0"/>
        <v>2A.C1.11</v>
      </c>
      <c r="B22" s="28" t="s">
        <v>13</v>
      </c>
      <c r="C22" s="28" t="s">
        <v>515</v>
      </c>
      <c r="D22" s="29" t="s">
        <v>518</v>
      </c>
      <c r="E22" s="31">
        <v>1187</v>
      </c>
      <c r="F22" s="31">
        <v>1187</v>
      </c>
      <c r="G22" s="144">
        <f>_xlfn.XLOOKUP(B22, Rate_Master!$A:$A, Rate_Master!$C:$C, "")</f>
        <v>482999.99999999994</v>
      </c>
      <c r="H22" s="144">
        <f>_xlfn.XLOOKUP(B22, Rate_Master!$A:$A, Rate_Master!$D:$D, "")</f>
        <v>161000</v>
      </c>
      <c r="I22" s="66">
        <f t="shared" si="1"/>
        <v>644000</v>
      </c>
      <c r="J22" s="32">
        <f t="shared" si="2"/>
        <v>764428000</v>
      </c>
      <c r="K22" s="129">
        <f t="shared" si="3"/>
        <v>764428000</v>
      </c>
      <c r="L22" s="32"/>
      <c r="N22" s="103"/>
    </row>
    <row r="23" spans="1:14" s="3" customFormat="1" ht="25.5" customHeight="1">
      <c r="A23" s="22" t="str">
        <f>$A$10&amp;2</f>
        <v>2A.C2</v>
      </c>
      <c r="B23" s="23" t="s">
        <v>14</v>
      </c>
      <c r="C23" s="23" t="s">
        <v>515</v>
      </c>
      <c r="D23" s="22"/>
      <c r="E23" s="25"/>
      <c r="F23" s="25"/>
      <c r="G23" s="145">
        <f>_xlfn.XLOOKUP(B23, Rate_Master!$A:$A, Rate_Master!$C:$C, "")</f>
        <v>0</v>
      </c>
      <c r="H23" s="145">
        <f>_xlfn.XLOOKUP(B23, Rate_Master!$A:$A, Rate_Master!$D:$D, "")</f>
        <v>0</v>
      </c>
      <c r="I23" s="26"/>
      <c r="J23" s="26">
        <f>SUBTOTAL(9,J24:J31)</f>
        <v>3808310335.1750002</v>
      </c>
      <c r="K23" s="128">
        <f>SUBTOTAL(9,K24:K31)</f>
        <v>3808310335.1750002</v>
      </c>
      <c r="L23" s="26"/>
      <c r="N23" s="103"/>
    </row>
    <row r="24" spans="1:14" s="4" customFormat="1" ht="25.5" customHeight="1" outlineLevel="1">
      <c r="A24" s="27" t="str">
        <f t="shared" ref="A24:A31" si="4">$A$23&amp;"."&amp;ROW()-ROW($A$23)</f>
        <v>2A.C2.1</v>
      </c>
      <c r="B24" s="28" t="s">
        <v>15</v>
      </c>
      <c r="C24" s="28" t="s">
        <v>515</v>
      </c>
      <c r="D24" s="29" t="s">
        <v>519</v>
      </c>
      <c r="E24" s="31">
        <v>3749.482</v>
      </c>
      <c r="F24" s="31">
        <v>3749.482</v>
      </c>
      <c r="G24" s="144">
        <f>_xlfn.XLOOKUP(B24, Rate_Master!$A:$A, Rate_Master!$C:$C, "")</f>
        <v>0</v>
      </c>
      <c r="H24" s="144">
        <f>_xlfn.XLOOKUP(B24, Rate_Master!$A:$A, Rate_Master!$D:$D, "")</f>
        <v>32199.999999999996</v>
      </c>
      <c r="I24" s="66">
        <f t="shared" ref="I24:I31" si="5">G24+H24</f>
        <v>32199.999999999996</v>
      </c>
      <c r="J24" s="32">
        <f t="shared" ref="J24:J31" si="6">I24*E24</f>
        <v>120733320.39999999</v>
      </c>
      <c r="K24" s="129">
        <f t="shared" ref="K24:K31" si="7">I24*F24</f>
        <v>120733320.39999999</v>
      </c>
      <c r="L24" s="32"/>
      <c r="N24" s="103"/>
    </row>
    <row r="25" spans="1:14" s="4" customFormat="1" ht="25.5" customHeight="1" outlineLevel="1">
      <c r="A25" s="27" t="str">
        <f t="shared" si="4"/>
        <v>2A.C2.2</v>
      </c>
      <c r="B25" s="28" t="s">
        <v>16</v>
      </c>
      <c r="C25" s="28" t="s">
        <v>515</v>
      </c>
      <c r="D25" s="29" t="s">
        <v>520</v>
      </c>
      <c r="E25" s="31">
        <v>4055.43</v>
      </c>
      <c r="F25" s="31">
        <v>4055.43</v>
      </c>
      <c r="G25" s="144">
        <f>_xlfn.XLOOKUP(B25, Rate_Master!$A:$A, Rate_Master!$C:$C, "")</f>
        <v>0</v>
      </c>
      <c r="H25" s="144">
        <f>_xlfn.XLOOKUP(B25, Rate_Master!$A:$A, Rate_Master!$D:$D, "")</f>
        <v>17250</v>
      </c>
      <c r="I25" s="66">
        <f t="shared" si="5"/>
        <v>17250</v>
      </c>
      <c r="J25" s="32">
        <f t="shared" si="6"/>
        <v>69956167.5</v>
      </c>
      <c r="K25" s="129">
        <f t="shared" si="7"/>
        <v>69956167.5</v>
      </c>
      <c r="L25" s="32"/>
      <c r="N25" s="103"/>
    </row>
    <row r="26" spans="1:14" s="4" customFormat="1" ht="25.5" customHeight="1" outlineLevel="1">
      <c r="A26" s="27" t="str">
        <f t="shared" si="4"/>
        <v>2A.C2.3</v>
      </c>
      <c r="B26" s="28" t="s">
        <v>17</v>
      </c>
      <c r="C26" s="28" t="s">
        <v>515</v>
      </c>
      <c r="D26" s="29" t="s">
        <v>519</v>
      </c>
      <c r="E26" s="31">
        <v>2420.0160000000001</v>
      </c>
      <c r="F26" s="31">
        <v>2420.0160000000001</v>
      </c>
      <c r="G26" s="144">
        <f>_xlfn.XLOOKUP(B26, Rate_Master!$A:$A, Rate_Master!$C:$C, "")</f>
        <v>0</v>
      </c>
      <c r="H26" s="144">
        <f>_xlfn.XLOOKUP(B26, Rate_Master!$A:$A, Rate_Master!$D:$D, "")</f>
        <v>37950</v>
      </c>
      <c r="I26" s="66">
        <f t="shared" si="5"/>
        <v>37950</v>
      </c>
      <c r="J26" s="32">
        <f t="shared" si="6"/>
        <v>91839607.200000003</v>
      </c>
      <c r="K26" s="129">
        <f t="shared" si="7"/>
        <v>91839607.200000003</v>
      </c>
      <c r="L26" s="32"/>
      <c r="N26" s="103"/>
    </row>
    <row r="27" spans="1:14" s="4" customFormat="1" ht="25.5" customHeight="1" outlineLevel="1">
      <c r="A27" s="27" t="str">
        <f t="shared" si="4"/>
        <v>2A.C2.4</v>
      </c>
      <c r="B27" s="34" t="s">
        <v>18</v>
      </c>
      <c r="C27" s="34" t="s">
        <v>521</v>
      </c>
      <c r="D27" s="29" t="s">
        <v>519</v>
      </c>
      <c r="E27" s="31">
        <v>1329.4659999999999</v>
      </c>
      <c r="F27" s="31">
        <v>1329.4659999999999</v>
      </c>
      <c r="G27" s="144">
        <f>_xlfn.XLOOKUP(B27, Rate_Master!$A:$A, Rate_Master!$C:$C, "")</f>
        <v>0</v>
      </c>
      <c r="H27" s="144">
        <f>_xlfn.XLOOKUP(B27, Rate_Master!$A:$A, Rate_Master!$D:$D, "")</f>
        <v>32199.999999999996</v>
      </c>
      <c r="I27" s="66">
        <f t="shared" si="5"/>
        <v>32199.999999999996</v>
      </c>
      <c r="J27" s="32">
        <f t="shared" si="6"/>
        <v>42808805.199999988</v>
      </c>
      <c r="K27" s="129">
        <f t="shared" si="7"/>
        <v>42808805.199999988</v>
      </c>
      <c r="L27" s="32"/>
      <c r="N27" s="103"/>
    </row>
    <row r="28" spans="1:14" s="4" customFormat="1" ht="25.5" customHeight="1" outlineLevel="1">
      <c r="A28" s="27" t="str">
        <f t="shared" si="4"/>
        <v>2A.C2.5</v>
      </c>
      <c r="B28" s="28" t="s">
        <v>19</v>
      </c>
      <c r="C28" s="28" t="s">
        <v>515</v>
      </c>
      <c r="D28" s="29" t="s">
        <v>520</v>
      </c>
      <c r="E28" s="31">
        <v>4055.43</v>
      </c>
      <c r="F28" s="31">
        <v>4055.43</v>
      </c>
      <c r="G28" s="144">
        <f>_xlfn.XLOOKUP(B28, Rate_Master!$A:$A, Rate_Master!$C:$C, "")</f>
        <v>6899.9999999999991</v>
      </c>
      <c r="H28" s="144">
        <f>_xlfn.XLOOKUP(B28, Rate_Master!$A:$A, Rate_Master!$D:$D, "")</f>
        <v>1724.9999999999998</v>
      </c>
      <c r="I28" s="66">
        <f t="shared" si="5"/>
        <v>8624.9999999999982</v>
      </c>
      <c r="J28" s="32">
        <f t="shared" si="6"/>
        <v>34978083.749999993</v>
      </c>
      <c r="K28" s="129">
        <f t="shared" si="7"/>
        <v>34978083.749999993</v>
      </c>
      <c r="L28" s="32"/>
      <c r="N28" s="103"/>
    </row>
    <row r="29" spans="1:14" s="4" customFormat="1" ht="38.25" customHeight="1" outlineLevel="1">
      <c r="A29" s="27" t="str">
        <f t="shared" si="4"/>
        <v>2A.C2.6</v>
      </c>
      <c r="B29" s="28" t="s">
        <v>20</v>
      </c>
      <c r="C29" s="28" t="s">
        <v>515</v>
      </c>
      <c r="D29" s="29" t="s">
        <v>520</v>
      </c>
      <c r="E29" s="31">
        <v>12742.656000000001</v>
      </c>
      <c r="F29" s="31">
        <v>12742.656000000001</v>
      </c>
      <c r="G29" s="144">
        <f>_xlfn.XLOOKUP(B29, Rate_Master!$A:$A, Rate_Master!$C:$C, "")</f>
        <v>34500</v>
      </c>
      <c r="H29" s="144">
        <f>_xlfn.XLOOKUP(B29, Rate_Master!$A:$A, Rate_Master!$D:$D, "")</f>
        <v>5750</v>
      </c>
      <c r="I29" s="66">
        <f t="shared" si="5"/>
        <v>40250</v>
      </c>
      <c r="J29" s="32">
        <f t="shared" si="6"/>
        <v>512891904.00000006</v>
      </c>
      <c r="K29" s="129">
        <f t="shared" si="7"/>
        <v>512891904.00000006</v>
      </c>
      <c r="L29" s="32"/>
      <c r="N29" s="103"/>
    </row>
    <row r="30" spans="1:14" s="4" customFormat="1" ht="25.5" customHeight="1" outlineLevel="1">
      <c r="A30" s="27" t="str">
        <f t="shared" si="4"/>
        <v>2A.C2.7</v>
      </c>
      <c r="B30" s="34" t="s">
        <v>21</v>
      </c>
      <c r="C30" s="28" t="s">
        <v>515</v>
      </c>
      <c r="D30" s="29" t="s">
        <v>520</v>
      </c>
      <c r="E30" s="31">
        <v>12742.656000000001</v>
      </c>
      <c r="F30" s="31">
        <v>12742.656000000001</v>
      </c>
      <c r="G30" s="144">
        <f>_xlfn.XLOOKUP(B30, Rate_Master!$A:$A, Rate_Master!$C:$C, "")</f>
        <v>0</v>
      </c>
      <c r="H30" s="144">
        <f>_xlfn.XLOOKUP(B30, Rate_Master!$A:$A, Rate_Master!$D:$D, "")</f>
        <v>13799.999999999998</v>
      </c>
      <c r="I30" s="66">
        <f t="shared" si="5"/>
        <v>13799.999999999998</v>
      </c>
      <c r="J30" s="32">
        <f t="shared" si="6"/>
        <v>175848652.79999998</v>
      </c>
      <c r="K30" s="129">
        <f t="shared" si="7"/>
        <v>175848652.79999998</v>
      </c>
      <c r="L30" s="32"/>
      <c r="N30" s="103"/>
    </row>
    <row r="31" spans="1:14" s="4" customFormat="1" ht="25.5" customHeight="1" outlineLevel="1">
      <c r="A31" s="27" t="str">
        <f t="shared" si="4"/>
        <v>2A.C2.8</v>
      </c>
      <c r="B31" s="28" t="s">
        <v>22</v>
      </c>
      <c r="C31" s="28" t="s">
        <v>515</v>
      </c>
      <c r="D31" s="29" t="s">
        <v>519</v>
      </c>
      <c r="E31" s="31">
        <v>4480.5810000000001</v>
      </c>
      <c r="F31" s="31">
        <v>4480.5810000000001</v>
      </c>
      <c r="G31" s="144">
        <f>_xlfn.XLOOKUP(B31, Rate_Master!$A:$A, Rate_Master!$C:$C, "")</f>
        <v>512325</v>
      </c>
      <c r="H31" s="144">
        <f>_xlfn.XLOOKUP(B31, Rate_Master!$A:$A, Rate_Master!$D:$D, "")</f>
        <v>103499.99999999999</v>
      </c>
      <c r="I31" s="66">
        <f t="shared" si="5"/>
        <v>615825</v>
      </c>
      <c r="J31" s="32">
        <f t="shared" si="6"/>
        <v>2759253794.3250003</v>
      </c>
      <c r="K31" s="129">
        <f t="shared" si="7"/>
        <v>2759253794.3250003</v>
      </c>
      <c r="L31" s="32"/>
      <c r="N31" s="103"/>
    </row>
    <row r="32" spans="1:14" s="3" customFormat="1" ht="25.5" customHeight="1">
      <c r="A32" s="22" t="str">
        <f>$A$10&amp;3</f>
        <v>2A.C3</v>
      </c>
      <c r="B32" s="23" t="s">
        <v>23</v>
      </c>
      <c r="C32" s="23" t="s">
        <v>515</v>
      </c>
      <c r="D32" s="22"/>
      <c r="E32" s="25"/>
      <c r="F32" s="25"/>
      <c r="G32" s="145">
        <f>_xlfn.XLOOKUP(B32, Rate_Master!$A:$A, Rate_Master!$C:$C, "")</f>
        <v>0</v>
      </c>
      <c r="H32" s="145">
        <f>_xlfn.XLOOKUP(B32, Rate_Master!$A:$A, Rate_Master!$D:$D, "")</f>
        <v>0</v>
      </c>
      <c r="I32" s="26"/>
      <c r="J32" s="26">
        <f>SUBTOTAL(9,J33:J39)</f>
        <v>11916675216.729168</v>
      </c>
      <c r="K32" s="128">
        <f>SUBTOTAL(9,K33:K39)</f>
        <v>11916675216.729168</v>
      </c>
      <c r="L32" s="26"/>
      <c r="N32" s="103"/>
    </row>
    <row r="33" spans="1:14" s="4" customFormat="1" ht="25.5" customHeight="1" outlineLevel="1">
      <c r="A33" s="27" t="str">
        <f t="shared" ref="A33:A39" si="8">$A$32&amp;"."&amp;ROW()-ROW($A$32)</f>
        <v>2A.C3.1</v>
      </c>
      <c r="B33" s="28" t="s">
        <v>24</v>
      </c>
      <c r="C33" s="28" t="s">
        <v>515</v>
      </c>
      <c r="D33" s="29" t="s">
        <v>519</v>
      </c>
      <c r="E33" s="31">
        <v>408.69299999999998</v>
      </c>
      <c r="F33" s="31">
        <v>408.69299999999998</v>
      </c>
      <c r="G33" s="141">
        <f>_xlfn.XLOOKUP(B33, Rate_Master!$A:$A, Rate_Master!$C:$C, "")</f>
        <v>1249762.5</v>
      </c>
      <c r="H33" s="141">
        <f>_xlfn.XLOOKUP(B33, Rate_Master!$A:$A, Rate_Master!$D:$D, "")</f>
        <v>206999.99999999997</v>
      </c>
      <c r="I33" s="66">
        <f t="shared" ref="I33:I39" si="9">+H33+G33</f>
        <v>1456762.5</v>
      </c>
      <c r="J33" s="32">
        <f t="shared" ref="J33:J39" si="10">I33*E33</f>
        <v>595368636.41250002</v>
      </c>
      <c r="K33" s="129">
        <f t="shared" ref="K33:K39" si="11">I33*F33</f>
        <v>595368636.41250002</v>
      </c>
      <c r="L33" s="32"/>
      <c r="N33" s="103"/>
    </row>
    <row r="34" spans="1:14" s="4" customFormat="1" ht="51" customHeight="1" outlineLevel="1">
      <c r="A34" s="27" t="str">
        <f t="shared" si="8"/>
        <v>2A.C3.2</v>
      </c>
      <c r="B34" s="28" t="s">
        <v>25</v>
      </c>
      <c r="C34" s="28" t="s">
        <v>515</v>
      </c>
      <c r="D34" s="29" t="s">
        <v>519</v>
      </c>
      <c r="E34" s="31">
        <v>6225.3789999999999</v>
      </c>
      <c r="F34" s="31">
        <v>6225.3789999999999</v>
      </c>
      <c r="G34" s="142">
        <f>_xlfn.XLOOKUP(B34, Rate_Master!$A:$A, Rate_Master!$C:$C, "")</f>
        <v>1607444.4444444443</v>
      </c>
      <c r="H34" s="142">
        <f>_xlfn.XLOOKUP(B34, Rate_Master!$A:$A, Rate_Master!$D:$D, "")</f>
        <v>149500</v>
      </c>
      <c r="I34" s="66">
        <f t="shared" si="9"/>
        <v>1756944.4444444443</v>
      </c>
      <c r="J34" s="32">
        <f t="shared" si="10"/>
        <v>10937645048.611111</v>
      </c>
      <c r="K34" s="129">
        <f t="shared" si="11"/>
        <v>10937645048.611111</v>
      </c>
      <c r="L34" s="32"/>
      <c r="N34" s="103"/>
    </row>
    <row r="35" spans="1:14" s="4" customFormat="1" ht="25.5" customHeight="1" outlineLevel="1">
      <c r="A35" s="27" t="str">
        <f t="shared" si="8"/>
        <v>2A.C3.3</v>
      </c>
      <c r="B35" s="28" t="s">
        <v>26</v>
      </c>
      <c r="C35" s="28" t="s">
        <v>515</v>
      </c>
      <c r="D35" s="29" t="s">
        <v>519</v>
      </c>
      <c r="E35" s="31">
        <v>83.051000000000002</v>
      </c>
      <c r="F35" s="31">
        <v>83.051000000000002</v>
      </c>
      <c r="G35" s="142">
        <f>_xlfn.XLOOKUP(B35, Rate_Master!$A:$A, Rate_Master!$C:$C, "")</f>
        <v>1520555.5555555553</v>
      </c>
      <c r="H35" s="142">
        <f>_xlfn.XLOOKUP(B35, Rate_Master!$A:$A, Rate_Master!$D:$D, "")</f>
        <v>252999.99999999997</v>
      </c>
      <c r="I35" s="66">
        <f t="shared" si="9"/>
        <v>1773555.5555555553</v>
      </c>
      <c r="J35" s="32">
        <f t="shared" si="10"/>
        <v>147295562.44444442</v>
      </c>
      <c r="K35" s="129">
        <f t="shared" si="11"/>
        <v>147295562.44444442</v>
      </c>
      <c r="L35" s="32"/>
      <c r="N35" s="103"/>
    </row>
    <row r="36" spans="1:14" s="4" customFormat="1" ht="25.5" customHeight="1" outlineLevel="1">
      <c r="A36" s="27" t="str">
        <f t="shared" si="8"/>
        <v>2A.C3.4</v>
      </c>
      <c r="B36" s="28" t="s">
        <v>27</v>
      </c>
      <c r="C36" s="28" t="s">
        <v>515</v>
      </c>
      <c r="D36" s="29" t="s">
        <v>519</v>
      </c>
      <c r="E36" s="31">
        <v>49.570999999999998</v>
      </c>
      <c r="F36" s="31">
        <v>49.570999999999998</v>
      </c>
      <c r="G36" s="142">
        <f>_xlfn.XLOOKUP(B36, Rate_Master!$A:$A, Rate_Master!$C:$C, "")</f>
        <v>1520555.5555555553</v>
      </c>
      <c r="H36" s="142">
        <f>_xlfn.XLOOKUP(B36, Rate_Master!$A:$A, Rate_Master!$D:$D, "")</f>
        <v>149500</v>
      </c>
      <c r="I36" s="66">
        <f t="shared" si="9"/>
        <v>1670055.5555555553</v>
      </c>
      <c r="J36" s="32">
        <f t="shared" si="10"/>
        <v>82786323.944444433</v>
      </c>
      <c r="K36" s="129">
        <f t="shared" si="11"/>
        <v>82786323.944444433</v>
      </c>
      <c r="L36" s="32"/>
      <c r="N36" s="103"/>
    </row>
    <row r="37" spans="1:14" s="4" customFormat="1" ht="25.5" customHeight="1" outlineLevel="1">
      <c r="A37" s="27" t="str">
        <f t="shared" si="8"/>
        <v>2A.C3.5</v>
      </c>
      <c r="B37" s="28" t="s">
        <v>28</v>
      </c>
      <c r="C37" s="28" t="s">
        <v>515</v>
      </c>
      <c r="D37" s="29" t="s">
        <v>519</v>
      </c>
      <c r="E37" s="31">
        <v>3.2291400000000001</v>
      </c>
      <c r="F37" s="31">
        <v>3.2291400000000001</v>
      </c>
      <c r="G37" s="142">
        <f>_xlfn.XLOOKUP(B37, Rate_Master!$A:$A, Rate_Master!$C:$C, "")</f>
        <v>1390222.2222222222</v>
      </c>
      <c r="H37" s="142">
        <f>_xlfn.XLOOKUP(B37, Rate_Master!$A:$A, Rate_Master!$D:$D, "")</f>
        <v>149500</v>
      </c>
      <c r="I37" s="66">
        <f t="shared" si="9"/>
        <v>1539722.2222222222</v>
      </c>
      <c r="J37" s="32">
        <f t="shared" si="10"/>
        <v>4971978.6166666672</v>
      </c>
      <c r="K37" s="129">
        <f t="shared" si="11"/>
        <v>4971978.6166666672</v>
      </c>
      <c r="L37" s="32"/>
      <c r="N37" s="103"/>
    </row>
    <row r="38" spans="1:14" s="4" customFormat="1" ht="25.5" customHeight="1" outlineLevel="1">
      <c r="A38" s="27" t="str">
        <f t="shared" si="8"/>
        <v>2A.C3.6</v>
      </c>
      <c r="B38" s="28" t="s">
        <v>29</v>
      </c>
      <c r="C38" s="28" t="s">
        <v>515</v>
      </c>
      <c r="D38" s="29" t="s">
        <v>519</v>
      </c>
      <c r="E38" s="31">
        <v>48.545999999999999</v>
      </c>
      <c r="F38" s="31">
        <v>48.545999999999999</v>
      </c>
      <c r="G38" s="142">
        <f>_xlfn.XLOOKUP(B38, Rate_Master!$A:$A, Rate_Master!$C:$C, "")</f>
        <v>1390222.2222222222</v>
      </c>
      <c r="H38" s="142">
        <f>_xlfn.XLOOKUP(B38, Rate_Master!$A:$A, Rate_Master!$D:$D, "")</f>
        <v>149500</v>
      </c>
      <c r="I38" s="66">
        <f t="shared" si="9"/>
        <v>1539722.2222222222</v>
      </c>
      <c r="J38" s="32">
        <f t="shared" si="10"/>
        <v>74747355</v>
      </c>
      <c r="K38" s="129">
        <f t="shared" si="11"/>
        <v>74747355</v>
      </c>
      <c r="L38" s="32"/>
      <c r="N38" s="103"/>
    </row>
    <row r="39" spans="1:14" s="4" customFormat="1" ht="38.25" customHeight="1" outlineLevel="1">
      <c r="A39" s="27" t="str">
        <f t="shared" si="8"/>
        <v>2A.C3.7</v>
      </c>
      <c r="B39" s="28" t="s">
        <v>30</v>
      </c>
      <c r="C39" s="28" t="s">
        <v>515</v>
      </c>
      <c r="D39" s="29" t="s">
        <v>519</v>
      </c>
      <c r="E39" s="31">
        <v>2.4272999999999998</v>
      </c>
      <c r="F39" s="31">
        <v>2.4272999999999998</v>
      </c>
      <c r="G39" s="143">
        <f>_xlfn.XLOOKUP(B39, Rate_Master!$A:$A, Rate_Master!$C:$C, "")</f>
        <v>22425000</v>
      </c>
      <c r="H39" s="143">
        <f>_xlfn.XLOOKUP(B39, Rate_Master!$A:$A, Rate_Master!$D:$D, "")</f>
        <v>8003999.9999999991</v>
      </c>
      <c r="I39" s="66">
        <f t="shared" si="9"/>
        <v>30429000</v>
      </c>
      <c r="J39" s="32">
        <f t="shared" si="10"/>
        <v>73860311.699999988</v>
      </c>
      <c r="K39" s="129">
        <f t="shared" si="11"/>
        <v>73860311.699999988</v>
      </c>
      <c r="L39" s="32"/>
      <c r="N39" s="103"/>
    </row>
    <row r="40" spans="1:14" s="3" customFormat="1" ht="25.5" customHeight="1">
      <c r="A40" s="22" t="str">
        <f>$A$10&amp;4</f>
        <v>2A.C4</v>
      </c>
      <c r="B40" s="23" t="s">
        <v>31</v>
      </c>
      <c r="C40" s="23" t="s">
        <v>515</v>
      </c>
      <c r="D40" s="22"/>
      <c r="E40" s="25"/>
      <c r="F40" s="25"/>
      <c r="G40" s="145">
        <f>_xlfn.XLOOKUP(B40, Rate_Master!$A:$A, Rate_Master!$C:$C, "")</f>
        <v>0</v>
      </c>
      <c r="H40" s="145">
        <f>_xlfn.XLOOKUP(B40, Rate_Master!$A:$A, Rate_Master!$D:$D, "")</f>
        <v>0</v>
      </c>
      <c r="I40" s="26"/>
      <c r="J40" s="26">
        <f>SUBTOTAL(9,J41:J45)</f>
        <v>2511177012.75</v>
      </c>
      <c r="K40" s="128">
        <f>SUBTOTAL(9,K41:K45)</f>
        <v>2511177012.75</v>
      </c>
      <c r="L40" s="26"/>
      <c r="N40" s="103"/>
    </row>
    <row r="41" spans="1:14" s="4" customFormat="1" ht="25.5" customHeight="1" outlineLevel="1">
      <c r="A41" s="27" t="str">
        <f>$A$40&amp;"."&amp;ROW()-ROW($A$40)</f>
        <v>2A.C4.1</v>
      </c>
      <c r="B41" s="28" t="s">
        <v>32</v>
      </c>
      <c r="C41" s="28" t="s">
        <v>515</v>
      </c>
      <c r="D41" s="29" t="s">
        <v>520</v>
      </c>
      <c r="E41" s="31">
        <v>1091.0830000000001</v>
      </c>
      <c r="F41" s="31">
        <v>1091.0830000000001</v>
      </c>
      <c r="G41" s="142">
        <f>_xlfn.XLOOKUP(B41, Rate_Master!$A:$A, Rate_Master!$C:$C, "")</f>
        <v>80500</v>
      </c>
      <c r="H41" s="142">
        <f>_xlfn.XLOOKUP(B41, Rate_Master!$A:$A, Rate_Master!$D:$D, "")</f>
        <v>92000</v>
      </c>
      <c r="I41" s="66">
        <f>+H41+G41</f>
        <v>172500</v>
      </c>
      <c r="J41" s="32">
        <f>I41*E41</f>
        <v>188211817.5</v>
      </c>
      <c r="K41" s="129">
        <f>I41*F41</f>
        <v>188211817.5</v>
      </c>
      <c r="L41" s="32"/>
      <c r="N41" s="103"/>
    </row>
    <row r="42" spans="1:14" s="4" customFormat="1" ht="38.25" customHeight="1" outlineLevel="1">
      <c r="A42" s="27" t="str">
        <f>$A$40&amp;"."&amp;ROW()-ROW($A$40)</f>
        <v>2A.C4.2</v>
      </c>
      <c r="B42" s="28" t="s">
        <v>33</v>
      </c>
      <c r="C42" s="28" t="s">
        <v>515</v>
      </c>
      <c r="D42" s="29" t="s">
        <v>520</v>
      </c>
      <c r="E42" s="31">
        <v>8088.5940000000001</v>
      </c>
      <c r="F42" s="31">
        <v>8088.5940000000001</v>
      </c>
      <c r="G42" s="142">
        <f>_xlfn.XLOOKUP(B42, Rate_Master!$A:$A, Rate_Master!$C:$C, "")</f>
        <v>126499.99999999999</v>
      </c>
      <c r="H42" s="142">
        <f>_xlfn.XLOOKUP(B42, Rate_Master!$A:$A, Rate_Master!$D:$D, "")</f>
        <v>103499.99999999999</v>
      </c>
      <c r="I42" s="66">
        <f>+H42+G42</f>
        <v>229999.99999999997</v>
      </c>
      <c r="J42" s="32">
        <f>I42*E42</f>
        <v>1860376619.9999998</v>
      </c>
      <c r="K42" s="129">
        <f>I42*F42</f>
        <v>1860376619.9999998</v>
      </c>
      <c r="L42" s="32"/>
      <c r="N42" s="103"/>
    </row>
    <row r="43" spans="1:14" s="4" customFormat="1" ht="25.5" customHeight="1" outlineLevel="1">
      <c r="A43" s="27" t="str">
        <f>$A$40&amp;"."&amp;ROW()-ROW($A$40)</f>
        <v>2A.C4.3</v>
      </c>
      <c r="B43" s="28" t="s">
        <v>34</v>
      </c>
      <c r="C43" s="28" t="s">
        <v>515</v>
      </c>
      <c r="D43" s="29" t="s">
        <v>520</v>
      </c>
      <c r="E43" s="31">
        <v>1082.816</v>
      </c>
      <c r="F43" s="31">
        <v>1082.816</v>
      </c>
      <c r="G43" s="142">
        <f>_xlfn.XLOOKUP(B43, Rate_Master!$A:$A, Rate_Master!$C:$C, "")</f>
        <v>126499.99999999999</v>
      </c>
      <c r="H43" s="142">
        <f>_xlfn.XLOOKUP(B43, Rate_Master!$A:$A, Rate_Master!$D:$D, "")</f>
        <v>149500</v>
      </c>
      <c r="I43" s="66">
        <f>+H43+G43</f>
        <v>276000</v>
      </c>
      <c r="J43" s="32">
        <f>I43*E43</f>
        <v>298857216</v>
      </c>
      <c r="K43" s="129">
        <f>I43*F43</f>
        <v>298857216</v>
      </c>
      <c r="L43" s="32"/>
      <c r="N43" s="103"/>
    </row>
    <row r="44" spans="1:14" s="4" customFormat="1" ht="25.5" customHeight="1" outlineLevel="1">
      <c r="A44" s="27" t="str">
        <f>$A$40&amp;"."&amp;ROW()-ROW($A$40)</f>
        <v>2A.C4.4</v>
      </c>
      <c r="B44" s="28" t="s">
        <v>35</v>
      </c>
      <c r="C44" s="28" t="s">
        <v>515</v>
      </c>
      <c r="D44" s="29" t="s">
        <v>520</v>
      </c>
      <c r="E44" s="31">
        <v>396.79500000000002</v>
      </c>
      <c r="F44" s="31">
        <v>396.79500000000002</v>
      </c>
      <c r="G44" s="142">
        <f>_xlfn.XLOOKUP(B44, Rate_Master!$A:$A, Rate_Master!$C:$C, "")</f>
        <v>126499.99999999999</v>
      </c>
      <c r="H44" s="142">
        <f>_xlfn.XLOOKUP(B44, Rate_Master!$A:$A, Rate_Master!$D:$D, "")</f>
        <v>114999.99999999999</v>
      </c>
      <c r="I44" s="66">
        <f>+H44+G44</f>
        <v>241499.99999999997</v>
      </c>
      <c r="J44" s="32">
        <f>I44*E44</f>
        <v>95825992.499999985</v>
      </c>
      <c r="K44" s="129">
        <f>I44*F44</f>
        <v>95825992.499999985</v>
      </c>
      <c r="L44" s="32"/>
      <c r="N44" s="103"/>
    </row>
    <row r="45" spans="1:14" s="4" customFormat="1" ht="25.5" customHeight="1" outlineLevel="1">
      <c r="A45" s="27" t="str">
        <f>$A$40&amp;"."&amp;ROW()-ROW($A$40)</f>
        <v>2A.C4.5</v>
      </c>
      <c r="B45" s="28" t="s">
        <v>36</v>
      </c>
      <c r="C45" s="28" t="s">
        <v>515</v>
      </c>
      <c r="D45" s="29" t="s">
        <v>520</v>
      </c>
      <c r="E45" s="31">
        <v>302.81099999999998</v>
      </c>
      <c r="F45" s="31">
        <v>302.81099999999998</v>
      </c>
      <c r="G45" s="142">
        <f>_xlfn.XLOOKUP(B45, Rate_Master!$A:$A, Rate_Master!$C:$C, "")</f>
        <v>126499.99999999999</v>
      </c>
      <c r="H45" s="142">
        <f>_xlfn.XLOOKUP(B45, Rate_Master!$A:$A, Rate_Master!$D:$D, "")</f>
        <v>97749.999999999985</v>
      </c>
      <c r="I45" s="66">
        <f>+H45+G45</f>
        <v>224249.99999999997</v>
      </c>
      <c r="J45" s="32">
        <f>I45*E45</f>
        <v>67905366.749999985</v>
      </c>
      <c r="K45" s="129">
        <f>I45*F45</f>
        <v>67905366.749999985</v>
      </c>
      <c r="L45" s="32"/>
      <c r="N45" s="103"/>
    </row>
    <row r="46" spans="1:14" s="3" customFormat="1" ht="25.5" customHeight="1">
      <c r="A46" s="22" t="str">
        <f>$A$10&amp;5</f>
        <v>2A.C5</v>
      </c>
      <c r="B46" s="23" t="s">
        <v>37</v>
      </c>
      <c r="C46" s="23" t="s">
        <v>515</v>
      </c>
      <c r="D46" s="22"/>
      <c r="E46" s="25"/>
      <c r="F46" s="25"/>
      <c r="G46" s="145">
        <f>_xlfn.XLOOKUP(B46, Rate_Master!$A:$A, Rate_Master!$C:$C, "")</f>
        <v>0</v>
      </c>
      <c r="H46" s="145">
        <f>_xlfn.XLOOKUP(B46, Rate_Master!$A:$A, Rate_Master!$D:$D, "")</f>
        <v>0</v>
      </c>
      <c r="I46" s="26"/>
      <c r="J46" s="26">
        <f>SUBTOTAL(9,J47:J51)</f>
        <v>16516586905.443521</v>
      </c>
      <c r="K46" s="128">
        <f>SUBTOTAL(9,K47:K51)</f>
        <v>16516586905.443521</v>
      </c>
      <c r="L46" s="26"/>
      <c r="N46" s="103"/>
    </row>
    <row r="47" spans="1:14" s="4" customFormat="1" ht="38.25" customHeight="1" outlineLevel="1">
      <c r="A47" s="27" t="str">
        <f>$A$46&amp;"."&amp;ROW()-ROW($A$46)</f>
        <v>2A.C5.1</v>
      </c>
      <c r="B47" s="28" t="s">
        <v>38</v>
      </c>
      <c r="C47" s="28" t="s">
        <v>522</v>
      </c>
      <c r="D47" s="29" t="s">
        <v>523</v>
      </c>
      <c r="E47" s="31">
        <v>769087.84293827205</v>
      </c>
      <c r="F47" s="31">
        <v>769087.84293827205</v>
      </c>
      <c r="G47" s="142">
        <f>_xlfn.XLOOKUP(B47, Rate_Master!$A:$A, Rate_Master!$C:$C, "")</f>
        <v>16770.564999999999</v>
      </c>
      <c r="H47" s="142">
        <f>_xlfn.XLOOKUP(B47, Rate_Master!$A:$A, Rate_Master!$D:$D, "")</f>
        <v>2875</v>
      </c>
      <c r="I47" s="66">
        <f>+H47+G47</f>
        <v>19645.564999999999</v>
      </c>
      <c r="J47" s="32">
        <f>I47*E47</f>
        <v>15109165209.153614</v>
      </c>
      <c r="K47" s="129">
        <f>I47*F47</f>
        <v>15109165209.153614</v>
      </c>
      <c r="L47" s="32"/>
      <c r="N47" s="103"/>
    </row>
    <row r="48" spans="1:14" s="4" customFormat="1" ht="25.5" customHeight="1" outlineLevel="1">
      <c r="A48" s="27" t="str">
        <f>$A$46&amp;"."&amp;ROW()-ROW($A$46)</f>
        <v>2A.C5.2</v>
      </c>
      <c r="B48" s="28" t="s">
        <v>39</v>
      </c>
      <c r="C48" s="28" t="s">
        <v>522</v>
      </c>
      <c r="D48" s="29" t="s">
        <v>523</v>
      </c>
      <c r="E48" s="31">
        <v>21853.401999999998</v>
      </c>
      <c r="F48" s="31">
        <v>21853.401999999998</v>
      </c>
      <c r="G48" s="142">
        <f>_xlfn.XLOOKUP(B48, Rate_Master!$A:$A, Rate_Master!$C:$C, "")</f>
        <v>16770.564999999999</v>
      </c>
      <c r="H48" s="142">
        <f>_xlfn.XLOOKUP(B48, Rate_Master!$A:$A, Rate_Master!$D:$D, "")</f>
        <v>3679.9999999999995</v>
      </c>
      <c r="I48" s="66">
        <f>+H48+G48</f>
        <v>20450.564999999999</v>
      </c>
      <c r="J48" s="32">
        <f>I48*E48</f>
        <v>446914418.07212996</v>
      </c>
      <c r="K48" s="129">
        <f>I48*F48</f>
        <v>446914418.07212996</v>
      </c>
      <c r="L48" s="32"/>
      <c r="N48" s="103"/>
    </row>
    <row r="49" spans="1:16" s="4" customFormat="1" ht="25.5" customHeight="1" outlineLevel="1">
      <c r="A49" s="27" t="str">
        <f>$A$46&amp;"."&amp;ROW()-ROW($A$46)</f>
        <v>2A.C5.3</v>
      </c>
      <c r="B49" s="28" t="s">
        <v>40</v>
      </c>
      <c r="C49" s="28" t="s">
        <v>522</v>
      </c>
      <c r="D49" s="29" t="s">
        <v>523</v>
      </c>
      <c r="E49" s="31">
        <v>8742.0049999999992</v>
      </c>
      <c r="F49" s="31">
        <v>8742.0049999999992</v>
      </c>
      <c r="G49" s="142">
        <f>_xlfn.XLOOKUP(B49, Rate_Master!$A:$A, Rate_Master!$C:$C, "")</f>
        <v>16770.564999999999</v>
      </c>
      <c r="H49" s="142">
        <f>_xlfn.XLOOKUP(B49, Rate_Master!$A:$A, Rate_Master!$D:$D, "")</f>
        <v>3449.9999999999995</v>
      </c>
      <c r="I49" s="66">
        <f>+H49+G49</f>
        <v>20220.564999999999</v>
      </c>
      <c r="J49" s="32">
        <f>I49*E49</f>
        <v>176768280.33282498</v>
      </c>
      <c r="K49" s="129">
        <f>I49*F49</f>
        <v>176768280.33282498</v>
      </c>
      <c r="L49" s="32"/>
      <c r="N49" s="103"/>
    </row>
    <row r="50" spans="1:16" s="4" customFormat="1" ht="25.5" customHeight="1" outlineLevel="1">
      <c r="A50" s="27" t="str">
        <f>$A$46&amp;"."&amp;ROW()-ROW($A$46)</f>
        <v>2A.C5.4</v>
      </c>
      <c r="B50" s="28" t="s">
        <v>41</v>
      </c>
      <c r="C50" s="28" t="s">
        <v>522</v>
      </c>
      <c r="D50" s="29" t="s">
        <v>523</v>
      </c>
      <c r="E50" s="31">
        <v>38249.648000000001</v>
      </c>
      <c r="F50" s="31">
        <v>38249.648000000001</v>
      </c>
      <c r="G50" s="142">
        <f>_xlfn.XLOOKUP(B50, Rate_Master!$A:$A, Rate_Master!$C:$C, "")</f>
        <v>16770.564999999999</v>
      </c>
      <c r="H50" s="142">
        <f>_xlfn.XLOOKUP(B50, Rate_Master!$A:$A, Rate_Master!$D:$D, "")</f>
        <v>3679.9999999999995</v>
      </c>
      <c r="I50" s="66">
        <f>+H50+G50</f>
        <v>20450.564999999999</v>
      </c>
      <c r="J50" s="32">
        <f>I50*E50</f>
        <v>782226912.65111995</v>
      </c>
      <c r="K50" s="129">
        <f>I50*F50</f>
        <v>782226912.65111995</v>
      </c>
      <c r="L50" s="32"/>
      <c r="N50" s="103"/>
    </row>
    <row r="51" spans="1:16" s="4" customFormat="1" ht="25.5" customHeight="1" outlineLevel="1">
      <c r="A51" s="27" t="str">
        <f>$A$46&amp;"."&amp;ROW()-ROW($A$46)</f>
        <v>2A.C5.5</v>
      </c>
      <c r="B51" s="28" t="s">
        <v>42</v>
      </c>
      <c r="C51" s="28" t="s">
        <v>524</v>
      </c>
      <c r="D51" s="29" t="s">
        <v>523</v>
      </c>
      <c r="E51" s="31">
        <v>71.041079999999994</v>
      </c>
      <c r="F51" s="31">
        <v>71.041079999999994</v>
      </c>
      <c r="G51" s="142">
        <f>_xlfn.XLOOKUP(B51, Rate_Master!$A:$A, Rate_Master!$C:$C, "")</f>
        <v>17834.66</v>
      </c>
      <c r="H51" s="142">
        <f>_xlfn.XLOOKUP(B51, Rate_Master!$A:$A, Rate_Master!$D:$D, "")</f>
        <v>3449.9999999999995</v>
      </c>
      <c r="I51" s="66">
        <f>+H51+G51</f>
        <v>21284.66</v>
      </c>
      <c r="J51" s="32">
        <f>I51*E51</f>
        <v>1512085.2338327998</v>
      </c>
      <c r="K51" s="129">
        <f>I51*F51</f>
        <v>1512085.2338327998</v>
      </c>
      <c r="L51" s="32"/>
      <c r="N51" s="103"/>
    </row>
    <row r="52" spans="1:16" s="3" customFormat="1" ht="25.5" customHeight="1">
      <c r="A52" s="22" t="str">
        <f>$A$10&amp;6</f>
        <v>2A.C6</v>
      </c>
      <c r="B52" s="23" t="s">
        <v>43</v>
      </c>
      <c r="C52" s="23" t="s">
        <v>515</v>
      </c>
      <c r="D52" s="22"/>
      <c r="E52" s="25"/>
      <c r="F52" s="25"/>
      <c r="G52" s="145">
        <f>_xlfn.XLOOKUP(B52, Rate_Master!$A:$A, Rate_Master!$C:$C, "")</f>
        <v>0</v>
      </c>
      <c r="H52" s="145">
        <f>_xlfn.XLOOKUP(B52, Rate_Master!$A:$A, Rate_Master!$D:$D, "")</f>
        <v>0</v>
      </c>
      <c r="I52" s="26">
        <f>G52+H52</f>
        <v>0</v>
      </c>
      <c r="J52" s="26">
        <f>SUBTOTAL(9,J53:J55)</f>
        <v>839773486.10000002</v>
      </c>
      <c r="K52" s="128">
        <f>SUBTOTAL(9,K53:K55)</f>
        <v>839773486.10000002</v>
      </c>
      <c r="L52" s="26"/>
      <c r="N52" s="103"/>
    </row>
    <row r="53" spans="1:16" s="4" customFormat="1" ht="25.5" customHeight="1" outlineLevel="1">
      <c r="A53" s="27" t="str">
        <f>$A$52&amp;"."&amp;ROW()-ROW($A$52)</f>
        <v>2A.C6.1</v>
      </c>
      <c r="B53" s="28" t="s">
        <v>44</v>
      </c>
      <c r="C53" s="28" t="s">
        <v>515</v>
      </c>
      <c r="D53" s="29" t="s">
        <v>520</v>
      </c>
      <c r="E53" s="31">
        <v>15469.538</v>
      </c>
      <c r="F53" s="31">
        <v>15469.538</v>
      </c>
      <c r="G53" s="142">
        <f>_xlfn.XLOOKUP(B53, Rate_Master!$A:$A, Rate_Master!$C:$C, "")</f>
        <v>14949.999999999998</v>
      </c>
      <c r="H53" s="142">
        <f>_xlfn.XLOOKUP(B53, Rate_Master!$A:$A, Rate_Master!$D:$D, "")</f>
        <v>17250</v>
      </c>
      <c r="I53" s="66">
        <f>+H53+G53</f>
        <v>32200</v>
      </c>
      <c r="J53" s="32">
        <f>I53*E53</f>
        <v>498119123.60000002</v>
      </c>
      <c r="K53" s="129">
        <f>I53*F53</f>
        <v>498119123.60000002</v>
      </c>
      <c r="L53" s="32"/>
    </row>
    <row r="54" spans="1:16" s="4" customFormat="1" ht="51" customHeight="1" outlineLevel="1">
      <c r="A54" s="27" t="str">
        <f>$A$52&amp;"."&amp;ROW()-ROW($A$52)</f>
        <v>2A.C6.2</v>
      </c>
      <c r="B54" s="34" t="s">
        <v>45</v>
      </c>
      <c r="C54" s="28" t="s">
        <v>515</v>
      </c>
      <c r="D54" s="29" t="s">
        <v>517</v>
      </c>
      <c r="E54" s="31">
        <v>11883.63</v>
      </c>
      <c r="F54" s="31">
        <v>11883.63</v>
      </c>
      <c r="G54" s="142">
        <f>_xlfn.XLOOKUP(B54, Rate_Master!$A:$A, Rate_Master!$C:$C, "")</f>
        <v>5750</v>
      </c>
      <c r="H54" s="142">
        <f>_xlfn.XLOOKUP(B54, Rate_Master!$A:$A, Rate_Master!$D:$D, "")</f>
        <v>23000</v>
      </c>
      <c r="I54" s="66">
        <f>+H54+G54</f>
        <v>28750</v>
      </c>
      <c r="J54" s="32">
        <f>I54*E54</f>
        <v>341654362.5</v>
      </c>
      <c r="K54" s="129">
        <f>I54*F54</f>
        <v>341654362.5</v>
      </c>
      <c r="L54" s="32"/>
    </row>
    <row r="55" spans="1:16" s="4" customFormat="1" ht="38.25" customHeight="1" outlineLevel="1">
      <c r="A55" s="27" t="str">
        <f>$A$52&amp;"."&amp;ROW()-ROW($A$52)</f>
        <v>2A.C6.3</v>
      </c>
      <c r="B55" s="28" t="s">
        <v>46</v>
      </c>
      <c r="C55" s="28" t="s">
        <v>515</v>
      </c>
      <c r="D55" s="29" t="s">
        <v>517</v>
      </c>
      <c r="E55" s="31">
        <v>0</v>
      </c>
      <c r="F55" s="31">
        <v>0</v>
      </c>
      <c r="G55" s="142">
        <f>_xlfn.XLOOKUP(B55, Rate_Master!$A:$A, Rate_Master!$C:$C, "")</f>
        <v>172500</v>
      </c>
      <c r="H55" s="142">
        <f>_xlfn.XLOOKUP(B55, Rate_Master!$A:$A, Rate_Master!$D:$D, "")</f>
        <v>57499.999999999993</v>
      </c>
      <c r="I55" s="66">
        <f>+H55+G55</f>
        <v>230000</v>
      </c>
      <c r="J55" s="32">
        <f>I55*E55</f>
        <v>0</v>
      </c>
      <c r="K55" s="129">
        <f>I55*F55</f>
        <v>0</v>
      </c>
      <c r="L55" s="32"/>
    </row>
    <row r="56" spans="1:16" s="3" customFormat="1" ht="25.5" customHeight="1">
      <c r="A56" s="22" t="str">
        <f>$A$9&amp;".S"</f>
        <v>2A.S</v>
      </c>
      <c r="B56" s="23" t="s">
        <v>47</v>
      </c>
      <c r="C56" s="23" t="s">
        <v>515</v>
      </c>
      <c r="D56" s="22"/>
      <c r="E56" s="25"/>
      <c r="F56" s="87"/>
      <c r="G56" s="145">
        <f>_xlfn.XLOOKUP(B56, Rate_Master!$A:$A, Rate_Master!$C:$C, "")</f>
        <v>0</v>
      </c>
      <c r="H56" s="145">
        <f>_xlfn.XLOOKUP(B56, Rate_Master!$A:$A, Rate_Master!$D:$D, "")</f>
        <v>0</v>
      </c>
      <c r="I56" s="26"/>
      <c r="J56" s="26"/>
      <c r="K56" s="128"/>
      <c r="L56" s="26"/>
    </row>
    <row r="57" spans="1:16" s="3" customFormat="1" ht="25.5" customHeight="1">
      <c r="A57" s="22" t="str">
        <f>$A$56&amp;1</f>
        <v>2A.S1</v>
      </c>
      <c r="B57" s="23" t="s">
        <v>48</v>
      </c>
      <c r="C57" s="23" t="s">
        <v>515</v>
      </c>
      <c r="D57" s="22"/>
      <c r="E57" s="25"/>
      <c r="F57" s="87"/>
      <c r="G57" s="25">
        <f>_xlfn.XLOOKUP(B57, Rate_Master!$A:$A, Rate_Master!$C:$C, "")</f>
        <v>0</v>
      </c>
      <c r="H57" s="25">
        <f>_xlfn.XLOOKUP(B57, Rate_Master!$A:$A, Rate_Master!$D:$D, "")</f>
        <v>0</v>
      </c>
      <c r="I57" s="26"/>
      <c r="J57" s="26">
        <f>SUBTOTAL(9,J58:J72)</f>
        <v>15950676950.400646</v>
      </c>
      <c r="K57" s="128">
        <f>SUBTOTAL(9,K58:K72)</f>
        <v>17045624891.889233</v>
      </c>
      <c r="L57" s="26"/>
    </row>
    <row r="58" spans="1:16" s="4" customFormat="1" ht="51" customHeight="1" outlineLevel="1">
      <c r="A58" s="27" t="str">
        <f t="shared" ref="A58:A72" si="12">$A$57&amp;"."&amp;ROW()-ROW($A$57)</f>
        <v>2A.S1.1</v>
      </c>
      <c r="B58" s="28" t="s">
        <v>49</v>
      </c>
      <c r="C58" s="28" t="s">
        <v>525</v>
      </c>
      <c r="D58" s="29" t="s">
        <v>523</v>
      </c>
      <c r="E58" s="31">
        <v>387946.03759000002</v>
      </c>
      <c r="F58" s="36">
        <v>399988.62339399988</v>
      </c>
      <c r="G58" s="93">
        <f>_xlfn.XLOOKUP(B58, Rate_Master!$A:$A, Rate_Master!$C:$C, "")</f>
        <v>20475</v>
      </c>
      <c r="H58" s="93">
        <f>_xlfn.XLOOKUP(B58, Rate_Master!$A:$A, Rate_Master!$D:$D, "")</f>
        <v>0</v>
      </c>
      <c r="I58" s="67">
        <f t="shared" ref="I58:I72" si="13">+SUM(G58:H58)</f>
        <v>20475</v>
      </c>
      <c r="J58" s="32">
        <f t="shared" ref="J58:J72" si="14">I58*E58</f>
        <v>7943195119.6552505</v>
      </c>
      <c r="K58" s="130">
        <f t="shared" ref="K58:K72" si="15">+F58*I58</f>
        <v>8189767063.9921474</v>
      </c>
      <c r="L58" s="32"/>
      <c r="N58" s="104"/>
      <c r="O58" s="104"/>
      <c r="P58" s="104"/>
    </row>
    <row r="59" spans="1:16" s="4" customFormat="1" ht="76.5" customHeight="1" outlineLevel="1">
      <c r="A59" s="27" t="str">
        <f t="shared" si="12"/>
        <v>2A.S1.2</v>
      </c>
      <c r="B59" s="28" t="s">
        <v>50</v>
      </c>
      <c r="C59" s="28" t="s">
        <v>526</v>
      </c>
      <c r="D59" s="29" t="s">
        <v>523</v>
      </c>
      <c r="E59" s="31">
        <v>64978.070419999996</v>
      </c>
      <c r="F59" s="36">
        <v>69289.222259200003</v>
      </c>
      <c r="G59" s="93">
        <f>_xlfn.XLOOKUP(B59, Rate_Master!$A:$A, Rate_Master!$C:$C, "")</f>
        <v>26775</v>
      </c>
      <c r="H59" s="93">
        <f>_xlfn.XLOOKUP(B59, Rate_Master!$A:$A, Rate_Master!$D:$D, "")</f>
        <v>0</v>
      </c>
      <c r="I59" s="67">
        <f t="shared" si="13"/>
        <v>26775</v>
      </c>
      <c r="J59" s="32">
        <f t="shared" si="14"/>
        <v>1739787835.4954998</v>
      </c>
      <c r="K59" s="130">
        <f t="shared" si="15"/>
        <v>1855218925.9900801</v>
      </c>
      <c r="L59" s="32"/>
      <c r="N59" s="104"/>
      <c r="O59" s="104"/>
      <c r="P59" s="104"/>
    </row>
    <row r="60" spans="1:16" s="4" customFormat="1" ht="76.5" customHeight="1" outlineLevel="1">
      <c r="A60" s="27" t="str">
        <f t="shared" si="12"/>
        <v>2A.S1.3</v>
      </c>
      <c r="B60" s="28" t="s">
        <v>51</v>
      </c>
      <c r="C60" s="28" t="s">
        <v>527</v>
      </c>
      <c r="D60" s="29" t="s">
        <v>523</v>
      </c>
      <c r="E60" s="31">
        <v>3760.43519838673</v>
      </c>
      <c r="F60" s="36">
        <v>4234.5800000000008</v>
      </c>
      <c r="G60" s="93">
        <f>_xlfn.XLOOKUP(B60, Rate_Master!$A:$A, Rate_Master!$C:$C, "")</f>
        <v>36750</v>
      </c>
      <c r="H60" s="93">
        <f>_xlfn.XLOOKUP(B60, Rate_Master!$A:$A, Rate_Master!$D:$D, "")</f>
        <v>0</v>
      </c>
      <c r="I60" s="67">
        <f t="shared" si="13"/>
        <v>36750</v>
      </c>
      <c r="J60" s="32">
        <f t="shared" si="14"/>
        <v>138195993.54071233</v>
      </c>
      <c r="K60" s="130">
        <f t="shared" si="15"/>
        <v>155620815.00000003</v>
      </c>
      <c r="L60" s="32"/>
      <c r="N60" s="104"/>
      <c r="O60" s="104"/>
      <c r="P60" s="104"/>
    </row>
    <row r="61" spans="1:16" s="4" customFormat="1" ht="76.5" customHeight="1" outlineLevel="1">
      <c r="A61" s="27" t="str">
        <f t="shared" si="12"/>
        <v>2A.S1.4</v>
      </c>
      <c r="B61" s="28" t="s">
        <v>52</v>
      </c>
      <c r="C61" s="28" t="s">
        <v>527</v>
      </c>
      <c r="D61" s="29" t="s">
        <v>523</v>
      </c>
      <c r="E61" s="31">
        <v>9241.02</v>
      </c>
      <c r="F61" s="36">
        <v>9552.1420799999996</v>
      </c>
      <c r="G61" s="93">
        <f>_xlfn.XLOOKUP(B61, Rate_Master!$A:$A, Rate_Master!$C:$C, "")</f>
        <v>26775</v>
      </c>
      <c r="H61" s="93">
        <f>_xlfn.XLOOKUP(B61, Rate_Master!$A:$A, Rate_Master!$D:$D, "")</f>
        <v>0</v>
      </c>
      <c r="I61" s="67">
        <f t="shared" si="13"/>
        <v>26775</v>
      </c>
      <c r="J61" s="32">
        <f t="shared" si="14"/>
        <v>247428310.5</v>
      </c>
      <c r="K61" s="130">
        <f t="shared" si="15"/>
        <v>255758604.192</v>
      </c>
      <c r="L61" s="32"/>
      <c r="N61" s="104"/>
      <c r="O61" s="104"/>
      <c r="P61" s="104"/>
    </row>
    <row r="62" spans="1:16" s="4" customFormat="1" ht="25.5" customHeight="1" outlineLevel="1">
      <c r="A62" s="27" t="str">
        <f t="shared" si="12"/>
        <v>2A.S1.5</v>
      </c>
      <c r="B62" s="28" t="s">
        <v>53</v>
      </c>
      <c r="C62" s="28" t="s">
        <v>528</v>
      </c>
      <c r="D62" s="29" t="s">
        <v>523</v>
      </c>
      <c r="E62" s="31">
        <v>87669.660359999994</v>
      </c>
      <c r="F62" s="36">
        <v>107870.81582</v>
      </c>
      <c r="G62" s="93">
        <f>_xlfn.XLOOKUP(B62, Rate_Master!$A:$A, Rate_Master!$C:$C, "")</f>
        <v>22365</v>
      </c>
      <c r="H62" s="93">
        <f>_xlfn.XLOOKUP(B62, Rate_Master!$A:$A, Rate_Master!$D:$D, "")</f>
        <v>0</v>
      </c>
      <c r="I62" s="67">
        <f t="shared" si="13"/>
        <v>22365</v>
      </c>
      <c r="J62" s="32">
        <f t="shared" si="14"/>
        <v>1960731953.9513998</v>
      </c>
      <c r="K62" s="130">
        <f t="shared" si="15"/>
        <v>2412530795.8143001</v>
      </c>
      <c r="L62" s="32"/>
      <c r="N62" s="104"/>
      <c r="O62" s="104"/>
      <c r="P62" s="104"/>
    </row>
    <row r="63" spans="1:16" s="4" customFormat="1" ht="38.25" customHeight="1" outlineLevel="1">
      <c r="A63" s="27" t="str">
        <f t="shared" si="12"/>
        <v>2A.S1.6</v>
      </c>
      <c r="B63" s="28" t="s">
        <v>54</v>
      </c>
      <c r="C63" s="28" t="s">
        <v>529</v>
      </c>
      <c r="D63" s="29" t="s">
        <v>523</v>
      </c>
      <c r="E63" s="31">
        <v>9037.4376071091192</v>
      </c>
      <c r="F63" s="36">
        <v>8523.2000000000025</v>
      </c>
      <c r="G63" s="93">
        <f>_xlfn.XLOOKUP(B63, Rate_Master!$A:$A, Rate_Master!$C:$C, "")</f>
        <v>36750</v>
      </c>
      <c r="H63" s="93">
        <f>_xlfn.XLOOKUP(B63, Rate_Master!$A:$A, Rate_Master!$D:$D, "")</f>
        <v>0</v>
      </c>
      <c r="I63" s="67">
        <f t="shared" si="13"/>
        <v>36750</v>
      </c>
      <c r="J63" s="32">
        <f t="shared" si="14"/>
        <v>332125832.0612601</v>
      </c>
      <c r="K63" s="130">
        <f t="shared" si="15"/>
        <v>313227600.00000012</v>
      </c>
      <c r="L63" s="32"/>
      <c r="N63" s="104"/>
      <c r="O63" s="104"/>
      <c r="P63" s="104"/>
    </row>
    <row r="64" spans="1:16" s="4" customFormat="1" ht="25.5" customHeight="1" outlineLevel="1">
      <c r="A64" s="27" t="str">
        <f t="shared" si="12"/>
        <v>2A.S1.7</v>
      </c>
      <c r="B64" s="28" t="s">
        <v>55</v>
      </c>
      <c r="C64" s="28" t="s">
        <v>530</v>
      </c>
      <c r="D64" s="29" t="s">
        <v>523</v>
      </c>
      <c r="E64" s="31">
        <v>6723.6192000000001</v>
      </c>
      <c r="F64" s="36">
        <v>8799.2473579612943</v>
      </c>
      <c r="G64" s="93">
        <f>_xlfn.XLOOKUP(B64, Rate_Master!$A:$A, Rate_Master!$C:$C, "")</f>
        <v>27930</v>
      </c>
      <c r="H64" s="93">
        <f>_xlfn.XLOOKUP(B64, Rate_Master!$A:$A, Rate_Master!$D:$D, "")</f>
        <v>0</v>
      </c>
      <c r="I64" s="67">
        <f t="shared" si="13"/>
        <v>27930</v>
      </c>
      <c r="J64" s="32">
        <f t="shared" si="14"/>
        <v>187790684.25600001</v>
      </c>
      <c r="K64" s="130">
        <f t="shared" si="15"/>
        <v>245762978.70785895</v>
      </c>
      <c r="L64" s="32"/>
      <c r="N64" s="104"/>
      <c r="O64" s="104"/>
      <c r="P64" s="104"/>
    </row>
    <row r="65" spans="1:16" s="4" customFormat="1" ht="25.5" customHeight="1" outlineLevel="1">
      <c r="A65" s="27" t="str">
        <f t="shared" si="12"/>
        <v>2A.S1.8</v>
      </c>
      <c r="B65" s="28" t="s">
        <v>56</v>
      </c>
      <c r="C65" s="28" t="s">
        <v>531</v>
      </c>
      <c r="D65" s="29" t="s">
        <v>523</v>
      </c>
      <c r="E65" s="31">
        <v>10507.8</v>
      </c>
      <c r="F65" s="36">
        <v>10304.719999999999</v>
      </c>
      <c r="G65" s="93">
        <f>_xlfn.XLOOKUP(B65, Rate_Master!$A:$A, Rate_Master!$C:$C, "")</f>
        <v>52500</v>
      </c>
      <c r="H65" s="93">
        <f>_xlfn.XLOOKUP(B65, Rate_Master!$A:$A, Rate_Master!$D:$D, "")</f>
        <v>0</v>
      </c>
      <c r="I65" s="67">
        <f t="shared" si="13"/>
        <v>52500</v>
      </c>
      <c r="J65" s="32">
        <f t="shared" si="14"/>
        <v>551659500</v>
      </c>
      <c r="K65" s="130">
        <f t="shared" si="15"/>
        <v>540997800</v>
      </c>
      <c r="L65" s="32"/>
      <c r="N65" s="104"/>
      <c r="O65" s="104"/>
      <c r="P65" s="104"/>
    </row>
    <row r="66" spans="1:16" s="4" customFormat="1" ht="25.5" customHeight="1" outlineLevel="1">
      <c r="A66" s="27" t="str">
        <f t="shared" si="12"/>
        <v>2A.S1.9</v>
      </c>
      <c r="B66" s="28" t="s">
        <v>57</v>
      </c>
      <c r="C66" s="28" t="s">
        <v>532</v>
      </c>
      <c r="D66" s="29" t="s">
        <v>523</v>
      </c>
      <c r="E66" s="31">
        <v>4229.51</v>
      </c>
      <c r="F66" s="36">
        <v>4684.9940000000006</v>
      </c>
      <c r="G66" s="93">
        <f>_xlfn.XLOOKUP(B66, Rate_Master!$A:$A, Rate_Master!$C:$C, "")</f>
        <v>60900</v>
      </c>
      <c r="H66" s="93">
        <f>_xlfn.XLOOKUP(B66, Rate_Master!$A:$A, Rate_Master!$D:$D, "")</f>
        <v>0</v>
      </c>
      <c r="I66" s="67">
        <f t="shared" si="13"/>
        <v>60900</v>
      </c>
      <c r="J66" s="32">
        <f t="shared" si="14"/>
        <v>257577159</v>
      </c>
      <c r="K66" s="130">
        <f t="shared" si="15"/>
        <v>285316134.60000002</v>
      </c>
      <c r="L66" s="32"/>
      <c r="N66" s="104"/>
      <c r="O66" s="104"/>
      <c r="P66" s="104"/>
    </row>
    <row r="67" spans="1:16" s="4" customFormat="1" ht="25.5" customHeight="1" outlineLevel="1">
      <c r="A67" s="27" t="str">
        <f t="shared" si="12"/>
        <v>2A.S1.10</v>
      </c>
      <c r="B67" s="28" t="s">
        <v>58</v>
      </c>
      <c r="C67" s="28" t="s">
        <v>533</v>
      </c>
      <c r="D67" s="29" t="s">
        <v>523</v>
      </c>
      <c r="E67" s="31">
        <v>1451.03</v>
      </c>
      <c r="F67" s="36">
        <v>1065.1980000000001</v>
      </c>
      <c r="G67" s="93">
        <f>_xlfn.XLOOKUP(B67, Rate_Master!$A:$A, Rate_Master!$C:$C, "")</f>
        <v>60900</v>
      </c>
      <c r="H67" s="93">
        <f>_xlfn.XLOOKUP(B67, Rate_Master!$A:$A, Rate_Master!$D:$D, "")</f>
        <v>0</v>
      </c>
      <c r="I67" s="67">
        <f t="shared" si="13"/>
        <v>60900</v>
      </c>
      <c r="J67" s="32">
        <f t="shared" si="14"/>
        <v>88367727</v>
      </c>
      <c r="K67" s="130">
        <f t="shared" si="15"/>
        <v>64870558.200000003</v>
      </c>
      <c r="L67" s="32"/>
      <c r="N67" s="104"/>
      <c r="O67" s="104"/>
      <c r="P67" s="104"/>
    </row>
    <row r="68" spans="1:16" s="4" customFormat="1" ht="25.5" customHeight="1" outlineLevel="1">
      <c r="A68" s="27" t="str">
        <f t="shared" si="12"/>
        <v>2A.S1.11</v>
      </c>
      <c r="B68" s="28" t="s">
        <v>59</v>
      </c>
      <c r="C68" s="28" t="s">
        <v>534</v>
      </c>
      <c r="D68" s="29" t="s">
        <v>518</v>
      </c>
      <c r="E68" s="31">
        <v>6178</v>
      </c>
      <c r="F68" s="36">
        <v>6580</v>
      </c>
      <c r="G68" s="93">
        <f>_xlfn.XLOOKUP(B68, Rate_Master!$A:$A, Rate_Master!$C:$C, "")</f>
        <v>21000</v>
      </c>
      <c r="H68" s="93">
        <f>_xlfn.XLOOKUP(B68, Rate_Master!$A:$A, Rate_Master!$D:$D, "")</f>
        <v>0</v>
      </c>
      <c r="I68" s="67">
        <f t="shared" si="13"/>
        <v>21000</v>
      </c>
      <c r="J68" s="32">
        <f t="shared" si="14"/>
        <v>129738000</v>
      </c>
      <c r="K68" s="130">
        <f t="shared" si="15"/>
        <v>138180000</v>
      </c>
      <c r="L68" s="32"/>
      <c r="N68" s="104"/>
      <c r="O68" s="104"/>
      <c r="P68" s="104"/>
    </row>
    <row r="69" spans="1:16" s="4" customFormat="1" ht="25.5" customHeight="1" outlineLevel="1">
      <c r="A69" s="27" t="str">
        <f t="shared" si="12"/>
        <v>2A.S1.12</v>
      </c>
      <c r="B69" s="28" t="s">
        <v>60</v>
      </c>
      <c r="C69" s="28" t="s">
        <v>515</v>
      </c>
      <c r="D69" s="29" t="s">
        <v>523</v>
      </c>
      <c r="E69" s="31">
        <v>10507.8</v>
      </c>
      <c r="F69" s="36">
        <v>10304.719999999999</v>
      </c>
      <c r="G69" s="93">
        <f>_xlfn.XLOOKUP(B69, Rate_Master!$A:$A, Rate_Master!$C:$C, "")</f>
        <v>630</v>
      </c>
      <c r="H69" s="93">
        <f>_xlfn.XLOOKUP(B69, Rate_Master!$A:$A, Rate_Master!$D:$D, "")</f>
        <v>0</v>
      </c>
      <c r="I69" s="67">
        <f t="shared" si="13"/>
        <v>630</v>
      </c>
      <c r="J69" s="32">
        <f t="shared" si="14"/>
        <v>6619914</v>
      </c>
      <c r="K69" s="130">
        <f t="shared" si="15"/>
        <v>6491973.5999999996</v>
      </c>
      <c r="L69" s="32"/>
      <c r="N69" s="104"/>
      <c r="O69" s="104"/>
      <c r="P69" s="104"/>
    </row>
    <row r="70" spans="1:16" s="4" customFormat="1" ht="25.5" customHeight="1" outlineLevel="1">
      <c r="A70" s="27" t="str">
        <f t="shared" si="12"/>
        <v>2A.S1.13</v>
      </c>
      <c r="B70" s="28" t="s">
        <v>61</v>
      </c>
      <c r="C70" s="28" t="s">
        <v>515</v>
      </c>
      <c r="D70" s="29" t="s">
        <v>523</v>
      </c>
      <c r="E70" s="31">
        <v>569356.28037549602</v>
      </c>
      <c r="F70" s="36">
        <v>614008.02291116107</v>
      </c>
      <c r="G70" s="93">
        <f>_xlfn.XLOOKUP(B70, Rate_Master!$A:$A, Rate_Master!$C:$C, "")</f>
        <v>630</v>
      </c>
      <c r="H70" s="93">
        <f>_xlfn.XLOOKUP(B70, Rate_Master!$A:$A, Rate_Master!$D:$D, "")</f>
        <v>0</v>
      </c>
      <c r="I70" s="67">
        <f t="shared" si="13"/>
        <v>630</v>
      </c>
      <c r="J70" s="32">
        <f t="shared" si="14"/>
        <v>358694456.63656247</v>
      </c>
      <c r="K70" s="130">
        <f t="shared" si="15"/>
        <v>386825054.43403149</v>
      </c>
      <c r="L70" s="32"/>
      <c r="N70" s="104"/>
      <c r="O70" s="104"/>
      <c r="P70" s="104"/>
    </row>
    <row r="71" spans="1:16" s="4" customFormat="1" ht="25.5" customHeight="1" outlineLevel="1">
      <c r="A71" s="27" t="str">
        <f t="shared" si="12"/>
        <v>2A.S1.14</v>
      </c>
      <c r="B71" s="28" t="s">
        <v>62</v>
      </c>
      <c r="C71" s="28" t="s">
        <v>515</v>
      </c>
      <c r="D71" s="29" t="s">
        <v>518</v>
      </c>
      <c r="E71" s="31">
        <v>1266</v>
      </c>
      <c r="F71" s="36">
        <v>1474</v>
      </c>
      <c r="G71" s="93">
        <f>_xlfn.XLOOKUP(B71, Rate_Master!$A:$A, Rate_Master!$C:$C, "")</f>
        <v>0</v>
      </c>
      <c r="H71" s="93">
        <f>_xlfn.XLOOKUP(B71, Rate_Master!$A:$A, Rate_Master!$D:$D, "")</f>
        <v>264500</v>
      </c>
      <c r="I71" s="67">
        <f t="shared" si="13"/>
        <v>264500</v>
      </c>
      <c r="J71" s="32">
        <f t="shared" si="14"/>
        <v>334857000</v>
      </c>
      <c r="K71" s="130">
        <f t="shared" si="15"/>
        <v>389873000</v>
      </c>
      <c r="L71" s="32"/>
      <c r="N71" s="104"/>
      <c r="O71" s="104"/>
      <c r="P71" s="104"/>
    </row>
    <row r="72" spans="1:16" s="4" customFormat="1" ht="25.5" customHeight="1" outlineLevel="1">
      <c r="A72" s="27" t="str">
        <f t="shared" si="12"/>
        <v>2A.S1.15</v>
      </c>
      <c r="B72" s="28" t="s">
        <v>63</v>
      </c>
      <c r="C72" s="28" t="s">
        <v>515</v>
      </c>
      <c r="D72" s="29" t="s">
        <v>523</v>
      </c>
      <c r="E72" s="31">
        <v>569356.28037549602</v>
      </c>
      <c r="F72" s="36">
        <v>614008.02291116107</v>
      </c>
      <c r="G72" s="93">
        <f>_xlfn.XLOOKUP(B72, Rate_Master!$A:$A, Rate_Master!$C:$C, "")</f>
        <v>2940</v>
      </c>
      <c r="H72" s="93">
        <f>_xlfn.XLOOKUP(B72, Rate_Master!$A:$A, Rate_Master!$D:$D, "")</f>
        <v>0</v>
      </c>
      <c r="I72" s="67">
        <f t="shared" si="13"/>
        <v>2940</v>
      </c>
      <c r="J72" s="32">
        <f t="shared" si="14"/>
        <v>1673907464.3039582</v>
      </c>
      <c r="K72" s="130">
        <f t="shared" si="15"/>
        <v>1805183587.3588135</v>
      </c>
      <c r="L72" s="32"/>
      <c r="N72" s="104"/>
      <c r="O72" s="104"/>
      <c r="P72" s="104"/>
    </row>
    <row r="73" spans="1:16" s="3" customFormat="1" ht="25.5" customHeight="1">
      <c r="A73" s="22" t="str">
        <f>$A$56&amp;2</f>
        <v>2A.S2</v>
      </c>
      <c r="B73" s="23" t="s">
        <v>64</v>
      </c>
      <c r="C73" s="23" t="s">
        <v>515</v>
      </c>
      <c r="D73" s="22"/>
      <c r="E73" s="25"/>
      <c r="F73" s="87"/>
      <c r="G73" s="25">
        <f>_xlfn.XLOOKUP(B73, Rate_Master!$A:$A, Rate_Master!$C:$C, "")</f>
        <v>0</v>
      </c>
      <c r="H73" s="25">
        <f>_xlfn.XLOOKUP(B73, Rate_Master!$A:$A, Rate_Master!$D:$D, "")</f>
        <v>0</v>
      </c>
      <c r="I73" s="68"/>
      <c r="J73" s="26">
        <f>SUBTOTAL(9,J74:J78)</f>
        <v>0</v>
      </c>
      <c r="K73" s="127">
        <f>SUBTOTAL(9,K74:K78)</f>
        <v>0</v>
      </c>
      <c r="L73" s="26"/>
      <c r="N73" s="104"/>
      <c r="O73" s="104"/>
      <c r="P73" s="104"/>
    </row>
    <row r="74" spans="1:16" s="4" customFormat="1" ht="25.5" customHeight="1" outlineLevel="1">
      <c r="A74" s="27" t="str">
        <f>$A$73&amp;"."&amp;ROW()-ROW($A$73)</f>
        <v>2A.S2.1</v>
      </c>
      <c r="B74" s="28" t="s">
        <v>65</v>
      </c>
      <c r="C74" s="28" t="s">
        <v>535</v>
      </c>
      <c r="D74" s="29" t="s">
        <v>520</v>
      </c>
      <c r="E74" s="31">
        <v>0</v>
      </c>
      <c r="F74" s="36">
        <v>61.5</v>
      </c>
      <c r="G74" s="93">
        <f>_xlfn.XLOOKUP(B74, Rate_Master!$A:$A, Rate_Master!$C:$C, "")</f>
        <v>0</v>
      </c>
      <c r="H74" s="93">
        <f>_xlfn.XLOOKUP(B74, Rate_Master!$A:$A, Rate_Master!$D:$D, "")</f>
        <v>0</v>
      </c>
      <c r="I74" s="67">
        <f>+SUM(G74:H74)</f>
        <v>0</v>
      </c>
      <c r="J74" s="32">
        <f>I74*E74</f>
        <v>0</v>
      </c>
      <c r="K74" s="130">
        <f>+F74*I74</f>
        <v>0</v>
      </c>
      <c r="L74" s="32"/>
      <c r="N74" s="104"/>
      <c r="O74" s="104"/>
      <c r="P74" s="104"/>
    </row>
    <row r="75" spans="1:16" s="4" customFormat="1" ht="25.5" customHeight="1" outlineLevel="1">
      <c r="A75" s="27" t="str">
        <f>$A$73&amp;"."&amp;ROW()-ROW($A$73)</f>
        <v>2A.S2.2</v>
      </c>
      <c r="B75" s="28" t="s">
        <v>66</v>
      </c>
      <c r="C75" s="28" t="s">
        <v>536</v>
      </c>
      <c r="D75" s="29" t="s">
        <v>518</v>
      </c>
      <c r="E75" s="31">
        <v>0</v>
      </c>
      <c r="F75" s="36">
        <v>238</v>
      </c>
      <c r="G75" s="93">
        <f>_xlfn.XLOOKUP(B75, Rate_Master!$A:$A, Rate_Master!$C:$C, "")</f>
        <v>0</v>
      </c>
      <c r="H75" s="93">
        <f>_xlfn.XLOOKUP(B75, Rate_Master!$A:$A, Rate_Master!$D:$D, "")</f>
        <v>0</v>
      </c>
      <c r="I75" s="67">
        <f>+SUM(G75:H75)</f>
        <v>0</v>
      </c>
      <c r="J75" s="32">
        <f>I75*E75</f>
        <v>0</v>
      </c>
      <c r="K75" s="130">
        <f>+F75*I75</f>
        <v>0</v>
      </c>
      <c r="L75" s="32"/>
      <c r="N75" s="104"/>
      <c r="O75" s="104"/>
      <c r="P75" s="104"/>
    </row>
    <row r="76" spans="1:16" s="4" customFormat="1" ht="25.5" customHeight="1" outlineLevel="1">
      <c r="A76" s="27" t="str">
        <f>$A$73&amp;"."&amp;ROW()-ROW($A$73)</f>
        <v>2A.S2.3</v>
      </c>
      <c r="B76" s="28" t="s">
        <v>67</v>
      </c>
      <c r="C76" s="28" t="s">
        <v>515</v>
      </c>
      <c r="D76" s="29" t="s">
        <v>520</v>
      </c>
      <c r="E76" s="31">
        <v>0</v>
      </c>
      <c r="F76" s="36">
        <v>39.299999999999997</v>
      </c>
      <c r="G76" s="93">
        <f>_xlfn.XLOOKUP(B76, Rate_Master!$A:$A, Rate_Master!$C:$C, "")</f>
        <v>0</v>
      </c>
      <c r="H76" s="93">
        <f>_xlfn.XLOOKUP(B76, Rate_Master!$A:$A, Rate_Master!$D:$D, "")</f>
        <v>0</v>
      </c>
      <c r="I76" s="67">
        <f>+SUM(G76:H76)</f>
        <v>0</v>
      </c>
      <c r="J76" s="32">
        <f>I76*E76</f>
        <v>0</v>
      </c>
      <c r="K76" s="130">
        <f>+F76*I76</f>
        <v>0</v>
      </c>
      <c r="L76" s="32"/>
      <c r="N76" s="104"/>
      <c r="O76" s="104"/>
      <c r="P76" s="104"/>
    </row>
    <row r="77" spans="1:16" s="4" customFormat="1" ht="25.5" customHeight="1" outlineLevel="1">
      <c r="A77" s="27" t="str">
        <f>$A$73&amp;"."&amp;ROW()-ROW($A$73)</f>
        <v>2A.S2.4</v>
      </c>
      <c r="B77" s="28" t="s">
        <v>68</v>
      </c>
      <c r="C77" s="28" t="s">
        <v>515</v>
      </c>
      <c r="D77" s="29" t="s">
        <v>457</v>
      </c>
      <c r="E77" s="31">
        <v>0</v>
      </c>
      <c r="F77" s="36">
        <v>1</v>
      </c>
      <c r="G77" s="93">
        <f>_xlfn.XLOOKUP(B77, Rate_Master!$A:$A, Rate_Master!$C:$C, "")</f>
        <v>0</v>
      </c>
      <c r="H77" s="93">
        <f>_xlfn.XLOOKUP(B77, Rate_Master!$A:$A, Rate_Master!$D:$D, "")</f>
        <v>0</v>
      </c>
      <c r="I77" s="67">
        <f>+SUM(G77:H77)</f>
        <v>0</v>
      </c>
      <c r="J77" s="32">
        <f>I77*E77</f>
        <v>0</v>
      </c>
      <c r="K77" s="130">
        <f>+F77*I77</f>
        <v>0</v>
      </c>
      <c r="L77" s="32"/>
      <c r="N77" s="104"/>
      <c r="O77" s="104"/>
      <c r="P77" s="104"/>
    </row>
    <row r="78" spans="1:16" s="4" customFormat="1" ht="25.5" customHeight="1" outlineLevel="1">
      <c r="A78" s="27" t="str">
        <f>$A$73&amp;"."&amp;ROW()-ROW($A$73)</f>
        <v>2A.S2.5</v>
      </c>
      <c r="B78" s="28" t="s">
        <v>69</v>
      </c>
      <c r="C78" s="28" t="s">
        <v>515</v>
      </c>
      <c r="D78" s="29" t="s">
        <v>520</v>
      </c>
      <c r="E78" s="31">
        <v>0</v>
      </c>
      <c r="F78" s="36">
        <v>61.5</v>
      </c>
      <c r="G78" s="93">
        <f>_xlfn.XLOOKUP(B78, Rate_Master!$A:$A, Rate_Master!$C:$C, "")</f>
        <v>0</v>
      </c>
      <c r="H78" s="93">
        <f>_xlfn.XLOOKUP(B78, Rate_Master!$A:$A, Rate_Master!$D:$D, "")</f>
        <v>0</v>
      </c>
      <c r="I78" s="67">
        <f>+SUM(G78:H78)</f>
        <v>0</v>
      </c>
      <c r="J78" s="32">
        <f>I78*E78</f>
        <v>0</v>
      </c>
      <c r="K78" s="130">
        <f>+F78*I78</f>
        <v>0</v>
      </c>
      <c r="L78" s="32"/>
      <c r="N78" s="104"/>
      <c r="O78" s="104"/>
      <c r="P78" s="104"/>
    </row>
    <row r="79" spans="1:16" s="3" customFormat="1" ht="25.5" customHeight="1">
      <c r="A79" s="22" t="str">
        <f>$A$56&amp;3</f>
        <v>2A.S3</v>
      </c>
      <c r="B79" s="23" t="s">
        <v>70</v>
      </c>
      <c r="C79" s="23" t="s">
        <v>515</v>
      </c>
      <c r="D79" s="22"/>
      <c r="E79" s="25"/>
      <c r="F79" s="87"/>
      <c r="G79" s="25">
        <f>_xlfn.XLOOKUP(B79, Rate_Master!$A:$A, Rate_Master!$C:$C, "")</f>
        <v>0</v>
      </c>
      <c r="H79" s="25">
        <f>_xlfn.XLOOKUP(B79, Rate_Master!$A:$A, Rate_Master!$D:$D, "")</f>
        <v>0</v>
      </c>
      <c r="I79" s="68"/>
      <c r="J79" s="26">
        <f>SUBTOTAL(9,J80:J93)</f>
        <v>8103713244.2356071</v>
      </c>
      <c r="K79" s="127">
        <f>SUBTOTAL(9,K80:K93)</f>
        <v>8096729570.5806065</v>
      </c>
      <c r="L79" s="26"/>
      <c r="N79" s="104"/>
      <c r="O79" s="104"/>
      <c r="P79" s="104"/>
    </row>
    <row r="80" spans="1:16" s="4" customFormat="1" ht="51" customHeight="1" outlineLevel="1">
      <c r="A80" s="27" t="str">
        <f t="shared" ref="A80:A93" si="16">$A$79&amp;"."&amp;ROW()-ROW($A$79)</f>
        <v>2A.S3.1</v>
      </c>
      <c r="B80" s="28" t="s">
        <v>71</v>
      </c>
      <c r="C80" s="76" t="str">
        <f>+'1A'!C80</f>
        <v xml:space="preserve">Tôn liên doanh Việt hàn, AZ170
</v>
      </c>
      <c r="D80" s="29" t="s">
        <v>520</v>
      </c>
      <c r="E80" s="31">
        <v>16343.46</v>
      </c>
      <c r="F80" s="36">
        <v>16384.247599999999</v>
      </c>
      <c r="G80" s="93">
        <f>_xlfn.XLOOKUP(B80, Rate_Master!$A:$A, Rate_Master!$C:$C, "")</f>
        <v>248399.99999999997</v>
      </c>
      <c r="H80" s="93">
        <f>_xlfn.XLOOKUP(B80, Rate_Master!$A:$A, Rate_Master!$D:$D, "")</f>
        <v>34500</v>
      </c>
      <c r="I80" s="67">
        <f t="shared" ref="I80:I93" si="17">+SUM(G80:H80)</f>
        <v>282900</v>
      </c>
      <c r="J80" s="32">
        <f t="shared" ref="J80:J93" si="18">I80*E80</f>
        <v>4623564834</v>
      </c>
      <c r="K80" s="130">
        <f t="shared" ref="K80:K93" si="19">+F80*I80</f>
        <v>4635103646.04</v>
      </c>
      <c r="L80" s="32"/>
      <c r="N80" s="104"/>
      <c r="O80" s="104"/>
      <c r="P80" s="104"/>
    </row>
    <row r="81" spans="1:16" s="4" customFormat="1" ht="51" customHeight="1" outlineLevel="1">
      <c r="A81" s="27" t="str">
        <f t="shared" si="16"/>
        <v>2A.S3.2</v>
      </c>
      <c r="B81" s="28" t="s">
        <v>72</v>
      </c>
      <c r="C81" s="76" t="str">
        <f>+'1A'!C81</f>
        <v xml:space="preserve">Tôn liên doanh Việt hàn, AZ170
</v>
      </c>
      <c r="D81" s="29" t="s">
        <v>520</v>
      </c>
      <c r="E81" s="31">
        <v>806.38199999999995</v>
      </c>
      <c r="F81" s="36">
        <v>629.80200000000002</v>
      </c>
      <c r="G81" s="93">
        <f>_xlfn.XLOOKUP(B81, Rate_Master!$A:$A, Rate_Master!$C:$C, "")</f>
        <v>206999.99999999997</v>
      </c>
      <c r="H81" s="93">
        <f>_xlfn.XLOOKUP(B81, Rate_Master!$A:$A, Rate_Master!$D:$D, "")</f>
        <v>34500</v>
      </c>
      <c r="I81" s="67">
        <f t="shared" si="17"/>
        <v>241499.99999999997</v>
      </c>
      <c r="J81" s="32">
        <f t="shared" si="18"/>
        <v>194741252.99999997</v>
      </c>
      <c r="K81" s="130">
        <f t="shared" si="19"/>
        <v>152097183</v>
      </c>
      <c r="L81" s="32"/>
      <c r="N81" s="104"/>
      <c r="O81" s="104"/>
      <c r="P81" s="104"/>
    </row>
    <row r="82" spans="1:16" s="4" customFormat="1" ht="63.75" customHeight="1" outlineLevel="1">
      <c r="A82" s="27" t="str">
        <f t="shared" si="16"/>
        <v>2A.S3.3</v>
      </c>
      <c r="B82" s="28" t="s">
        <v>73</v>
      </c>
      <c r="C82" s="76" t="str">
        <f>+'1A'!C82</f>
        <v xml:space="preserve">Tôn liên doanh Việt hàn, AZ170
</v>
      </c>
      <c r="D82" s="29" t="s">
        <v>520</v>
      </c>
      <c r="E82" s="31">
        <v>409.58800000000002</v>
      </c>
      <c r="F82" s="36">
        <v>337.536</v>
      </c>
      <c r="G82" s="93">
        <f>_xlfn.XLOOKUP(B82, Rate_Master!$A:$A, Rate_Master!$C:$C, "")</f>
        <v>195499.99999999997</v>
      </c>
      <c r="H82" s="93">
        <f>_xlfn.XLOOKUP(B82, Rate_Master!$A:$A, Rate_Master!$D:$D, "")</f>
        <v>34500</v>
      </c>
      <c r="I82" s="67">
        <f t="shared" si="17"/>
        <v>229999.99999999997</v>
      </c>
      <c r="J82" s="32">
        <f t="shared" si="18"/>
        <v>94205240</v>
      </c>
      <c r="K82" s="130">
        <f t="shared" si="19"/>
        <v>77633279.999999985</v>
      </c>
      <c r="L82" s="32"/>
      <c r="N82" s="104"/>
      <c r="O82" s="104"/>
      <c r="P82" s="104"/>
    </row>
    <row r="83" spans="1:16" s="4" customFormat="1" ht="25.5" customHeight="1" outlineLevel="1">
      <c r="A83" s="27" t="str">
        <f t="shared" si="16"/>
        <v>2A.S3.4</v>
      </c>
      <c r="B83" s="28" t="s">
        <v>74</v>
      </c>
      <c r="C83" s="28" t="s">
        <v>515</v>
      </c>
      <c r="D83" s="29" t="s">
        <v>520</v>
      </c>
      <c r="E83" s="31">
        <v>16343.46</v>
      </c>
      <c r="F83" s="36">
        <v>16384.247599999999</v>
      </c>
      <c r="G83" s="93">
        <f>_xlfn.XLOOKUP(B83, Rate_Master!$A:$A, Rate_Master!$C:$C, "")</f>
        <v>23000</v>
      </c>
      <c r="H83" s="93">
        <f>_xlfn.XLOOKUP(B83, Rate_Master!$A:$A, Rate_Master!$D:$D, "")</f>
        <v>11500</v>
      </c>
      <c r="I83" s="67">
        <f t="shared" si="17"/>
        <v>34500</v>
      </c>
      <c r="J83" s="32">
        <f t="shared" si="18"/>
        <v>563849370</v>
      </c>
      <c r="K83" s="130">
        <f t="shared" si="19"/>
        <v>565256542.19999993</v>
      </c>
      <c r="L83" s="32"/>
      <c r="N83" s="104"/>
      <c r="O83" s="104"/>
      <c r="P83" s="104"/>
    </row>
    <row r="84" spans="1:16" s="4" customFormat="1" ht="25.5" customHeight="1" outlineLevel="1">
      <c r="A84" s="27" t="str">
        <f t="shared" si="16"/>
        <v>2A.S3.5</v>
      </c>
      <c r="B84" s="28" t="s">
        <v>75</v>
      </c>
      <c r="C84" s="28" t="s">
        <v>538</v>
      </c>
      <c r="D84" s="29" t="s">
        <v>517</v>
      </c>
      <c r="E84" s="31">
        <v>921.8</v>
      </c>
      <c r="F84" s="36">
        <v>1032.21</v>
      </c>
      <c r="G84" s="93">
        <f>_xlfn.XLOOKUP(B84, Rate_Master!$A:$A, Rate_Master!$C:$C, "")</f>
        <v>110399.99999999999</v>
      </c>
      <c r="H84" s="93">
        <f>_xlfn.XLOOKUP(B84, Rate_Master!$A:$A, Rate_Master!$D:$D, "")</f>
        <v>17250</v>
      </c>
      <c r="I84" s="67">
        <f t="shared" si="17"/>
        <v>127649.99999999999</v>
      </c>
      <c r="J84" s="32">
        <f t="shared" si="18"/>
        <v>117667769.99999999</v>
      </c>
      <c r="K84" s="130">
        <f t="shared" si="19"/>
        <v>131761606.49999999</v>
      </c>
      <c r="L84" s="32"/>
      <c r="N84" s="104"/>
      <c r="O84" s="104"/>
      <c r="P84" s="104"/>
    </row>
    <row r="85" spans="1:16" s="4" customFormat="1" ht="25.5" customHeight="1" outlineLevel="1">
      <c r="A85" s="27" t="str">
        <f t="shared" si="16"/>
        <v>2A.S3.6</v>
      </c>
      <c r="B85" s="28" t="s">
        <v>75</v>
      </c>
      <c r="C85" s="28" t="s">
        <v>539</v>
      </c>
      <c r="D85" s="29" t="s">
        <v>517</v>
      </c>
      <c r="E85" s="31">
        <v>2856.6</v>
      </c>
      <c r="F85" s="36">
        <v>2808</v>
      </c>
      <c r="G85" s="93">
        <f>_xlfn.XLOOKUP(B85, Rate_Master!$A:$A, Rate_Master!$C:$C, "")</f>
        <v>110399.99999999999</v>
      </c>
      <c r="H85" s="93">
        <f>_xlfn.XLOOKUP(B85, Rate_Master!$A:$A, Rate_Master!$D:$D, "")</f>
        <v>17250</v>
      </c>
      <c r="I85" s="67">
        <f t="shared" si="17"/>
        <v>127649.99999999999</v>
      </c>
      <c r="J85" s="32">
        <f t="shared" si="18"/>
        <v>364644989.99999994</v>
      </c>
      <c r="K85" s="130">
        <f t="shared" si="19"/>
        <v>358441199.99999994</v>
      </c>
      <c r="L85" s="32"/>
      <c r="N85" s="104"/>
      <c r="O85" s="104"/>
      <c r="P85" s="104"/>
    </row>
    <row r="86" spans="1:16" s="4" customFormat="1" ht="25.5" customHeight="1" outlineLevel="1">
      <c r="A86" s="27" t="str">
        <f t="shared" si="16"/>
        <v>2A.S3.7</v>
      </c>
      <c r="B86" s="28" t="s">
        <v>76</v>
      </c>
      <c r="C86" s="28" t="s">
        <v>540</v>
      </c>
      <c r="D86" s="29" t="s">
        <v>517</v>
      </c>
      <c r="E86" s="31">
        <v>392.4</v>
      </c>
      <c r="F86" s="36">
        <v>392.4</v>
      </c>
      <c r="G86" s="93">
        <f>_xlfn.XLOOKUP(B86, Rate_Master!$A:$A, Rate_Master!$C:$C, "")</f>
        <v>1976115.3983999996</v>
      </c>
      <c r="H86" s="93">
        <f>_xlfn.XLOOKUP(B86, Rate_Master!$A:$A, Rate_Master!$D:$D, "")</f>
        <v>28749.999999999996</v>
      </c>
      <c r="I86" s="67">
        <f t="shared" si="17"/>
        <v>2004865.3983999996</v>
      </c>
      <c r="J86" s="32">
        <f t="shared" si="18"/>
        <v>786709182.33215976</v>
      </c>
      <c r="K86" s="130">
        <f t="shared" si="19"/>
        <v>786709182.33215976</v>
      </c>
      <c r="L86" s="32"/>
      <c r="N86" s="104"/>
      <c r="O86" s="104"/>
      <c r="P86" s="104"/>
    </row>
    <row r="87" spans="1:16" s="4" customFormat="1" ht="25.5" customHeight="1" outlineLevel="1">
      <c r="A87" s="27" t="str">
        <f t="shared" si="16"/>
        <v>2A.S3.8</v>
      </c>
      <c r="B87" s="28" t="s">
        <v>77</v>
      </c>
      <c r="C87" s="28" t="s">
        <v>541</v>
      </c>
      <c r="D87" s="29" t="s">
        <v>517</v>
      </c>
      <c r="E87" s="31">
        <v>196.2</v>
      </c>
      <c r="F87" s="36">
        <v>196.2</v>
      </c>
      <c r="G87" s="93">
        <f>_xlfn.XLOOKUP(B87, Rate_Master!$A:$A, Rate_Master!$C:$C, "")</f>
        <v>1077881.1263999997</v>
      </c>
      <c r="H87" s="93">
        <f>_xlfn.XLOOKUP(B87, Rate_Master!$A:$A, Rate_Master!$D:$D, "")</f>
        <v>23000</v>
      </c>
      <c r="I87" s="67">
        <f t="shared" si="17"/>
        <v>1100881.1263999997</v>
      </c>
      <c r="J87" s="32">
        <f t="shared" si="18"/>
        <v>215992876.99967992</v>
      </c>
      <c r="K87" s="130">
        <f t="shared" si="19"/>
        <v>215992876.99967992</v>
      </c>
      <c r="L87" s="32"/>
      <c r="N87" s="104"/>
      <c r="O87" s="104"/>
      <c r="P87" s="104"/>
    </row>
    <row r="88" spans="1:16" s="4" customFormat="1" ht="25.5" customHeight="1" outlineLevel="1">
      <c r="A88" s="27" t="str">
        <f t="shared" si="16"/>
        <v>2A.S3.9</v>
      </c>
      <c r="B88" s="28" t="s">
        <v>78</v>
      </c>
      <c r="C88" s="28" t="s">
        <v>515</v>
      </c>
      <c r="D88" s="29" t="s">
        <v>518</v>
      </c>
      <c r="E88" s="31">
        <v>24</v>
      </c>
      <c r="F88" s="36">
        <v>50</v>
      </c>
      <c r="G88" s="93">
        <f>_xlfn.XLOOKUP(B88, Rate_Master!$A:$A, Rate_Master!$C:$C, "")</f>
        <v>92000</v>
      </c>
      <c r="H88" s="93">
        <f>_xlfn.XLOOKUP(B88, Rate_Master!$A:$A, Rate_Master!$D:$D, "")</f>
        <v>11500</v>
      </c>
      <c r="I88" s="67">
        <f t="shared" si="17"/>
        <v>103500</v>
      </c>
      <c r="J88" s="32">
        <f t="shared" si="18"/>
        <v>2484000</v>
      </c>
      <c r="K88" s="130">
        <f t="shared" si="19"/>
        <v>5175000</v>
      </c>
      <c r="L88" s="32"/>
      <c r="N88" s="104"/>
      <c r="O88" s="104"/>
      <c r="P88" s="104"/>
    </row>
    <row r="89" spans="1:16" s="4" customFormat="1" ht="63.75" customHeight="1" outlineLevel="1">
      <c r="A89" s="27" t="str">
        <f t="shared" si="16"/>
        <v>2A.S3.10</v>
      </c>
      <c r="B89" s="28" t="s">
        <v>79</v>
      </c>
      <c r="C89" s="28" t="s">
        <v>542</v>
      </c>
      <c r="D89" s="29" t="s">
        <v>517</v>
      </c>
      <c r="E89" s="31">
        <v>376.2</v>
      </c>
      <c r="F89" s="36">
        <v>480</v>
      </c>
      <c r="G89" s="93">
        <f>_xlfn.XLOOKUP(B89, Rate_Master!$A:$A, Rate_Master!$C:$C, "")</f>
        <v>297443.47499999998</v>
      </c>
      <c r="H89" s="93">
        <f>_xlfn.XLOOKUP(B89, Rate_Master!$A:$A, Rate_Master!$D:$D, "")</f>
        <v>23000</v>
      </c>
      <c r="I89" s="67">
        <f t="shared" si="17"/>
        <v>320443.47499999998</v>
      </c>
      <c r="J89" s="32">
        <f t="shared" si="18"/>
        <v>120550835.29499999</v>
      </c>
      <c r="K89" s="130">
        <f t="shared" si="19"/>
        <v>153812868</v>
      </c>
      <c r="L89" s="32"/>
      <c r="N89" s="104"/>
      <c r="O89" s="104"/>
      <c r="P89" s="104"/>
    </row>
    <row r="90" spans="1:16" s="4" customFormat="1" ht="25.5" customHeight="1" outlineLevel="1">
      <c r="A90" s="27" t="str">
        <f t="shared" si="16"/>
        <v>2A.S3.11</v>
      </c>
      <c r="B90" s="28" t="s">
        <v>80</v>
      </c>
      <c r="C90" s="28" t="s">
        <v>515</v>
      </c>
      <c r="D90" s="29" t="s">
        <v>457</v>
      </c>
      <c r="E90" s="31">
        <v>1</v>
      </c>
      <c r="F90" s="36">
        <v>1</v>
      </c>
      <c r="G90" s="93">
        <f>_xlfn.XLOOKUP(B90, Rate_Master!$A:$A, Rate_Master!$C:$C, "")</f>
        <v>0</v>
      </c>
      <c r="H90" s="93">
        <f>_xlfn.XLOOKUP(B90, Rate_Master!$A:$A, Rate_Master!$D:$D, "")</f>
        <v>57499999.999999993</v>
      </c>
      <c r="I90" s="67">
        <f t="shared" si="17"/>
        <v>57499999.999999993</v>
      </c>
      <c r="J90" s="32">
        <f t="shared" si="18"/>
        <v>57499999.999999993</v>
      </c>
      <c r="K90" s="130">
        <f t="shared" si="19"/>
        <v>57499999.999999993</v>
      </c>
      <c r="L90" s="32"/>
      <c r="N90" s="104"/>
      <c r="O90" s="104"/>
      <c r="P90" s="104"/>
    </row>
    <row r="91" spans="1:16" s="4" customFormat="1" ht="25.5" customHeight="1" outlineLevel="1">
      <c r="A91" s="27" t="str">
        <f t="shared" si="16"/>
        <v>2A.S3.12</v>
      </c>
      <c r="B91" s="28" t="s">
        <v>81</v>
      </c>
      <c r="C91" s="28" t="s">
        <v>515</v>
      </c>
      <c r="D91" s="29" t="s">
        <v>520</v>
      </c>
      <c r="E91" s="31">
        <v>17559.43</v>
      </c>
      <c r="F91" s="36">
        <v>17351.585599999991</v>
      </c>
      <c r="G91" s="93">
        <f>_xlfn.XLOOKUP(B91, Rate_Master!$A:$A, Rate_Master!$C:$C, "")</f>
        <v>0</v>
      </c>
      <c r="H91" s="93">
        <f>_xlfn.XLOOKUP(B91, Rate_Master!$A:$A, Rate_Master!$D:$D, "")</f>
        <v>40250</v>
      </c>
      <c r="I91" s="67">
        <f t="shared" si="17"/>
        <v>40250</v>
      </c>
      <c r="J91" s="32">
        <f t="shared" si="18"/>
        <v>706767057.5</v>
      </c>
      <c r="K91" s="130">
        <f t="shared" si="19"/>
        <v>698401320.39999962</v>
      </c>
      <c r="L91" s="32"/>
      <c r="N91" s="104"/>
      <c r="O91" s="104"/>
      <c r="P91" s="104"/>
    </row>
    <row r="92" spans="1:16" s="4" customFormat="1" ht="38.25" customHeight="1" outlineLevel="1">
      <c r="A92" s="27" t="str">
        <f t="shared" si="16"/>
        <v>2A.S3.13</v>
      </c>
      <c r="B92" s="28" t="s">
        <v>82</v>
      </c>
      <c r="C92" s="28" t="s">
        <v>515</v>
      </c>
      <c r="D92" s="29" t="s">
        <v>517</v>
      </c>
      <c r="E92" s="31">
        <v>4743.2</v>
      </c>
      <c r="F92" s="36">
        <v>4908.8099999999986</v>
      </c>
      <c r="G92" s="93">
        <f>_xlfn.XLOOKUP(B92, Rate_Master!$A:$A, Rate_Master!$C:$C, "")</f>
        <v>0</v>
      </c>
      <c r="H92" s="93">
        <f>_xlfn.XLOOKUP(B92, Rate_Master!$A:$A, Rate_Master!$D:$D, "")</f>
        <v>23000</v>
      </c>
      <c r="I92" s="67">
        <f t="shared" si="17"/>
        <v>23000</v>
      </c>
      <c r="J92" s="32">
        <f t="shared" si="18"/>
        <v>109093600</v>
      </c>
      <c r="K92" s="130">
        <f t="shared" si="19"/>
        <v>112902629.99999997</v>
      </c>
      <c r="L92" s="32"/>
      <c r="N92" s="104"/>
      <c r="O92" s="104"/>
      <c r="P92" s="104"/>
    </row>
    <row r="93" spans="1:16" s="4" customFormat="1" ht="25.5" customHeight="1" outlineLevel="1">
      <c r="A93" s="27" t="str">
        <f t="shared" si="16"/>
        <v>2A.S3.14</v>
      </c>
      <c r="B93" s="28" t="s">
        <v>83</v>
      </c>
      <c r="C93" s="28" t="s">
        <v>543</v>
      </c>
      <c r="D93" s="29" t="s">
        <v>457</v>
      </c>
      <c r="E93" s="31">
        <v>1</v>
      </c>
      <c r="F93" s="36">
        <v>1</v>
      </c>
      <c r="G93" s="93">
        <f>_xlfn.XLOOKUP(B93, Rate_Master!$A:$A, Rate_Master!$C:$C, "")</f>
        <v>145942235.10876715</v>
      </c>
      <c r="H93" s="93">
        <f>_xlfn.XLOOKUP(B93, Rate_Master!$A:$A, Rate_Master!$D:$D, "")</f>
        <v>0</v>
      </c>
      <c r="I93" s="67">
        <f t="shared" si="17"/>
        <v>145942235.10876715</v>
      </c>
      <c r="J93" s="32">
        <f t="shared" si="18"/>
        <v>145942235.10876715</v>
      </c>
      <c r="K93" s="130">
        <f t="shared" si="19"/>
        <v>145942235.10876715</v>
      </c>
      <c r="L93" s="32"/>
      <c r="N93" s="104"/>
      <c r="O93" s="104"/>
      <c r="P93" s="104"/>
    </row>
    <row r="94" spans="1:16" s="3" customFormat="1" ht="25.5" customHeight="1">
      <c r="A94" s="22" t="str">
        <f>$A$56&amp;4</f>
        <v>2A.S4</v>
      </c>
      <c r="B94" s="23" t="s">
        <v>84</v>
      </c>
      <c r="C94" s="23" t="s">
        <v>515</v>
      </c>
      <c r="D94" s="22"/>
      <c r="E94" s="25"/>
      <c r="F94" s="87"/>
      <c r="G94" s="25">
        <f>_xlfn.XLOOKUP(B94, Rate_Master!$A:$A, Rate_Master!$C:$C, "")</f>
        <v>0</v>
      </c>
      <c r="H94" s="25">
        <f>_xlfn.XLOOKUP(B94, Rate_Master!$A:$A, Rate_Master!$D:$D, "")</f>
        <v>0</v>
      </c>
      <c r="I94" s="68"/>
      <c r="J94" s="26">
        <f>SUBTOTAL(9,J95:J102)</f>
        <v>624070738.3398</v>
      </c>
      <c r="K94" s="127">
        <f>SUBTOTAL(9,K95:K102)</f>
        <v>420851700</v>
      </c>
      <c r="L94" s="26"/>
      <c r="N94" s="104"/>
      <c r="O94" s="104"/>
      <c r="P94" s="104"/>
    </row>
    <row r="95" spans="1:16" s="4" customFormat="1" ht="38.25" customHeight="1" outlineLevel="1">
      <c r="A95" s="27" t="str">
        <f t="shared" ref="A95:A102" si="20">$A$94&amp;"."&amp;ROW()-ROW($A$94)</f>
        <v>2A.S4.1</v>
      </c>
      <c r="B95" s="28" t="s">
        <v>85</v>
      </c>
      <c r="C95" s="28" t="s">
        <v>544</v>
      </c>
      <c r="D95" s="29" t="s">
        <v>517</v>
      </c>
      <c r="E95" s="31">
        <v>17.995000000000001</v>
      </c>
      <c r="F95" s="53">
        <v>12</v>
      </c>
      <c r="G95" s="93">
        <f>_xlfn.XLOOKUP(B95, Rate_Master!$A:$A, Rate_Master!$C:$C, "")</f>
        <v>5175000</v>
      </c>
      <c r="H95" s="93">
        <f>_xlfn.XLOOKUP(B95, Rate_Master!$A:$A, Rate_Master!$D:$D, "")</f>
        <v>0</v>
      </c>
      <c r="I95" s="67">
        <f t="shared" ref="I95:I102" si="21">+SUM(G95:H95)</f>
        <v>5175000</v>
      </c>
      <c r="J95" s="32">
        <f t="shared" ref="J95:J102" si="22">I95*E95</f>
        <v>93124125</v>
      </c>
      <c r="K95" s="130">
        <f t="shared" ref="K95:K102" si="23">+F95*I95</f>
        <v>62100000</v>
      </c>
      <c r="L95" s="32"/>
      <c r="N95" s="104"/>
      <c r="O95" s="104"/>
      <c r="P95" s="104"/>
    </row>
    <row r="96" spans="1:16" s="4" customFormat="1" ht="38.25" customHeight="1" outlineLevel="1">
      <c r="A96" s="27" t="str">
        <f t="shared" si="20"/>
        <v>2A.S4.2</v>
      </c>
      <c r="B96" s="28" t="s">
        <v>86</v>
      </c>
      <c r="C96" s="28" t="s">
        <v>545</v>
      </c>
      <c r="D96" s="29" t="s">
        <v>517</v>
      </c>
      <c r="E96" s="31">
        <v>0</v>
      </c>
      <c r="F96" s="36"/>
      <c r="G96" s="93">
        <f>_xlfn.XLOOKUP(B96, Rate_Master!$A:$A, Rate_Master!$C:$C, "")</f>
        <v>0</v>
      </c>
      <c r="H96" s="93">
        <f>_xlfn.XLOOKUP(B96, Rate_Master!$A:$A, Rate_Master!$D:$D, "")</f>
        <v>0</v>
      </c>
      <c r="I96" s="67">
        <f t="shared" si="21"/>
        <v>0</v>
      </c>
      <c r="J96" s="32">
        <f t="shared" si="22"/>
        <v>0</v>
      </c>
      <c r="K96" s="130">
        <f t="shared" si="23"/>
        <v>0</v>
      </c>
      <c r="L96" s="32"/>
      <c r="N96" s="104"/>
      <c r="O96" s="104"/>
      <c r="P96" s="104"/>
    </row>
    <row r="97" spans="1:16" s="4" customFormat="1" ht="38.25" customHeight="1" outlineLevel="1">
      <c r="A97" s="27" t="str">
        <f t="shared" si="20"/>
        <v>2A.S4.3</v>
      </c>
      <c r="B97" s="28" t="s">
        <v>87</v>
      </c>
      <c r="C97" s="28" t="s">
        <v>546</v>
      </c>
      <c r="D97" s="29" t="s">
        <v>517</v>
      </c>
      <c r="E97" s="31">
        <v>0</v>
      </c>
      <c r="F97" s="36"/>
      <c r="G97" s="93">
        <f>_xlfn.XLOOKUP(B97, Rate_Master!$A:$A, Rate_Master!$C:$C, "")</f>
        <v>0</v>
      </c>
      <c r="H97" s="93">
        <f>_xlfn.XLOOKUP(B97, Rate_Master!$A:$A, Rate_Master!$D:$D, "")</f>
        <v>0</v>
      </c>
      <c r="I97" s="67">
        <f t="shared" si="21"/>
        <v>0</v>
      </c>
      <c r="J97" s="32">
        <f t="shared" si="22"/>
        <v>0</v>
      </c>
      <c r="K97" s="130">
        <f t="shared" si="23"/>
        <v>0</v>
      </c>
      <c r="L97" s="32"/>
      <c r="N97" s="104"/>
      <c r="O97" s="104"/>
      <c r="P97" s="104"/>
    </row>
    <row r="98" spans="1:16" s="4" customFormat="1" ht="25.5" customHeight="1" outlineLevel="1">
      <c r="A98" s="27" t="str">
        <f t="shared" si="20"/>
        <v>2A.S4.4</v>
      </c>
      <c r="B98" s="28" t="s">
        <v>88</v>
      </c>
      <c r="C98" s="28" t="s">
        <v>546</v>
      </c>
      <c r="D98" s="29" t="s">
        <v>517</v>
      </c>
      <c r="E98" s="31">
        <v>0</v>
      </c>
      <c r="F98" s="36"/>
      <c r="G98" s="93">
        <f>_xlfn.XLOOKUP(B98, Rate_Master!$A:$A, Rate_Master!$C:$C, "")</f>
        <v>0</v>
      </c>
      <c r="H98" s="93">
        <f>_xlfn.XLOOKUP(B98, Rate_Master!$A:$A, Rate_Master!$D:$D, "")</f>
        <v>0</v>
      </c>
      <c r="I98" s="67">
        <f t="shared" si="21"/>
        <v>0</v>
      </c>
      <c r="J98" s="32">
        <f t="shared" si="22"/>
        <v>0</v>
      </c>
      <c r="K98" s="130">
        <f t="shared" si="23"/>
        <v>0</v>
      </c>
      <c r="L98" s="32"/>
      <c r="N98" s="104"/>
      <c r="O98" s="104"/>
      <c r="P98" s="104"/>
    </row>
    <row r="99" spans="1:16" s="4" customFormat="1" ht="51" customHeight="1" outlineLevel="1">
      <c r="A99" s="27" t="str">
        <f t="shared" si="20"/>
        <v>2A.S4.5</v>
      </c>
      <c r="B99" s="28" t="s">
        <v>89</v>
      </c>
      <c r="C99" s="28" t="s">
        <v>547</v>
      </c>
      <c r="D99" s="29" t="s">
        <v>520</v>
      </c>
      <c r="E99" s="31">
        <v>15597.9</v>
      </c>
      <c r="F99" s="36">
        <v>15597.9</v>
      </c>
      <c r="G99" s="93">
        <f>_xlfn.XLOOKUP(B99, Rate_Master!$A:$A, Rate_Master!$C:$C, "")</f>
        <v>17250</v>
      </c>
      <c r="H99" s="93">
        <f>_xlfn.XLOOKUP(B99, Rate_Master!$A:$A, Rate_Master!$D:$D, "")</f>
        <v>5750</v>
      </c>
      <c r="I99" s="67">
        <f t="shared" si="21"/>
        <v>23000</v>
      </c>
      <c r="J99" s="32">
        <f t="shared" si="22"/>
        <v>358751700</v>
      </c>
      <c r="K99" s="130">
        <f t="shared" si="23"/>
        <v>358751700</v>
      </c>
      <c r="L99" s="32"/>
      <c r="N99" s="104"/>
      <c r="O99" s="104"/>
      <c r="P99" s="104"/>
    </row>
    <row r="100" spans="1:16" s="4" customFormat="1" ht="38.25" customHeight="1" outlineLevel="1">
      <c r="A100" s="27" t="str">
        <f t="shared" si="20"/>
        <v>2A.S4.6</v>
      </c>
      <c r="B100" s="28" t="s">
        <v>90</v>
      </c>
      <c r="C100" s="28" t="s">
        <v>548</v>
      </c>
      <c r="D100" s="29" t="s">
        <v>520</v>
      </c>
      <c r="E100" s="31">
        <v>8807.9239560000005</v>
      </c>
      <c r="F100" s="36"/>
      <c r="G100" s="93">
        <f>_xlfn.XLOOKUP(B100, Rate_Master!$A:$A, Rate_Master!$C:$C, "")</f>
        <v>0</v>
      </c>
      <c r="H100" s="93">
        <f>_xlfn.XLOOKUP(B100, Rate_Master!$A:$A, Rate_Master!$D:$D, "")</f>
        <v>0</v>
      </c>
      <c r="I100" s="67">
        <f t="shared" si="21"/>
        <v>0</v>
      </c>
      <c r="J100" s="32">
        <f t="shared" si="22"/>
        <v>0</v>
      </c>
      <c r="K100" s="130">
        <f t="shared" si="23"/>
        <v>0</v>
      </c>
      <c r="L100" s="77" t="str">
        <f>+'1A'!L100</f>
        <v>Nhà thầu không báo giá</v>
      </c>
      <c r="N100" s="104"/>
      <c r="O100" s="104"/>
      <c r="P100" s="104"/>
    </row>
    <row r="101" spans="1:16" s="4" customFormat="1" ht="25.5" customHeight="1" outlineLevel="1">
      <c r="A101" s="27" t="str">
        <f t="shared" si="20"/>
        <v>2A.S4.7</v>
      </c>
      <c r="B101" s="28" t="s">
        <v>91</v>
      </c>
      <c r="C101" s="28" t="s">
        <v>515</v>
      </c>
      <c r="D101" s="29" t="s">
        <v>457</v>
      </c>
      <c r="E101" s="31">
        <v>1</v>
      </c>
      <c r="F101" s="36"/>
      <c r="G101" s="93">
        <f>_xlfn.XLOOKUP(B101, Rate_Master!$A:$A, Rate_Master!$C:$C, "")</f>
        <v>0</v>
      </c>
      <c r="H101" s="93">
        <f>_xlfn.XLOOKUP(B101, Rate_Master!$A:$A, Rate_Master!$D:$D, "")</f>
        <v>0</v>
      </c>
      <c r="I101" s="67">
        <f t="shared" si="21"/>
        <v>0</v>
      </c>
      <c r="J101" s="32">
        <f t="shared" si="22"/>
        <v>0</v>
      </c>
      <c r="K101" s="130">
        <f t="shared" si="23"/>
        <v>0</v>
      </c>
      <c r="L101" s="77" t="str">
        <f>+'1A'!L101</f>
        <v>Nhà thầu không báo giá</v>
      </c>
      <c r="N101" s="104"/>
      <c r="O101" s="104"/>
      <c r="P101" s="104"/>
    </row>
    <row r="102" spans="1:16" s="4" customFormat="1" ht="51" customHeight="1" outlineLevel="1">
      <c r="A102" s="27" t="str">
        <f t="shared" si="20"/>
        <v>2A.S4.8</v>
      </c>
      <c r="B102" s="28" t="s">
        <v>92</v>
      </c>
      <c r="C102" s="28" t="s">
        <v>550</v>
      </c>
      <c r="D102" s="29" t="s">
        <v>520</v>
      </c>
      <c r="E102" s="31">
        <v>8807.9239560000005</v>
      </c>
      <c r="F102" s="36"/>
      <c r="G102" s="93">
        <f>_xlfn.XLOOKUP(B102, Rate_Master!$A:$A, Rate_Master!$C:$C, "")</f>
        <v>16099.999999999998</v>
      </c>
      <c r="H102" s="93">
        <f>_xlfn.XLOOKUP(B102, Rate_Master!$A:$A, Rate_Master!$D:$D, "")</f>
        <v>3449.9999999999995</v>
      </c>
      <c r="I102" s="67">
        <f t="shared" si="21"/>
        <v>19549.999999999996</v>
      </c>
      <c r="J102" s="32">
        <f t="shared" si="22"/>
        <v>172194913.33979997</v>
      </c>
      <c r="K102" s="130">
        <f t="shared" si="23"/>
        <v>0</v>
      </c>
      <c r="L102" s="77" t="str">
        <f>+'1A'!L102</f>
        <v>Nhà thầu không báo giá</v>
      </c>
      <c r="N102" s="104"/>
      <c r="O102" s="104"/>
      <c r="P102" s="104"/>
    </row>
    <row r="103" spans="1:16" s="3" customFormat="1" ht="25.5" customHeight="1">
      <c r="A103" s="22" t="str">
        <f>$A$9&amp;".F"</f>
        <v>2A.F</v>
      </c>
      <c r="B103" s="23" t="s">
        <v>93</v>
      </c>
      <c r="C103" s="23" t="s">
        <v>515</v>
      </c>
      <c r="D103" s="22"/>
      <c r="E103" s="25"/>
      <c r="F103" s="25"/>
      <c r="G103" s="25">
        <f>_xlfn.XLOOKUP(B103, Rate_Master!$A:$A, Rate_Master!$C:$C, "")</f>
        <v>0</v>
      </c>
      <c r="H103" s="25">
        <f>_xlfn.XLOOKUP(B103, Rate_Master!$A:$A, Rate_Master!$D:$D, "")</f>
        <v>0</v>
      </c>
      <c r="I103" s="26">
        <f t="shared" ref="I103:I130" si="24">G103+H103</f>
        <v>0</v>
      </c>
      <c r="J103" s="26"/>
      <c r="K103" s="127"/>
      <c r="L103" s="26"/>
    </row>
    <row r="104" spans="1:16" s="3" customFormat="1" ht="25.5" customHeight="1">
      <c r="A104" s="22" t="str">
        <f>$A$103&amp;1</f>
        <v>2A.F1</v>
      </c>
      <c r="B104" s="23" t="s">
        <v>94</v>
      </c>
      <c r="C104" s="23" t="s">
        <v>515</v>
      </c>
      <c r="D104" s="22"/>
      <c r="E104" s="25"/>
      <c r="F104" s="25"/>
      <c r="G104" s="25">
        <f>_xlfn.XLOOKUP(B104, Rate_Master!$A:$A, Rate_Master!$C:$C, "")</f>
        <v>0</v>
      </c>
      <c r="H104" s="25">
        <f>_xlfn.XLOOKUP(B104, Rate_Master!$A:$A, Rate_Master!$D:$D, "")</f>
        <v>0</v>
      </c>
      <c r="I104" s="26">
        <f t="shared" si="24"/>
        <v>0</v>
      </c>
      <c r="J104" s="26">
        <f>SUBTOTAL(9,J105:J122)</f>
        <v>8651799743.5502853</v>
      </c>
      <c r="K104" s="127">
        <f>SUBTOTAL(9,K105:K122)</f>
        <v>8651799743.5502853</v>
      </c>
      <c r="L104" s="26"/>
      <c r="N104" s="103"/>
    </row>
    <row r="105" spans="1:16" s="4" customFormat="1" ht="25.5" customHeight="1" outlineLevel="1">
      <c r="A105" s="27" t="str">
        <f t="shared" ref="A105:A122" si="25">$A$104&amp;"."&amp;ROW()-ROW($A$104)</f>
        <v>2A.F1.1</v>
      </c>
      <c r="B105" s="35" t="s">
        <v>95</v>
      </c>
      <c r="C105" s="34" t="s">
        <v>551</v>
      </c>
      <c r="D105" s="29" t="s">
        <v>519</v>
      </c>
      <c r="E105" s="31">
        <v>1304.7719999999999</v>
      </c>
      <c r="F105" s="31">
        <v>1304.7719999999999</v>
      </c>
      <c r="G105" s="30">
        <f>_xlfn.XLOOKUP(B105, Rate_Master!$A:$A, Rate_Master!$C:$C, "")</f>
        <v>1587600.0077618286</v>
      </c>
      <c r="H105" s="30">
        <f>_xlfn.XLOOKUP(B105, Rate_Master!$A:$A, Rate_Master!$D:$D, "")</f>
        <v>1086539.80861244</v>
      </c>
      <c r="I105" s="32">
        <f t="shared" si="24"/>
        <v>2674139.8163742684</v>
      </c>
      <c r="J105" s="32">
        <f t="shared" ref="J105:J122" si="26">I105*E105</f>
        <v>3489142756.4902868</v>
      </c>
      <c r="K105" s="130">
        <f t="shared" ref="K105:K122" si="27">I105*F105</f>
        <v>3489142756.4902868</v>
      </c>
      <c r="L105" s="32"/>
      <c r="N105" s="103"/>
    </row>
    <row r="106" spans="1:16" s="4" customFormat="1" ht="25.5" customHeight="1" outlineLevel="1">
      <c r="A106" s="27" t="str">
        <f t="shared" si="25"/>
        <v>2A.F1.2</v>
      </c>
      <c r="B106" s="35" t="s">
        <v>96</v>
      </c>
      <c r="C106" s="34" t="s">
        <v>551</v>
      </c>
      <c r="D106" s="29" t="s">
        <v>519</v>
      </c>
      <c r="E106" s="31">
        <v>0</v>
      </c>
      <c r="F106" s="31">
        <v>0</v>
      </c>
      <c r="G106" s="30">
        <f>_xlfn.XLOOKUP(B106, Rate_Master!$A:$A, Rate_Master!$C:$C, "")</f>
        <v>1368500</v>
      </c>
      <c r="H106" s="30">
        <f>_xlfn.XLOOKUP(B106, Rate_Master!$A:$A, Rate_Master!$D:$D, "")</f>
        <v>948749.99999999988</v>
      </c>
      <c r="I106" s="32">
        <f t="shared" si="24"/>
        <v>2317250</v>
      </c>
      <c r="J106" s="32">
        <f t="shared" si="26"/>
        <v>0</v>
      </c>
      <c r="K106" s="130">
        <f t="shared" si="27"/>
        <v>0</v>
      </c>
      <c r="L106" s="32"/>
      <c r="N106" s="103"/>
    </row>
    <row r="107" spans="1:16" s="4" customFormat="1" ht="51" customHeight="1" outlineLevel="1">
      <c r="A107" s="27" t="str">
        <f t="shared" si="25"/>
        <v>2A.F1.3</v>
      </c>
      <c r="B107" s="28" t="s">
        <v>97</v>
      </c>
      <c r="C107" s="34" t="s">
        <v>552</v>
      </c>
      <c r="D107" s="29" t="s">
        <v>520</v>
      </c>
      <c r="E107" s="31">
        <v>0</v>
      </c>
      <c r="F107" s="31">
        <v>0</v>
      </c>
      <c r="G107" s="31">
        <f>_xlfn.XLOOKUP(B107, Rate_Master!$A:$A, Rate_Master!$C:$C, "")</f>
        <v>229999.99999999997</v>
      </c>
      <c r="H107" s="31">
        <f>_xlfn.XLOOKUP(B107, Rate_Master!$A:$A, Rate_Master!$D:$D, "")</f>
        <v>46000</v>
      </c>
      <c r="I107" s="32">
        <f t="shared" si="24"/>
        <v>276000</v>
      </c>
      <c r="J107" s="32">
        <f t="shared" si="26"/>
        <v>0</v>
      </c>
      <c r="K107" s="130">
        <f t="shared" si="27"/>
        <v>0</v>
      </c>
      <c r="L107" s="32"/>
      <c r="N107" s="103"/>
    </row>
    <row r="108" spans="1:16" s="4" customFormat="1" ht="51" customHeight="1" outlineLevel="1">
      <c r="A108" s="27" t="str">
        <f t="shared" si="25"/>
        <v>2A.F1.4</v>
      </c>
      <c r="B108" s="28" t="s">
        <v>98</v>
      </c>
      <c r="C108" s="34" t="s">
        <v>553</v>
      </c>
      <c r="D108" s="29" t="s">
        <v>520</v>
      </c>
      <c r="E108" s="31">
        <v>0</v>
      </c>
      <c r="F108" s="31">
        <v>0</v>
      </c>
      <c r="G108" s="31">
        <f>_xlfn.XLOOKUP(B108, Rate_Master!$A:$A, Rate_Master!$C:$C, "")</f>
        <v>0</v>
      </c>
      <c r="H108" s="31">
        <f>_xlfn.XLOOKUP(B108, Rate_Master!$A:$A, Rate_Master!$D:$D, "")</f>
        <v>0</v>
      </c>
      <c r="I108" s="32">
        <f t="shared" si="24"/>
        <v>0</v>
      </c>
      <c r="J108" s="32">
        <f t="shared" si="26"/>
        <v>0</v>
      </c>
      <c r="K108" s="130">
        <f t="shared" si="27"/>
        <v>0</v>
      </c>
      <c r="L108" s="32"/>
      <c r="N108" s="103"/>
    </row>
    <row r="109" spans="1:16" s="4" customFormat="1" ht="51" customHeight="1" outlineLevel="1">
      <c r="A109" s="27" t="str">
        <f t="shared" si="25"/>
        <v>2A.F1.5</v>
      </c>
      <c r="B109" s="28" t="s">
        <v>99</v>
      </c>
      <c r="C109" s="34" t="s">
        <v>553</v>
      </c>
      <c r="D109" s="29" t="s">
        <v>520</v>
      </c>
      <c r="E109" s="31">
        <v>0</v>
      </c>
      <c r="F109" s="31">
        <v>0</v>
      </c>
      <c r="G109" s="31">
        <f>_xlfn.XLOOKUP(B109, Rate_Master!$A:$A, Rate_Master!$C:$C, "")</f>
        <v>931499.99999999988</v>
      </c>
      <c r="H109" s="31">
        <f>_xlfn.XLOOKUP(B109, Rate_Master!$A:$A, Rate_Master!$D:$D, "")</f>
        <v>114999.99999999999</v>
      </c>
      <c r="I109" s="32">
        <f t="shared" si="24"/>
        <v>1046499.9999999999</v>
      </c>
      <c r="J109" s="32">
        <f t="shared" si="26"/>
        <v>0</v>
      </c>
      <c r="K109" s="130">
        <f t="shared" si="27"/>
        <v>0</v>
      </c>
      <c r="L109" s="32"/>
      <c r="N109" s="103"/>
    </row>
    <row r="110" spans="1:16" s="4" customFormat="1" ht="25.5" customHeight="1" outlineLevel="1">
      <c r="A110" s="27" t="str">
        <f t="shared" si="25"/>
        <v>2A.F1.6</v>
      </c>
      <c r="B110" s="28" t="s">
        <v>100</v>
      </c>
      <c r="C110" s="34" t="s">
        <v>554</v>
      </c>
      <c r="D110" s="29" t="s">
        <v>520</v>
      </c>
      <c r="E110" s="31">
        <v>819.84100000000001</v>
      </c>
      <c r="F110" s="31">
        <v>819.84100000000001</v>
      </c>
      <c r="G110" s="31">
        <f>_xlfn.XLOOKUP(B110, Rate_Master!$A:$A, Rate_Master!$C:$C, "")</f>
        <v>1586790</v>
      </c>
      <c r="H110" s="31">
        <f>_xlfn.XLOOKUP(B110, Rate_Master!$A:$A, Rate_Master!$D:$D, "")</f>
        <v>372210</v>
      </c>
      <c r="I110" s="32">
        <f t="shared" si="24"/>
        <v>1959000</v>
      </c>
      <c r="J110" s="32">
        <f t="shared" si="26"/>
        <v>1606068519</v>
      </c>
      <c r="K110" s="130">
        <f t="shared" si="27"/>
        <v>1606068519</v>
      </c>
      <c r="L110" s="32"/>
      <c r="N110" s="103"/>
    </row>
    <row r="111" spans="1:16" s="4" customFormat="1" ht="51" customHeight="1" outlineLevel="1">
      <c r="A111" s="27" t="str">
        <f t="shared" si="25"/>
        <v>2A.F1.7</v>
      </c>
      <c r="B111" s="28" t="s">
        <v>101</v>
      </c>
      <c r="C111" s="28" t="s">
        <v>515</v>
      </c>
      <c r="D111" s="29" t="s">
        <v>520</v>
      </c>
      <c r="E111" s="31">
        <v>0</v>
      </c>
      <c r="F111" s="31">
        <v>0</v>
      </c>
      <c r="G111" s="31">
        <f>_xlfn.XLOOKUP(B111, Rate_Master!$A:$A, Rate_Master!$C:$C, "")</f>
        <v>1121250</v>
      </c>
      <c r="H111" s="31">
        <f>_xlfn.XLOOKUP(B111, Rate_Master!$A:$A, Rate_Master!$D:$D, "")</f>
        <v>114999.99999999999</v>
      </c>
      <c r="I111" s="32">
        <f t="shared" si="24"/>
        <v>1236250</v>
      </c>
      <c r="J111" s="32">
        <f t="shared" si="26"/>
        <v>0</v>
      </c>
      <c r="K111" s="130">
        <f t="shared" si="27"/>
        <v>0</v>
      </c>
      <c r="L111" s="32"/>
      <c r="N111" s="103"/>
    </row>
    <row r="112" spans="1:16" s="4" customFormat="1" ht="51" customHeight="1" outlineLevel="1">
      <c r="A112" s="27" t="str">
        <f t="shared" si="25"/>
        <v>2A.F1.8</v>
      </c>
      <c r="B112" s="28" t="s">
        <v>102</v>
      </c>
      <c r="C112" s="34" t="s">
        <v>555</v>
      </c>
      <c r="D112" s="29" t="s">
        <v>520</v>
      </c>
      <c r="E112" s="31">
        <v>0</v>
      </c>
      <c r="F112" s="31">
        <v>0</v>
      </c>
      <c r="G112" s="31">
        <f>_xlfn.XLOOKUP(B112, Rate_Master!$A:$A, Rate_Master!$C:$C, "")</f>
        <v>0</v>
      </c>
      <c r="H112" s="31">
        <f>_xlfn.XLOOKUP(B112, Rate_Master!$A:$A, Rate_Master!$D:$D, "")</f>
        <v>0</v>
      </c>
      <c r="I112" s="32">
        <f t="shared" si="24"/>
        <v>0</v>
      </c>
      <c r="J112" s="32">
        <f t="shared" si="26"/>
        <v>0</v>
      </c>
      <c r="K112" s="130">
        <f t="shared" si="27"/>
        <v>0</v>
      </c>
      <c r="L112" s="32"/>
      <c r="N112" s="103"/>
    </row>
    <row r="113" spans="1:14" s="4" customFormat="1" ht="51" customHeight="1" outlineLevel="1">
      <c r="A113" s="27" t="str">
        <f t="shared" si="25"/>
        <v>2A.F1.9</v>
      </c>
      <c r="B113" s="28" t="s">
        <v>103</v>
      </c>
      <c r="C113" s="34" t="s">
        <v>555</v>
      </c>
      <c r="D113" s="29" t="s">
        <v>520</v>
      </c>
      <c r="E113" s="31">
        <v>0</v>
      </c>
      <c r="F113" s="31">
        <v>0</v>
      </c>
      <c r="G113" s="31">
        <f>_xlfn.XLOOKUP(B113, Rate_Master!$A:$A, Rate_Master!$C:$C, "")</f>
        <v>0</v>
      </c>
      <c r="H113" s="31">
        <f>_xlfn.XLOOKUP(B113, Rate_Master!$A:$A, Rate_Master!$D:$D, "")</f>
        <v>0</v>
      </c>
      <c r="I113" s="32">
        <f t="shared" si="24"/>
        <v>0</v>
      </c>
      <c r="J113" s="32">
        <f t="shared" si="26"/>
        <v>0</v>
      </c>
      <c r="K113" s="130">
        <f t="shared" si="27"/>
        <v>0</v>
      </c>
      <c r="L113" s="32"/>
      <c r="N113" s="103"/>
    </row>
    <row r="114" spans="1:14" s="4" customFormat="1" ht="25.5" customHeight="1" outlineLevel="1">
      <c r="A114" s="27" t="str">
        <f t="shared" si="25"/>
        <v>2A.F1.10</v>
      </c>
      <c r="B114" s="28" t="s">
        <v>104</v>
      </c>
      <c r="C114" s="28" t="s">
        <v>515</v>
      </c>
      <c r="D114" s="29" t="s">
        <v>520</v>
      </c>
      <c r="E114" s="31">
        <v>6547.38</v>
      </c>
      <c r="F114" s="31">
        <v>6547.38</v>
      </c>
      <c r="G114" s="30">
        <f>_xlfn.XLOOKUP(B114, Rate_Master!$A:$A, Rate_Master!$C:$C, "")</f>
        <v>46000</v>
      </c>
      <c r="H114" s="30">
        <f>_xlfn.XLOOKUP(B114, Rate_Master!$A:$A, Rate_Master!$D:$D, "")</f>
        <v>34500</v>
      </c>
      <c r="I114" s="32">
        <f t="shared" si="24"/>
        <v>80500</v>
      </c>
      <c r="J114" s="32">
        <f t="shared" si="26"/>
        <v>527064090</v>
      </c>
      <c r="K114" s="130">
        <f t="shared" si="27"/>
        <v>527064090</v>
      </c>
      <c r="L114" s="32"/>
      <c r="N114" s="103"/>
    </row>
    <row r="115" spans="1:14" s="4" customFormat="1" ht="25.5" customHeight="1" outlineLevel="1">
      <c r="A115" s="27" t="str">
        <f t="shared" si="25"/>
        <v>2A.F1.11</v>
      </c>
      <c r="B115" s="28" t="s">
        <v>105</v>
      </c>
      <c r="C115" s="34" t="s">
        <v>556</v>
      </c>
      <c r="D115" s="29" t="s">
        <v>520</v>
      </c>
      <c r="E115" s="31">
        <v>4791.1909999999998</v>
      </c>
      <c r="F115" s="31">
        <v>4791.1909999999998</v>
      </c>
      <c r="G115" s="30">
        <f>_xlfn.XLOOKUP(B115, Rate_Master!$A:$A, Rate_Master!$C:$C, "")</f>
        <v>26565.000000000004</v>
      </c>
      <c r="H115" s="30">
        <f>_xlfn.XLOOKUP(B115, Rate_Master!$A:$A, Rate_Master!$D:$D, "")</f>
        <v>132250</v>
      </c>
      <c r="I115" s="32">
        <f t="shared" si="24"/>
        <v>158815</v>
      </c>
      <c r="J115" s="32">
        <f t="shared" si="26"/>
        <v>760912998.66499996</v>
      </c>
      <c r="K115" s="130">
        <f t="shared" si="27"/>
        <v>760912998.66499996</v>
      </c>
      <c r="L115" s="32"/>
      <c r="N115" s="103"/>
    </row>
    <row r="116" spans="1:14" s="4" customFormat="1" ht="25.5" customHeight="1" outlineLevel="1">
      <c r="A116" s="27" t="str">
        <f t="shared" si="25"/>
        <v>2A.F1.12</v>
      </c>
      <c r="B116" s="28" t="s">
        <v>106</v>
      </c>
      <c r="C116" s="34" t="s">
        <v>556</v>
      </c>
      <c r="D116" s="29" t="s">
        <v>520</v>
      </c>
      <c r="E116" s="31">
        <v>8403.6029999999992</v>
      </c>
      <c r="F116" s="31">
        <v>8403.6029999999992</v>
      </c>
      <c r="G116" s="30">
        <f>_xlfn.XLOOKUP(B116, Rate_Master!$A:$A, Rate_Master!$C:$C, "")</f>
        <v>26565.000000000004</v>
      </c>
      <c r="H116" s="30">
        <f>_xlfn.XLOOKUP(B116, Rate_Master!$A:$A, Rate_Master!$D:$D, "")</f>
        <v>117299.99999999999</v>
      </c>
      <c r="I116" s="32">
        <f t="shared" si="24"/>
        <v>143865</v>
      </c>
      <c r="J116" s="32">
        <f t="shared" si="26"/>
        <v>1208984345.5949998</v>
      </c>
      <c r="K116" s="130">
        <f t="shared" si="27"/>
        <v>1208984345.5949998</v>
      </c>
      <c r="L116" s="32"/>
      <c r="N116" s="103"/>
    </row>
    <row r="117" spans="1:14" s="4" customFormat="1" ht="38.25" customHeight="1" outlineLevel="1">
      <c r="A117" s="27" t="str">
        <f t="shared" si="25"/>
        <v>2A.F1.13</v>
      </c>
      <c r="B117" s="28" t="s">
        <v>107</v>
      </c>
      <c r="C117" s="28" t="s">
        <v>515</v>
      </c>
      <c r="D117" s="29" t="s">
        <v>520</v>
      </c>
      <c r="E117" s="31">
        <v>0</v>
      </c>
      <c r="F117" s="31">
        <v>0</v>
      </c>
      <c r="G117" s="31">
        <f>_xlfn.XLOOKUP(B117, Rate_Master!$A:$A, Rate_Master!$C:$C, "")</f>
        <v>218499.99999999997</v>
      </c>
      <c r="H117" s="31">
        <f>_xlfn.XLOOKUP(B117, Rate_Master!$A:$A, Rate_Master!$D:$D, "")</f>
        <v>138000</v>
      </c>
      <c r="I117" s="32">
        <f t="shared" si="24"/>
        <v>356500</v>
      </c>
      <c r="J117" s="32">
        <f t="shared" si="26"/>
        <v>0</v>
      </c>
      <c r="K117" s="130">
        <f t="shared" si="27"/>
        <v>0</v>
      </c>
      <c r="L117" s="32"/>
      <c r="N117" s="103"/>
    </row>
    <row r="118" spans="1:14" s="4" customFormat="1" ht="25.5" customHeight="1" outlineLevel="1">
      <c r="A118" s="27" t="str">
        <f t="shared" si="25"/>
        <v>2A.F1.14</v>
      </c>
      <c r="B118" s="34" t="s">
        <v>108</v>
      </c>
      <c r="C118" s="28" t="s">
        <v>515</v>
      </c>
      <c r="D118" s="29" t="s">
        <v>520</v>
      </c>
      <c r="E118" s="31">
        <v>4791.1909999999998</v>
      </c>
      <c r="F118" s="31">
        <v>4791.1909999999998</v>
      </c>
      <c r="G118" s="30">
        <f>_xlfn.XLOOKUP(B118, Rate_Master!$A:$A, Rate_Master!$C:$C, "")</f>
        <v>51749.999999999993</v>
      </c>
      <c r="H118" s="30">
        <f>_xlfn.XLOOKUP(B118, Rate_Master!$A:$A, Rate_Master!$D:$D, "")</f>
        <v>34500</v>
      </c>
      <c r="I118" s="32">
        <f t="shared" si="24"/>
        <v>86250</v>
      </c>
      <c r="J118" s="32">
        <f t="shared" si="26"/>
        <v>413240223.75</v>
      </c>
      <c r="K118" s="130">
        <f t="shared" si="27"/>
        <v>413240223.75</v>
      </c>
      <c r="L118" s="32"/>
      <c r="N118" s="103"/>
    </row>
    <row r="119" spans="1:14" s="4" customFormat="1" ht="25.5" customHeight="1" outlineLevel="1">
      <c r="A119" s="27" t="str">
        <f t="shared" si="25"/>
        <v>2A.F1.15</v>
      </c>
      <c r="B119" s="34" t="s">
        <v>109</v>
      </c>
      <c r="C119" s="28" t="s">
        <v>515</v>
      </c>
      <c r="D119" s="29" t="s">
        <v>520</v>
      </c>
      <c r="E119" s="31">
        <v>8285.3410000000003</v>
      </c>
      <c r="F119" s="31">
        <v>8285.3410000000003</v>
      </c>
      <c r="G119" s="31">
        <f>_xlfn.XLOOKUP(B119, Rate_Master!$A:$A, Rate_Master!$C:$C, "")</f>
        <v>46000</v>
      </c>
      <c r="H119" s="31">
        <f>_xlfn.XLOOKUP(B119, Rate_Master!$A:$A, Rate_Master!$D:$D, "")</f>
        <v>19550</v>
      </c>
      <c r="I119" s="32">
        <f t="shared" si="24"/>
        <v>65550</v>
      </c>
      <c r="J119" s="32">
        <f t="shared" si="26"/>
        <v>543104102.55000007</v>
      </c>
      <c r="K119" s="130">
        <f t="shared" si="27"/>
        <v>543104102.55000007</v>
      </c>
      <c r="L119" s="32"/>
      <c r="N119" s="103"/>
    </row>
    <row r="120" spans="1:14" s="4" customFormat="1" ht="38.25" customHeight="1" outlineLevel="1">
      <c r="A120" s="27" t="str">
        <f t="shared" si="25"/>
        <v>2A.F1.16</v>
      </c>
      <c r="B120" s="34" t="s">
        <v>110</v>
      </c>
      <c r="C120" s="28" t="s">
        <v>515</v>
      </c>
      <c r="D120" s="29" t="s">
        <v>520</v>
      </c>
      <c r="E120" s="31">
        <v>0</v>
      </c>
      <c r="F120" s="31">
        <v>0</v>
      </c>
      <c r="G120" s="31">
        <f>_xlfn.XLOOKUP(B120, Rate_Master!$A:$A, Rate_Master!$C:$C, "")</f>
        <v>51749.999999999993</v>
      </c>
      <c r="H120" s="31">
        <f>_xlfn.XLOOKUP(B120, Rate_Master!$A:$A, Rate_Master!$D:$D, "")</f>
        <v>17250</v>
      </c>
      <c r="I120" s="32">
        <f t="shared" si="24"/>
        <v>69000</v>
      </c>
      <c r="J120" s="32">
        <f t="shared" si="26"/>
        <v>0</v>
      </c>
      <c r="K120" s="130">
        <f t="shared" si="27"/>
        <v>0</v>
      </c>
      <c r="L120" s="32"/>
      <c r="N120" s="103"/>
    </row>
    <row r="121" spans="1:14" s="4" customFormat="1" ht="25.5" customHeight="1" outlineLevel="1">
      <c r="A121" s="27" t="str">
        <f t="shared" si="25"/>
        <v>2A.F1.17</v>
      </c>
      <c r="B121" s="34" t="s">
        <v>111</v>
      </c>
      <c r="C121" s="28" t="s">
        <v>515</v>
      </c>
      <c r="D121" s="29" t="s">
        <v>520</v>
      </c>
      <c r="E121" s="31">
        <v>118.262</v>
      </c>
      <c r="F121" s="31">
        <v>118.262</v>
      </c>
      <c r="G121" s="31">
        <f>_xlfn.XLOOKUP(B121, Rate_Master!$A:$A, Rate_Master!$C:$C, "")</f>
        <v>172500</v>
      </c>
      <c r="H121" s="31">
        <f>_xlfn.XLOOKUP(B121, Rate_Master!$A:$A, Rate_Master!$D:$D, "")</f>
        <v>28749.999999999996</v>
      </c>
      <c r="I121" s="32">
        <f t="shared" si="24"/>
        <v>201250</v>
      </c>
      <c r="J121" s="32">
        <f t="shared" si="26"/>
        <v>23800227.5</v>
      </c>
      <c r="K121" s="130">
        <f t="shared" si="27"/>
        <v>23800227.5</v>
      </c>
      <c r="L121" s="32"/>
      <c r="N121" s="103"/>
    </row>
    <row r="122" spans="1:14" s="4" customFormat="1" ht="38.25" customHeight="1" outlineLevel="1">
      <c r="A122" s="27" t="str">
        <f t="shared" si="25"/>
        <v>2A.F1.18</v>
      </c>
      <c r="B122" s="34" t="s">
        <v>112</v>
      </c>
      <c r="C122" s="34" t="s">
        <v>557</v>
      </c>
      <c r="D122" s="29" t="s">
        <v>517</v>
      </c>
      <c r="E122" s="31">
        <v>369.6</v>
      </c>
      <c r="F122" s="31">
        <v>369.6</v>
      </c>
      <c r="G122" s="31">
        <f>_xlfn.XLOOKUP(B122, Rate_Master!$A:$A, Rate_Master!$C:$C, "")</f>
        <v>163300</v>
      </c>
      <c r="H122" s="31">
        <f>_xlfn.XLOOKUP(B122, Rate_Master!$A:$A, Rate_Master!$D:$D, "")</f>
        <v>51749.999999999993</v>
      </c>
      <c r="I122" s="32">
        <f t="shared" si="24"/>
        <v>215050</v>
      </c>
      <c r="J122" s="32">
        <f t="shared" si="26"/>
        <v>79482480</v>
      </c>
      <c r="K122" s="130">
        <f t="shared" si="27"/>
        <v>79482480</v>
      </c>
      <c r="L122" s="32"/>
      <c r="N122" s="103"/>
    </row>
    <row r="123" spans="1:14" s="3" customFormat="1" ht="25.5" customHeight="1">
      <c r="A123" s="22" t="str">
        <f>$A$103&amp;2</f>
        <v>2A.F2</v>
      </c>
      <c r="B123" s="23" t="s">
        <v>113</v>
      </c>
      <c r="C123" s="23" t="s">
        <v>515</v>
      </c>
      <c r="D123" s="22"/>
      <c r="E123" s="25"/>
      <c r="F123" s="25"/>
      <c r="G123" s="25">
        <f>_xlfn.XLOOKUP(B123, Rate_Master!$A:$A, Rate_Master!$C:$C, "")</f>
        <v>0</v>
      </c>
      <c r="H123" s="25">
        <f>_xlfn.XLOOKUP(B123, Rate_Master!$A:$A, Rate_Master!$D:$D, "")</f>
        <v>0</v>
      </c>
      <c r="I123" s="26">
        <f t="shared" si="24"/>
        <v>0</v>
      </c>
      <c r="J123" s="26">
        <f>SUBTOTAL(9,J124:J128)</f>
        <v>1205509225.7999997</v>
      </c>
      <c r="K123" s="127">
        <f>SUBTOTAL(9,K124:K128)</f>
        <v>1205509225.7999997</v>
      </c>
      <c r="L123" s="26"/>
      <c r="N123" s="103"/>
    </row>
    <row r="124" spans="1:14" s="4" customFormat="1" ht="51" customHeight="1" outlineLevel="1">
      <c r="A124" s="27" t="str">
        <f>$A$123&amp;"."&amp;ROW()-ROW($A$123)</f>
        <v>2A.F2.1</v>
      </c>
      <c r="B124" s="34" t="s">
        <v>114</v>
      </c>
      <c r="C124" s="28" t="s">
        <v>515</v>
      </c>
      <c r="D124" s="29" t="s">
        <v>520</v>
      </c>
      <c r="E124" s="31">
        <v>0</v>
      </c>
      <c r="F124" s="31">
        <v>0</v>
      </c>
      <c r="G124" s="30">
        <f>_xlfn.XLOOKUP(B124, Rate_Master!$A:$A, Rate_Master!$C:$C, "")</f>
        <v>206999.99999999997</v>
      </c>
      <c r="H124" s="30">
        <f>_xlfn.XLOOKUP(B124, Rate_Master!$A:$A, Rate_Master!$D:$D, "")</f>
        <v>126499.99999999999</v>
      </c>
      <c r="I124" s="32">
        <f t="shared" si="24"/>
        <v>333499.99999999994</v>
      </c>
      <c r="J124" s="32">
        <f>I124*E124</f>
        <v>0</v>
      </c>
      <c r="K124" s="130">
        <f>I124*F124</f>
        <v>0</v>
      </c>
      <c r="L124" s="32"/>
      <c r="N124" s="103"/>
    </row>
    <row r="125" spans="1:14" s="4" customFormat="1" ht="51" customHeight="1" outlineLevel="1">
      <c r="A125" s="27" t="str">
        <f>$A$123&amp;"."&amp;ROW()-ROW($A$123)</f>
        <v>2A.F2.2</v>
      </c>
      <c r="B125" s="28" t="s">
        <v>115</v>
      </c>
      <c r="C125" s="28" t="s">
        <v>515</v>
      </c>
      <c r="D125" s="29" t="s">
        <v>520</v>
      </c>
      <c r="E125" s="31">
        <v>15415.718999999999</v>
      </c>
      <c r="F125" s="31">
        <v>15415.718999999999</v>
      </c>
      <c r="G125" s="30">
        <f>_xlfn.XLOOKUP(B125, Rate_Master!$A:$A, Rate_Master!$C:$C, "")</f>
        <v>28749.999999999996</v>
      </c>
      <c r="H125" s="30">
        <f>_xlfn.XLOOKUP(B125, Rate_Master!$A:$A, Rate_Master!$D:$D, "")</f>
        <v>49449.999999999993</v>
      </c>
      <c r="I125" s="32">
        <f t="shared" si="24"/>
        <v>78199.999999999985</v>
      </c>
      <c r="J125" s="32">
        <f>I125*E125</f>
        <v>1205509225.7999997</v>
      </c>
      <c r="K125" s="130">
        <f>I125*F125</f>
        <v>1205509225.7999997</v>
      </c>
      <c r="L125" s="32"/>
      <c r="N125" s="103"/>
    </row>
    <row r="126" spans="1:14" s="4" customFormat="1" ht="51" customHeight="1" outlineLevel="1">
      <c r="A126" s="27" t="str">
        <f>$A$123&amp;"."&amp;ROW()-ROW($A$123)</f>
        <v>2A.F2.3</v>
      </c>
      <c r="B126" s="34" t="s">
        <v>116</v>
      </c>
      <c r="C126" s="28" t="s">
        <v>515</v>
      </c>
      <c r="D126" s="29" t="s">
        <v>520</v>
      </c>
      <c r="E126" s="31">
        <v>0</v>
      </c>
      <c r="F126" s="31">
        <v>0</v>
      </c>
      <c r="G126" s="31">
        <f>_xlfn.XLOOKUP(B126, Rate_Master!$A:$A, Rate_Master!$C:$C, "")</f>
        <v>0</v>
      </c>
      <c r="H126" s="31">
        <f>_xlfn.XLOOKUP(B126, Rate_Master!$A:$A, Rate_Master!$D:$D, "")</f>
        <v>0</v>
      </c>
      <c r="I126" s="32">
        <f t="shared" si="24"/>
        <v>0</v>
      </c>
      <c r="J126" s="32">
        <f>I126*E126</f>
        <v>0</v>
      </c>
      <c r="K126" s="130">
        <f>I126*F126</f>
        <v>0</v>
      </c>
      <c r="L126" s="32"/>
      <c r="N126" s="103"/>
    </row>
    <row r="127" spans="1:14" s="4" customFormat="1" ht="51" customHeight="1" outlineLevel="1">
      <c r="A127" s="27" t="str">
        <f>$A$123&amp;"."&amp;ROW()-ROW($A$123)</f>
        <v>2A.F2.4</v>
      </c>
      <c r="B127" s="34" t="s">
        <v>117</v>
      </c>
      <c r="C127" s="28" t="s">
        <v>515</v>
      </c>
      <c r="D127" s="29" t="s">
        <v>520</v>
      </c>
      <c r="E127" s="31">
        <v>0</v>
      </c>
      <c r="F127" s="31">
        <v>0</v>
      </c>
      <c r="G127" s="31">
        <f>_xlfn.XLOOKUP(B127, Rate_Master!$A:$A, Rate_Master!$C:$C, "")</f>
        <v>0</v>
      </c>
      <c r="H127" s="31">
        <f>_xlfn.XLOOKUP(B127, Rate_Master!$A:$A, Rate_Master!$D:$D, "")</f>
        <v>0</v>
      </c>
      <c r="I127" s="32">
        <f t="shared" si="24"/>
        <v>0</v>
      </c>
      <c r="J127" s="32">
        <f>I127*E127</f>
        <v>0</v>
      </c>
      <c r="K127" s="130">
        <f>I127*F127</f>
        <v>0</v>
      </c>
      <c r="L127" s="32"/>
      <c r="N127" s="103"/>
    </row>
    <row r="128" spans="1:14" s="4" customFormat="1" ht="38.25" customHeight="1" outlineLevel="1">
      <c r="A128" s="27" t="str">
        <f>$A$123&amp;"."&amp;ROW()-ROW($A$123)</f>
        <v>2A.F2.5</v>
      </c>
      <c r="B128" s="34" t="s">
        <v>118</v>
      </c>
      <c r="C128" s="28" t="s">
        <v>515</v>
      </c>
      <c r="D128" s="29" t="s">
        <v>520</v>
      </c>
      <c r="E128" s="31">
        <v>0</v>
      </c>
      <c r="F128" s="31">
        <v>0</v>
      </c>
      <c r="G128" s="31">
        <f>_xlfn.XLOOKUP(B128, Rate_Master!$A:$A, Rate_Master!$C:$C, "")</f>
        <v>0</v>
      </c>
      <c r="H128" s="31">
        <f>_xlfn.XLOOKUP(B128, Rate_Master!$A:$A, Rate_Master!$D:$D, "")</f>
        <v>0</v>
      </c>
      <c r="I128" s="32">
        <f t="shared" si="24"/>
        <v>0</v>
      </c>
      <c r="J128" s="32">
        <f>I128*E128</f>
        <v>0</v>
      </c>
      <c r="K128" s="130">
        <f>I128*F128</f>
        <v>0</v>
      </c>
      <c r="L128" s="32"/>
      <c r="N128" s="103"/>
    </row>
    <row r="129" spans="1:14" s="3" customFormat="1" ht="25.5" customHeight="1">
      <c r="A129" s="22" t="str">
        <f>$A$103&amp;3</f>
        <v>2A.F3</v>
      </c>
      <c r="B129" s="23" t="s">
        <v>119</v>
      </c>
      <c r="C129" s="23" t="s">
        <v>515</v>
      </c>
      <c r="D129" s="22"/>
      <c r="E129" s="25"/>
      <c r="F129" s="25"/>
      <c r="G129" s="25">
        <f>_xlfn.XLOOKUP(B129, Rate_Master!$A:$A, Rate_Master!$C:$C, "")</f>
        <v>0</v>
      </c>
      <c r="H129" s="25">
        <f>_xlfn.XLOOKUP(B129, Rate_Master!$A:$A, Rate_Master!$D:$D, "")</f>
        <v>0</v>
      </c>
      <c r="I129" s="26">
        <f t="shared" si="24"/>
        <v>0</v>
      </c>
      <c r="J129" s="26">
        <f>SUBTOTAL(9,J130:J137)</f>
        <v>14067674</v>
      </c>
      <c r="K129" s="127">
        <f>SUBTOTAL(9,K130:K137)</f>
        <v>14067674</v>
      </c>
      <c r="L129" s="26"/>
      <c r="N129" s="103"/>
    </row>
    <row r="130" spans="1:14" s="4" customFormat="1" ht="25.5" customHeight="1" outlineLevel="1">
      <c r="A130" s="27" t="str">
        <f t="shared" ref="A130:A137" si="28">$A$129&amp;"."&amp;ROW()-ROW($A$129)</f>
        <v>2A.F3.1</v>
      </c>
      <c r="B130" s="34" t="s">
        <v>120</v>
      </c>
      <c r="C130" s="28" t="s">
        <v>515</v>
      </c>
      <c r="D130" s="29" t="s">
        <v>520</v>
      </c>
      <c r="E130" s="31">
        <v>59.671999999999997</v>
      </c>
      <c r="F130" s="31">
        <v>59.671999999999997</v>
      </c>
      <c r="G130" s="31">
        <f>_xlfn.XLOOKUP(B130, Rate_Master!$A:$A, Rate_Master!$C:$C, "")</f>
        <v>28749.999999999996</v>
      </c>
      <c r="H130" s="31">
        <f>_xlfn.XLOOKUP(B130, Rate_Master!$A:$A, Rate_Master!$D:$D, "")</f>
        <v>0</v>
      </c>
      <c r="I130" s="32">
        <f t="shared" si="24"/>
        <v>28749.999999999996</v>
      </c>
      <c r="J130" s="32">
        <f t="shared" ref="J130:J137" si="29">I130*E130</f>
        <v>1715569.9999999998</v>
      </c>
      <c r="K130" s="130">
        <f t="shared" ref="K130:K137" si="30">I130*F130</f>
        <v>1715569.9999999998</v>
      </c>
      <c r="L130" s="32"/>
      <c r="N130" s="103"/>
    </row>
    <row r="131" spans="1:14" s="4" customFormat="1" ht="25.5" customHeight="1" outlineLevel="1">
      <c r="A131" s="27" t="str">
        <f t="shared" si="28"/>
        <v>2A.F3.2</v>
      </c>
      <c r="B131" s="34" t="s">
        <v>121</v>
      </c>
      <c r="C131" s="28" t="s">
        <v>515</v>
      </c>
      <c r="D131" s="29" t="s">
        <v>520</v>
      </c>
      <c r="E131" s="31">
        <v>0</v>
      </c>
      <c r="F131" s="31">
        <v>0</v>
      </c>
      <c r="G131" s="31">
        <f>_xlfn.XLOOKUP(B131, Rate_Master!$A:$A, Rate_Master!$C:$C, "")</f>
        <v>0</v>
      </c>
      <c r="H131" s="31">
        <f>_xlfn.XLOOKUP(B131, Rate_Master!$A:$A, Rate_Master!$D:$D, "")</f>
        <v>0</v>
      </c>
      <c r="I131" s="32">
        <v>0</v>
      </c>
      <c r="J131" s="32">
        <f t="shared" si="29"/>
        <v>0</v>
      </c>
      <c r="K131" s="130">
        <f t="shared" si="30"/>
        <v>0</v>
      </c>
      <c r="L131" s="32"/>
      <c r="N131" s="103"/>
    </row>
    <row r="132" spans="1:14" s="4" customFormat="1" ht="38.25" customHeight="1" outlineLevel="1">
      <c r="A132" s="27" t="str">
        <f t="shared" si="28"/>
        <v>2A.F3.3</v>
      </c>
      <c r="B132" s="34" t="s">
        <v>122</v>
      </c>
      <c r="C132" s="28" t="s">
        <v>515</v>
      </c>
      <c r="D132" s="29" t="s">
        <v>520</v>
      </c>
      <c r="E132" s="31">
        <v>0</v>
      </c>
      <c r="F132" s="31">
        <v>0</v>
      </c>
      <c r="G132" s="31">
        <f>_xlfn.XLOOKUP(B132, Rate_Master!$A:$A, Rate_Master!$C:$C, "")</f>
        <v>51749.999999999993</v>
      </c>
      <c r="H132" s="31">
        <f>_xlfn.XLOOKUP(B132, Rate_Master!$A:$A, Rate_Master!$D:$D, "")</f>
        <v>23000</v>
      </c>
      <c r="I132" s="32">
        <v>0</v>
      </c>
      <c r="J132" s="32">
        <f t="shared" si="29"/>
        <v>0</v>
      </c>
      <c r="K132" s="130">
        <f t="shared" si="30"/>
        <v>0</v>
      </c>
      <c r="L132" s="32"/>
      <c r="N132" s="103"/>
    </row>
    <row r="133" spans="1:14" s="4" customFormat="1" ht="25.5" customHeight="1" outlineLevel="1">
      <c r="A133" s="27" t="str">
        <f t="shared" si="28"/>
        <v>2A.F3.4</v>
      </c>
      <c r="B133" s="34" t="s">
        <v>123</v>
      </c>
      <c r="C133" s="28" t="s">
        <v>515</v>
      </c>
      <c r="D133" s="29" t="s">
        <v>520</v>
      </c>
      <c r="E133" s="31">
        <v>59.671999999999997</v>
      </c>
      <c r="F133" s="31">
        <v>59.671999999999997</v>
      </c>
      <c r="G133" s="31">
        <f>_xlfn.XLOOKUP(B133, Rate_Master!$A:$A, Rate_Master!$C:$C, "")</f>
        <v>172500</v>
      </c>
      <c r="H133" s="31">
        <f>_xlfn.XLOOKUP(B133, Rate_Master!$A:$A, Rate_Master!$D:$D, "")</f>
        <v>34500</v>
      </c>
      <c r="I133" s="32">
        <f t="shared" ref="I133:I147" si="31">G133+H133</f>
        <v>207000</v>
      </c>
      <c r="J133" s="32">
        <f t="shared" si="29"/>
        <v>12352104</v>
      </c>
      <c r="K133" s="130">
        <f t="shared" si="30"/>
        <v>12352104</v>
      </c>
      <c r="L133" s="32"/>
      <c r="N133" s="103"/>
    </row>
    <row r="134" spans="1:14" s="4" customFormat="1" ht="51" customHeight="1" outlineLevel="1">
      <c r="A134" s="27" t="str">
        <f t="shared" si="28"/>
        <v>2A.F3.5</v>
      </c>
      <c r="B134" s="28" t="s">
        <v>124</v>
      </c>
      <c r="C134" s="34" t="s">
        <v>553</v>
      </c>
      <c r="D134" s="29" t="s">
        <v>520</v>
      </c>
      <c r="E134" s="31">
        <v>0</v>
      </c>
      <c r="F134" s="31">
        <v>0</v>
      </c>
      <c r="G134" s="30">
        <f>_xlfn.XLOOKUP(B134, Rate_Master!$A:$A, Rate_Master!$C:$C, "")</f>
        <v>1069500</v>
      </c>
      <c r="H134" s="30">
        <f>_xlfn.XLOOKUP(B134, Rate_Master!$A:$A, Rate_Master!$D:$D, "")</f>
        <v>172500</v>
      </c>
      <c r="I134" s="32">
        <f t="shared" si="31"/>
        <v>1242000</v>
      </c>
      <c r="J134" s="32">
        <f t="shared" si="29"/>
        <v>0</v>
      </c>
      <c r="K134" s="130">
        <f t="shared" si="30"/>
        <v>0</v>
      </c>
      <c r="L134" s="32"/>
      <c r="N134" s="103"/>
    </row>
    <row r="135" spans="1:14" s="4" customFormat="1" ht="51" customHeight="1" outlineLevel="1">
      <c r="A135" s="27" t="str">
        <f t="shared" si="28"/>
        <v>2A.F3.6</v>
      </c>
      <c r="B135" s="34" t="s">
        <v>125</v>
      </c>
      <c r="C135" s="28" t="s">
        <v>515</v>
      </c>
      <c r="D135" s="29" t="s">
        <v>520</v>
      </c>
      <c r="E135" s="31">
        <v>0</v>
      </c>
      <c r="F135" s="31">
        <v>0</v>
      </c>
      <c r="G135" s="30">
        <f>_xlfn.XLOOKUP(B135, Rate_Master!$A:$A, Rate_Master!$C:$C, "")</f>
        <v>965999.99999999988</v>
      </c>
      <c r="H135" s="30">
        <f>_xlfn.XLOOKUP(B135, Rate_Master!$A:$A, Rate_Master!$D:$D, "")</f>
        <v>138000</v>
      </c>
      <c r="I135" s="32">
        <f t="shared" si="31"/>
        <v>1104000</v>
      </c>
      <c r="J135" s="32">
        <f t="shared" si="29"/>
        <v>0</v>
      </c>
      <c r="K135" s="130">
        <f t="shared" si="30"/>
        <v>0</v>
      </c>
      <c r="L135" s="32"/>
      <c r="N135" s="103"/>
    </row>
    <row r="136" spans="1:14" s="4" customFormat="1" ht="25.5" customHeight="1" outlineLevel="1">
      <c r="A136" s="27" t="str">
        <f t="shared" si="28"/>
        <v>2A.F3.7</v>
      </c>
      <c r="B136" s="28" t="s">
        <v>126</v>
      </c>
      <c r="C136" s="28" t="s">
        <v>515</v>
      </c>
      <c r="D136" s="29" t="s">
        <v>520</v>
      </c>
      <c r="E136" s="31">
        <v>0</v>
      </c>
      <c r="F136" s="31">
        <v>0</v>
      </c>
      <c r="G136" s="30">
        <f>_xlfn.XLOOKUP(B136, Rate_Master!$A:$A, Rate_Master!$C:$C, "")</f>
        <v>0</v>
      </c>
      <c r="H136" s="30">
        <f>_xlfn.XLOOKUP(B136, Rate_Master!$A:$A, Rate_Master!$D:$D, "")</f>
        <v>0</v>
      </c>
      <c r="I136" s="32">
        <f t="shared" si="31"/>
        <v>0</v>
      </c>
      <c r="J136" s="32">
        <f t="shared" si="29"/>
        <v>0</v>
      </c>
      <c r="K136" s="130">
        <f t="shared" si="30"/>
        <v>0</v>
      </c>
      <c r="L136" s="32"/>
      <c r="N136" s="103"/>
    </row>
    <row r="137" spans="1:14" s="4" customFormat="1" ht="25.5" customHeight="1" outlineLevel="1">
      <c r="A137" s="27" t="str">
        <f t="shared" si="28"/>
        <v>2A.F3.8</v>
      </c>
      <c r="B137" s="34" t="s">
        <v>127</v>
      </c>
      <c r="C137" s="28" t="s">
        <v>515</v>
      </c>
      <c r="D137" s="29" t="s">
        <v>520</v>
      </c>
      <c r="E137" s="31">
        <v>0</v>
      </c>
      <c r="F137" s="31">
        <v>0</v>
      </c>
      <c r="G137" s="30">
        <f>_xlfn.XLOOKUP(B137, Rate_Master!$A:$A, Rate_Master!$C:$C, "")</f>
        <v>0</v>
      </c>
      <c r="H137" s="30">
        <f>_xlfn.XLOOKUP(B137, Rate_Master!$A:$A, Rate_Master!$D:$D, "")</f>
        <v>0</v>
      </c>
      <c r="I137" s="32">
        <f t="shared" si="31"/>
        <v>0</v>
      </c>
      <c r="J137" s="32">
        <f t="shared" si="29"/>
        <v>0</v>
      </c>
      <c r="K137" s="130">
        <f t="shared" si="30"/>
        <v>0</v>
      </c>
      <c r="L137" s="32"/>
      <c r="N137" s="103"/>
    </row>
    <row r="138" spans="1:14" s="3" customFormat="1" ht="25.5" customHeight="1">
      <c r="A138" s="22" t="str">
        <f>$A$103&amp;4</f>
        <v>2A.F4</v>
      </c>
      <c r="B138" s="23" t="s">
        <v>128</v>
      </c>
      <c r="C138" s="23" t="s">
        <v>515</v>
      </c>
      <c r="D138" s="22"/>
      <c r="E138" s="25"/>
      <c r="F138" s="25"/>
      <c r="G138" s="25">
        <f>_xlfn.XLOOKUP(B138, Rate_Master!$A:$A, Rate_Master!$C:$C, "")</f>
        <v>0</v>
      </c>
      <c r="H138" s="25">
        <f>_xlfn.XLOOKUP(B138, Rate_Master!$A:$A, Rate_Master!$D:$D, "")</f>
        <v>0</v>
      </c>
      <c r="I138" s="26">
        <f t="shared" si="31"/>
        <v>0</v>
      </c>
      <c r="J138" s="26">
        <f>SUBTOTAL(9,J139:J146)</f>
        <v>1265834025</v>
      </c>
      <c r="K138" s="127">
        <f>SUBTOTAL(9,K139:K146)</f>
        <v>1265834025</v>
      </c>
      <c r="L138" s="26"/>
      <c r="N138" s="103"/>
    </row>
    <row r="139" spans="1:14" s="4" customFormat="1" ht="63.75" customHeight="1" outlineLevel="1">
      <c r="A139" s="27" t="str">
        <f t="shared" ref="A139:A146" si="32">$A$138&amp;"."&amp;ROW()-ROW($A$138)</f>
        <v>2A.F4.1</v>
      </c>
      <c r="B139" s="28" t="s">
        <v>164</v>
      </c>
      <c r="C139" s="28" t="s">
        <v>515</v>
      </c>
      <c r="D139" s="29" t="s">
        <v>516</v>
      </c>
      <c r="E139" s="31">
        <v>2</v>
      </c>
      <c r="F139" s="31">
        <v>2</v>
      </c>
      <c r="G139" s="31">
        <f>_xlfn.XLOOKUP(B139, Rate_Master!$A:$A, Rate_Master!$C:$C, "")</f>
        <v>6209999.9999999991</v>
      </c>
      <c r="H139" s="31">
        <f>_xlfn.XLOOKUP(B139, Rate_Master!$A:$A, Rate_Master!$D:$D, "")</f>
        <v>413999.99999999994</v>
      </c>
      <c r="I139" s="32">
        <f t="shared" si="31"/>
        <v>6623999.9999999991</v>
      </c>
      <c r="J139" s="32">
        <f t="shared" ref="J139:J146" si="33">I139*E139</f>
        <v>13247999.999999998</v>
      </c>
      <c r="K139" s="130">
        <f t="shared" ref="K139:K146" si="34">I139*F139</f>
        <v>13247999.999999998</v>
      </c>
      <c r="L139" s="32"/>
      <c r="N139" s="103"/>
    </row>
    <row r="140" spans="1:14" s="4" customFormat="1" ht="76.5" customHeight="1" outlineLevel="1">
      <c r="A140" s="27" t="str">
        <f t="shared" si="32"/>
        <v>2A.F4.2</v>
      </c>
      <c r="B140" s="28" t="s">
        <v>131</v>
      </c>
      <c r="C140" s="28" t="s">
        <v>515</v>
      </c>
      <c r="D140" s="29" t="s">
        <v>516</v>
      </c>
      <c r="E140" s="31">
        <v>82</v>
      </c>
      <c r="F140" s="31">
        <v>82</v>
      </c>
      <c r="G140" s="31">
        <f>_xlfn.XLOOKUP(B140, Rate_Master!$A:$A, Rate_Master!$C:$C, "")</f>
        <v>5037000</v>
      </c>
      <c r="H140" s="31">
        <f>_xlfn.XLOOKUP(B140, Rate_Master!$A:$A, Rate_Master!$D:$D, "")</f>
        <v>206999.99999999997</v>
      </c>
      <c r="I140" s="32">
        <f t="shared" si="31"/>
        <v>5244000</v>
      </c>
      <c r="J140" s="32">
        <f t="shared" si="33"/>
        <v>430008000</v>
      </c>
      <c r="K140" s="130">
        <f t="shared" si="34"/>
        <v>430008000</v>
      </c>
      <c r="L140" s="32"/>
      <c r="N140" s="103"/>
    </row>
    <row r="141" spans="1:14" s="4" customFormat="1" ht="51" customHeight="1" outlineLevel="1">
      <c r="A141" s="27" t="str">
        <f t="shared" si="32"/>
        <v>2A.F4.3</v>
      </c>
      <c r="B141" s="34" t="s">
        <v>165</v>
      </c>
      <c r="C141" s="28" t="s">
        <v>515</v>
      </c>
      <c r="D141" s="29" t="s">
        <v>516</v>
      </c>
      <c r="E141" s="31">
        <v>1</v>
      </c>
      <c r="F141" s="31">
        <v>1</v>
      </c>
      <c r="G141" s="31">
        <f>_xlfn.XLOOKUP(B141, Rate_Master!$A:$A, Rate_Master!$C:$C, "")</f>
        <v>7560099.9999999991</v>
      </c>
      <c r="H141" s="31">
        <f>_xlfn.XLOOKUP(B141, Rate_Master!$A:$A, Rate_Master!$D:$D, "")</f>
        <v>2940550</v>
      </c>
      <c r="I141" s="32">
        <f t="shared" si="31"/>
        <v>10500650</v>
      </c>
      <c r="J141" s="32">
        <f t="shared" si="33"/>
        <v>10500650</v>
      </c>
      <c r="K141" s="130">
        <f t="shared" si="34"/>
        <v>10500650</v>
      </c>
      <c r="L141" s="32"/>
      <c r="N141" s="103"/>
    </row>
    <row r="142" spans="1:14" s="4" customFormat="1" ht="51" customHeight="1" outlineLevel="1">
      <c r="A142" s="27" t="str">
        <f t="shared" si="32"/>
        <v>2A.F4.4</v>
      </c>
      <c r="B142" s="34" t="s">
        <v>134</v>
      </c>
      <c r="C142" s="28" t="s">
        <v>515</v>
      </c>
      <c r="D142" s="29" t="s">
        <v>516</v>
      </c>
      <c r="E142" s="31">
        <v>8</v>
      </c>
      <c r="F142" s="31">
        <v>8</v>
      </c>
      <c r="G142" s="31">
        <f>_xlfn.XLOOKUP(B142, Rate_Master!$A:$A, Rate_Master!$C:$C, "")</f>
        <v>7920000</v>
      </c>
      <c r="H142" s="31">
        <f>_xlfn.XLOOKUP(B142, Rate_Master!$A:$A, Rate_Master!$D:$D, "")</f>
        <v>3080000</v>
      </c>
      <c r="I142" s="32">
        <f t="shared" si="31"/>
        <v>11000000</v>
      </c>
      <c r="J142" s="32">
        <f t="shared" si="33"/>
        <v>88000000</v>
      </c>
      <c r="K142" s="130">
        <f t="shared" si="34"/>
        <v>88000000</v>
      </c>
      <c r="L142" s="32"/>
      <c r="N142" s="103"/>
    </row>
    <row r="143" spans="1:14" s="4" customFormat="1" ht="76.5" customHeight="1" outlineLevel="1">
      <c r="A143" s="27" t="str">
        <f t="shared" si="32"/>
        <v>2A.F4.5</v>
      </c>
      <c r="B143" s="56" t="s">
        <v>135</v>
      </c>
      <c r="C143" s="28" t="s">
        <v>558</v>
      </c>
      <c r="D143" s="29" t="s">
        <v>516</v>
      </c>
      <c r="E143" s="31">
        <v>8</v>
      </c>
      <c r="F143" s="31">
        <v>8</v>
      </c>
      <c r="G143" s="31">
        <f>_xlfn.XLOOKUP(B143, Rate_Master!$A:$A, Rate_Master!$C:$C, "")</f>
        <v>33119999.999999996</v>
      </c>
      <c r="H143" s="31">
        <f>_xlfn.XLOOKUP(B143, Rate_Master!$A:$A, Rate_Master!$D:$D, "")</f>
        <v>345000</v>
      </c>
      <c r="I143" s="32">
        <f t="shared" si="31"/>
        <v>33464999.999999996</v>
      </c>
      <c r="J143" s="32">
        <f t="shared" si="33"/>
        <v>267719999.99999997</v>
      </c>
      <c r="K143" s="130">
        <f t="shared" si="34"/>
        <v>267719999.99999997</v>
      </c>
      <c r="L143" s="71" t="s">
        <v>559</v>
      </c>
      <c r="N143" s="103"/>
    </row>
    <row r="144" spans="1:14" s="4" customFormat="1" ht="38.25" customHeight="1" outlineLevel="1">
      <c r="A144" s="27" t="str">
        <f t="shared" si="32"/>
        <v>2A.F4.6</v>
      </c>
      <c r="B144" s="28" t="s">
        <v>166</v>
      </c>
      <c r="C144" s="28" t="s">
        <v>515</v>
      </c>
      <c r="D144" s="29" t="s">
        <v>516</v>
      </c>
      <c r="E144" s="31">
        <v>1</v>
      </c>
      <c r="F144" s="31">
        <v>1</v>
      </c>
      <c r="G144" s="31">
        <f>_xlfn.XLOOKUP(B144, Rate_Master!$A:$A, Rate_Master!$C:$C, "")</f>
        <v>5692500</v>
      </c>
      <c r="H144" s="31">
        <f>_xlfn.XLOOKUP(B144, Rate_Master!$A:$A, Rate_Master!$D:$D, "")</f>
        <v>569250</v>
      </c>
      <c r="I144" s="32">
        <f t="shared" si="31"/>
        <v>6261750</v>
      </c>
      <c r="J144" s="32">
        <f t="shared" si="33"/>
        <v>6261750</v>
      </c>
      <c r="K144" s="130">
        <f t="shared" si="34"/>
        <v>6261750</v>
      </c>
      <c r="L144" s="71" t="s">
        <v>559</v>
      </c>
      <c r="N144" s="103"/>
    </row>
    <row r="145" spans="1:14" s="4" customFormat="1" ht="51" customHeight="1" outlineLevel="1">
      <c r="A145" s="27" t="str">
        <f t="shared" si="32"/>
        <v>2A.F4.7</v>
      </c>
      <c r="B145" s="28" t="s">
        <v>139</v>
      </c>
      <c r="C145" s="28" t="s">
        <v>515</v>
      </c>
      <c r="D145" s="29" t="s">
        <v>516</v>
      </c>
      <c r="E145" s="31">
        <v>8</v>
      </c>
      <c r="F145" s="31">
        <v>8</v>
      </c>
      <c r="G145" s="31">
        <f>_xlfn.XLOOKUP(B145, Rate_Master!$A:$A, Rate_Master!$C:$C, "")</f>
        <v>19923750</v>
      </c>
      <c r="H145" s="31">
        <f>_xlfn.XLOOKUP(B145, Rate_Master!$A:$A, Rate_Master!$D:$D, "")</f>
        <v>2716875</v>
      </c>
      <c r="I145" s="32">
        <f t="shared" si="31"/>
        <v>22640625</v>
      </c>
      <c r="J145" s="32">
        <f t="shared" si="33"/>
        <v>181125000</v>
      </c>
      <c r="K145" s="130">
        <f t="shared" si="34"/>
        <v>181125000</v>
      </c>
      <c r="L145" s="32"/>
      <c r="N145" s="103"/>
    </row>
    <row r="146" spans="1:14" s="4" customFormat="1" ht="51" customHeight="1" outlineLevel="1">
      <c r="A146" s="27" t="str">
        <f t="shared" si="32"/>
        <v>2A.F4.8</v>
      </c>
      <c r="B146" s="28" t="s">
        <v>140</v>
      </c>
      <c r="C146" s="28" t="s">
        <v>515</v>
      </c>
      <c r="D146" s="29" t="s">
        <v>516</v>
      </c>
      <c r="E146" s="31">
        <v>9</v>
      </c>
      <c r="F146" s="31">
        <v>9</v>
      </c>
      <c r="G146" s="31">
        <f>_xlfn.XLOOKUP(B146, Rate_Master!$A:$A, Rate_Master!$C:$C, "")</f>
        <v>27168749.999999996</v>
      </c>
      <c r="H146" s="31">
        <f>_xlfn.XLOOKUP(B146, Rate_Master!$A:$A, Rate_Master!$D:$D, "")</f>
        <v>2716875</v>
      </c>
      <c r="I146" s="32">
        <f t="shared" si="31"/>
        <v>29885624.999999996</v>
      </c>
      <c r="J146" s="32">
        <f t="shared" si="33"/>
        <v>268970624.99999994</v>
      </c>
      <c r="K146" s="130">
        <f t="shared" si="34"/>
        <v>268970624.99999994</v>
      </c>
      <c r="L146" s="32"/>
      <c r="N146" s="103"/>
    </row>
    <row r="147" spans="1:14" s="3" customFormat="1" ht="25.5" customHeight="1">
      <c r="A147" s="22" t="str">
        <f>$A$103&amp;5</f>
        <v>2A.F5</v>
      </c>
      <c r="B147" s="23" t="s">
        <v>143</v>
      </c>
      <c r="C147" s="23" t="s">
        <v>515</v>
      </c>
      <c r="D147" s="22"/>
      <c r="E147" s="25"/>
      <c r="F147" s="25"/>
      <c r="G147" s="25">
        <f>_xlfn.XLOOKUP(B147, Rate_Master!$A:$A, Rate_Master!$C:$C, "")</f>
        <v>0</v>
      </c>
      <c r="H147" s="25">
        <f>_xlfn.XLOOKUP(B147, Rate_Master!$A:$A, Rate_Master!$D:$D, "")</f>
        <v>0</v>
      </c>
      <c r="I147" s="26">
        <f t="shared" si="31"/>
        <v>0</v>
      </c>
      <c r="J147" s="26">
        <f>SUBTOTAL(9,J148:J150)</f>
        <v>227250465</v>
      </c>
      <c r="K147" s="127">
        <f>SUBTOTAL(9,K148:K150)</f>
        <v>227250465</v>
      </c>
      <c r="L147" s="26"/>
      <c r="N147" s="103"/>
    </row>
    <row r="148" spans="1:14" s="4" customFormat="1" ht="51" customHeight="1" outlineLevel="1">
      <c r="A148" s="27" t="str">
        <f>$A$147&amp;"."&amp;ROW()-ROW($A$147)</f>
        <v>2A.F5.1</v>
      </c>
      <c r="B148" s="34" t="s">
        <v>144</v>
      </c>
      <c r="C148" s="28" t="s">
        <v>515</v>
      </c>
      <c r="D148" s="29" t="s">
        <v>517</v>
      </c>
      <c r="E148" s="31">
        <v>884.32</v>
      </c>
      <c r="F148" s="31">
        <v>884.32</v>
      </c>
      <c r="G148" s="31">
        <f>_xlfn.XLOOKUP(B148, Rate_Master!$A:$A, Rate_Master!$C:$C, "")</f>
        <v>161000</v>
      </c>
      <c r="H148" s="31">
        <f>_xlfn.XLOOKUP(B148, Rate_Master!$A:$A, Rate_Master!$D:$D, "")</f>
        <v>34500</v>
      </c>
      <c r="I148" s="32">
        <f>+H148+G148</f>
        <v>195500</v>
      </c>
      <c r="J148" s="32">
        <f>I148*E148</f>
        <v>172884560</v>
      </c>
      <c r="K148" s="130">
        <f>I148*F148</f>
        <v>172884560</v>
      </c>
      <c r="L148" s="32"/>
      <c r="N148" s="103"/>
    </row>
    <row r="149" spans="1:14" s="4" customFormat="1" ht="38.25" customHeight="1" outlineLevel="1">
      <c r="A149" s="27" t="str">
        <f>$A$147&amp;"."&amp;ROW()-ROW($A$147)</f>
        <v>2A.F5.2</v>
      </c>
      <c r="B149" s="34" t="s">
        <v>145</v>
      </c>
      <c r="C149" s="28" t="s">
        <v>515</v>
      </c>
      <c r="D149" s="29" t="s">
        <v>517</v>
      </c>
      <c r="E149" s="31">
        <v>42.976999999999997</v>
      </c>
      <c r="F149" s="31">
        <v>42.976999999999997</v>
      </c>
      <c r="G149" s="31">
        <f>_xlfn.XLOOKUP(B149, Rate_Master!$A:$A, Rate_Master!$C:$C, "")</f>
        <v>517499.99999999994</v>
      </c>
      <c r="H149" s="31">
        <f>_xlfn.XLOOKUP(B149, Rate_Master!$A:$A, Rate_Master!$D:$D, "")</f>
        <v>57499.999999999993</v>
      </c>
      <c r="I149" s="32">
        <f>+H149+G149</f>
        <v>574999.99999999988</v>
      </c>
      <c r="J149" s="32">
        <f>I149*E149</f>
        <v>24711774.999999993</v>
      </c>
      <c r="K149" s="130">
        <f>I149*F149</f>
        <v>24711774.999999993</v>
      </c>
      <c r="L149" s="32"/>
      <c r="N149" s="103"/>
    </row>
    <row r="150" spans="1:14" s="4" customFormat="1" ht="38.25" customHeight="1" outlineLevel="1">
      <c r="A150" s="27" t="str">
        <f>$A$147&amp;"."&amp;ROW()-ROW($A$147)</f>
        <v>2A.F5.3</v>
      </c>
      <c r="B150" s="34" t="s">
        <v>146</v>
      </c>
      <c r="C150" s="28" t="s">
        <v>515</v>
      </c>
      <c r="D150" s="29" t="s">
        <v>517</v>
      </c>
      <c r="E150" s="31">
        <v>42.976999999999997</v>
      </c>
      <c r="F150" s="31">
        <v>42.976999999999997</v>
      </c>
      <c r="G150" s="31">
        <f>_xlfn.XLOOKUP(B150, Rate_Master!$A:$A, Rate_Master!$C:$C, "")</f>
        <v>632500</v>
      </c>
      <c r="H150" s="31">
        <f>_xlfn.XLOOKUP(B150, Rate_Master!$A:$A, Rate_Master!$D:$D, "")</f>
        <v>57499.999999999993</v>
      </c>
      <c r="I150" s="32">
        <f>+H150+G150</f>
        <v>690000</v>
      </c>
      <c r="J150" s="32">
        <f>I150*E150</f>
        <v>29654129.999999996</v>
      </c>
      <c r="K150" s="130">
        <f>I150*F150</f>
        <v>29654129.999999996</v>
      </c>
      <c r="L150" s="32"/>
      <c r="N150" s="103"/>
    </row>
    <row r="151" spans="1:14" s="3" customFormat="1" ht="25.5" customHeight="1">
      <c r="A151" s="22" t="str">
        <f>$A$103&amp;6</f>
        <v>2A.F6</v>
      </c>
      <c r="B151" s="23" t="s">
        <v>147</v>
      </c>
      <c r="C151" s="23" t="s">
        <v>515</v>
      </c>
      <c r="D151" s="22"/>
      <c r="E151" s="25"/>
      <c r="F151" s="25"/>
      <c r="G151" s="25">
        <f>_xlfn.XLOOKUP(B151, Rate_Master!$A:$A, Rate_Master!$C:$C, "")</f>
        <v>0</v>
      </c>
      <c r="H151" s="25">
        <f>_xlfn.XLOOKUP(B151, Rate_Master!$A:$A, Rate_Master!$D:$D, "")</f>
        <v>0</v>
      </c>
      <c r="I151" s="26">
        <f>G151+H151</f>
        <v>0</v>
      </c>
      <c r="J151" s="26">
        <f>SUBTOTAL(9,J152:J156)</f>
        <v>50531529</v>
      </c>
      <c r="K151" s="127">
        <f>SUBTOTAL(9,K152:K156)</f>
        <v>50531529</v>
      </c>
      <c r="L151" s="26"/>
      <c r="N151" s="103"/>
    </row>
    <row r="152" spans="1:14" s="4" customFormat="1" ht="51" customHeight="1" outlineLevel="1">
      <c r="A152" s="27" t="str">
        <f>$A$151&amp;"."&amp;ROW()-ROW($A$151)</f>
        <v>2A.F6.1</v>
      </c>
      <c r="B152" s="34" t="s">
        <v>148</v>
      </c>
      <c r="C152" s="34" t="s">
        <v>515</v>
      </c>
      <c r="D152" s="29" t="s">
        <v>520</v>
      </c>
      <c r="E152" s="31">
        <v>0</v>
      </c>
      <c r="F152" s="31">
        <v>0</v>
      </c>
      <c r="G152" s="31">
        <f>_xlfn.XLOOKUP(B152, Rate_Master!$A:$A, Rate_Master!$C:$C, "")</f>
        <v>155000</v>
      </c>
      <c r="H152" s="31">
        <f>_xlfn.XLOOKUP(B152, Rate_Master!$A:$A, Rate_Master!$D:$D, "")</f>
        <v>45000</v>
      </c>
      <c r="I152" s="32">
        <f>+H152+G152</f>
        <v>200000</v>
      </c>
      <c r="J152" s="32">
        <f>I152*E152</f>
        <v>0</v>
      </c>
      <c r="K152" s="130">
        <f>I152*F152</f>
        <v>0</v>
      </c>
      <c r="L152" s="32"/>
      <c r="N152" s="103"/>
    </row>
    <row r="153" spans="1:14" s="4" customFormat="1" ht="25.5" customHeight="1" outlineLevel="1">
      <c r="A153" s="27" t="str">
        <f>$A$151&amp;"."&amp;ROW()-ROW($A$151)</f>
        <v>2A.F6.2</v>
      </c>
      <c r="B153" s="34" t="s">
        <v>149</v>
      </c>
      <c r="C153" s="34" t="s">
        <v>515</v>
      </c>
      <c r="D153" s="29" t="s">
        <v>520</v>
      </c>
      <c r="E153" s="31">
        <v>53.819000000000003</v>
      </c>
      <c r="F153" s="31">
        <v>53.819000000000003</v>
      </c>
      <c r="G153" s="31">
        <f>_xlfn.XLOOKUP(B153, Rate_Master!$A:$A, Rate_Master!$C:$C, "")</f>
        <v>310500</v>
      </c>
      <c r="H153" s="31">
        <f>_xlfn.XLOOKUP(B153, Rate_Master!$A:$A, Rate_Master!$D:$D, "")</f>
        <v>34500</v>
      </c>
      <c r="I153" s="32">
        <f>+H153+G153</f>
        <v>345000</v>
      </c>
      <c r="J153" s="32">
        <f>I153*E153</f>
        <v>18567555</v>
      </c>
      <c r="K153" s="130">
        <f>I153*F153</f>
        <v>18567555</v>
      </c>
      <c r="L153" s="32"/>
      <c r="N153" s="103"/>
    </row>
    <row r="154" spans="1:14" s="4" customFormat="1" ht="51" customHeight="1" outlineLevel="1">
      <c r="A154" s="27" t="str">
        <f>$A$151&amp;"."&amp;ROW()-ROW($A$151)</f>
        <v>2A.F6.3</v>
      </c>
      <c r="B154" s="34" t="s">
        <v>150</v>
      </c>
      <c r="C154" s="34" t="s">
        <v>515</v>
      </c>
      <c r="D154" s="29" t="s">
        <v>520</v>
      </c>
      <c r="E154" s="31">
        <v>53.819000000000003</v>
      </c>
      <c r="F154" s="31">
        <v>53.819000000000003</v>
      </c>
      <c r="G154" s="31">
        <f>_xlfn.XLOOKUP(B154, Rate_Master!$A:$A, Rate_Master!$C:$C, "")</f>
        <v>287500</v>
      </c>
      <c r="H154" s="31">
        <f>_xlfn.XLOOKUP(B154, Rate_Master!$A:$A, Rate_Master!$D:$D, "")</f>
        <v>69000</v>
      </c>
      <c r="I154" s="32">
        <f>+H154+G154</f>
        <v>356500</v>
      </c>
      <c r="J154" s="32">
        <f>I154*E154</f>
        <v>19186473.5</v>
      </c>
      <c r="K154" s="130">
        <f>I154*F154</f>
        <v>19186473.5</v>
      </c>
      <c r="L154" s="32"/>
      <c r="N154" s="103"/>
    </row>
    <row r="155" spans="1:14" s="4" customFormat="1" ht="51" customHeight="1" outlineLevel="1">
      <c r="A155" s="27" t="str">
        <f>$A$151&amp;"."&amp;ROW()-ROW($A$151)</f>
        <v>2A.F6.4</v>
      </c>
      <c r="B155" s="34" t="s">
        <v>151</v>
      </c>
      <c r="C155" s="34" t="s">
        <v>515</v>
      </c>
      <c r="D155" s="29" t="s">
        <v>520</v>
      </c>
      <c r="E155" s="31">
        <v>53.819000000000003</v>
      </c>
      <c r="F155" s="31">
        <v>53.819000000000003</v>
      </c>
      <c r="G155" s="31">
        <f>_xlfn.XLOOKUP(B155, Rate_Master!$A:$A, Rate_Master!$C:$C, "")</f>
        <v>23000</v>
      </c>
      <c r="H155" s="31">
        <f>_xlfn.XLOOKUP(B155, Rate_Master!$A:$A, Rate_Master!$D:$D, "")</f>
        <v>126499.99999999999</v>
      </c>
      <c r="I155" s="32">
        <f>+H155+G155</f>
        <v>149500</v>
      </c>
      <c r="J155" s="32">
        <f>I155*E155</f>
        <v>8045940.5</v>
      </c>
      <c r="K155" s="130">
        <f>I155*F155</f>
        <v>8045940.5</v>
      </c>
      <c r="L155" s="32"/>
      <c r="N155" s="103"/>
    </row>
    <row r="156" spans="1:14" s="4" customFormat="1" ht="63.75" customHeight="1" outlineLevel="1">
      <c r="A156" s="27" t="str">
        <f>$A$151&amp;"."&amp;ROW()-ROW($A$151)</f>
        <v>2A.F6.5</v>
      </c>
      <c r="B156" s="34" t="s">
        <v>152</v>
      </c>
      <c r="C156" s="34" t="s">
        <v>560</v>
      </c>
      <c r="D156" s="29" t="s">
        <v>517</v>
      </c>
      <c r="E156" s="31">
        <v>22.24</v>
      </c>
      <c r="F156" s="31">
        <v>22.24</v>
      </c>
      <c r="G156" s="31">
        <f>_xlfn.XLOOKUP(B156, Rate_Master!$A:$A, Rate_Master!$C:$C, "")</f>
        <v>155250</v>
      </c>
      <c r="H156" s="31">
        <f>_xlfn.XLOOKUP(B156, Rate_Master!$A:$A, Rate_Master!$D:$D, "")</f>
        <v>57499.999999999993</v>
      </c>
      <c r="I156" s="32">
        <f>+H156+G156</f>
        <v>212750</v>
      </c>
      <c r="J156" s="32">
        <f>I156*E156</f>
        <v>4731560</v>
      </c>
      <c r="K156" s="130">
        <f>I156*F156</f>
        <v>4731560</v>
      </c>
      <c r="L156" s="32"/>
      <c r="N156" s="103"/>
    </row>
    <row r="157" spans="1:14" s="3" customFormat="1" ht="25.5" customHeight="1">
      <c r="A157" s="22" t="str">
        <f>$A$103&amp;7</f>
        <v>2A.F7</v>
      </c>
      <c r="B157" s="23" t="s">
        <v>84</v>
      </c>
      <c r="C157" s="23" t="s">
        <v>515</v>
      </c>
      <c r="D157" s="22"/>
      <c r="E157" s="25"/>
      <c r="F157" s="25"/>
      <c r="G157" s="25">
        <f>_xlfn.XLOOKUP(B157, Rate_Master!$A:$A, Rate_Master!$C:$C, "")</f>
        <v>0</v>
      </c>
      <c r="H157" s="25">
        <f>_xlfn.XLOOKUP(B157, Rate_Master!$A:$A, Rate_Master!$D:$D, "")</f>
        <v>0</v>
      </c>
      <c r="I157" s="26">
        <f t="shared" ref="I157:I169" si="35">G157+H157</f>
        <v>0</v>
      </c>
      <c r="J157" s="26">
        <f>SUBTOTAL(9,J158:J169)</f>
        <v>227700000</v>
      </c>
      <c r="K157" s="127">
        <f>SUBTOTAL(9,K158:K169)</f>
        <v>227700000</v>
      </c>
      <c r="L157" s="26"/>
      <c r="N157" s="103"/>
    </row>
    <row r="158" spans="1:14" s="4" customFormat="1" ht="38.25" customHeight="1" outlineLevel="1">
      <c r="A158" s="27" t="str">
        <f t="shared" ref="A158:A169" si="36">$A$157&amp;"."&amp;ROW()-ROW($A$157)</f>
        <v>2A.F7.1</v>
      </c>
      <c r="B158" s="48" t="s">
        <v>153</v>
      </c>
      <c r="C158" s="34" t="s">
        <v>561</v>
      </c>
      <c r="D158" s="29" t="s">
        <v>517</v>
      </c>
      <c r="E158" s="31">
        <v>0</v>
      </c>
      <c r="F158" s="31">
        <v>0</v>
      </c>
      <c r="G158" s="31">
        <f>_xlfn.XLOOKUP(B158, Rate_Master!$A:$A, Rate_Master!$C:$C, "")</f>
        <v>4024999.9999999995</v>
      </c>
      <c r="H158" s="31">
        <f>_xlfn.XLOOKUP(B158, Rate_Master!$A:$A, Rate_Master!$D:$D, "")</f>
        <v>1380000</v>
      </c>
      <c r="I158" s="32">
        <f t="shared" si="35"/>
        <v>5405000</v>
      </c>
      <c r="J158" s="32">
        <f t="shared" ref="J158:J169" si="37">I158*E158</f>
        <v>0</v>
      </c>
      <c r="K158" s="130">
        <f t="shared" ref="K158:K169" si="38">I158*F158</f>
        <v>0</v>
      </c>
      <c r="L158" s="32"/>
    </row>
    <row r="159" spans="1:14" s="4" customFormat="1" ht="38.25" customHeight="1" outlineLevel="1">
      <c r="A159" s="27" t="str">
        <f t="shared" si="36"/>
        <v>2A.F7.2</v>
      </c>
      <c r="B159" s="48" t="s">
        <v>167</v>
      </c>
      <c r="C159" s="34"/>
      <c r="D159" s="29" t="s">
        <v>517</v>
      </c>
      <c r="E159" s="31">
        <v>0</v>
      </c>
      <c r="F159" s="31">
        <v>0</v>
      </c>
      <c r="G159" s="31">
        <f>_xlfn.XLOOKUP(B159, Rate_Master!$A:$A, Rate_Master!$C:$C, "")</f>
        <v>0</v>
      </c>
      <c r="H159" s="31">
        <f>_xlfn.XLOOKUP(B159, Rate_Master!$A:$A, Rate_Master!$D:$D, "")</f>
        <v>0</v>
      </c>
      <c r="I159" s="32">
        <f t="shared" si="35"/>
        <v>0</v>
      </c>
      <c r="J159" s="32">
        <f t="shared" si="37"/>
        <v>0</v>
      </c>
      <c r="K159" s="130">
        <f t="shared" si="38"/>
        <v>0</v>
      </c>
      <c r="L159" s="32"/>
    </row>
    <row r="160" spans="1:14" s="4" customFormat="1" ht="38.25" customHeight="1" outlineLevel="1">
      <c r="A160" s="27" t="str">
        <f t="shared" si="36"/>
        <v>2A.F7.3</v>
      </c>
      <c r="B160" s="48" t="s">
        <v>154</v>
      </c>
      <c r="C160" s="28" t="s">
        <v>515</v>
      </c>
      <c r="D160" s="50" t="s">
        <v>517</v>
      </c>
      <c r="E160" s="31">
        <v>0</v>
      </c>
      <c r="F160" s="31">
        <v>0</v>
      </c>
      <c r="G160" s="31">
        <f>_xlfn.XLOOKUP(B160, Rate_Master!$A:$A, Rate_Master!$C:$C, "")</f>
        <v>359375</v>
      </c>
      <c r="H160" s="31">
        <f>_xlfn.XLOOKUP(B160, Rate_Master!$A:$A, Rate_Master!$D:$D, "")</f>
        <v>71875</v>
      </c>
      <c r="I160" s="32">
        <f t="shared" si="35"/>
        <v>431250</v>
      </c>
      <c r="J160" s="32">
        <f t="shared" si="37"/>
        <v>0</v>
      </c>
      <c r="K160" s="130">
        <f t="shared" si="38"/>
        <v>0</v>
      </c>
      <c r="L160" s="32"/>
    </row>
    <row r="161" spans="1:16" s="4" customFormat="1" ht="25.5" customHeight="1" outlineLevel="1">
      <c r="A161" s="27" t="str">
        <f t="shared" si="36"/>
        <v>2A.F7.4</v>
      </c>
      <c r="B161" s="51" t="s">
        <v>155</v>
      </c>
      <c r="C161" s="28" t="s">
        <v>515</v>
      </c>
      <c r="D161" s="50" t="s">
        <v>517</v>
      </c>
      <c r="E161" s="31">
        <v>0</v>
      </c>
      <c r="F161" s="31">
        <v>0</v>
      </c>
      <c r="G161" s="31">
        <f>_xlfn.XLOOKUP(B161, Rate_Master!$A:$A, Rate_Master!$C:$C, "")</f>
        <v>1954999.9999999998</v>
      </c>
      <c r="H161" s="31">
        <f>_xlfn.XLOOKUP(B161, Rate_Master!$A:$A, Rate_Master!$D:$D, "")</f>
        <v>114999.99999999999</v>
      </c>
      <c r="I161" s="32">
        <f t="shared" si="35"/>
        <v>2069999.9999999998</v>
      </c>
      <c r="J161" s="32">
        <f t="shared" si="37"/>
        <v>0</v>
      </c>
      <c r="K161" s="130">
        <f t="shared" si="38"/>
        <v>0</v>
      </c>
      <c r="L161" s="32"/>
    </row>
    <row r="162" spans="1:16" s="4" customFormat="1" ht="51" customHeight="1" outlineLevel="1">
      <c r="A162" s="27" t="str">
        <f t="shared" si="36"/>
        <v>2A.F7.5</v>
      </c>
      <c r="B162" s="51" t="s">
        <v>168</v>
      </c>
      <c r="C162" s="28"/>
      <c r="D162" s="50" t="s">
        <v>517</v>
      </c>
      <c r="E162" s="31">
        <v>0</v>
      </c>
      <c r="F162" s="31">
        <v>0</v>
      </c>
      <c r="G162" s="31">
        <f>_xlfn.XLOOKUP(B162, Rate_Master!$A:$A, Rate_Master!$C:$C, "")</f>
        <v>0</v>
      </c>
      <c r="H162" s="31">
        <f>_xlfn.XLOOKUP(B162, Rate_Master!$A:$A, Rate_Master!$D:$D, "")</f>
        <v>0</v>
      </c>
      <c r="I162" s="32">
        <f t="shared" si="35"/>
        <v>0</v>
      </c>
      <c r="J162" s="32">
        <f t="shared" si="37"/>
        <v>0</v>
      </c>
      <c r="K162" s="130">
        <f t="shared" si="38"/>
        <v>0</v>
      </c>
      <c r="L162" s="32"/>
    </row>
    <row r="163" spans="1:16" s="4" customFormat="1" ht="51" customHeight="1" outlineLevel="1">
      <c r="A163" s="27" t="str">
        <f t="shared" si="36"/>
        <v>2A.F7.6</v>
      </c>
      <c r="B163" s="48" t="s">
        <v>156</v>
      </c>
      <c r="C163" s="28" t="s">
        <v>515</v>
      </c>
      <c r="D163" s="54" t="s">
        <v>518</v>
      </c>
      <c r="E163" s="31">
        <v>24</v>
      </c>
      <c r="F163" s="31">
        <v>24</v>
      </c>
      <c r="G163" s="31">
        <f>_xlfn.XLOOKUP(B163, Rate_Master!$A:$A, Rate_Master!$C:$C, "")</f>
        <v>1724999.9999999998</v>
      </c>
      <c r="H163" s="31">
        <f>_xlfn.XLOOKUP(B163, Rate_Master!$A:$A, Rate_Master!$D:$D, "")</f>
        <v>287500</v>
      </c>
      <c r="I163" s="32">
        <f t="shared" si="35"/>
        <v>2012499.9999999998</v>
      </c>
      <c r="J163" s="32">
        <f t="shared" si="37"/>
        <v>48299999.999999993</v>
      </c>
      <c r="K163" s="130">
        <f t="shared" si="38"/>
        <v>48299999.999999993</v>
      </c>
      <c r="L163" s="32"/>
    </row>
    <row r="164" spans="1:16" s="4" customFormat="1" ht="25.5" customHeight="1" outlineLevel="1">
      <c r="A164" s="27" t="str">
        <f t="shared" si="36"/>
        <v>2A.F7.7</v>
      </c>
      <c r="B164" s="48" t="s">
        <v>157</v>
      </c>
      <c r="C164" s="28" t="s">
        <v>515</v>
      </c>
      <c r="D164" s="29" t="s">
        <v>517</v>
      </c>
      <c r="E164" s="31">
        <v>260</v>
      </c>
      <c r="F164" s="31">
        <v>260</v>
      </c>
      <c r="G164" s="31">
        <f>_xlfn.XLOOKUP(B164, Rate_Master!$A:$A, Rate_Master!$C:$C, "")</f>
        <v>632500</v>
      </c>
      <c r="H164" s="31">
        <f>_xlfn.XLOOKUP(B164, Rate_Master!$A:$A, Rate_Master!$D:$D, "")</f>
        <v>57499.999999999993</v>
      </c>
      <c r="I164" s="32">
        <f t="shared" si="35"/>
        <v>690000</v>
      </c>
      <c r="J164" s="32">
        <f t="shared" si="37"/>
        <v>179400000</v>
      </c>
      <c r="K164" s="130">
        <f t="shared" si="38"/>
        <v>179400000</v>
      </c>
      <c r="L164" s="32"/>
    </row>
    <row r="165" spans="1:16" s="4" customFormat="1" ht="25.5" customHeight="1" outlineLevel="1">
      <c r="A165" s="27" t="str">
        <f t="shared" si="36"/>
        <v>2A.F7.8</v>
      </c>
      <c r="B165" s="34" t="s">
        <v>158</v>
      </c>
      <c r="C165" s="56" t="s">
        <v>562</v>
      </c>
      <c r="D165" s="29" t="s">
        <v>516</v>
      </c>
      <c r="E165" s="31">
        <v>0</v>
      </c>
      <c r="F165" s="31">
        <v>0</v>
      </c>
      <c r="G165" s="31">
        <f>_xlfn.XLOOKUP(B165, Rate_Master!$A:$A, Rate_Master!$C:$C, "")</f>
        <v>68400000</v>
      </c>
      <c r="H165" s="31">
        <f>_xlfn.XLOOKUP(B165, Rate_Master!$A:$A, Rate_Master!$D:$D, "")</f>
        <v>26600000</v>
      </c>
      <c r="I165" s="32">
        <f t="shared" si="35"/>
        <v>95000000</v>
      </c>
      <c r="J165" s="32">
        <f t="shared" si="37"/>
        <v>0</v>
      </c>
      <c r="K165" s="130">
        <f t="shared" si="38"/>
        <v>0</v>
      </c>
      <c r="L165" s="32"/>
    </row>
    <row r="166" spans="1:16" s="4" customFormat="1" ht="25.5" customHeight="1" outlineLevel="1">
      <c r="A166" s="27" t="str">
        <f t="shared" si="36"/>
        <v>2A.F7.9</v>
      </c>
      <c r="B166" s="34" t="s">
        <v>159</v>
      </c>
      <c r="C166" s="28" t="s">
        <v>515</v>
      </c>
      <c r="D166" s="29" t="s">
        <v>516</v>
      </c>
      <c r="E166" s="31">
        <v>0</v>
      </c>
      <c r="F166" s="31">
        <v>0</v>
      </c>
      <c r="G166" s="31">
        <f>_xlfn.XLOOKUP(B166, Rate_Master!$A:$A, Rate_Master!$C:$C, "")</f>
        <v>25200000</v>
      </c>
      <c r="H166" s="31">
        <f>_xlfn.XLOOKUP(B166, Rate_Master!$A:$A, Rate_Master!$D:$D, "")</f>
        <v>9800000.0000000019</v>
      </c>
      <c r="I166" s="32">
        <f t="shared" si="35"/>
        <v>35000000</v>
      </c>
      <c r="J166" s="32">
        <f t="shared" si="37"/>
        <v>0</v>
      </c>
      <c r="K166" s="130">
        <f t="shared" si="38"/>
        <v>0</v>
      </c>
      <c r="L166" s="32"/>
    </row>
    <row r="167" spans="1:16" s="4" customFormat="1" ht="25.5" customHeight="1" outlineLevel="1">
      <c r="A167" s="27" t="str">
        <f t="shared" si="36"/>
        <v>2A.F7.10</v>
      </c>
      <c r="B167" s="34" t="s">
        <v>160</v>
      </c>
      <c r="C167" s="28" t="s">
        <v>515</v>
      </c>
      <c r="D167" s="29" t="s">
        <v>518</v>
      </c>
      <c r="E167" s="31">
        <v>0</v>
      </c>
      <c r="F167" s="31">
        <v>0</v>
      </c>
      <c r="G167" s="31">
        <f>_xlfn.XLOOKUP(B167, Rate_Master!$A:$A, Rate_Master!$C:$C, "")</f>
        <v>1440000</v>
      </c>
      <c r="H167" s="31">
        <f>_xlfn.XLOOKUP(B167, Rate_Master!$A:$A, Rate_Master!$D:$D, "")</f>
        <v>560000</v>
      </c>
      <c r="I167" s="32">
        <f t="shared" si="35"/>
        <v>2000000</v>
      </c>
      <c r="J167" s="32">
        <f t="shared" si="37"/>
        <v>0</v>
      </c>
      <c r="K167" s="130">
        <f t="shared" si="38"/>
        <v>0</v>
      </c>
      <c r="L167" s="32"/>
    </row>
    <row r="168" spans="1:16" s="4" customFormat="1" ht="25.5" customHeight="1" outlineLevel="1">
      <c r="A168" s="27" t="str">
        <f t="shared" si="36"/>
        <v>2A.F7.11</v>
      </c>
      <c r="B168" s="48" t="s">
        <v>161</v>
      </c>
      <c r="C168" s="28" t="s">
        <v>515</v>
      </c>
      <c r="D168" s="29" t="s">
        <v>517</v>
      </c>
      <c r="E168" s="31">
        <v>0</v>
      </c>
      <c r="F168" s="31">
        <v>0</v>
      </c>
      <c r="G168" s="31">
        <f>_xlfn.XLOOKUP(B168, Rate_Master!$A:$A, Rate_Master!$C:$C, "")</f>
        <v>149500</v>
      </c>
      <c r="H168" s="31">
        <f>_xlfn.XLOOKUP(B168, Rate_Master!$A:$A, Rate_Master!$D:$D, "")</f>
        <v>34500</v>
      </c>
      <c r="I168" s="32">
        <f t="shared" si="35"/>
        <v>184000</v>
      </c>
      <c r="J168" s="32">
        <f t="shared" si="37"/>
        <v>0</v>
      </c>
      <c r="K168" s="130">
        <f t="shared" si="38"/>
        <v>0</v>
      </c>
      <c r="L168" s="32"/>
    </row>
    <row r="169" spans="1:16" s="4" customFormat="1" ht="38.25" customHeight="1" outlineLevel="1">
      <c r="A169" s="27" t="str">
        <f t="shared" si="36"/>
        <v>2A.F7.12</v>
      </c>
      <c r="B169" s="34" t="s">
        <v>162</v>
      </c>
      <c r="C169" s="28"/>
      <c r="D169" s="29" t="s">
        <v>517</v>
      </c>
      <c r="E169" s="31">
        <v>0</v>
      </c>
      <c r="F169" s="31">
        <v>0</v>
      </c>
      <c r="G169" s="31">
        <f>_xlfn.XLOOKUP(B169, Rate_Master!$A:$A, Rate_Master!$C:$C, "")</f>
        <v>252000</v>
      </c>
      <c r="H169" s="31">
        <f>_xlfn.XLOOKUP(B169, Rate_Master!$A:$A, Rate_Master!$D:$D, "")</f>
        <v>98000</v>
      </c>
      <c r="I169" s="32">
        <f t="shared" si="35"/>
        <v>350000</v>
      </c>
      <c r="J169" s="32">
        <f t="shared" si="37"/>
        <v>0</v>
      </c>
      <c r="K169" s="130">
        <f t="shared" si="38"/>
        <v>0</v>
      </c>
      <c r="L169" s="32"/>
    </row>
    <row r="170" spans="1:16">
      <c r="F170" s="8"/>
    </row>
    <row r="171" spans="1:16">
      <c r="A171" s="111"/>
      <c r="B171" s="112" t="s">
        <v>169</v>
      </c>
      <c r="C171" s="112"/>
      <c r="D171" s="111"/>
      <c r="E171" s="109"/>
      <c r="F171" s="109"/>
      <c r="G171" s="113">
        <f>_xlfn.XLOOKUP(B171, Rate_Master!$A:$A, Rate_Master!$C:$C, "")</f>
        <v>0</v>
      </c>
      <c r="H171" s="113">
        <f>_xlfn.XLOOKUP(B171, Rate_Master!$A:$A, Rate_Master!$D:$D, "")</f>
        <v>0</v>
      </c>
      <c r="I171" s="110"/>
      <c r="J171" s="110"/>
      <c r="K171" s="131"/>
      <c r="L171" s="110"/>
    </row>
    <row r="172" spans="1:16" ht="89.25" customHeight="1">
      <c r="A172" s="55">
        <v>1</v>
      </c>
      <c r="B172" s="56" t="s">
        <v>170</v>
      </c>
      <c r="C172" s="56" t="s">
        <v>564</v>
      </c>
      <c r="D172" s="57" t="s">
        <v>520</v>
      </c>
      <c r="E172" s="36">
        <v>0</v>
      </c>
      <c r="F172" s="36">
        <v>125.1536</v>
      </c>
      <c r="G172" s="114">
        <f>_xlfn.XLOOKUP(B172, Rate_Master!$A:$A, Rate_Master!$C:$C, "")</f>
        <v>626750</v>
      </c>
      <c r="H172" s="114">
        <f>_xlfn.XLOOKUP(B172, Rate_Master!$A:$A, Rate_Master!$D:$D, "")</f>
        <v>221949.99999999997</v>
      </c>
      <c r="I172" s="58">
        <f>G172+H172</f>
        <v>848700</v>
      </c>
      <c r="J172" s="58">
        <f>I172*E172</f>
        <v>0</v>
      </c>
      <c r="K172" s="130">
        <f>+F172*I172</f>
        <v>106217860.31999999</v>
      </c>
      <c r="L172" s="58"/>
      <c r="N172" s="104"/>
      <c r="O172" s="104"/>
      <c r="P172" s="104"/>
    </row>
  </sheetData>
  <mergeCells count="5">
    <mergeCell ref="C5:L5"/>
    <mergeCell ref="C4:L4"/>
    <mergeCell ref="C3:L3"/>
    <mergeCell ref="C7:L7"/>
    <mergeCell ref="C6:L6"/>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pageSetUpPr fitToPage="1"/>
  </sheetPr>
  <dimension ref="A1:P184"/>
  <sheetViews>
    <sheetView topLeftCell="A8" zoomScale="85" zoomScaleNormal="85" workbookViewId="0">
      <pane ySplit="1" topLeftCell="A129" activePane="bottomLeft" state="frozen"/>
      <selection activeCell="A8" sqref="A8"/>
      <selection pane="bottomLeft" activeCell="H159" sqref="G9:H159"/>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6" width="14" style="85" customWidth="1"/>
    <col min="7" max="8" width="14" style="8" customWidth="1" outlineLevel="1"/>
    <col min="9" max="10" width="14" style="9" customWidth="1"/>
    <col min="11" max="11" width="14" style="90" customWidth="1"/>
    <col min="12" max="12" width="14" style="9" customWidth="1"/>
    <col min="13" max="13" width="13.375" style="6" bestFit="1" customWidth="1"/>
    <col min="14" max="231" width="9.125" style="6" customWidth="1"/>
    <col min="232" max="232" width="6.375" style="6" customWidth="1"/>
    <col min="233" max="233" width="34.25" style="6" customWidth="1"/>
    <col min="234" max="234" width="7.375" style="6" customWidth="1"/>
    <col min="235" max="235" width="6.375" style="6" customWidth="1"/>
    <col min="236" max="236" width="13.125" style="6" customWidth="1"/>
    <col min="237" max="237" width="15.375" style="6" customWidth="1"/>
    <col min="238" max="238" width="21.25" style="6" customWidth="1"/>
    <col min="239" max="487" width="9.125" style="6" customWidth="1"/>
    <col min="488" max="488" width="6.375" style="6" customWidth="1"/>
    <col min="489" max="489" width="34.25" style="6" customWidth="1"/>
    <col min="490" max="490" width="7.375" style="6" customWidth="1"/>
    <col min="491" max="491" width="6.375" style="6" customWidth="1"/>
    <col min="492" max="492" width="13.125" style="6" customWidth="1"/>
    <col min="493" max="493" width="15.375" style="6" customWidth="1"/>
    <col min="494" max="494" width="21.25" style="6" customWidth="1"/>
    <col min="495" max="743" width="9.125" style="6" customWidth="1"/>
    <col min="744" max="744" width="6.375" style="6" customWidth="1"/>
    <col min="745" max="745" width="34.25" style="6" customWidth="1"/>
    <col min="746" max="746" width="7.375" style="6" customWidth="1"/>
    <col min="747" max="747" width="6.375" style="6" customWidth="1"/>
    <col min="748" max="748" width="13.125" style="6" customWidth="1"/>
    <col min="749" max="749" width="15.375" style="6" customWidth="1"/>
    <col min="750" max="750" width="21.25" style="6" customWidth="1"/>
    <col min="751" max="999" width="9.125" style="6" customWidth="1"/>
    <col min="1000" max="1000" width="6.375" style="6" customWidth="1"/>
    <col min="1001" max="1001" width="34.25" style="6" customWidth="1"/>
    <col min="1002" max="1002" width="7.375" style="6" customWidth="1"/>
    <col min="1003" max="1003" width="6.375" style="6" customWidth="1"/>
    <col min="1004" max="1004" width="13.125" style="6" customWidth="1"/>
    <col min="1005" max="1005" width="15.375" style="6" customWidth="1"/>
    <col min="1006" max="1006" width="21.25" style="6" customWidth="1"/>
    <col min="1007" max="1255" width="9.125" style="6" customWidth="1"/>
    <col min="1256" max="1256" width="6.375" style="6" customWidth="1"/>
    <col min="1257" max="1257" width="34.25" style="6" customWidth="1"/>
    <col min="1258" max="1258" width="7.375" style="6" customWidth="1"/>
    <col min="1259" max="1259" width="6.375" style="6" customWidth="1"/>
    <col min="1260" max="1260" width="13.125" style="6" customWidth="1"/>
    <col min="1261" max="1261" width="15.375" style="6" customWidth="1"/>
    <col min="1262" max="1262" width="21.25" style="6" customWidth="1"/>
    <col min="1263" max="1511" width="9.125" style="6" customWidth="1"/>
    <col min="1512" max="1512" width="6.375" style="6" customWidth="1"/>
    <col min="1513" max="1513" width="34.25" style="6" customWidth="1"/>
    <col min="1514" max="1514" width="7.375" style="6" customWidth="1"/>
    <col min="1515" max="1515" width="6.375" style="6" customWidth="1"/>
    <col min="1516" max="1516" width="13.125" style="6" customWidth="1"/>
    <col min="1517" max="1517" width="15.375" style="6" customWidth="1"/>
    <col min="1518" max="1518" width="21.25" style="6" customWidth="1"/>
    <col min="1519" max="1767" width="9.125" style="6" customWidth="1"/>
    <col min="1768" max="1768" width="6.375" style="6" customWidth="1"/>
    <col min="1769" max="1769" width="34.25" style="6" customWidth="1"/>
    <col min="1770" max="1770" width="7.375" style="6" customWidth="1"/>
    <col min="1771" max="1771" width="6.375" style="6" customWidth="1"/>
    <col min="1772" max="1772" width="13.125" style="6" customWidth="1"/>
    <col min="1773" max="1773" width="15.375" style="6" customWidth="1"/>
    <col min="1774" max="1774" width="21.25" style="6" customWidth="1"/>
    <col min="1775" max="2023" width="9.125" style="6" customWidth="1"/>
    <col min="2024" max="2024" width="6.375" style="6" customWidth="1"/>
    <col min="2025" max="2025" width="34.25" style="6" customWidth="1"/>
    <col min="2026" max="2026" width="7.375" style="6" customWidth="1"/>
    <col min="2027" max="2027" width="6.375" style="6" customWidth="1"/>
    <col min="2028" max="2028" width="13.125" style="6" customWidth="1"/>
    <col min="2029" max="2029" width="15.375" style="6" customWidth="1"/>
    <col min="2030" max="2030" width="21.25" style="6" customWidth="1"/>
    <col min="2031" max="2279" width="9.125" style="6" customWidth="1"/>
    <col min="2280" max="2280" width="6.375" style="6" customWidth="1"/>
    <col min="2281" max="2281" width="34.25" style="6" customWidth="1"/>
    <col min="2282" max="2282" width="7.375" style="6" customWidth="1"/>
    <col min="2283" max="2283" width="6.375" style="6" customWidth="1"/>
    <col min="2284" max="2284" width="13.125" style="6" customWidth="1"/>
    <col min="2285" max="2285" width="15.375" style="6" customWidth="1"/>
    <col min="2286" max="2286" width="21.25" style="6" customWidth="1"/>
    <col min="2287" max="2535" width="9.125" style="6" customWidth="1"/>
    <col min="2536" max="2536" width="6.375" style="6" customWidth="1"/>
    <col min="2537" max="2537" width="34.25" style="6" customWidth="1"/>
    <col min="2538" max="2538" width="7.375" style="6" customWidth="1"/>
    <col min="2539" max="2539" width="6.375" style="6" customWidth="1"/>
    <col min="2540" max="2540" width="13.125" style="6" customWidth="1"/>
    <col min="2541" max="2541" width="15.375" style="6" customWidth="1"/>
    <col min="2542" max="2542" width="21.25" style="6" customWidth="1"/>
    <col min="2543" max="2791" width="9.125" style="6" customWidth="1"/>
    <col min="2792" max="2792" width="6.375" style="6" customWidth="1"/>
    <col min="2793" max="2793" width="34.25" style="6" customWidth="1"/>
    <col min="2794" max="2794" width="7.375" style="6" customWidth="1"/>
    <col min="2795" max="2795" width="6.375" style="6" customWidth="1"/>
    <col min="2796" max="2796" width="13.125" style="6" customWidth="1"/>
    <col min="2797" max="2797" width="15.375" style="6" customWidth="1"/>
    <col min="2798" max="2798" width="21.25" style="6" customWidth="1"/>
    <col min="2799" max="3047" width="9.125" style="6" customWidth="1"/>
    <col min="3048" max="3048" width="6.375" style="6" customWidth="1"/>
    <col min="3049" max="3049" width="34.25" style="6" customWidth="1"/>
    <col min="3050" max="3050" width="7.375" style="6" customWidth="1"/>
    <col min="3051" max="3051" width="6.375" style="6" customWidth="1"/>
    <col min="3052" max="3052" width="13.125" style="6" customWidth="1"/>
    <col min="3053" max="3053" width="15.375" style="6" customWidth="1"/>
    <col min="3054" max="3054" width="21.25" style="6" customWidth="1"/>
    <col min="3055" max="3303" width="9.125" style="6" customWidth="1"/>
    <col min="3304" max="3304" width="6.375" style="6" customWidth="1"/>
    <col min="3305" max="3305" width="34.25" style="6" customWidth="1"/>
    <col min="3306" max="3306" width="7.375" style="6" customWidth="1"/>
    <col min="3307" max="3307" width="6.375" style="6" customWidth="1"/>
    <col min="3308" max="3308" width="13.125" style="6" customWidth="1"/>
    <col min="3309" max="3309" width="15.375" style="6" customWidth="1"/>
    <col min="3310" max="3310" width="21.25" style="6" customWidth="1"/>
    <col min="3311" max="3559" width="9.125" style="6" customWidth="1"/>
    <col min="3560" max="3560" width="6.375" style="6" customWidth="1"/>
    <col min="3561" max="3561" width="34.25" style="6" customWidth="1"/>
    <col min="3562" max="3562" width="7.375" style="6" customWidth="1"/>
    <col min="3563" max="3563" width="6.375" style="6" customWidth="1"/>
    <col min="3564" max="3564" width="13.125" style="6" customWidth="1"/>
    <col min="3565" max="3565" width="15.375" style="6" customWidth="1"/>
    <col min="3566" max="3566" width="21.25" style="6" customWidth="1"/>
    <col min="3567" max="3815" width="9.125" style="6" customWidth="1"/>
    <col min="3816" max="3816" width="6.375" style="6" customWidth="1"/>
    <col min="3817" max="3817" width="34.25" style="6" customWidth="1"/>
    <col min="3818" max="3818" width="7.375" style="6" customWidth="1"/>
    <col min="3819" max="3819" width="6.375" style="6" customWidth="1"/>
    <col min="3820" max="3820" width="13.125" style="6" customWidth="1"/>
    <col min="3821" max="3821" width="15.375" style="6" customWidth="1"/>
    <col min="3822" max="3822" width="21.25" style="6" customWidth="1"/>
    <col min="3823" max="4071" width="9.125" style="6" customWidth="1"/>
    <col min="4072" max="4072" width="6.375" style="6" customWidth="1"/>
    <col min="4073" max="4073" width="34.25" style="6" customWidth="1"/>
    <col min="4074" max="4074" width="7.375" style="6" customWidth="1"/>
    <col min="4075" max="4075" width="6.375" style="6" customWidth="1"/>
    <col min="4076" max="4076" width="13.125" style="6" customWidth="1"/>
    <col min="4077" max="4077" width="15.375" style="6" customWidth="1"/>
    <col min="4078" max="4078" width="21.25" style="6" customWidth="1"/>
    <col min="4079" max="4327" width="9.125" style="6" customWidth="1"/>
    <col min="4328" max="4328" width="6.375" style="6" customWidth="1"/>
    <col min="4329" max="4329" width="34.25" style="6" customWidth="1"/>
    <col min="4330" max="4330" width="7.375" style="6" customWidth="1"/>
    <col min="4331" max="4331" width="6.375" style="6" customWidth="1"/>
    <col min="4332" max="4332" width="13.125" style="6" customWidth="1"/>
    <col min="4333" max="4333" width="15.375" style="6" customWidth="1"/>
    <col min="4334" max="4334" width="21.25" style="6" customWidth="1"/>
    <col min="4335" max="4583" width="9.125" style="6" customWidth="1"/>
    <col min="4584" max="4584" width="6.375" style="6" customWidth="1"/>
    <col min="4585" max="4585" width="34.25" style="6" customWidth="1"/>
    <col min="4586" max="4586" width="7.375" style="6" customWidth="1"/>
    <col min="4587" max="4587" width="6.375" style="6" customWidth="1"/>
    <col min="4588" max="4588" width="13.125" style="6" customWidth="1"/>
    <col min="4589" max="4589" width="15.375" style="6" customWidth="1"/>
    <col min="4590" max="4590" width="21.25" style="6" customWidth="1"/>
    <col min="4591" max="4839" width="9.125" style="6" customWidth="1"/>
    <col min="4840" max="4840" width="6.375" style="6" customWidth="1"/>
    <col min="4841" max="4841" width="34.25" style="6" customWidth="1"/>
    <col min="4842" max="4842" width="7.375" style="6" customWidth="1"/>
    <col min="4843" max="4843" width="6.375" style="6" customWidth="1"/>
    <col min="4844" max="4844" width="13.125" style="6" customWidth="1"/>
    <col min="4845" max="4845" width="15.375" style="6" customWidth="1"/>
    <col min="4846" max="4846" width="21.25" style="6" customWidth="1"/>
    <col min="4847" max="5095" width="9.125" style="6" customWidth="1"/>
    <col min="5096" max="5096" width="6.375" style="6" customWidth="1"/>
    <col min="5097" max="5097" width="34.25" style="6" customWidth="1"/>
    <col min="5098" max="5098" width="7.375" style="6" customWidth="1"/>
    <col min="5099" max="5099" width="6.375" style="6" customWidth="1"/>
    <col min="5100" max="5100" width="13.125" style="6" customWidth="1"/>
    <col min="5101" max="5101" width="15.375" style="6" customWidth="1"/>
    <col min="5102" max="5102" width="21.25" style="6" customWidth="1"/>
    <col min="5103" max="5351" width="9.125" style="6" customWidth="1"/>
    <col min="5352" max="5352" width="6.375" style="6" customWidth="1"/>
    <col min="5353" max="5353" width="34.25" style="6" customWidth="1"/>
    <col min="5354" max="5354" width="7.375" style="6" customWidth="1"/>
    <col min="5355" max="5355" width="6.375" style="6" customWidth="1"/>
    <col min="5356" max="5356" width="13.125" style="6" customWidth="1"/>
    <col min="5357" max="5357" width="15.375" style="6" customWidth="1"/>
    <col min="5358" max="5358" width="21.25" style="6" customWidth="1"/>
    <col min="5359" max="5607" width="9.125" style="6" customWidth="1"/>
    <col min="5608" max="5608" width="6.375" style="6" customWidth="1"/>
    <col min="5609" max="5609" width="34.25" style="6" customWidth="1"/>
    <col min="5610" max="5610" width="7.375" style="6" customWidth="1"/>
    <col min="5611" max="5611" width="6.375" style="6" customWidth="1"/>
    <col min="5612" max="5612" width="13.125" style="6" customWidth="1"/>
    <col min="5613" max="5613" width="15.375" style="6" customWidth="1"/>
    <col min="5614" max="5614" width="21.25" style="6" customWidth="1"/>
    <col min="5615" max="5863" width="9.125" style="6" customWidth="1"/>
    <col min="5864" max="5864" width="6.375" style="6" customWidth="1"/>
    <col min="5865" max="5865" width="34.25" style="6" customWidth="1"/>
    <col min="5866" max="5866" width="7.375" style="6" customWidth="1"/>
    <col min="5867" max="5867" width="6.375" style="6" customWidth="1"/>
    <col min="5868" max="5868" width="13.125" style="6" customWidth="1"/>
    <col min="5869" max="5869" width="15.375" style="6" customWidth="1"/>
    <col min="5870" max="5870" width="21.25" style="6" customWidth="1"/>
    <col min="5871" max="6119" width="9.125" style="6" customWidth="1"/>
    <col min="6120" max="6120" width="6.375" style="6" customWidth="1"/>
    <col min="6121" max="6121" width="34.25" style="6" customWidth="1"/>
    <col min="6122" max="6122" width="7.375" style="6" customWidth="1"/>
    <col min="6123" max="6123" width="6.375" style="6" customWidth="1"/>
    <col min="6124" max="6124" width="13.125" style="6" customWidth="1"/>
    <col min="6125" max="6125" width="15.375" style="6" customWidth="1"/>
    <col min="6126" max="6126" width="21.25" style="6" customWidth="1"/>
    <col min="6127" max="6375" width="9.125" style="6" customWidth="1"/>
    <col min="6376" max="6376" width="6.375" style="6" customWidth="1"/>
    <col min="6377" max="6377" width="34.25" style="6" customWidth="1"/>
    <col min="6378" max="6378" width="7.375" style="6" customWidth="1"/>
    <col min="6379" max="6379" width="6.375" style="6" customWidth="1"/>
    <col min="6380" max="6380" width="13.125" style="6" customWidth="1"/>
    <col min="6381" max="6381" width="15.375" style="6" customWidth="1"/>
    <col min="6382" max="6382" width="21.25" style="6" customWidth="1"/>
    <col min="6383" max="6631" width="9.125" style="6" customWidth="1"/>
    <col min="6632" max="6632" width="6.375" style="6" customWidth="1"/>
    <col min="6633" max="6633" width="34.25" style="6" customWidth="1"/>
    <col min="6634" max="6634" width="7.375" style="6" customWidth="1"/>
    <col min="6635" max="6635" width="6.375" style="6" customWidth="1"/>
    <col min="6636" max="6636" width="13.125" style="6" customWidth="1"/>
    <col min="6637" max="6637" width="15.375" style="6" customWidth="1"/>
    <col min="6638" max="6638" width="21.25" style="6" customWidth="1"/>
    <col min="6639" max="6887" width="9.125" style="6" customWidth="1"/>
    <col min="6888" max="6888" width="6.375" style="6" customWidth="1"/>
    <col min="6889" max="6889" width="34.25" style="6" customWidth="1"/>
    <col min="6890" max="6890" width="7.375" style="6" customWidth="1"/>
    <col min="6891" max="6891" width="6.375" style="6" customWidth="1"/>
    <col min="6892" max="6892" width="13.125" style="6" customWidth="1"/>
    <col min="6893" max="6893" width="15.375" style="6" customWidth="1"/>
    <col min="6894" max="6894" width="21.25" style="6" customWidth="1"/>
    <col min="6895" max="7143" width="9.125" style="6" customWidth="1"/>
    <col min="7144" max="7144" width="6.375" style="6" customWidth="1"/>
    <col min="7145" max="7145" width="34.25" style="6" customWidth="1"/>
    <col min="7146" max="7146" width="7.375" style="6" customWidth="1"/>
    <col min="7147" max="7147" width="6.375" style="6" customWidth="1"/>
    <col min="7148" max="7148" width="13.125" style="6" customWidth="1"/>
    <col min="7149" max="7149" width="15.375" style="6" customWidth="1"/>
    <col min="7150" max="7150" width="21.25" style="6" customWidth="1"/>
    <col min="7151" max="7399" width="9.125" style="6" customWidth="1"/>
    <col min="7400" max="7400" width="6.375" style="6" customWidth="1"/>
    <col min="7401" max="7401" width="34.25" style="6" customWidth="1"/>
    <col min="7402" max="7402" width="7.375" style="6" customWidth="1"/>
    <col min="7403" max="7403" width="6.375" style="6" customWidth="1"/>
    <col min="7404" max="7404" width="13.125" style="6" customWidth="1"/>
    <col min="7405" max="7405" width="15.375" style="6" customWidth="1"/>
    <col min="7406" max="7406" width="21.25" style="6" customWidth="1"/>
    <col min="7407" max="7655" width="9.125" style="6" customWidth="1"/>
    <col min="7656" max="7656" width="6.375" style="6" customWidth="1"/>
    <col min="7657" max="7657" width="34.25" style="6" customWidth="1"/>
    <col min="7658" max="7658" width="7.375" style="6" customWidth="1"/>
    <col min="7659" max="7659" width="6.375" style="6" customWidth="1"/>
    <col min="7660" max="7660" width="13.125" style="6" customWidth="1"/>
    <col min="7661" max="7661" width="15.375" style="6" customWidth="1"/>
    <col min="7662" max="7662" width="21.25" style="6" customWidth="1"/>
    <col min="7663" max="7911" width="9.125" style="6" customWidth="1"/>
    <col min="7912" max="7912" width="6.375" style="6" customWidth="1"/>
    <col min="7913" max="7913" width="34.25" style="6" customWidth="1"/>
    <col min="7914" max="7914" width="7.375" style="6" customWidth="1"/>
    <col min="7915" max="7915" width="6.375" style="6" customWidth="1"/>
    <col min="7916" max="7916" width="13.125" style="6" customWidth="1"/>
    <col min="7917" max="7917" width="15.375" style="6" customWidth="1"/>
    <col min="7918" max="7918" width="21.25" style="6" customWidth="1"/>
    <col min="7919" max="8167" width="9.125" style="6" customWidth="1"/>
    <col min="8168" max="8168" width="6.375" style="6" customWidth="1"/>
    <col min="8169" max="8169" width="34.25" style="6" customWidth="1"/>
    <col min="8170" max="8170" width="7.375" style="6" customWidth="1"/>
    <col min="8171" max="8171" width="6.375" style="6" customWidth="1"/>
    <col min="8172" max="8172" width="13.125" style="6" customWidth="1"/>
    <col min="8173" max="8173" width="15.375" style="6" customWidth="1"/>
    <col min="8174" max="8174" width="21.25" style="6" customWidth="1"/>
    <col min="8175" max="8423" width="9.125" style="6" customWidth="1"/>
    <col min="8424" max="8424" width="6.375" style="6" customWidth="1"/>
    <col min="8425" max="8425" width="34.25" style="6" customWidth="1"/>
    <col min="8426" max="8426" width="7.375" style="6" customWidth="1"/>
    <col min="8427" max="8427" width="6.375" style="6" customWidth="1"/>
    <col min="8428" max="8428" width="13.125" style="6" customWidth="1"/>
    <col min="8429" max="8429" width="15.375" style="6" customWidth="1"/>
    <col min="8430" max="8430" width="21.25" style="6" customWidth="1"/>
    <col min="8431" max="8679" width="9.125" style="6" customWidth="1"/>
    <col min="8680" max="8680" width="6.375" style="6" customWidth="1"/>
    <col min="8681" max="8681" width="34.25" style="6" customWidth="1"/>
    <col min="8682" max="8682" width="7.375" style="6" customWidth="1"/>
    <col min="8683" max="8683" width="6.375" style="6" customWidth="1"/>
    <col min="8684" max="8684" width="13.125" style="6" customWidth="1"/>
    <col min="8685" max="8685" width="15.375" style="6" customWidth="1"/>
    <col min="8686" max="8686" width="21.25" style="6" customWidth="1"/>
    <col min="8687" max="8935" width="9.125" style="6" customWidth="1"/>
    <col min="8936" max="8936" width="6.375" style="6" customWidth="1"/>
    <col min="8937" max="8937" width="34.25" style="6" customWidth="1"/>
    <col min="8938" max="8938" width="7.375" style="6" customWidth="1"/>
    <col min="8939" max="8939" width="6.375" style="6" customWidth="1"/>
    <col min="8940" max="8940" width="13.125" style="6" customWidth="1"/>
    <col min="8941" max="8941" width="15.375" style="6" customWidth="1"/>
    <col min="8942" max="8942" width="21.25" style="6" customWidth="1"/>
    <col min="8943" max="9191" width="9.125" style="6" customWidth="1"/>
    <col min="9192" max="9192" width="6.375" style="6" customWidth="1"/>
    <col min="9193" max="9193" width="34.25" style="6" customWidth="1"/>
    <col min="9194" max="9194" width="7.375" style="6" customWidth="1"/>
    <col min="9195" max="9195" width="6.375" style="6" customWidth="1"/>
    <col min="9196" max="9196" width="13.125" style="6" customWidth="1"/>
    <col min="9197" max="9197" width="15.375" style="6" customWidth="1"/>
    <col min="9198" max="9198" width="21.25" style="6" customWidth="1"/>
    <col min="9199" max="9447" width="9.125" style="6" customWidth="1"/>
    <col min="9448" max="9448" width="6.375" style="6" customWidth="1"/>
    <col min="9449" max="9449" width="34.25" style="6" customWidth="1"/>
    <col min="9450" max="9450" width="7.375" style="6" customWidth="1"/>
    <col min="9451" max="9451" width="6.375" style="6" customWidth="1"/>
    <col min="9452" max="9452" width="13.125" style="6" customWidth="1"/>
    <col min="9453" max="9453" width="15.375" style="6" customWidth="1"/>
    <col min="9454" max="9454" width="21.25" style="6" customWidth="1"/>
    <col min="9455" max="9703" width="9.125" style="6" customWidth="1"/>
    <col min="9704" max="9704" width="6.375" style="6" customWidth="1"/>
    <col min="9705" max="9705" width="34.25" style="6" customWidth="1"/>
    <col min="9706" max="9706" width="7.375" style="6" customWidth="1"/>
    <col min="9707" max="9707" width="6.375" style="6" customWidth="1"/>
    <col min="9708" max="9708" width="13.125" style="6" customWidth="1"/>
    <col min="9709" max="9709" width="15.375" style="6" customWidth="1"/>
    <col min="9710" max="9710" width="21.25" style="6" customWidth="1"/>
    <col min="9711" max="9959" width="9.125" style="6" customWidth="1"/>
    <col min="9960" max="9960" width="6.375" style="6" customWidth="1"/>
    <col min="9961" max="9961" width="34.25" style="6" customWidth="1"/>
    <col min="9962" max="9962" width="7.375" style="6" customWidth="1"/>
    <col min="9963" max="9963" width="6.375" style="6" customWidth="1"/>
    <col min="9964" max="9964" width="13.125" style="6" customWidth="1"/>
    <col min="9965" max="9965" width="15.375" style="6" customWidth="1"/>
    <col min="9966" max="9966" width="21.25" style="6" customWidth="1"/>
    <col min="9967" max="10215" width="9.125" style="6" customWidth="1"/>
    <col min="10216" max="10216" width="6.375" style="6" customWidth="1"/>
    <col min="10217" max="10217" width="34.25" style="6" customWidth="1"/>
    <col min="10218" max="10218" width="7.375" style="6" customWidth="1"/>
    <col min="10219" max="10219" width="6.375" style="6" customWidth="1"/>
    <col min="10220" max="10220" width="13.125" style="6" customWidth="1"/>
    <col min="10221" max="10221" width="15.375" style="6" customWidth="1"/>
    <col min="10222" max="10222" width="21.25" style="6" customWidth="1"/>
    <col min="10223" max="10471" width="9.125" style="6" customWidth="1"/>
    <col min="10472" max="10472" width="6.375" style="6" customWidth="1"/>
    <col min="10473" max="10473" width="34.25" style="6" customWidth="1"/>
    <col min="10474" max="10474" width="7.375" style="6" customWidth="1"/>
    <col min="10475" max="10475" width="6.375" style="6" customWidth="1"/>
    <col min="10476" max="10476" width="13.125" style="6" customWidth="1"/>
    <col min="10477" max="10477" width="15.375" style="6" customWidth="1"/>
    <col min="10478" max="10478" width="21.25" style="6" customWidth="1"/>
    <col min="10479" max="10727" width="9.125" style="6" customWidth="1"/>
    <col min="10728" max="10728" width="6.375" style="6" customWidth="1"/>
    <col min="10729" max="10729" width="34.25" style="6" customWidth="1"/>
    <col min="10730" max="10730" width="7.375" style="6" customWidth="1"/>
    <col min="10731" max="10731" width="6.375" style="6" customWidth="1"/>
    <col min="10732" max="10732" width="13.125" style="6" customWidth="1"/>
    <col min="10733" max="10733" width="15.375" style="6" customWidth="1"/>
    <col min="10734" max="10734" width="21.25" style="6" customWidth="1"/>
    <col min="10735" max="10983" width="9.125" style="6" customWidth="1"/>
    <col min="10984" max="10984" width="6.375" style="6" customWidth="1"/>
    <col min="10985" max="10985" width="34.25" style="6" customWidth="1"/>
    <col min="10986" max="10986" width="7.375" style="6" customWidth="1"/>
    <col min="10987" max="10987" width="6.375" style="6" customWidth="1"/>
    <col min="10988" max="10988" width="13.125" style="6" customWidth="1"/>
    <col min="10989" max="10989" width="15.375" style="6" customWidth="1"/>
    <col min="10990" max="10990" width="21.25" style="6" customWidth="1"/>
    <col min="10991" max="11239" width="9.125" style="6" customWidth="1"/>
    <col min="11240" max="11240" width="6.375" style="6" customWidth="1"/>
    <col min="11241" max="11241" width="34.25" style="6" customWidth="1"/>
    <col min="11242" max="11242" width="7.375" style="6" customWidth="1"/>
    <col min="11243" max="11243" width="6.375" style="6" customWidth="1"/>
    <col min="11244" max="11244" width="13.125" style="6" customWidth="1"/>
    <col min="11245" max="11245" width="15.375" style="6" customWidth="1"/>
    <col min="11246" max="11246" width="21.25" style="6" customWidth="1"/>
    <col min="11247" max="11495" width="9.125" style="6" customWidth="1"/>
    <col min="11496" max="11496" width="6.375" style="6" customWidth="1"/>
    <col min="11497" max="11497" width="34.25" style="6" customWidth="1"/>
    <col min="11498" max="11498" width="7.375" style="6" customWidth="1"/>
    <col min="11499" max="11499" width="6.375" style="6" customWidth="1"/>
    <col min="11500" max="11500" width="13.125" style="6" customWidth="1"/>
    <col min="11501" max="11501" width="15.375" style="6" customWidth="1"/>
    <col min="11502" max="11502" width="21.25" style="6" customWidth="1"/>
    <col min="11503" max="11751" width="9.125" style="6" customWidth="1"/>
    <col min="11752" max="11752" width="6.375" style="6" customWidth="1"/>
    <col min="11753" max="11753" width="34.25" style="6" customWidth="1"/>
    <col min="11754" max="11754" width="7.375" style="6" customWidth="1"/>
    <col min="11755" max="11755" width="6.375" style="6" customWidth="1"/>
    <col min="11756" max="11756" width="13.125" style="6" customWidth="1"/>
    <col min="11757" max="11757" width="15.375" style="6" customWidth="1"/>
    <col min="11758" max="11758" width="21.25" style="6" customWidth="1"/>
    <col min="11759" max="12007" width="9.125" style="6" customWidth="1"/>
    <col min="12008" max="12008" width="6.375" style="6" customWidth="1"/>
    <col min="12009" max="12009" width="34.25" style="6" customWidth="1"/>
    <col min="12010" max="12010" width="7.375" style="6" customWidth="1"/>
    <col min="12011" max="12011" width="6.375" style="6" customWidth="1"/>
    <col min="12012" max="12012" width="13.125" style="6" customWidth="1"/>
    <col min="12013" max="12013" width="15.375" style="6" customWidth="1"/>
    <col min="12014" max="12014" width="21.25" style="6" customWidth="1"/>
    <col min="12015" max="12263" width="9.125" style="6" customWidth="1"/>
    <col min="12264" max="12264" width="6.375" style="6" customWidth="1"/>
    <col min="12265" max="12265" width="34.25" style="6" customWidth="1"/>
    <col min="12266" max="12266" width="7.375" style="6" customWidth="1"/>
    <col min="12267" max="12267" width="6.375" style="6" customWidth="1"/>
    <col min="12268" max="12268" width="13.125" style="6" customWidth="1"/>
    <col min="12269" max="12269" width="15.375" style="6" customWidth="1"/>
    <col min="12270" max="12270" width="21.25" style="6" customWidth="1"/>
    <col min="12271" max="12519" width="9.125" style="6" customWidth="1"/>
    <col min="12520" max="12520" width="6.375" style="6" customWidth="1"/>
    <col min="12521" max="12521" width="34.25" style="6" customWidth="1"/>
    <col min="12522" max="12522" width="7.375" style="6" customWidth="1"/>
    <col min="12523" max="12523" width="6.375" style="6" customWidth="1"/>
    <col min="12524" max="12524" width="13.125" style="6" customWidth="1"/>
    <col min="12525" max="12525" width="15.375" style="6" customWidth="1"/>
    <col min="12526" max="12526" width="21.25" style="6" customWidth="1"/>
    <col min="12527" max="12775" width="9.125" style="6" customWidth="1"/>
    <col min="12776" max="12776" width="6.375" style="6" customWidth="1"/>
    <col min="12777" max="12777" width="34.25" style="6" customWidth="1"/>
    <col min="12778" max="12778" width="7.375" style="6" customWidth="1"/>
    <col min="12779" max="12779" width="6.375" style="6" customWidth="1"/>
    <col min="12780" max="12780" width="13.125" style="6" customWidth="1"/>
    <col min="12781" max="12781" width="15.375" style="6" customWidth="1"/>
    <col min="12782" max="12782" width="21.25" style="6" customWidth="1"/>
    <col min="12783" max="13031" width="9.125" style="6" customWidth="1"/>
    <col min="13032" max="13032" width="6.375" style="6" customWidth="1"/>
    <col min="13033" max="13033" width="34.25" style="6" customWidth="1"/>
    <col min="13034" max="13034" width="7.375" style="6" customWidth="1"/>
    <col min="13035" max="13035" width="6.375" style="6" customWidth="1"/>
    <col min="13036" max="13036" width="13.125" style="6" customWidth="1"/>
    <col min="13037" max="13037" width="15.375" style="6" customWidth="1"/>
    <col min="13038" max="13038" width="21.25" style="6" customWidth="1"/>
    <col min="13039" max="13287" width="9.125" style="6" customWidth="1"/>
    <col min="13288" max="13288" width="6.375" style="6" customWidth="1"/>
    <col min="13289" max="13289" width="34.25" style="6" customWidth="1"/>
    <col min="13290" max="13290" width="7.375" style="6" customWidth="1"/>
    <col min="13291" max="13291" width="6.375" style="6" customWidth="1"/>
    <col min="13292" max="13292" width="13.125" style="6" customWidth="1"/>
    <col min="13293" max="13293" width="15.375" style="6" customWidth="1"/>
    <col min="13294" max="13294" width="21.25" style="6" customWidth="1"/>
    <col min="13295" max="13543" width="9.125" style="6" customWidth="1"/>
    <col min="13544" max="13544" width="6.375" style="6" customWidth="1"/>
    <col min="13545" max="13545" width="34.25" style="6" customWidth="1"/>
    <col min="13546" max="13546" width="7.375" style="6" customWidth="1"/>
    <col min="13547" max="13547" width="6.375" style="6" customWidth="1"/>
    <col min="13548" max="13548" width="13.125" style="6" customWidth="1"/>
    <col min="13549" max="13549" width="15.375" style="6" customWidth="1"/>
    <col min="13550" max="13550" width="21.25" style="6" customWidth="1"/>
    <col min="13551" max="13799" width="9.125" style="6" customWidth="1"/>
    <col min="13800" max="13800" width="6.375" style="6" customWidth="1"/>
    <col min="13801" max="13801" width="34.25" style="6" customWidth="1"/>
    <col min="13802" max="13802" width="7.375" style="6" customWidth="1"/>
    <col min="13803" max="13803" width="6.375" style="6" customWidth="1"/>
    <col min="13804" max="13804" width="13.125" style="6" customWidth="1"/>
    <col min="13805" max="13805" width="15.375" style="6" customWidth="1"/>
    <col min="13806" max="13806" width="21.25" style="6" customWidth="1"/>
    <col min="13807" max="14055" width="9.125" style="6" customWidth="1"/>
    <col min="14056" max="14056" width="6.375" style="6" customWidth="1"/>
    <col min="14057" max="14057" width="34.25" style="6" customWidth="1"/>
    <col min="14058" max="14058" width="7.375" style="6" customWidth="1"/>
    <col min="14059" max="14059" width="6.375" style="6" customWidth="1"/>
    <col min="14060" max="14060" width="13.125" style="6" customWidth="1"/>
    <col min="14061" max="14061" width="15.375" style="6" customWidth="1"/>
    <col min="14062" max="14062" width="21.25" style="6" customWidth="1"/>
    <col min="14063" max="14311" width="9.125" style="6" customWidth="1"/>
    <col min="14312" max="14312" width="6.375" style="6" customWidth="1"/>
    <col min="14313" max="14313" width="34.25" style="6" customWidth="1"/>
    <col min="14314" max="14314" width="7.375" style="6" customWidth="1"/>
    <col min="14315" max="14315" width="6.375" style="6" customWidth="1"/>
    <col min="14316" max="14316" width="13.125" style="6" customWidth="1"/>
    <col min="14317" max="14317" width="15.375" style="6" customWidth="1"/>
    <col min="14318" max="14318" width="21.25" style="6" customWidth="1"/>
    <col min="14319" max="14567" width="9.125" style="6" customWidth="1"/>
    <col min="14568" max="14568" width="6.375" style="6" customWidth="1"/>
    <col min="14569" max="14569" width="34.25" style="6" customWidth="1"/>
    <col min="14570" max="14570" width="7.375" style="6" customWidth="1"/>
    <col min="14571" max="14571" width="6.375" style="6" customWidth="1"/>
    <col min="14572" max="14572" width="13.125" style="6" customWidth="1"/>
    <col min="14573" max="14573" width="15.375" style="6" customWidth="1"/>
    <col min="14574" max="14574" width="21.25" style="6" customWidth="1"/>
    <col min="14575" max="14823" width="9.125" style="6" customWidth="1"/>
    <col min="14824" max="14824" width="6.375" style="6" customWidth="1"/>
    <col min="14825" max="14825" width="34.25" style="6" customWidth="1"/>
    <col min="14826" max="14826" width="7.375" style="6" customWidth="1"/>
    <col min="14827" max="14827" width="6.375" style="6" customWidth="1"/>
    <col min="14828" max="14828" width="13.125" style="6" customWidth="1"/>
    <col min="14829" max="14829" width="15.375" style="6" customWidth="1"/>
    <col min="14830" max="14830" width="21.25" style="6" customWidth="1"/>
    <col min="14831" max="15079" width="9.125" style="6" customWidth="1"/>
    <col min="15080" max="15080" width="6.375" style="6" customWidth="1"/>
    <col min="15081" max="15081" width="34.25" style="6" customWidth="1"/>
    <col min="15082" max="15082" width="7.375" style="6" customWidth="1"/>
    <col min="15083" max="15083" width="6.375" style="6" customWidth="1"/>
    <col min="15084" max="15084" width="13.125" style="6" customWidth="1"/>
    <col min="15085" max="15085" width="15.375" style="6" customWidth="1"/>
    <col min="15086" max="15086" width="21.25" style="6" customWidth="1"/>
    <col min="15087" max="15335" width="9.125" style="6" customWidth="1"/>
    <col min="15336" max="15336" width="6.375" style="6" customWidth="1"/>
    <col min="15337" max="15337" width="34.25" style="6" customWidth="1"/>
    <col min="15338" max="15338" width="7.375" style="6" customWidth="1"/>
    <col min="15339" max="15339" width="6.375" style="6" customWidth="1"/>
    <col min="15340" max="15340" width="13.125" style="6" customWidth="1"/>
    <col min="15341" max="15341" width="15.375" style="6" customWidth="1"/>
    <col min="15342" max="15342" width="21.25" style="6" customWidth="1"/>
    <col min="15343" max="15591" width="9.125" style="6" customWidth="1"/>
    <col min="15592" max="15592" width="6.375" style="6" customWidth="1"/>
    <col min="15593" max="15593" width="34.25" style="6" customWidth="1"/>
    <col min="15594" max="15594" width="7.375" style="6" customWidth="1"/>
    <col min="15595" max="15595" width="6.375" style="6" customWidth="1"/>
    <col min="15596" max="15596" width="13.125" style="6" customWidth="1"/>
    <col min="15597" max="15597" width="15.375" style="6" customWidth="1"/>
    <col min="15598" max="15598" width="21.25" style="6" customWidth="1"/>
    <col min="15599" max="15847" width="9.125" style="6" customWidth="1"/>
    <col min="15848" max="15848" width="6.375" style="6" customWidth="1"/>
    <col min="15849" max="15849" width="34.25" style="6" customWidth="1"/>
    <col min="15850" max="15850" width="7.375" style="6" customWidth="1"/>
    <col min="15851" max="15851" width="6.375" style="6" customWidth="1"/>
    <col min="15852" max="15852" width="13.125" style="6" customWidth="1"/>
    <col min="15853" max="15853" width="15.375" style="6" customWidth="1"/>
    <col min="15854" max="15854" width="21.25" style="6" customWidth="1"/>
    <col min="15855" max="16103" width="9.125" style="6" customWidth="1"/>
    <col min="16104" max="16104" width="6.375" style="6" customWidth="1"/>
    <col min="16105" max="16105" width="34.25" style="6" customWidth="1"/>
    <col min="16106" max="16106" width="7.375" style="6" customWidth="1"/>
    <col min="16107" max="16107" width="6.375" style="6" customWidth="1"/>
    <col min="16108" max="16108" width="13.125" style="6" customWidth="1"/>
    <col min="16109" max="16109" width="15.375" style="6" customWidth="1"/>
    <col min="16110" max="16110" width="21.25" style="6" customWidth="1"/>
    <col min="16111" max="16384" width="9.125" style="6" customWidth="1"/>
  </cols>
  <sheetData>
    <row r="1" spans="1:13" ht="48" customHeight="1"/>
    <row r="2" spans="1:13" s="1" customFormat="1" ht="51" customHeight="1">
      <c r="A2" s="10" t="s">
        <v>507</v>
      </c>
      <c r="B2" s="11"/>
      <c r="C2" s="12"/>
      <c r="D2" s="11"/>
      <c r="E2" s="14"/>
      <c r="F2" s="86"/>
      <c r="G2" s="14"/>
      <c r="H2" s="14"/>
      <c r="I2" s="15"/>
      <c r="J2" s="15"/>
      <c r="K2" s="91"/>
      <c r="L2" s="15"/>
    </row>
    <row r="3" spans="1:13" ht="26.25" customHeight="1">
      <c r="A3" s="16"/>
      <c r="B3" s="17" t="s">
        <v>440</v>
      </c>
      <c r="C3" s="213"/>
      <c r="D3" s="217"/>
      <c r="E3" s="214"/>
      <c r="F3" s="218"/>
      <c r="G3" s="214"/>
      <c r="H3" s="214"/>
      <c r="I3" s="220"/>
      <c r="J3" s="220"/>
      <c r="K3" s="221"/>
      <c r="L3" s="220"/>
    </row>
    <row r="4" spans="1:13" ht="26.25" customHeight="1">
      <c r="A4" s="18"/>
      <c r="B4" s="5" t="s">
        <v>441</v>
      </c>
      <c r="C4" s="222"/>
      <c r="D4" s="217"/>
      <c r="E4" s="214"/>
      <c r="F4" s="218"/>
      <c r="G4" s="214"/>
      <c r="H4" s="214"/>
      <c r="I4" s="220"/>
      <c r="J4" s="220"/>
      <c r="K4" s="221"/>
      <c r="L4" s="220"/>
    </row>
    <row r="5" spans="1:13" ht="26.25" customHeight="1">
      <c r="A5" s="18"/>
      <c r="B5" s="5" t="s">
        <v>442</v>
      </c>
      <c r="C5" s="216"/>
      <c r="D5" s="217"/>
      <c r="E5" s="214"/>
      <c r="F5" s="218"/>
      <c r="G5" s="214"/>
      <c r="H5" s="214"/>
      <c r="I5" s="220"/>
      <c r="J5" s="220"/>
      <c r="K5" s="221"/>
      <c r="L5" s="220"/>
    </row>
    <row r="6" spans="1:13" ht="26.25" customHeight="1">
      <c r="A6" s="18"/>
      <c r="B6" s="5" t="s">
        <v>443</v>
      </c>
      <c r="C6" s="213" t="str">
        <f>INDEX(總表!$B$9:$B$47,MATCH('3A'!A9,總表!$A$9:$A$48,0))</f>
        <v>Nhà xưởng sản xuất 2
二號生產廠房</v>
      </c>
      <c r="D6" s="217"/>
      <c r="E6" s="214"/>
      <c r="F6" s="218"/>
      <c r="G6" s="214"/>
      <c r="H6" s="214"/>
      <c r="I6" s="220"/>
      <c r="J6" s="220"/>
      <c r="K6" s="221"/>
      <c r="L6" s="220"/>
    </row>
    <row r="7" spans="1:13" ht="26.25" customHeight="1">
      <c r="A7" s="18"/>
      <c r="B7" s="5" t="s">
        <v>444</v>
      </c>
      <c r="C7" s="223" t="s">
        <v>445</v>
      </c>
      <c r="D7" s="224"/>
      <c r="E7" s="224"/>
      <c r="F7" s="224"/>
      <c r="G7" s="224"/>
      <c r="H7" s="224"/>
      <c r="I7" s="224"/>
      <c r="J7" s="224"/>
      <c r="K7" s="224"/>
      <c r="L7" s="224"/>
    </row>
    <row r="8" spans="1:13" s="2" customFormat="1" ht="41.25" customHeight="1">
      <c r="A8" s="19" t="s">
        <v>446</v>
      </c>
      <c r="B8" s="19" t="s">
        <v>508</v>
      </c>
      <c r="C8" s="19" t="s">
        <v>509</v>
      </c>
      <c r="D8" s="19" t="s">
        <v>448</v>
      </c>
      <c r="E8" s="19" t="s">
        <v>449</v>
      </c>
      <c r="F8" s="84" t="s">
        <v>510</v>
      </c>
      <c r="G8" s="19" t="s">
        <v>511</v>
      </c>
      <c r="H8" s="19" t="s">
        <v>512</v>
      </c>
      <c r="I8" s="21" t="s">
        <v>450</v>
      </c>
      <c r="J8" s="21" t="s">
        <v>452</v>
      </c>
      <c r="K8" s="84" t="s">
        <v>513</v>
      </c>
      <c r="L8" s="21" t="s">
        <v>514</v>
      </c>
    </row>
    <row r="9" spans="1:13" s="3" customFormat="1" ht="25.5" customHeight="1">
      <c r="A9" s="22" t="s">
        <v>460</v>
      </c>
      <c r="B9" s="23" t="str">
        <f>C6</f>
        <v>Nhà xưởng sản xuất 2
二號生產廠房</v>
      </c>
      <c r="C9" s="23" t="s">
        <v>515</v>
      </c>
      <c r="D9" s="22"/>
      <c r="E9" s="25"/>
      <c r="F9" s="25"/>
      <c r="G9" s="145">
        <f>_xlfn.XLOOKUP(B9, Rate_Master!$A:$A, Rate_Master!$C:$C, "")</f>
        <v>0</v>
      </c>
      <c r="H9" s="145">
        <f>_xlfn.XLOOKUP(B9, Rate_Master!$A:$A, Rate_Master!$D:$D, "")</f>
        <v>0</v>
      </c>
      <c r="I9" s="26"/>
      <c r="J9" s="26">
        <f>SUBTOTAL(9,J10:J184)</f>
        <v>92953722949.404449</v>
      </c>
      <c r="K9" s="26">
        <f>SUBTOTAL(9,K10:K184)</f>
        <v>93648496088.878311</v>
      </c>
      <c r="L9" s="26"/>
      <c r="M9" s="103"/>
    </row>
    <row r="10" spans="1:13" s="3" customFormat="1" ht="25.5" customHeight="1">
      <c r="A10" s="22" t="str">
        <f>$A$9&amp;".C"</f>
        <v>3A.C</v>
      </c>
      <c r="B10" s="23" t="s">
        <v>1</v>
      </c>
      <c r="C10" s="23" t="s">
        <v>515</v>
      </c>
      <c r="D10" s="22"/>
      <c r="E10" s="25"/>
      <c r="F10" s="25"/>
      <c r="G10" s="145">
        <f>_xlfn.XLOOKUP(B10, Rate_Master!$A:$A, Rate_Master!$C:$C, "")</f>
        <v>0</v>
      </c>
      <c r="H10" s="145">
        <f>_xlfn.XLOOKUP(B10, Rate_Master!$A:$A, Rate_Master!$D:$D, "")</f>
        <v>0</v>
      </c>
      <c r="I10" s="26"/>
      <c r="J10" s="26"/>
      <c r="K10" s="121"/>
      <c r="L10" s="26"/>
    </row>
    <row r="11" spans="1:13" s="3" customFormat="1" ht="25.5" customHeight="1">
      <c r="A11" s="22" t="str">
        <f>$A$10&amp;1</f>
        <v>3A.C1</v>
      </c>
      <c r="B11" s="23" t="s">
        <v>2</v>
      </c>
      <c r="C11" s="23" t="s">
        <v>515</v>
      </c>
      <c r="D11" s="22"/>
      <c r="E11" s="25"/>
      <c r="F11" s="25"/>
      <c r="G11" s="145">
        <f>_xlfn.XLOOKUP(B11, Rate_Master!$A:$A, Rate_Master!$C:$C, "")</f>
        <v>0</v>
      </c>
      <c r="H11" s="145">
        <f>_xlfn.XLOOKUP(B11, Rate_Master!$A:$A, Rate_Master!$D:$D, "")</f>
        <v>0</v>
      </c>
      <c r="I11" s="26"/>
      <c r="J11" s="26">
        <f>SUBTOTAL(9,J12:J22)</f>
        <v>15131364199.999998</v>
      </c>
      <c r="K11" s="121">
        <f>SUBTOTAL(9,K12:K22)</f>
        <v>15131364199.999998</v>
      </c>
      <c r="L11" s="26"/>
    </row>
    <row r="12" spans="1:13" s="4" customFormat="1" ht="25.5" hidden="1" customHeight="1" outlineLevel="1">
      <c r="A12" s="27" t="str">
        <f t="shared" ref="A12:A22" si="0">$A$11&amp;"."&amp;ROW()-ROW($A$11)</f>
        <v>3A.C1.1</v>
      </c>
      <c r="B12" s="28" t="s">
        <v>3</v>
      </c>
      <c r="C12" s="28" t="s">
        <v>515</v>
      </c>
      <c r="D12" s="29" t="s">
        <v>516</v>
      </c>
      <c r="E12" s="31">
        <v>1</v>
      </c>
      <c r="F12" s="31">
        <v>1</v>
      </c>
      <c r="G12" s="144">
        <f>_xlfn.XLOOKUP(B12, Rate_Master!$A:$A, Rate_Master!$C:$C, "")</f>
        <v>0</v>
      </c>
      <c r="H12" s="144">
        <f>_xlfn.XLOOKUP(B12, Rate_Master!$A:$A, Rate_Master!$D:$D, "")</f>
        <v>114999999.99999999</v>
      </c>
      <c r="I12" s="66">
        <f t="shared" ref="I12:I22" si="1">G12+H12</f>
        <v>114999999.99999999</v>
      </c>
      <c r="J12" s="32">
        <f t="shared" ref="J12:J22" si="2">I12*E12</f>
        <v>114999999.99999999</v>
      </c>
      <c r="K12" s="122">
        <f t="shared" ref="K12:K22" si="3">I12*F12</f>
        <v>114999999.99999999</v>
      </c>
      <c r="L12" s="32"/>
    </row>
    <row r="13" spans="1:13" s="4" customFormat="1" ht="25.5" hidden="1" customHeight="1" outlineLevel="1">
      <c r="A13" s="27" t="str">
        <f t="shared" si="0"/>
        <v>3A.C1.2</v>
      </c>
      <c r="B13" s="28" t="s">
        <v>4</v>
      </c>
      <c r="C13" s="28" t="s">
        <v>515</v>
      </c>
      <c r="D13" s="29" t="s">
        <v>517</v>
      </c>
      <c r="E13" s="31">
        <v>288</v>
      </c>
      <c r="F13" s="31">
        <v>288</v>
      </c>
      <c r="G13" s="144">
        <f>_xlfn.XLOOKUP(B13, Rate_Master!$A:$A, Rate_Master!$C:$C, "")</f>
        <v>425499.99999999994</v>
      </c>
      <c r="H13" s="144">
        <f>_xlfn.XLOOKUP(B13, Rate_Master!$A:$A, Rate_Master!$D:$D, "")</f>
        <v>0</v>
      </c>
      <c r="I13" s="66">
        <f t="shared" si="1"/>
        <v>425499.99999999994</v>
      </c>
      <c r="J13" s="32">
        <f t="shared" si="2"/>
        <v>122543999.99999999</v>
      </c>
      <c r="K13" s="122">
        <f t="shared" si="3"/>
        <v>122543999.99999999</v>
      </c>
      <c r="L13" s="32"/>
    </row>
    <row r="14" spans="1:13" s="4" customFormat="1" ht="25.5" hidden="1" customHeight="1" outlineLevel="1">
      <c r="A14" s="27" t="str">
        <f t="shared" si="0"/>
        <v>3A.C1.3</v>
      </c>
      <c r="B14" s="28" t="s">
        <v>5</v>
      </c>
      <c r="C14" s="28" t="s">
        <v>515</v>
      </c>
      <c r="D14" s="29" t="s">
        <v>517</v>
      </c>
      <c r="E14" s="31">
        <v>264</v>
      </c>
      <c r="F14" s="31">
        <v>264</v>
      </c>
      <c r="G14" s="144">
        <f>_xlfn.XLOOKUP(B14, Rate_Master!$A:$A, Rate_Master!$C:$C, "")</f>
        <v>0</v>
      </c>
      <c r="H14" s="144">
        <f>_xlfn.XLOOKUP(B14, Rate_Master!$A:$A, Rate_Master!$D:$D, "")</f>
        <v>69000</v>
      </c>
      <c r="I14" s="66">
        <f t="shared" si="1"/>
        <v>69000</v>
      </c>
      <c r="J14" s="32">
        <f t="shared" si="2"/>
        <v>18216000</v>
      </c>
      <c r="K14" s="122">
        <f t="shared" si="3"/>
        <v>18216000</v>
      </c>
      <c r="L14" s="32"/>
    </row>
    <row r="15" spans="1:13" s="4" customFormat="1" ht="25.5" hidden="1" customHeight="1" outlineLevel="1">
      <c r="A15" s="27" t="str">
        <f t="shared" si="0"/>
        <v>3A.C1.4</v>
      </c>
      <c r="B15" s="28" t="s">
        <v>6</v>
      </c>
      <c r="C15" s="28" t="s">
        <v>515</v>
      </c>
      <c r="D15" s="29" t="s">
        <v>517</v>
      </c>
      <c r="E15" s="31">
        <v>276</v>
      </c>
      <c r="F15" s="31">
        <v>276</v>
      </c>
      <c r="G15" s="144">
        <f>_xlfn.XLOOKUP(B15, Rate_Master!$A:$A, Rate_Master!$C:$C, "")</f>
        <v>0</v>
      </c>
      <c r="H15" s="144">
        <f>_xlfn.XLOOKUP(B15, Rate_Master!$A:$A, Rate_Master!$D:$D, "")</f>
        <v>57499.999999999993</v>
      </c>
      <c r="I15" s="66">
        <f t="shared" si="1"/>
        <v>57499.999999999993</v>
      </c>
      <c r="J15" s="32">
        <f t="shared" si="2"/>
        <v>15869999.999999998</v>
      </c>
      <c r="K15" s="122">
        <f t="shared" si="3"/>
        <v>15869999.999999998</v>
      </c>
      <c r="L15" s="32"/>
    </row>
    <row r="16" spans="1:13" s="4" customFormat="1" ht="102" hidden="1" customHeight="1" outlineLevel="1">
      <c r="A16" s="27" t="str">
        <f t="shared" si="0"/>
        <v>3A.C1.5</v>
      </c>
      <c r="B16" s="28" t="s">
        <v>7</v>
      </c>
      <c r="C16" s="28" t="s">
        <v>515</v>
      </c>
      <c r="D16" s="29" t="s">
        <v>518</v>
      </c>
      <c r="E16" s="31">
        <v>12</v>
      </c>
      <c r="F16" s="31">
        <v>12</v>
      </c>
      <c r="G16" s="144">
        <f>_xlfn.XLOOKUP(B16, Rate_Master!$A:$A, Rate_Master!$C:$C, "")</f>
        <v>0</v>
      </c>
      <c r="H16" s="144">
        <f>_xlfn.XLOOKUP(B16, Rate_Master!$A:$A, Rate_Master!$D:$D, "")</f>
        <v>13799999.999999998</v>
      </c>
      <c r="I16" s="66">
        <f t="shared" si="1"/>
        <v>13799999.999999998</v>
      </c>
      <c r="J16" s="32">
        <f t="shared" si="2"/>
        <v>165599999.99999997</v>
      </c>
      <c r="K16" s="122">
        <f t="shared" si="3"/>
        <v>165599999.99999997</v>
      </c>
      <c r="L16" s="32"/>
    </row>
    <row r="17" spans="1:12" s="4" customFormat="1" ht="25.5" hidden="1" customHeight="1" outlineLevel="1">
      <c r="A17" s="27" t="str">
        <f t="shared" si="0"/>
        <v>3A.C1.6</v>
      </c>
      <c r="B17" s="28" t="s">
        <v>8</v>
      </c>
      <c r="C17" s="28" t="s">
        <v>515</v>
      </c>
      <c r="D17" s="29" t="s">
        <v>518</v>
      </c>
      <c r="E17" s="31">
        <v>240</v>
      </c>
      <c r="F17" s="31">
        <v>240</v>
      </c>
      <c r="G17" s="144">
        <f>_xlfn.XLOOKUP(B17, Rate_Master!$A:$A, Rate_Master!$C:$C, "")</f>
        <v>0</v>
      </c>
      <c r="H17" s="144">
        <f>_xlfn.XLOOKUP(B17, Rate_Master!$A:$A, Rate_Master!$D:$D, "")</f>
        <v>252999.99999999997</v>
      </c>
      <c r="I17" s="66">
        <f t="shared" si="1"/>
        <v>252999.99999999997</v>
      </c>
      <c r="J17" s="32">
        <f t="shared" si="2"/>
        <v>60719999.999999993</v>
      </c>
      <c r="K17" s="122">
        <f t="shared" si="3"/>
        <v>60719999.999999993</v>
      </c>
      <c r="L17" s="32"/>
    </row>
    <row r="18" spans="1:12" s="4" customFormat="1" ht="25.5" hidden="1" customHeight="1" outlineLevel="1">
      <c r="A18" s="27" t="str">
        <f t="shared" si="0"/>
        <v>3A.C1.7</v>
      </c>
      <c r="B18" s="28" t="s">
        <v>9</v>
      </c>
      <c r="C18" s="28" t="s">
        <v>515</v>
      </c>
      <c r="D18" s="29" t="s">
        <v>517</v>
      </c>
      <c r="E18" s="31">
        <v>26092</v>
      </c>
      <c r="F18" s="31">
        <v>26092</v>
      </c>
      <c r="G18" s="144">
        <f>_xlfn.XLOOKUP(B18, Rate_Master!$A:$A, Rate_Master!$C:$C, "")</f>
        <v>402499.99999999994</v>
      </c>
      <c r="H18" s="144">
        <f>_xlfn.XLOOKUP(B18, Rate_Master!$A:$A, Rate_Master!$D:$D, "")</f>
        <v>0</v>
      </c>
      <c r="I18" s="66">
        <f t="shared" si="1"/>
        <v>402499.99999999994</v>
      </c>
      <c r="J18" s="32">
        <f t="shared" si="2"/>
        <v>10502029999.999998</v>
      </c>
      <c r="K18" s="122">
        <f t="shared" si="3"/>
        <v>10502029999.999998</v>
      </c>
      <c r="L18" s="32"/>
    </row>
    <row r="19" spans="1:12" s="4" customFormat="1" ht="25.5" hidden="1" customHeight="1" outlineLevel="1">
      <c r="A19" s="27" t="str">
        <f t="shared" si="0"/>
        <v>3A.C1.8</v>
      </c>
      <c r="B19" s="28" t="s">
        <v>10</v>
      </c>
      <c r="C19" s="28" t="s">
        <v>515</v>
      </c>
      <c r="D19" s="29" t="s">
        <v>518</v>
      </c>
      <c r="E19" s="31">
        <v>1198</v>
      </c>
      <c r="F19" s="31">
        <v>1198</v>
      </c>
      <c r="G19" s="144">
        <f>_xlfn.XLOOKUP(B19, Rate_Master!$A:$A, Rate_Master!$C:$C, "")</f>
        <v>80500</v>
      </c>
      <c r="H19" s="144">
        <f>_xlfn.XLOOKUP(B19, Rate_Master!$A:$A, Rate_Master!$D:$D, "")</f>
        <v>0</v>
      </c>
      <c r="I19" s="66">
        <f t="shared" si="1"/>
        <v>80500</v>
      </c>
      <c r="J19" s="32">
        <f t="shared" si="2"/>
        <v>96439000</v>
      </c>
      <c r="K19" s="122">
        <f t="shared" si="3"/>
        <v>96439000</v>
      </c>
      <c r="L19" s="32"/>
    </row>
    <row r="20" spans="1:12" s="4" customFormat="1" ht="25.5" hidden="1" customHeight="1" outlineLevel="1">
      <c r="A20" s="27" t="str">
        <f t="shared" si="0"/>
        <v>3A.C1.9</v>
      </c>
      <c r="B20" s="28" t="s">
        <v>11</v>
      </c>
      <c r="C20" s="28" t="s">
        <v>515</v>
      </c>
      <c r="D20" s="29" t="s">
        <v>517</v>
      </c>
      <c r="E20" s="31">
        <v>25258.799999999999</v>
      </c>
      <c r="F20" s="31">
        <v>25258.799999999999</v>
      </c>
      <c r="G20" s="144">
        <f>_xlfn.XLOOKUP(B20, Rate_Master!$A:$A, Rate_Master!$C:$C, "")</f>
        <v>0</v>
      </c>
      <c r="H20" s="144">
        <f>_xlfn.XLOOKUP(B20, Rate_Master!$A:$A, Rate_Master!$D:$D, "")</f>
        <v>69000</v>
      </c>
      <c r="I20" s="66">
        <f t="shared" si="1"/>
        <v>69000</v>
      </c>
      <c r="J20" s="32">
        <f t="shared" si="2"/>
        <v>1742857200</v>
      </c>
      <c r="K20" s="122">
        <f t="shared" si="3"/>
        <v>1742857200</v>
      </c>
      <c r="L20" s="32"/>
    </row>
    <row r="21" spans="1:12" s="4" customFormat="1" ht="25.5" hidden="1" customHeight="1" outlineLevel="1">
      <c r="A21" s="27" t="str">
        <f t="shared" si="0"/>
        <v>3A.C1.10</v>
      </c>
      <c r="B21" s="28" t="s">
        <v>12</v>
      </c>
      <c r="C21" s="28" t="s">
        <v>515</v>
      </c>
      <c r="D21" s="29" t="s">
        <v>517</v>
      </c>
      <c r="E21" s="31">
        <v>26444.799999999999</v>
      </c>
      <c r="F21" s="31">
        <v>26444.799999999999</v>
      </c>
      <c r="G21" s="144">
        <f>_xlfn.XLOOKUP(B21, Rate_Master!$A:$A, Rate_Master!$C:$C, "")</f>
        <v>0</v>
      </c>
      <c r="H21" s="144">
        <f>_xlfn.XLOOKUP(B21, Rate_Master!$A:$A, Rate_Master!$D:$D, "")</f>
        <v>57499.999999999993</v>
      </c>
      <c r="I21" s="66">
        <f t="shared" si="1"/>
        <v>57499.999999999993</v>
      </c>
      <c r="J21" s="32">
        <f t="shared" si="2"/>
        <v>1520575999.9999998</v>
      </c>
      <c r="K21" s="122">
        <f t="shared" si="3"/>
        <v>1520575999.9999998</v>
      </c>
      <c r="L21" s="32"/>
    </row>
    <row r="22" spans="1:12" s="4" customFormat="1" ht="63.75" hidden="1" customHeight="1" outlineLevel="1">
      <c r="A22" s="27" t="str">
        <f t="shared" si="0"/>
        <v>3A.C1.11</v>
      </c>
      <c r="B22" s="28" t="s">
        <v>13</v>
      </c>
      <c r="C22" s="28" t="s">
        <v>515</v>
      </c>
      <c r="D22" s="29" t="s">
        <v>518</v>
      </c>
      <c r="E22" s="31">
        <v>1198</v>
      </c>
      <c r="F22" s="31">
        <v>1198</v>
      </c>
      <c r="G22" s="144">
        <f>_xlfn.XLOOKUP(B22, Rate_Master!$A:$A, Rate_Master!$C:$C, "")</f>
        <v>482999.99999999994</v>
      </c>
      <c r="H22" s="144">
        <f>_xlfn.XLOOKUP(B22, Rate_Master!$A:$A, Rate_Master!$D:$D, "")</f>
        <v>161000</v>
      </c>
      <c r="I22" s="66">
        <f t="shared" si="1"/>
        <v>644000</v>
      </c>
      <c r="J22" s="32">
        <f t="shared" si="2"/>
        <v>771512000</v>
      </c>
      <c r="K22" s="122">
        <f t="shared" si="3"/>
        <v>771512000</v>
      </c>
      <c r="L22" s="32"/>
    </row>
    <row r="23" spans="1:12" s="3" customFormat="1" ht="25.5" customHeight="1" collapsed="1">
      <c r="A23" s="22" t="str">
        <f>$A$10&amp;2</f>
        <v>3A.C2</v>
      </c>
      <c r="B23" s="23" t="s">
        <v>14</v>
      </c>
      <c r="C23" s="23" t="s">
        <v>515</v>
      </c>
      <c r="D23" s="22"/>
      <c r="E23" s="25"/>
      <c r="F23" s="25"/>
      <c r="G23" s="145">
        <f>_xlfn.XLOOKUP(B23, Rate_Master!$A:$A, Rate_Master!$C:$C, "")</f>
        <v>0</v>
      </c>
      <c r="H23" s="145">
        <f>_xlfn.XLOOKUP(B23, Rate_Master!$A:$A, Rate_Master!$D:$D, "")</f>
        <v>0</v>
      </c>
      <c r="I23" s="26"/>
      <c r="J23" s="26">
        <f>SUBTOTAL(9,J24:J31)</f>
        <v>3841310319.4499998</v>
      </c>
      <c r="K23" s="121">
        <f>SUBTOTAL(9,K24:K31)</f>
        <v>3841310319.4499998</v>
      </c>
      <c r="L23" s="26"/>
    </row>
    <row r="24" spans="1:12" s="4" customFormat="1" ht="25.5" hidden="1" customHeight="1" outlineLevel="1">
      <c r="A24" s="27" t="str">
        <f t="shared" ref="A24:A31" si="4">$A$23&amp;"."&amp;ROW()-ROW($A$23)</f>
        <v>3A.C2.1</v>
      </c>
      <c r="B24" s="28" t="s">
        <v>15</v>
      </c>
      <c r="C24" s="28" t="s">
        <v>515</v>
      </c>
      <c r="D24" s="29" t="s">
        <v>519</v>
      </c>
      <c r="E24" s="31">
        <v>3861.1990000000001</v>
      </c>
      <c r="F24" s="31">
        <v>3861.1990000000001</v>
      </c>
      <c r="G24" s="144">
        <f>_xlfn.XLOOKUP(B24, Rate_Master!$A:$A, Rate_Master!$C:$C, "")</f>
        <v>0</v>
      </c>
      <c r="H24" s="144">
        <f>_xlfn.XLOOKUP(B24, Rate_Master!$A:$A, Rate_Master!$D:$D, "")</f>
        <v>32199.999999999996</v>
      </c>
      <c r="I24" s="66">
        <f t="shared" ref="I24:I31" si="5">G24+H24</f>
        <v>32199.999999999996</v>
      </c>
      <c r="J24" s="32">
        <f t="shared" ref="J24:J31" si="6">I24*E24</f>
        <v>124330607.79999998</v>
      </c>
      <c r="K24" s="122">
        <f t="shared" ref="K24:K31" si="7">I24*F24</f>
        <v>124330607.79999998</v>
      </c>
      <c r="L24" s="32"/>
    </row>
    <row r="25" spans="1:12" s="4" customFormat="1" ht="25.5" hidden="1" customHeight="1" outlineLevel="1">
      <c r="A25" s="27" t="str">
        <f t="shared" si="4"/>
        <v>3A.C2.2</v>
      </c>
      <c r="B25" s="28" t="s">
        <v>16</v>
      </c>
      <c r="C25" s="28" t="s">
        <v>515</v>
      </c>
      <c r="D25" s="29" t="s">
        <v>520</v>
      </c>
      <c r="E25" s="31">
        <v>4108.1779999999999</v>
      </c>
      <c r="F25" s="31">
        <v>4108.1779999999999</v>
      </c>
      <c r="G25" s="144">
        <f>_xlfn.XLOOKUP(B25, Rate_Master!$A:$A, Rate_Master!$C:$C, "")</f>
        <v>0</v>
      </c>
      <c r="H25" s="144">
        <f>_xlfn.XLOOKUP(B25, Rate_Master!$A:$A, Rate_Master!$D:$D, "")</f>
        <v>17250</v>
      </c>
      <c r="I25" s="66">
        <f t="shared" si="5"/>
        <v>17250</v>
      </c>
      <c r="J25" s="32">
        <f t="shared" si="6"/>
        <v>70866070.5</v>
      </c>
      <c r="K25" s="122">
        <f t="shared" si="7"/>
        <v>70866070.5</v>
      </c>
      <c r="L25" s="32"/>
    </row>
    <row r="26" spans="1:12" s="4" customFormat="1" ht="25.5" hidden="1" customHeight="1" outlineLevel="1">
      <c r="A26" s="27" t="str">
        <f t="shared" si="4"/>
        <v>3A.C2.3</v>
      </c>
      <c r="B26" s="28" t="s">
        <v>17</v>
      </c>
      <c r="C26" s="28" t="s">
        <v>515</v>
      </c>
      <c r="D26" s="29" t="s">
        <v>519</v>
      </c>
      <c r="E26" s="31">
        <v>2528.8939999999998</v>
      </c>
      <c r="F26" s="31">
        <v>2528.8939999999998</v>
      </c>
      <c r="G26" s="144">
        <f>_xlfn.XLOOKUP(B26, Rate_Master!$A:$A, Rate_Master!$C:$C, "")</f>
        <v>0</v>
      </c>
      <c r="H26" s="144">
        <f>_xlfn.XLOOKUP(B26, Rate_Master!$A:$A, Rate_Master!$D:$D, "")</f>
        <v>37950</v>
      </c>
      <c r="I26" s="66">
        <f t="shared" si="5"/>
        <v>37950</v>
      </c>
      <c r="J26" s="32">
        <f t="shared" si="6"/>
        <v>95971527.299999997</v>
      </c>
      <c r="K26" s="122">
        <f t="shared" si="7"/>
        <v>95971527.299999997</v>
      </c>
      <c r="L26" s="32"/>
    </row>
    <row r="27" spans="1:12" s="4" customFormat="1" ht="25.5" hidden="1" customHeight="1" outlineLevel="1">
      <c r="A27" s="27" t="str">
        <f t="shared" si="4"/>
        <v>3A.C2.4</v>
      </c>
      <c r="B27" s="34" t="s">
        <v>18</v>
      </c>
      <c r="C27" s="34" t="s">
        <v>521</v>
      </c>
      <c r="D27" s="29" t="s">
        <v>519</v>
      </c>
      <c r="E27" s="31">
        <v>1332.307</v>
      </c>
      <c r="F27" s="31">
        <v>1332.307</v>
      </c>
      <c r="G27" s="144">
        <f>_xlfn.XLOOKUP(B27, Rate_Master!$A:$A, Rate_Master!$C:$C, "")</f>
        <v>0</v>
      </c>
      <c r="H27" s="144">
        <f>_xlfn.XLOOKUP(B27, Rate_Master!$A:$A, Rate_Master!$D:$D, "")</f>
        <v>32199.999999999996</v>
      </c>
      <c r="I27" s="66">
        <f t="shared" si="5"/>
        <v>32199.999999999996</v>
      </c>
      <c r="J27" s="32">
        <f t="shared" si="6"/>
        <v>42900285.399999999</v>
      </c>
      <c r="K27" s="122">
        <f t="shared" si="7"/>
        <v>42900285.399999999</v>
      </c>
      <c r="L27" s="32"/>
    </row>
    <row r="28" spans="1:12" s="4" customFormat="1" ht="25.5" hidden="1" customHeight="1" outlineLevel="1">
      <c r="A28" s="27" t="str">
        <f t="shared" si="4"/>
        <v>3A.C2.5</v>
      </c>
      <c r="B28" s="28" t="s">
        <v>19</v>
      </c>
      <c r="C28" s="28" t="s">
        <v>515</v>
      </c>
      <c r="D28" s="29" t="s">
        <v>520</v>
      </c>
      <c r="E28" s="31">
        <v>4108.1779999999999</v>
      </c>
      <c r="F28" s="31">
        <v>4108.1779999999999</v>
      </c>
      <c r="G28" s="144">
        <f>_xlfn.XLOOKUP(B28, Rate_Master!$A:$A, Rate_Master!$C:$C, "")</f>
        <v>6899.9999999999991</v>
      </c>
      <c r="H28" s="144">
        <f>_xlfn.XLOOKUP(B28, Rate_Master!$A:$A, Rate_Master!$D:$D, "")</f>
        <v>1724.9999999999998</v>
      </c>
      <c r="I28" s="66">
        <f t="shared" si="5"/>
        <v>8624.9999999999982</v>
      </c>
      <c r="J28" s="32">
        <f t="shared" si="6"/>
        <v>35433035.249999993</v>
      </c>
      <c r="K28" s="122">
        <f t="shared" si="7"/>
        <v>35433035.249999993</v>
      </c>
      <c r="L28" s="32"/>
    </row>
    <row r="29" spans="1:12" s="4" customFormat="1" ht="38.25" hidden="1" customHeight="1" outlineLevel="1">
      <c r="A29" s="27" t="str">
        <f t="shared" si="4"/>
        <v>3A.C2.6</v>
      </c>
      <c r="B29" s="28" t="s">
        <v>20</v>
      </c>
      <c r="C29" s="28" t="s">
        <v>515</v>
      </c>
      <c r="D29" s="29" t="s">
        <v>520</v>
      </c>
      <c r="E29" s="31">
        <v>12832.367</v>
      </c>
      <c r="F29" s="31">
        <v>12832.367</v>
      </c>
      <c r="G29" s="144">
        <f>_xlfn.XLOOKUP(B29, Rate_Master!$A:$A, Rate_Master!$C:$C, "")</f>
        <v>34500</v>
      </c>
      <c r="H29" s="144">
        <f>_xlfn.XLOOKUP(B29, Rate_Master!$A:$A, Rate_Master!$D:$D, "")</f>
        <v>5750</v>
      </c>
      <c r="I29" s="66">
        <f t="shared" si="5"/>
        <v>40250</v>
      </c>
      <c r="J29" s="32">
        <f t="shared" si="6"/>
        <v>516502771.75</v>
      </c>
      <c r="K29" s="122">
        <f t="shared" si="7"/>
        <v>516502771.75</v>
      </c>
      <c r="L29" s="32"/>
    </row>
    <row r="30" spans="1:12" s="4" customFormat="1" ht="25.5" hidden="1" customHeight="1" outlineLevel="1">
      <c r="A30" s="27" t="str">
        <f t="shared" si="4"/>
        <v>3A.C2.7</v>
      </c>
      <c r="B30" s="34" t="s">
        <v>21</v>
      </c>
      <c r="C30" s="28" t="s">
        <v>515</v>
      </c>
      <c r="D30" s="29" t="s">
        <v>520</v>
      </c>
      <c r="E30" s="31">
        <v>12832.367</v>
      </c>
      <c r="F30" s="31">
        <v>12832.367</v>
      </c>
      <c r="G30" s="144">
        <f>_xlfn.XLOOKUP(B30, Rate_Master!$A:$A, Rate_Master!$C:$C, "")</f>
        <v>0</v>
      </c>
      <c r="H30" s="144">
        <f>_xlfn.XLOOKUP(B30, Rate_Master!$A:$A, Rate_Master!$D:$D, "")</f>
        <v>13799.999999999998</v>
      </c>
      <c r="I30" s="32">
        <f t="shared" si="5"/>
        <v>13799.999999999998</v>
      </c>
      <c r="J30" s="32">
        <f t="shared" si="6"/>
        <v>177086664.59999999</v>
      </c>
      <c r="K30" s="122">
        <f t="shared" si="7"/>
        <v>177086664.59999999</v>
      </c>
      <c r="L30" s="32"/>
    </row>
    <row r="31" spans="1:12" s="4" customFormat="1" ht="25.5" hidden="1" customHeight="1" outlineLevel="1">
      <c r="A31" s="27" t="str">
        <f t="shared" si="4"/>
        <v>3A.C2.8</v>
      </c>
      <c r="B31" s="28" t="s">
        <v>22</v>
      </c>
      <c r="C31" s="28" t="s">
        <v>515</v>
      </c>
      <c r="D31" s="29" t="s">
        <v>519</v>
      </c>
      <c r="E31" s="31">
        <v>4511.3779999999997</v>
      </c>
      <c r="F31" s="31">
        <v>4511.3779999999997</v>
      </c>
      <c r="G31" s="144">
        <f>_xlfn.XLOOKUP(B31, Rate_Master!$A:$A, Rate_Master!$C:$C, "")</f>
        <v>512325</v>
      </c>
      <c r="H31" s="144">
        <f>_xlfn.XLOOKUP(B31, Rate_Master!$A:$A, Rate_Master!$D:$D, "")</f>
        <v>103499.99999999999</v>
      </c>
      <c r="I31" s="66">
        <f t="shared" si="5"/>
        <v>615825</v>
      </c>
      <c r="J31" s="32">
        <f t="shared" si="6"/>
        <v>2778219356.8499999</v>
      </c>
      <c r="K31" s="122">
        <f t="shared" si="7"/>
        <v>2778219356.8499999</v>
      </c>
      <c r="L31" s="32"/>
    </row>
    <row r="32" spans="1:12" s="3" customFormat="1" ht="25.5" customHeight="1" collapsed="1">
      <c r="A32" s="22" t="str">
        <f>$A$10&amp;3</f>
        <v>3A.C3</v>
      </c>
      <c r="B32" s="23" t="s">
        <v>23</v>
      </c>
      <c r="C32" s="23" t="s">
        <v>515</v>
      </c>
      <c r="D32" s="22"/>
      <c r="E32" s="25"/>
      <c r="F32" s="25"/>
      <c r="G32" s="145">
        <f>_xlfn.XLOOKUP(B32, Rate_Master!$A:$A, Rate_Master!$C:$C, "")</f>
        <v>0</v>
      </c>
      <c r="H32" s="145">
        <f>_xlfn.XLOOKUP(B32, Rate_Master!$A:$A, Rate_Master!$D:$D, "")</f>
        <v>0</v>
      </c>
      <c r="I32" s="26"/>
      <c r="J32" s="26">
        <f>SUBTOTAL(9,J33:J39)</f>
        <v>12062032968.830551</v>
      </c>
      <c r="K32" s="121">
        <f>SUBTOTAL(9,K33:K39)</f>
        <v>12062032968.830551</v>
      </c>
      <c r="L32" s="26"/>
    </row>
    <row r="33" spans="1:12" s="4" customFormat="1" ht="25.5" hidden="1" customHeight="1" outlineLevel="1">
      <c r="A33" s="27" t="str">
        <f t="shared" ref="A33:A39" si="8">$A$32&amp;"."&amp;ROW()-ROW($A$32)</f>
        <v>3A.C3.1</v>
      </c>
      <c r="B33" s="28" t="s">
        <v>24</v>
      </c>
      <c r="C33" s="28" t="s">
        <v>515</v>
      </c>
      <c r="D33" s="29" t="s">
        <v>519</v>
      </c>
      <c r="E33" s="31">
        <v>413.654</v>
      </c>
      <c r="F33" s="31">
        <v>413.654</v>
      </c>
      <c r="G33" s="142">
        <f>_xlfn.XLOOKUP(B33, Rate_Master!$A:$A, Rate_Master!$C:$C, "")</f>
        <v>1249762.5</v>
      </c>
      <c r="H33" s="142">
        <f>_xlfn.XLOOKUP(B33, Rate_Master!$A:$A, Rate_Master!$D:$D, "")</f>
        <v>206999.99999999997</v>
      </c>
      <c r="I33" s="66">
        <f t="shared" ref="I33:I39" si="9">+H33+G33</f>
        <v>1456762.5</v>
      </c>
      <c r="J33" s="32">
        <f t="shared" ref="J33:J39" si="10">I33*E33</f>
        <v>602595635.17499995</v>
      </c>
      <c r="K33" s="122">
        <f t="shared" ref="K33:K39" si="11">I33*F33</f>
        <v>602595635.17499995</v>
      </c>
      <c r="L33" s="32"/>
    </row>
    <row r="34" spans="1:12" s="4" customFormat="1" ht="51" hidden="1" customHeight="1" outlineLevel="1">
      <c r="A34" s="27" t="str">
        <f t="shared" si="8"/>
        <v>3A.C3.2</v>
      </c>
      <c r="B34" s="28" t="s">
        <v>25</v>
      </c>
      <c r="C34" s="28" t="s">
        <v>515</v>
      </c>
      <c r="D34" s="29" t="s">
        <v>519</v>
      </c>
      <c r="E34" s="31">
        <v>6255.2179999999998</v>
      </c>
      <c r="F34" s="31">
        <v>6255.2179999999998</v>
      </c>
      <c r="G34" s="142">
        <f>_xlfn.XLOOKUP(B34, Rate_Master!$A:$A, Rate_Master!$C:$C, "")</f>
        <v>1607444.4444444443</v>
      </c>
      <c r="H34" s="142">
        <f>_xlfn.XLOOKUP(B34, Rate_Master!$A:$A, Rate_Master!$D:$D, "")</f>
        <v>149500</v>
      </c>
      <c r="I34" s="66">
        <f t="shared" si="9"/>
        <v>1756944.4444444443</v>
      </c>
      <c r="J34" s="32">
        <f t="shared" si="10"/>
        <v>10990070513.888887</v>
      </c>
      <c r="K34" s="122">
        <f t="shared" si="11"/>
        <v>10990070513.888887</v>
      </c>
      <c r="L34" s="32"/>
    </row>
    <row r="35" spans="1:12" s="4" customFormat="1" ht="25.5" hidden="1" customHeight="1" outlineLevel="1">
      <c r="A35" s="27" t="str">
        <f t="shared" si="8"/>
        <v>3A.C3.3</v>
      </c>
      <c r="B35" s="28" t="s">
        <v>26</v>
      </c>
      <c r="C35" s="28" t="s">
        <v>515</v>
      </c>
      <c r="D35" s="29" t="s">
        <v>519</v>
      </c>
      <c r="E35" s="31">
        <v>85.486000000000004</v>
      </c>
      <c r="F35" s="31">
        <v>85.486000000000004</v>
      </c>
      <c r="G35" s="142">
        <f>_xlfn.XLOOKUP(B35, Rate_Master!$A:$A, Rate_Master!$C:$C, "")</f>
        <v>1520555.5555555553</v>
      </c>
      <c r="H35" s="142">
        <f>_xlfn.XLOOKUP(B35, Rate_Master!$A:$A, Rate_Master!$D:$D, "")</f>
        <v>252999.99999999997</v>
      </c>
      <c r="I35" s="66">
        <f t="shared" si="9"/>
        <v>1773555.5555555553</v>
      </c>
      <c r="J35" s="32">
        <f t="shared" si="10"/>
        <v>151614170.22222221</v>
      </c>
      <c r="K35" s="122">
        <f t="shared" si="11"/>
        <v>151614170.22222221</v>
      </c>
      <c r="L35" s="32"/>
    </row>
    <row r="36" spans="1:12" s="4" customFormat="1" ht="25.5" hidden="1" customHeight="1" outlineLevel="1">
      <c r="A36" s="27" t="str">
        <f t="shared" si="8"/>
        <v>3A.C3.4</v>
      </c>
      <c r="B36" s="28" t="s">
        <v>27</v>
      </c>
      <c r="C36" s="28" t="s">
        <v>515</v>
      </c>
      <c r="D36" s="29" t="s">
        <v>519</v>
      </c>
      <c r="E36" s="31">
        <v>88.968000000000004</v>
      </c>
      <c r="F36" s="31">
        <v>88.968000000000004</v>
      </c>
      <c r="G36" s="142">
        <f>_xlfn.XLOOKUP(B36, Rate_Master!$A:$A, Rate_Master!$C:$C, "")</f>
        <v>1520555.5555555553</v>
      </c>
      <c r="H36" s="142">
        <f>_xlfn.XLOOKUP(B36, Rate_Master!$A:$A, Rate_Master!$D:$D, "")</f>
        <v>149500</v>
      </c>
      <c r="I36" s="66">
        <f t="shared" si="9"/>
        <v>1670055.5555555553</v>
      </c>
      <c r="J36" s="32">
        <f t="shared" si="10"/>
        <v>148581502.66666666</v>
      </c>
      <c r="K36" s="122">
        <f t="shared" si="11"/>
        <v>148581502.66666666</v>
      </c>
      <c r="L36" s="32"/>
    </row>
    <row r="37" spans="1:12" s="4" customFormat="1" ht="25.5" hidden="1" customHeight="1" outlineLevel="1">
      <c r="A37" s="27" t="str">
        <f t="shared" si="8"/>
        <v>3A.C3.5</v>
      </c>
      <c r="B37" s="28" t="s">
        <v>28</v>
      </c>
      <c r="C37" s="28" t="s">
        <v>515</v>
      </c>
      <c r="D37" s="29" t="s">
        <v>519</v>
      </c>
      <c r="E37" s="31">
        <v>13.023300000000001</v>
      </c>
      <c r="F37" s="31">
        <v>13.023300000000001</v>
      </c>
      <c r="G37" s="142">
        <f>_xlfn.XLOOKUP(B37, Rate_Master!$A:$A, Rate_Master!$C:$C, "")</f>
        <v>1390222.2222222222</v>
      </c>
      <c r="H37" s="142">
        <f>_xlfn.XLOOKUP(B37, Rate_Master!$A:$A, Rate_Master!$D:$D, "")</f>
        <v>149500</v>
      </c>
      <c r="I37" s="66">
        <f t="shared" si="9"/>
        <v>1539722.2222222222</v>
      </c>
      <c r="J37" s="32">
        <f t="shared" si="10"/>
        <v>20052264.416666668</v>
      </c>
      <c r="K37" s="122">
        <f t="shared" si="11"/>
        <v>20052264.416666668</v>
      </c>
      <c r="L37" s="32"/>
    </row>
    <row r="38" spans="1:12" s="4" customFormat="1" ht="25.5" hidden="1" customHeight="1" outlineLevel="1">
      <c r="A38" s="27" t="str">
        <f t="shared" si="8"/>
        <v>3A.C3.6</v>
      </c>
      <c r="B38" s="28" t="s">
        <v>29</v>
      </c>
      <c r="C38" s="28" t="s">
        <v>515</v>
      </c>
      <c r="D38" s="29" t="s">
        <v>519</v>
      </c>
      <c r="E38" s="31">
        <v>48.713000000000001</v>
      </c>
      <c r="F38" s="31">
        <v>48.713000000000001</v>
      </c>
      <c r="G38" s="142">
        <f>_xlfn.XLOOKUP(B38, Rate_Master!$A:$A, Rate_Master!$C:$C, "")</f>
        <v>1390222.2222222222</v>
      </c>
      <c r="H38" s="142">
        <f>_xlfn.XLOOKUP(B38, Rate_Master!$A:$A, Rate_Master!$D:$D, "")</f>
        <v>149500</v>
      </c>
      <c r="I38" s="66">
        <f t="shared" si="9"/>
        <v>1539722.2222222222</v>
      </c>
      <c r="J38" s="32">
        <f t="shared" si="10"/>
        <v>75004488.611111119</v>
      </c>
      <c r="K38" s="122">
        <f t="shared" si="11"/>
        <v>75004488.611111119</v>
      </c>
      <c r="L38" s="32"/>
    </row>
    <row r="39" spans="1:12" s="4" customFormat="1" ht="38.25" hidden="1" customHeight="1" outlineLevel="1">
      <c r="A39" s="27" t="str">
        <f t="shared" si="8"/>
        <v>3A.C3.7</v>
      </c>
      <c r="B39" s="28" t="s">
        <v>30</v>
      </c>
      <c r="C39" s="28" t="s">
        <v>515</v>
      </c>
      <c r="D39" s="29" t="s">
        <v>519</v>
      </c>
      <c r="E39" s="31">
        <v>2.4356499999999999</v>
      </c>
      <c r="F39" s="31">
        <v>2.4356499999999999</v>
      </c>
      <c r="G39" s="142">
        <f>_xlfn.XLOOKUP(B39, Rate_Master!$A:$A, Rate_Master!$C:$C, "")</f>
        <v>22425000</v>
      </c>
      <c r="H39" s="142">
        <f>_xlfn.XLOOKUP(B39, Rate_Master!$A:$A, Rate_Master!$D:$D, "")</f>
        <v>8003999.9999999991</v>
      </c>
      <c r="I39" s="66">
        <f t="shared" si="9"/>
        <v>30429000</v>
      </c>
      <c r="J39" s="32">
        <f t="shared" si="10"/>
        <v>74114393.849999994</v>
      </c>
      <c r="K39" s="122">
        <f t="shared" si="11"/>
        <v>74114393.849999994</v>
      </c>
      <c r="L39" s="32"/>
    </row>
    <row r="40" spans="1:12" s="3" customFormat="1" ht="25.5" customHeight="1" collapsed="1">
      <c r="A40" s="22" t="str">
        <f>$A$10&amp;4</f>
        <v>3A.C4</v>
      </c>
      <c r="B40" s="23" t="s">
        <v>31</v>
      </c>
      <c r="C40" s="23" t="s">
        <v>515</v>
      </c>
      <c r="D40" s="22"/>
      <c r="E40" s="25"/>
      <c r="F40" s="25"/>
      <c r="G40" s="145">
        <f>_xlfn.XLOOKUP(B40, Rate_Master!$A:$A, Rate_Master!$C:$C, "")</f>
        <v>0</v>
      </c>
      <c r="H40" s="145">
        <f>_xlfn.XLOOKUP(B40, Rate_Master!$A:$A, Rate_Master!$D:$D, "")</f>
        <v>0</v>
      </c>
      <c r="I40" s="26"/>
      <c r="J40" s="26">
        <f>SUBTOTAL(9,J41:J45)</f>
        <v>2639384435</v>
      </c>
      <c r="K40" s="121">
        <f>SUBTOTAL(9,K41:K45)</f>
        <v>2639384435</v>
      </c>
      <c r="L40" s="26"/>
    </row>
    <row r="41" spans="1:12" s="4" customFormat="1" ht="25.5" hidden="1" customHeight="1" outlineLevel="1">
      <c r="A41" s="27" t="str">
        <f>$A$40&amp;"."&amp;ROW()-ROW($A$40)</f>
        <v>3A.C4.1</v>
      </c>
      <c r="B41" s="28" t="s">
        <v>32</v>
      </c>
      <c r="C41" s="28" t="s">
        <v>515</v>
      </c>
      <c r="D41" s="29" t="s">
        <v>520</v>
      </c>
      <c r="E41" s="31">
        <v>1106.5170000000001</v>
      </c>
      <c r="F41" s="31">
        <v>1106.5170000000001</v>
      </c>
      <c r="G41" s="142">
        <f>_xlfn.XLOOKUP(B41, Rate_Master!$A:$A, Rate_Master!$C:$C, "")</f>
        <v>80500</v>
      </c>
      <c r="H41" s="142">
        <f>_xlfn.XLOOKUP(B41, Rate_Master!$A:$A, Rate_Master!$D:$D, "")</f>
        <v>92000</v>
      </c>
      <c r="I41" s="66">
        <f>+H41+G41</f>
        <v>172500</v>
      </c>
      <c r="J41" s="32">
        <f>I41*E41</f>
        <v>190874182.5</v>
      </c>
      <c r="K41" s="122">
        <f>I41*F41</f>
        <v>190874182.5</v>
      </c>
      <c r="L41" s="32"/>
    </row>
    <row r="42" spans="1:12" s="4" customFormat="1" ht="38.25" hidden="1" customHeight="1" outlineLevel="1">
      <c r="A42" s="27" t="str">
        <f>$A$40&amp;"."&amp;ROW()-ROW($A$40)</f>
        <v>3A.C4.2</v>
      </c>
      <c r="B42" s="28" t="s">
        <v>33</v>
      </c>
      <c r="C42" s="28" t="s">
        <v>515</v>
      </c>
      <c r="D42" s="29" t="s">
        <v>520</v>
      </c>
      <c r="E42" s="31">
        <v>8219.6290000000008</v>
      </c>
      <c r="F42" s="31">
        <v>8219.6290000000008</v>
      </c>
      <c r="G42" s="142">
        <f>_xlfn.XLOOKUP(B42, Rate_Master!$A:$A, Rate_Master!$C:$C, "")</f>
        <v>126499.99999999999</v>
      </c>
      <c r="H42" s="142">
        <f>_xlfn.XLOOKUP(B42, Rate_Master!$A:$A, Rate_Master!$D:$D, "")</f>
        <v>103499.99999999999</v>
      </c>
      <c r="I42" s="66">
        <f>+H42+G42</f>
        <v>229999.99999999997</v>
      </c>
      <c r="J42" s="32">
        <f>I42*E42</f>
        <v>1890514670</v>
      </c>
      <c r="K42" s="122">
        <f>I42*F42</f>
        <v>1890514670</v>
      </c>
      <c r="L42" s="32"/>
    </row>
    <row r="43" spans="1:12" s="4" customFormat="1" ht="25.5" hidden="1" customHeight="1" outlineLevel="1">
      <c r="A43" s="27" t="str">
        <f>$A$40&amp;"."&amp;ROW()-ROW($A$40)</f>
        <v>3A.C4.3</v>
      </c>
      <c r="B43" s="28" t="s">
        <v>34</v>
      </c>
      <c r="C43" s="28" t="s">
        <v>515</v>
      </c>
      <c r="D43" s="29" t="s">
        <v>520</v>
      </c>
      <c r="E43" s="31">
        <v>1136.43</v>
      </c>
      <c r="F43" s="31">
        <v>1136.43</v>
      </c>
      <c r="G43" s="142">
        <f>_xlfn.XLOOKUP(B43, Rate_Master!$A:$A, Rate_Master!$C:$C, "")</f>
        <v>126499.99999999999</v>
      </c>
      <c r="H43" s="142">
        <f>_xlfn.XLOOKUP(B43, Rate_Master!$A:$A, Rate_Master!$D:$D, "")</f>
        <v>149500</v>
      </c>
      <c r="I43" s="66">
        <f>+H43+G43</f>
        <v>276000</v>
      </c>
      <c r="J43" s="32">
        <f>I43*E43</f>
        <v>313654680</v>
      </c>
      <c r="K43" s="122">
        <f>I43*F43</f>
        <v>313654680</v>
      </c>
      <c r="L43" s="32"/>
    </row>
    <row r="44" spans="1:12" s="4" customFormat="1" ht="25.5" hidden="1" customHeight="1" outlineLevel="1">
      <c r="A44" s="27" t="str">
        <f>$A$40&amp;"."&amp;ROW()-ROW($A$40)</f>
        <v>3A.C4.4</v>
      </c>
      <c r="B44" s="28" t="s">
        <v>35</v>
      </c>
      <c r="C44" s="28" t="s">
        <v>515</v>
      </c>
      <c r="D44" s="29" t="s">
        <v>520</v>
      </c>
      <c r="E44" s="31">
        <v>727.64300000000003</v>
      </c>
      <c r="F44" s="31">
        <v>727.64300000000003</v>
      </c>
      <c r="G44" s="142">
        <f>_xlfn.XLOOKUP(B44, Rate_Master!$A:$A, Rate_Master!$C:$C, "")</f>
        <v>126499.99999999999</v>
      </c>
      <c r="H44" s="142">
        <f>_xlfn.XLOOKUP(B44, Rate_Master!$A:$A, Rate_Master!$D:$D, "")</f>
        <v>114999.99999999999</v>
      </c>
      <c r="I44" s="66">
        <f>+H44+G44</f>
        <v>241499.99999999997</v>
      </c>
      <c r="J44" s="32">
        <f>I44*E44</f>
        <v>175725784.5</v>
      </c>
      <c r="K44" s="122">
        <f>I44*F44</f>
        <v>175725784.5</v>
      </c>
      <c r="L44" s="32"/>
    </row>
    <row r="45" spans="1:12" s="4" customFormat="1" ht="25.5" hidden="1" customHeight="1" outlineLevel="1">
      <c r="A45" s="27" t="str">
        <f>$A$40&amp;"."&amp;ROW()-ROW($A$40)</f>
        <v>3A.C4.5</v>
      </c>
      <c r="B45" s="28" t="s">
        <v>36</v>
      </c>
      <c r="C45" s="28" t="s">
        <v>515</v>
      </c>
      <c r="D45" s="29" t="s">
        <v>520</v>
      </c>
      <c r="E45" s="31">
        <v>305.976</v>
      </c>
      <c r="F45" s="31">
        <v>305.976</v>
      </c>
      <c r="G45" s="142">
        <f>_xlfn.XLOOKUP(B45, Rate_Master!$A:$A, Rate_Master!$C:$C, "")</f>
        <v>126499.99999999999</v>
      </c>
      <c r="H45" s="142">
        <f>_xlfn.XLOOKUP(B45, Rate_Master!$A:$A, Rate_Master!$D:$D, "")</f>
        <v>97749.999999999985</v>
      </c>
      <c r="I45" s="66">
        <f>+H45+G45</f>
        <v>224249.99999999997</v>
      </c>
      <c r="J45" s="32">
        <f>I45*E45</f>
        <v>68615117.999999985</v>
      </c>
      <c r="K45" s="122">
        <f>I45*F45</f>
        <v>68615117.999999985</v>
      </c>
      <c r="L45" s="32"/>
    </row>
    <row r="46" spans="1:12" s="3" customFormat="1" ht="25.5" customHeight="1" collapsed="1">
      <c r="A46" s="22" t="str">
        <f>$A$10&amp;5</f>
        <v>3A.C5</v>
      </c>
      <c r="B46" s="23" t="s">
        <v>37</v>
      </c>
      <c r="C46" s="23" t="s">
        <v>515</v>
      </c>
      <c r="D46" s="22"/>
      <c r="E46" s="25"/>
      <c r="F46" s="25"/>
      <c r="G46" s="145">
        <f>_xlfn.XLOOKUP(B46, Rate_Master!$A:$A, Rate_Master!$C:$C, "")</f>
        <v>0</v>
      </c>
      <c r="H46" s="145">
        <f>_xlfn.XLOOKUP(B46, Rate_Master!$A:$A, Rate_Master!$D:$D, "")</f>
        <v>0</v>
      </c>
      <c r="I46" s="26"/>
      <c r="J46" s="26">
        <f>SUBTOTAL(9,J47:J51)</f>
        <v>16978173240.612711</v>
      </c>
      <c r="K46" s="121">
        <f>SUBTOTAL(9,K47:K51)</f>
        <v>16978173240.612711</v>
      </c>
      <c r="L46" s="26"/>
    </row>
    <row r="47" spans="1:12" s="4" customFormat="1" ht="38.25" hidden="1" customHeight="1" outlineLevel="1">
      <c r="A47" s="27" t="str">
        <f>$A$46&amp;"."&amp;ROW()-ROW($A$46)</f>
        <v>3A.C5.1</v>
      </c>
      <c r="B47" s="28" t="s">
        <v>38</v>
      </c>
      <c r="C47" s="28" t="s">
        <v>522</v>
      </c>
      <c r="D47" s="29" t="s">
        <v>523</v>
      </c>
      <c r="E47" s="31">
        <v>782950.91204664798</v>
      </c>
      <c r="F47" s="31">
        <v>782950.91204664798</v>
      </c>
      <c r="G47" s="142">
        <f>_xlfn.XLOOKUP(B47, Rate_Master!$A:$A, Rate_Master!$C:$C, "")</f>
        <v>16770.564999999999</v>
      </c>
      <c r="H47" s="142">
        <f>_xlfn.XLOOKUP(B47, Rate_Master!$A:$A, Rate_Master!$D:$D, "")</f>
        <v>2875</v>
      </c>
      <c r="I47" s="66">
        <f>+H47+G47</f>
        <v>19645.564999999999</v>
      </c>
      <c r="J47" s="32">
        <f>I47*E47</f>
        <v>15381513034.421705</v>
      </c>
      <c r="K47" s="122">
        <f>I47*F47</f>
        <v>15381513034.421705</v>
      </c>
      <c r="L47" s="32"/>
    </row>
    <row r="48" spans="1:12" s="4" customFormat="1" ht="25.5" hidden="1" customHeight="1" outlineLevel="1">
      <c r="A48" s="27" t="str">
        <f>$A$46&amp;"."&amp;ROW()-ROW($A$46)</f>
        <v>3A.C5.2</v>
      </c>
      <c r="B48" s="28" t="s">
        <v>39</v>
      </c>
      <c r="C48" s="28" t="s">
        <v>522</v>
      </c>
      <c r="D48" s="29" t="s">
        <v>523</v>
      </c>
      <c r="E48" s="31">
        <v>23727.980946397402</v>
      </c>
      <c r="F48" s="31">
        <v>23727.980946397402</v>
      </c>
      <c r="G48" s="142">
        <f>_xlfn.XLOOKUP(B48, Rate_Master!$A:$A, Rate_Master!$C:$C, "")</f>
        <v>16770.564999999999</v>
      </c>
      <c r="H48" s="142">
        <f>_xlfn.XLOOKUP(B48, Rate_Master!$A:$A, Rate_Master!$D:$D, "")</f>
        <v>3679.9999999999995</v>
      </c>
      <c r="I48" s="66">
        <f>+H48+G48</f>
        <v>20450.564999999999</v>
      </c>
      <c r="J48" s="32">
        <f>I48*E48</f>
        <v>485250616.66306156</v>
      </c>
      <c r="K48" s="122">
        <f>I48*F48</f>
        <v>485250616.66306156</v>
      </c>
      <c r="L48" s="32"/>
    </row>
    <row r="49" spans="1:16" s="4" customFormat="1" ht="25.5" hidden="1" customHeight="1" outlineLevel="1">
      <c r="A49" s="27" t="str">
        <f>$A$46&amp;"."&amp;ROW()-ROW($A$46)</f>
        <v>3A.C5.3</v>
      </c>
      <c r="B49" s="28" t="s">
        <v>40</v>
      </c>
      <c r="C49" s="28" t="s">
        <v>522</v>
      </c>
      <c r="D49" s="29" t="s">
        <v>523</v>
      </c>
      <c r="E49" s="31">
        <v>13208.532837197199</v>
      </c>
      <c r="F49" s="31">
        <v>13208.532837197199</v>
      </c>
      <c r="G49" s="142">
        <f>_xlfn.XLOOKUP(B49, Rate_Master!$A:$A, Rate_Master!$C:$C, "")</f>
        <v>16770.564999999999</v>
      </c>
      <c r="H49" s="142">
        <f>_xlfn.XLOOKUP(B49, Rate_Master!$A:$A, Rate_Master!$D:$D, "")</f>
        <v>3449.9999999999995</v>
      </c>
      <c r="I49" s="66">
        <f>+H49+G49</f>
        <v>20220.564999999999</v>
      </c>
      <c r="J49" s="32">
        <f>I49*E49</f>
        <v>267083996.78918037</v>
      </c>
      <c r="K49" s="122">
        <f>I49*F49</f>
        <v>267083996.78918037</v>
      </c>
      <c r="L49" s="32"/>
    </row>
    <row r="50" spans="1:16" s="4" customFormat="1" ht="25.5" hidden="1" customHeight="1" outlineLevel="1">
      <c r="A50" s="27" t="str">
        <f>$A$46&amp;"."&amp;ROW()-ROW($A$46)</f>
        <v>3A.C5.4</v>
      </c>
      <c r="B50" s="28" t="s">
        <v>41</v>
      </c>
      <c r="C50" s="28" t="s">
        <v>522</v>
      </c>
      <c r="D50" s="29" t="s">
        <v>523</v>
      </c>
      <c r="E50" s="31">
        <v>40987.976100515902</v>
      </c>
      <c r="F50" s="31">
        <v>40987.976100515902</v>
      </c>
      <c r="G50" s="142">
        <f>_xlfn.XLOOKUP(B50, Rate_Master!$A:$A, Rate_Master!$C:$C, "")</f>
        <v>16770.564999999999</v>
      </c>
      <c r="H50" s="142">
        <f>_xlfn.XLOOKUP(B50, Rate_Master!$A:$A, Rate_Master!$D:$D, "")</f>
        <v>3679.9999999999995</v>
      </c>
      <c r="I50" s="66">
        <f>+H50+G50</f>
        <v>20450.564999999999</v>
      </c>
      <c r="J50" s="32">
        <f>I50*E50</f>
        <v>838227269.46204698</v>
      </c>
      <c r="K50" s="122">
        <f>I50*F50</f>
        <v>838227269.46204698</v>
      </c>
      <c r="L50" s="32"/>
    </row>
    <row r="51" spans="1:16" s="4" customFormat="1" ht="25.5" hidden="1" customHeight="1" outlineLevel="1">
      <c r="A51" s="27" t="str">
        <f>$A$46&amp;"."&amp;ROW()-ROW($A$46)</f>
        <v>3A.C5.5</v>
      </c>
      <c r="B51" s="28" t="s">
        <v>42</v>
      </c>
      <c r="C51" s="28" t="s">
        <v>524</v>
      </c>
      <c r="D51" s="29" t="s">
        <v>523</v>
      </c>
      <c r="E51" s="31">
        <v>286.51260000000002</v>
      </c>
      <c r="F51" s="31">
        <v>286.51260000000002</v>
      </c>
      <c r="G51" s="142">
        <f>_xlfn.XLOOKUP(B51, Rate_Master!$A:$A, Rate_Master!$C:$C, "")</f>
        <v>17834.66</v>
      </c>
      <c r="H51" s="142">
        <f>_xlfn.XLOOKUP(B51, Rate_Master!$A:$A, Rate_Master!$D:$D, "")</f>
        <v>3449.9999999999995</v>
      </c>
      <c r="I51" s="66">
        <f>+H51+G51</f>
        <v>21284.66</v>
      </c>
      <c r="J51" s="32">
        <f>I51*E51</f>
        <v>6098323.2767160004</v>
      </c>
      <c r="K51" s="122">
        <f>I51*F51</f>
        <v>6098323.2767160004</v>
      </c>
      <c r="L51" s="32"/>
    </row>
    <row r="52" spans="1:16" s="3" customFormat="1" ht="25.5" customHeight="1" collapsed="1">
      <c r="A52" s="22" t="str">
        <f>$A$10&amp;6</f>
        <v>3A.C6</v>
      </c>
      <c r="B52" s="23" t="s">
        <v>43</v>
      </c>
      <c r="C52" s="23" t="s">
        <v>515</v>
      </c>
      <c r="D52" s="22"/>
      <c r="E52" s="25"/>
      <c r="F52" s="25"/>
      <c r="G52" s="145">
        <f>_xlfn.XLOOKUP(B52, Rate_Master!$A:$A, Rate_Master!$C:$C, "")</f>
        <v>0</v>
      </c>
      <c r="H52" s="145">
        <f>_xlfn.XLOOKUP(B52, Rate_Master!$A:$A, Rate_Master!$D:$D, "")</f>
        <v>0</v>
      </c>
      <c r="I52" s="26"/>
      <c r="J52" s="26">
        <f>SUBTOTAL(9,J53:J55)</f>
        <v>843419073.5</v>
      </c>
      <c r="K52" s="121">
        <f>SUBTOTAL(9,K53:K55)</f>
        <v>843419073.5</v>
      </c>
      <c r="L52" s="26"/>
    </row>
    <row r="53" spans="1:16" s="4" customFormat="1" ht="25.5" hidden="1" customHeight="1" outlineLevel="1">
      <c r="A53" s="27" t="str">
        <f>$A$52&amp;"."&amp;ROW()-ROW($A$52)</f>
        <v>3A.C6.1</v>
      </c>
      <c r="B53" s="28" t="s">
        <v>44</v>
      </c>
      <c r="C53" s="28" t="s">
        <v>515</v>
      </c>
      <c r="D53" s="29" t="s">
        <v>520</v>
      </c>
      <c r="E53" s="31">
        <v>15582.754999999999</v>
      </c>
      <c r="F53" s="31">
        <v>15582.754999999999</v>
      </c>
      <c r="G53" s="142">
        <f>_xlfn.XLOOKUP(B53, Rate_Master!$A:$A, Rate_Master!$C:$C, "")</f>
        <v>14949.999999999998</v>
      </c>
      <c r="H53" s="142">
        <f>_xlfn.XLOOKUP(B53, Rate_Master!$A:$A, Rate_Master!$D:$D, "")</f>
        <v>17250</v>
      </c>
      <c r="I53" s="32">
        <f>+H53+G53</f>
        <v>32200</v>
      </c>
      <c r="J53" s="32">
        <f>I53*E53</f>
        <v>501764711</v>
      </c>
      <c r="K53" s="122">
        <f>I53*F53</f>
        <v>501764711</v>
      </c>
      <c r="L53" s="32"/>
    </row>
    <row r="54" spans="1:16" s="4" customFormat="1" ht="51" hidden="1" customHeight="1" outlineLevel="1">
      <c r="A54" s="27" t="str">
        <f>$A$52&amp;"."&amp;ROW()-ROW($A$52)</f>
        <v>3A.C6.2</v>
      </c>
      <c r="B54" s="34" t="s">
        <v>45</v>
      </c>
      <c r="C54" s="28" t="s">
        <v>515</v>
      </c>
      <c r="D54" s="29" t="s">
        <v>517</v>
      </c>
      <c r="E54" s="31">
        <v>11883.63</v>
      </c>
      <c r="F54" s="31">
        <v>11883.63</v>
      </c>
      <c r="G54" s="142">
        <f>_xlfn.XLOOKUP(B54, Rate_Master!$A:$A, Rate_Master!$C:$C, "")</f>
        <v>5750</v>
      </c>
      <c r="H54" s="142">
        <f>_xlfn.XLOOKUP(B54, Rate_Master!$A:$A, Rate_Master!$D:$D, "")</f>
        <v>23000</v>
      </c>
      <c r="I54" s="32">
        <f>+H54+G54</f>
        <v>28750</v>
      </c>
      <c r="J54" s="32">
        <f>I54*E54</f>
        <v>341654362.5</v>
      </c>
      <c r="K54" s="122">
        <f>I54*F54</f>
        <v>341654362.5</v>
      </c>
      <c r="L54" s="32"/>
    </row>
    <row r="55" spans="1:16" s="4" customFormat="1" ht="38.25" hidden="1" customHeight="1" outlineLevel="1">
      <c r="A55" s="27" t="str">
        <f>$A$52&amp;"."&amp;ROW()-ROW($A$52)</f>
        <v>3A.C6.3</v>
      </c>
      <c r="B55" s="28" t="s">
        <v>46</v>
      </c>
      <c r="C55" s="28" t="s">
        <v>515</v>
      </c>
      <c r="D55" s="29" t="s">
        <v>517</v>
      </c>
      <c r="E55" s="31">
        <v>0</v>
      </c>
      <c r="F55" s="31">
        <v>0</v>
      </c>
      <c r="G55" s="142">
        <f>_xlfn.XLOOKUP(B55, Rate_Master!$A:$A, Rate_Master!$C:$C, "")</f>
        <v>172500</v>
      </c>
      <c r="H55" s="142">
        <f>_xlfn.XLOOKUP(B55, Rate_Master!$A:$A, Rate_Master!$D:$D, "")</f>
        <v>57499.999999999993</v>
      </c>
      <c r="I55" s="32">
        <f>+H55+G55</f>
        <v>230000</v>
      </c>
      <c r="J55" s="32">
        <f>I55*E55</f>
        <v>0</v>
      </c>
      <c r="K55" s="122">
        <f>I55*F55</f>
        <v>0</v>
      </c>
      <c r="L55" s="32"/>
    </row>
    <row r="56" spans="1:16" s="3" customFormat="1" ht="25.5" customHeight="1" collapsed="1">
      <c r="A56" s="22" t="str">
        <f>$A$9&amp;".S"</f>
        <v>3A.S</v>
      </c>
      <c r="B56" s="23" t="s">
        <v>47</v>
      </c>
      <c r="C56" s="23" t="s">
        <v>515</v>
      </c>
      <c r="D56" s="22"/>
      <c r="E56" s="25"/>
      <c r="F56" s="25"/>
      <c r="G56" s="145">
        <f>_xlfn.XLOOKUP(B56, Rate_Master!$A:$A, Rate_Master!$C:$C, "")</f>
        <v>0</v>
      </c>
      <c r="H56" s="145">
        <f>_xlfn.XLOOKUP(B56, Rate_Master!$A:$A, Rate_Master!$D:$D, "")</f>
        <v>0</v>
      </c>
      <c r="I56" s="26"/>
      <c r="J56" s="26"/>
      <c r="K56" s="120"/>
      <c r="L56" s="26"/>
    </row>
    <row r="57" spans="1:16" s="3" customFormat="1" ht="25.5" customHeight="1">
      <c r="A57" s="62" t="str">
        <f>$A$56&amp;1</f>
        <v>3A.S1</v>
      </c>
      <c r="B57" s="63" t="s">
        <v>48</v>
      </c>
      <c r="C57" s="63" t="s">
        <v>515</v>
      </c>
      <c r="D57" s="62"/>
      <c r="E57" s="116"/>
      <c r="F57" s="116"/>
      <c r="G57" s="203">
        <f>_xlfn.XLOOKUP(B57, Rate_Master!$A:$A, Rate_Master!$C:$C, "")</f>
        <v>0</v>
      </c>
      <c r="H57" s="203">
        <f>_xlfn.XLOOKUP(B57, Rate_Master!$A:$A, Rate_Master!$D:$D, "")</f>
        <v>0</v>
      </c>
      <c r="I57" s="49"/>
      <c r="J57" s="49">
        <f>SUBTOTAL(9,J58:J72)</f>
        <v>15950676950.400646</v>
      </c>
      <c r="K57" s="49">
        <f>SUBTOTAL(9,K58:K72)</f>
        <v>16875775430.232351</v>
      </c>
      <c r="L57" s="49"/>
    </row>
    <row r="58" spans="1:16" s="4" customFormat="1" ht="51" hidden="1" customHeight="1" outlineLevel="1">
      <c r="A58" s="27" t="str">
        <f t="shared" ref="A58:A72" si="12">$A$57&amp;"."&amp;ROW()-ROW($A$57)</f>
        <v>3A.S1.1</v>
      </c>
      <c r="B58" s="28" t="s">
        <v>49</v>
      </c>
      <c r="C58" s="28" t="s">
        <v>525</v>
      </c>
      <c r="D58" s="29" t="s">
        <v>523</v>
      </c>
      <c r="E58" s="31">
        <v>387946.03759000002</v>
      </c>
      <c r="F58" s="36">
        <v>396043.83636999992</v>
      </c>
      <c r="G58" s="204">
        <f>_xlfn.XLOOKUP(B58, Rate_Master!$A:$A, Rate_Master!$C:$C, "")</f>
        <v>20475</v>
      </c>
      <c r="H58" s="204">
        <f>_xlfn.XLOOKUP(B58, Rate_Master!$A:$A, Rate_Master!$D:$D, "")</f>
        <v>0</v>
      </c>
      <c r="I58" s="67">
        <f t="shared" ref="I58:I72" si="13">+SUM(G58:H58)</f>
        <v>20475</v>
      </c>
      <c r="J58" s="32">
        <f t="shared" ref="J58:J72" si="14">I58*E58</f>
        <v>7943195119.6552505</v>
      </c>
      <c r="K58" s="83">
        <f t="shared" ref="K58:K72" si="15">+F58*I58</f>
        <v>8108997549.6757479</v>
      </c>
      <c r="L58" s="32"/>
      <c r="N58" s="104"/>
      <c r="O58" s="104"/>
      <c r="P58" s="104"/>
    </row>
    <row r="59" spans="1:16" s="4" customFormat="1" ht="76.5" hidden="1" customHeight="1" outlineLevel="1">
      <c r="A59" s="27" t="str">
        <f t="shared" si="12"/>
        <v>3A.S1.2</v>
      </c>
      <c r="B59" s="28" t="s">
        <v>50</v>
      </c>
      <c r="C59" s="28" t="s">
        <v>526</v>
      </c>
      <c r="D59" s="29" t="s">
        <v>523</v>
      </c>
      <c r="E59" s="31">
        <v>64978.070419999996</v>
      </c>
      <c r="F59" s="36">
        <v>68889.890419200005</v>
      </c>
      <c r="G59" s="204">
        <f>_xlfn.XLOOKUP(B59, Rate_Master!$A:$A, Rate_Master!$C:$C, "")</f>
        <v>26775</v>
      </c>
      <c r="H59" s="204">
        <f>_xlfn.XLOOKUP(B59, Rate_Master!$A:$A, Rate_Master!$D:$D, "")</f>
        <v>0</v>
      </c>
      <c r="I59" s="67">
        <f t="shared" si="13"/>
        <v>26775</v>
      </c>
      <c r="J59" s="32">
        <f t="shared" si="14"/>
        <v>1739787835.4954998</v>
      </c>
      <c r="K59" s="83">
        <f t="shared" si="15"/>
        <v>1844526815.9740801</v>
      </c>
      <c r="L59" s="32"/>
      <c r="N59" s="104"/>
      <c r="O59" s="104"/>
      <c r="P59" s="104"/>
    </row>
    <row r="60" spans="1:16" s="4" customFormat="1" ht="76.5" hidden="1" customHeight="1" outlineLevel="1">
      <c r="A60" s="27" t="str">
        <f t="shared" si="12"/>
        <v>3A.S1.3</v>
      </c>
      <c r="B60" s="28" t="s">
        <v>51</v>
      </c>
      <c r="C60" s="28" t="s">
        <v>527</v>
      </c>
      <c r="D60" s="29" t="s">
        <v>523</v>
      </c>
      <c r="E60" s="31">
        <v>3760.43519838673</v>
      </c>
      <c r="F60" s="36">
        <v>4182.2948000000006</v>
      </c>
      <c r="G60" s="204">
        <f>_xlfn.XLOOKUP(B60, Rate_Master!$A:$A, Rate_Master!$C:$C, "")</f>
        <v>36750</v>
      </c>
      <c r="H60" s="204">
        <f>_xlfn.XLOOKUP(B60, Rate_Master!$A:$A, Rate_Master!$D:$D, "")</f>
        <v>0</v>
      </c>
      <c r="I60" s="67">
        <f t="shared" si="13"/>
        <v>36750</v>
      </c>
      <c r="J60" s="32">
        <f t="shared" si="14"/>
        <v>138195993.54071233</v>
      </c>
      <c r="K60" s="83">
        <f t="shared" si="15"/>
        <v>153699333.90000004</v>
      </c>
      <c r="L60" s="32"/>
      <c r="N60" s="104"/>
      <c r="O60" s="104"/>
      <c r="P60" s="104"/>
    </row>
    <row r="61" spans="1:16" s="4" customFormat="1" ht="76.5" hidden="1" customHeight="1" outlineLevel="1">
      <c r="A61" s="27" t="str">
        <f t="shared" si="12"/>
        <v>3A.S1.4</v>
      </c>
      <c r="B61" s="28" t="s">
        <v>52</v>
      </c>
      <c r="C61" s="28" t="s">
        <v>527</v>
      </c>
      <c r="D61" s="29" t="s">
        <v>523</v>
      </c>
      <c r="E61" s="31">
        <v>9241.02</v>
      </c>
      <c r="F61" s="36">
        <v>9552.1420799999996</v>
      </c>
      <c r="G61" s="204">
        <f>_xlfn.XLOOKUP(B61, Rate_Master!$A:$A, Rate_Master!$C:$C, "")</f>
        <v>26775</v>
      </c>
      <c r="H61" s="204">
        <f>_xlfn.XLOOKUP(B61, Rate_Master!$A:$A, Rate_Master!$D:$D, "")</f>
        <v>0</v>
      </c>
      <c r="I61" s="67">
        <f t="shared" si="13"/>
        <v>26775</v>
      </c>
      <c r="J61" s="32">
        <f t="shared" si="14"/>
        <v>247428310.5</v>
      </c>
      <c r="K61" s="83">
        <f t="shared" si="15"/>
        <v>255758604.192</v>
      </c>
      <c r="L61" s="32"/>
      <c r="N61" s="104"/>
      <c r="O61" s="104"/>
      <c r="P61" s="104"/>
    </row>
    <row r="62" spans="1:16" s="4" customFormat="1" ht="25.5" hidden="1" customHeight="1" outlineLevel="1">
      <c r="A62" s="27" t="str">
        <f t="shared" si="12"/>
        <v>3A.S1.5</v>
      </c>
      <c r="B62" s="28" t="s">
        <v>53</v>
      </c>
      <c r="C62" s="28" t="s">
        <v>528</v>
      </c>
      <c r="D62" s="29" t="s">
        <v>523</v>
      </c>
      <c r="E62" s="31">
        <v>87669.660359999994</v>
      </c>
      <c r="F62" s="36">
        <v>107670.35821999999</v>
      </c>
      <c r="G62" s="204">
        <f>_xlfn.XLOOKUP(B62, Rate_Master!$A:$A, Rate_Master!$C:$C, "")</f>
        <v>22365</v>
      </c>
      <c r="H62" s="204">
        <f>_xlfn.XLOOKUP(B62, Rate_Master!$A:$A, Rate_Master!$D:$D, "")</f>
        <v>0</v>
      </c>
      <c r="I62" s="67">
        <f t="shared" si="13"/>
        <v>22365</v>
      </c>
      <c r="J62" s="32">
        <f t="shared" si="14"/>
        <v>1960731953.9513998</v>
      </c>
      <c r="K62" s="83">
        <f t="shared" si="15"/>
        <v>2408047561.5903001</v>
      </c>
      <c r="L62" s="32"/>
      <c r="N62" s="104"/>
      <c r="O62" s="104"/>
      <c r="P62" s="104"/>
    </row>
    <row r="63" spans="1:16" s="4" customFormat="1" ht="38.25" hidden="1" customHeight="1" outlineLevel="1">
      <c r="A63" s="27" t="str">
        <f t="shared" si="12"/>
        <v>3A.S1.6</v>
      </c>
      <c r="B63" s="28" t="s">
        <v>54</v>
      </c>
      <c r="C63" s="28" t="s">
        <v>529</v>
      </c>
      <c r="D63" s="29" t="s">
        <v>523</v>
      </c>
      <c r="E63" s="31">
        <v>9037.4376071091192</v>
      </c>
      <c r="F63" s="36">
        <v>8509.3333333333358</v>
      </c>
      <c r="G63" s="204">
        <f>_xlfn.XLOOKUP(B63, Rate_Master!$A:$A, Rate_Master!$C:$C, "")</f>
        <v>36750</v>
      </c>
      <c r="H63" s="204">
        <f>_xlfn.XLOOKUP(B63, Rate_Master!$A:$A, Rate_Master!$D:$D, "")</f>
        <v>0</v>
      </c>
      <c r="I63" s="67">
        <f t="shared" si="13"/>
        <v>36750</v>
      </c>
      <c r="J63" s="32">
        <f t="shared" si="14"/>
        <v>332125832.0612601</v>
      </c>
      <c r="K63" s="83">
        <f t="shared" si="15"/>
        <v>312718000.00000006</v>
      </c>
      <c r="L63" s="32"/>
      <c r="N63" s="104"/>
      <c r="O63" s="104"/>
      <c r="P63" s="104"/>
    </row>
    <row r="64" spans="1:16" s="4" customFormat="1" ht="25.5" hidden="1" customHeight="1" outlineLevel="1">
      <c r="A64" s="27" t="str">
        <f t="shared" si="12"/>
        <v>3A.S1.7</v>
      </c>
      <c r="B64" s="28" t="s">
        <v>55</v>
      </c>
      <c r="C64" s="28" t="s">
        <v>530</v>
      </c>
      <c r="D64" s="29" t="s">
        <v>523</v>
      </c>
      <c r="E64" s="31">
        <v>6723.6192000000001</v>
      </c>
      <c r="F64" s="36">
        <v>8799.2473579612943</v>
      </c>
      <c r="G64" s="204">
        <f>_xlfn.XLOOKUP(B64, Rate_Master!$A:$A, Rate_Master!$C:$C, "")</f>
        <v>27930</v>
      </c>
      <c r="H64" s="204">
        <f>_xlfn.XLOOKUP(B64, Rate_Master!$A:$A, Rate_Master!$D:$D, "")</f>
        <v>0</v>
      </c>
      <c r="I64" s="67">
        <f t="shared" si="13"/>
        <v>27930</v>
      </c>
      <c r="J64" s="32">
        <f t="shared" si="14"/>
        <v>187790684.25600001</v>
      </c>
      <c r="K64" s="83">
        <f t="shared" si="15"/>
        <v>245762978.70785895</v>
      </c>
      <c r="L64" s="32"/>
      <c r="N64" s="104"/>
      <c r="O64" s="104"/>
      <c r="P64" s="104"/>
    </row>
    <row r="65" spans="1:16" s="4" customFormat="1" ht="25.5" hidden="1" customHeight="1" outlineLevel="1">
      <c r="A65" s="27" t="str">
        <f t="shared" si="12"/>
        <v>3A.S1.8</v>
      </c>
      <c r="B65" s="28" t="s">
        <v>56</v>
      </c>
      <c r="C65" s="28" t="s">
        <v>531</v>
      </c>
      <c r="D65" s="29" t="s">
        <v>523</v>
      </c>
      <c r="E65" s="31">
        <v>10507.8</v>
      </c>
      <c r="F65" s="36">
        <v>9977.68</v>
      </c>
      <c r="G65" s="204">
        <f>_xlfn.XLOOKUP(B65, Rate_Master!$A:$A, Rate_Master!$C:$C, "")</f>
        <v>52500</v>
      </c>
      <c r="H65" s="204">
        <f>_xlfn.XLOOKUP(B65, Rate_Master!$A:$A, Rate_Master!$D:$D, "")</f>
        <v>0</v>
      </c>
      <c r="I65" s="67">
        <f t="shared" si="13"/>
        <v>52500</v>
      </c>
      <c r="J65" s="32">
        <f t="shared" si="14"/>
        <v>551659500</v>
      </c>
      <c r="K65" s="83">
        <f t="shared" si="15"/>
        <v>523828200</v>
      </c>
      <c r="L65" s="32"/>
      <c r="N65" s="104"/>
      <c r="O65" s="104"/>
      <c r="P65" s="104"/>
    </row>
    <row r="66" spans="1:16" s="4" customFormat="1" ht="25.5" hidden="1" customHeight="1" outlineLevel="1">
      <c r="A66" s="27" t="str">
        <f t="shared" si="12"/>
        <v>3A.S1.9</v>
      </c>
      <c r="B66" s="28" t="s">
        <v>57</v>
      </c>
      <c r="C66" s="28" t="s">
        <v>532</v>
      </c>
      <c r="D66" s="29" t="s">
        <v>523</v>
      </c>
      <c r="E66" s="31">
        <v>4229.51</v>
      </c>
      <c r="F66" s="36">
        <v>4600.0439999999999</v>
      </c>
      <c r="G66" s="204">
        <f>_xlfn.XLOOKUP(B66, Rate_Master!$A:$A, Rate_Master!$C:$C, "")</f>
        <v>60900</v>
      </c>
      <c r="H66" s="204">
        <f>_xlfn.XLOOKUP(B66, Rate_Master!$A:$A, Rate_Master!$D:$D, "")</f>
        <v>0</v>
      </c>
      <c r="I66" s="67">
        <f t="shared" si="13"/>
        <v>60900</v>
      </c>
      <c r="J66" s="32">
        <f t="shared" si="14"/>
        <v>257577159</v>
      </c>
      <c r="K66" s="83">
        <f t="shared" si="15"/>
        <v>280142679.59999996</v>
      </c>
      <c r="L66" s="32"/>
      <c r="N66" s="104"/>
      <c r="O66" s="104"/>
      <c r="P66" s="104"/>
    </row>
    <row r="67" spans="1:16" s="4" customFormat="1" ht="25.5" hidden="1" customHeight="1" outlineLevel="1">
      <c r="A67" s="27" t="str">
        <f t="shared" si="12"/>
        <v>3A.S1.10</v>
      </c>
      <c r="B67" s="28" t="s">
        <v>58</v>
      </c>
      <c r="C67" s="28" t="s">
        <v>533</v>
      </c>
      <c r="D67" s="29" t="s">
        <v>523</v>
      </c>
      <c r="E67" s="31">
        <v>1451.03</v>
      </c>
      <c r="F67" s="36">
        <v>1058.67</v>
      </c>
      <c r="G67" s="204">
        <f>_xlfn.XLOOKUP(B67, Rate_Master!$A:$A, Rate_Master!$C:$C, "")</f>
        <v>60900</v>
      </c>
      <c r="H67" s="204">
        <f>_xlfn.XLOOKUP(B67, Rate_Master!$A:$A, Rate_Master!$D:$D, "")</f>
        <v>0</v>
      </c>
      <c r="I67" s="67">
        <f t="shared" si="13"/>
        <v>60900</v>
      </c>
      <c r="J67" s="32">
        <f t="shared" si="14"/>
        <v>88367727</v>
      </c>
      <c r="K67" s="83">
        <f t="shared" si="15"/>
        <v>64473003.000000007</v>
      </c>
      <c r="L67" s="32"/>
      <c r="N67" s="104"/>
      <c r="O67" s="104"/>
      <c r="P67" s="104"/>
    </row>
    <row r="68" spans="1:16" s="4" customFormat="1" ht="25.5" hidden="1" customHeight="1" outlineLevel="1">
      <c r="A68" s="27" t="str">
        <f t="shared" si="12"/>
        <v>3A.S1.11</v>
      </c>
      <c r="B68" s="28" t="s">
        <v>59</v>
      </c>
      <c r="C68" s="28" t="s">
        <v>534</v>
      </c>
      <c r="D68" s="29" t="s">
        <v>518</v>
      </c>
      <c r="E68" s="31">
        <v>6178</v>
      </c>
      <c r="F68" s="36">
        <v>6580</v>
      </c>
      <c r="G68" s="204">
        <f>_xlfn.XLOOKUP(B68, Rate_Master!$A:$A, Rate_Master!$C:$C, "")</f>
        <v>21000</v>
      </c>
      <c r="H68" s="204">
        <f>_xlfn.XLOOKUP(B68, Rate_Master!$A:$A, Rate_Master!$D:$D, "")</f>
        <v>0</v>
      </c>
      <c r="I68" s="67">
        <f t="shared" si="13"/>
        <v>21000</v>
      </c>
      <c r="J68" s="32">
        <f t="shared" si="14"/>
        <v>129738000</v>
      </c>
      <c r="K68" s="83">
        <f t="shared" si="15"/>
        <v>138180000</v>
      </c>
      <c r="L68" s="32"/>
      <c r="N68" s="104"/>
      <c r="O68" s="104"/>
      <c r="P68" s="104"/>
    </row>
    <row r="69" spans="1:16" s="4" customFormat="1" ht="25.5" hidden="1" customHeight="1" outlineLevel="1">
      <c r="A69" s="27" t="str">
        <f t="shared" si="12"/>
        <v>3A.S1.12</v>
      </c>
      <c r="B69" s="28" t="s">
        <v>60</v>
      </c>
      <c r="C69" s="28" t="s">
        <v>515</v>
      </c>
      <c r="D69" s="29" t="s">
        <v>523</v>
      </c>
      <c r="E69" s="31">
        <v>10507.8</v>
      </c>
      <c r="F69" s="36">
        <v>9977.68</v>
      </c>
      <c r="G69" s="204">
        <f>_xlfn.XLOOKUP(B69, Rate_Master!$A:$A, Rate_Master!$C:$C, "")</f>
        <v>630</v>
      </c>
      <c r="H69" s="204">
        <f>_xlfn.XLOOKUP(B69, Rate_Master!$A:$A, Rate_Master!$D:$D, "")</f>
        <v>0</v>
      </c>
      <c r="I69" s="67">
        <f t="shared" si="13"/>
        <v>630</v>
      </c>
      <c r="J69" s="32">
        <f t="shared" si="14"/>
        <v>6619914</v>
      </c>
      <c r="K69" s="83">
        <f t="shared" si="15"/>
        <v>6285938.4000000004</v>
      </c>
      <c r="L69" s="32"/>
      <c r="N69" s="104"/>
      <c r="O69" s="104"/>
      <c r="P69" s="104"/>
    </row>
    <row r="70" spans="1:16" s="4" customFormat="1" ht="25.5" hidden="1" customHeight="1" outlineLevel="1">
      <c r="A70" s="27" t="str">
        <f t="shared" si="12"/>
        <v>3A.S1.13</v>
      </c>
      <c r="B70" s="28" t="s">
        <v>61</v>
      </c>
      <c r="C70" s="28" t="s">
        <v>515</v>
      </c>
      <c r="D70" s="29" t="s">
        <v>523</v>
      </c>
      <c r="E70" s="31">
        <v>569356.28037549602</v>
      </c>
      <c r="F70" s="36">
        <v>609305.81658049452</v>
      </c>
      <c r="G70" s="204">
        <f>_xlfn.XLOOKUP(B70, Rate_Master!$A:$A, Rate_Master!$C:$C, "")</f>
        <v>630</v>
      </c>
      <c r="H70" s="204">
        <f>_xlfn.XLOOKUP(B70, Rate_Master!$A:$A, Rate_Master!$D:$D, "")</f>
        <v>0</v>
      </c>
      <c r="I70" s="67">
        <f t="shared" si="13"/>
        <v>630</v>
      </c>
      <c r="J70" s="32">
        <f t="shared" si="14"/>
        <v>358694456.63656247</v>
      </c>
      <c r="K70" s="83">
        <f t="shared" si="15"/>
        <v>383862664.44571155</v>
      </c>
      <c r="L70" s="32"/>
      <c r="N70" s="104"/>
      <c r="O70" s="104"/>
      <c r="P70" s="104"/>
    </row>
    <row r="71" spans="1:16" s="4" customFormat="1" ht="25.5" hidden="1" customHeight="1" outlineLevel="1">
      <c r="A71" s="27" t="str">
        <f t="shared" si="12"/>
        <v>3A.S1.14</v>
      </c>
      <c r="B71" s="28" t="s">
        <v>62</v>
      </c>
      <c r="C71" s="28" t="s">
        <v>515</v>
      </c>
      <c r="D71" s="29" t="s">
        <v>518</v>
      </c>
      <c r="E71" s="31">
        <v>1266</v>
      </c>
      <c r="F71" s="36">
        <v>1354</v>
      </c>
      <c r="G71" s="204">
        <f>_xlfn.XLOOKUP(B71, Rate_Master!$A:$A, Rate_Master!$C:$C, "")</f>
        <v>0</v>
      </c>
      <c r="H71" s="204">
        <f>_xlfn.XLOOKUP(B71, Rate_Master!$A:$A, Rate_Master!$D:$D, "")</f>
        <v>264500</v>
      </c>
      <c r="I71" s="67">
        <f t="shared" si="13"/>
        <v>264500</v>
      </c>
      <c r="J71" s="32">
        <f t="shared" si="14"/>
        <v>334857000</v>
      </c>
      <c r="K71" s="83">
        <f t="shared" si="15"/>
        <v>358133000</v>
      </c>
      <c r="L71" s="32"/>
      <c r="N71" s="104"/>
      <c r="O71" s="104"/>
      <c r="P71" s="104"/>
    </row>
    <row r="72" spans="1:16" s="4" customFormat="1" ht="25.5" hidden="1" customHeight="1" outlineLevel="1">
      <c r="A72" s="27" t="str">
        <f t="shared" si="12"/>
        <v>3A.S1.15</v>
      </c>
      <c r="B72" s="28" t="s">
        <v>63</v>
      </c>
      <c r="C72" s="28" t="s">
        <v>515</v>
      </c>
      <c r="D72" s="29" t="s">
        <v>523</v>
      </c>
      <c r="E72" s="31">
        <v>569356.28037549602</v>
      </c>
      <c r="F72" s="36">
        <v>609305.81658049452</v>
      </c>
      <c r="G72" s="204">
        <f>_xlfn.XLOOKUP(B72, Rate_Master!$A:$A, Rate_Master!$C:$C, "")</f>
        <v>2940</v>
      </c>
      <c r="H72" s="204">
        <f>_xlfn.XLOOKUP(B72, Rate_Master!$A:$A, Rate_Master!$D:$D, "")</f>
        <v>0</v>
      </c>
      <c r="I72" s="67">
        <f t="shared" si="13"/>
        <v>2940</v>
      </c>
      <c r="J72" s="32">
        <f t="shared" si="14"/>
        <v>1673907464.3039582</v>
      </c>
      <c r="K72" s="83">
        <f t="shared" si="15"/>
        <v>1791359100.7466538</v>
      </c>
      <c r="L72" s="32"/>
      <c r="N72" s="104"/>
      <c r="O72" s="104"/>
      <c r="P72" s="104"/>
    </row>
    <row r="73" spans="1:16" s="3" customFormat="1" ht="25.5" customHeight="1" collapsed="1">
      <c r="A73" s="62" t="str">
        <f>$A$56&amp;2</f>
        <v>3A.S2</v>
      </c>
      <c r="B73" s="63" t="s">
        <v>64</v>
      </c>
      <c r="C73" s="63" t="s">
        <v>515</v>
      </c>
      <c r="D73" s="62"/>
      <c r="E73" s="116"/>
      <c r="F73" s="117"/>
      <c r="G73" s="203">
        <f>_xlfn.XLOOKUP(B73, Rate_Master!$A:$A, Rate_Master!$C:$C, "")</f>
        <v>0</v>
      </c>
      <c r="H73" s="203">
        <f>_xlfn.XLOOKUP(B73, Rate_Master!$A:$A, Rate_Master!$D:$D, "")</f>
        <v>0</v>
      </c>
      <c r="I73" s="49"/>
      <c r="J73" s="49">
        <f>SUBTOTAL(9,J74:J78)</f>
        <v>0</v>
      </c>
      <c r="K73" s="49">
        <f>SUBTOTAL(9,K74:K78)</f>
        <v>0</v>
      </c>
      <c r="L73" s="49"/>
      <c r="N73" s="104"/>
      <c r="O73" s="104"/>
      <c r="P73" s="104"/>
    </row>
    <row r="74" spans="1:16" s="4" customFormat="1" ht="25.5" hidden="1" customHeight="1" outlineLevel="1">
      <c r="A74" s="37" t="str">
        <f>$A$73&amp;"."&amp;ROW()-ROW($A$73)</f>
        <v>3A.S2.1</v>
      </c>
      <c r="B74" s="38" t="s">
        <v>65</v>
      </c>
      <c r="C74" s="38" t="s">
        <v>535</v>
      </c>
      <c r="D74" s="39" t="s">
        <v>520</v>
      </c>
      <c r="E74" s="40">
        <v>0</v>
      </c>
      <c r="F74" s="88"/>
      <c r="G74" s="161">
        <f>_xlfn.XLOOKUP(B74, Rate_Master!$A:$A, Rate_Master!$C:$C, "")</f>
        <v>0</v>
      </c>
      <c r="H74" s="161">
        <f>_xlfn.XLOOKUP(B74, Rate_Master!$A:$A, Rate_Master!$D:$D, "")</f>
        <v>0</v>
      </c>
      <c r="I74" s="41">
        <f>G74+H74</f>
        <v>0</v>
      </c>
      <c r="J74" s="41">
        <f>I74*E74</f>
        <v>0</v>
      </c>
      <c r="K74" s="83">
        <f>+F74*I74</f>
        <v>0</v>
      </c>
      <c r="L74" s="41"/>
      <c r="N74" s="104"/>
      <c r="O74" s="104"/>
      <c r="P74" s="104"/>
    </row>
    <row r="75" spans="1:16" s="4" customFormat="1" ht="25.5" hidden="1" customHeight="1" outlineLevel="1">
      <c r="A75" s="37" t="str">
        <f>$A$73&amp;"."&amp;ROW()-ROW($A$73)</f>
        <v>3A.S2.2</v>
      </c>
      <c r="B75" s="38" t="s">
        <v>66</v>
      </c>
      <c r="C75" s="38" t="s">
        <v>536</v>
      </c>
      <c r="D75" s="39" t="s">
        <v>518</v>
      </c>
      <c r="E75" s="40">
        <v>0</v>
      </c>
      <c r="F75" s="88"/>
      <c r="G75" s="161">
        <f>_xlfn.XLOOKUP(B75, Rate_Master!$A:$A, Rate_Master!$C:$C, "")</f>
        <v>0</v>
      </c>
      <c r="H75" s="161">
        <f>_xlfn.XLOOKUP(B75, Rate_Master!$A:$A, Rate_Master!$D:$D, "")</f>
        <v>0</v>
      </c>
      <c r="I75" s="41">
        <f>G75+H75</f>
        <v>0</v>
      </c>
      <c r="J75" s="41">
        <f>I75*E75</f>
        <v>0</v>
      </c>
      <c r="K75" s="83">
        <f>+F75*I75</f>
        <v>0</v>
      </c>
      <c r="L75" s="41"/>
      <c r="N75" s="104"/>
      <c r="O75" s="104"/>
      <c r="P75" s="104"/>
    </row>
    <row r="76" spans="1:16" s="4" customFormat="1" ht="25.5" hidden="1" customHeight="1" outlineLevel="1">
      <c r="A76" s="37" t="str">
        <f>$A$73&amp;"."&amp;ROW()-ROW($A$73)</f>
        <v>3A.S2.3</v>
      </c>
      <c r="B76" s="38" t="s">
        <v>67</v>
      </c>
      <c r="C76" s="38" t="s">
        <v>515</v>
      </c>
      <c r="D76" s="39" t="s">
        <v>520</v>
      </c>
      <c r="E76" s="40">
        <v>0</v>
      </c>
      <c r="F76" s="88"/>
      <c r="G76" s="161">
        <f>_xlfn.XLOOKUP(B76, Rate_Master!$A:$A, Rate_Master!$C:$C, "")</f>
        <v>0</v>
      </c>
      <c r="H76" s="161">
        <f>_xlfn.XLOOKUP(B76, Rate_Master!$A:$A, Rate_Master!$D:$D, "")</f>
        <v>0</v>
      </c>
      <c r="I76" s="41">
        <f>G76+H76</f>
        <v>0</v>
      </c>
      <c r="J76" s="41">
        <f>I76*E76</f>
        <v>0</v>
      </c>
      <c r="K76" s="83">
        <f>+F76*I76</f>
        <v>0</v>
      </c>
      <c r="L76" s="41"/>
      <c r="N76" s="104"/>
      <c r="O76" s="104"/>
      <c r="P76" s="104"/>
    </row>
    <row r="77" spans="1:16" s="4" customFormat="1" ht="25.5" hidden="1" customHeight="1" outlineLevel="1">
      <c r="A77" s="37" t="str">
        <f>$A$73&amp;"."&amp;ROW()-ROW($A$73)</f>
        <v>3A.S2.4</v>
      </c>
      <c r="B77" s="38" t="s">
        <v>68</v>
      </c>
      <c r="C77" s="38" t="s">
        <v>515</v>
      </c>
      <c r="D77" s="39" t="s">
        <v>457</v>
      </c>
      <c r="E77" s="40">
        <v>0</v>
      </c>
      <c r="F77" s="88"/>
      <c r="G77" s="161">
        <f>_xlfn.XLOOKUP(B77, Rate_Master!$A:$A, Rate_Master!$C:$C, "")</f>
        <v>0</v>
      </c>
      <c r="H77" s="161">
        <f>_xlfn.XLOOKUP(B77, Rate_Master!$A:$A, Rate_Master!$D:$D, "")</f>
        <v>0</v>
      </c>
      <c r="I77" s="41">
        <f>G77+H77</f>
        <v>0</v>
      </c>
      <c r="J77" s="41">
        <f>I77*E77</f>
        <v>0</v>
      </c>
      <c r="K77" s="83">
        <f>+F77*I77</f>
        <v>0</v>
      </c>
      <c r="L77" s="41"/>
      <c r="N77" s="104"/>
      <c r="O77" s="104"/>
      <c r="P77" s="104"/>
    </row>
    <row r="78" spans="1:16" s="4" customFormat="1" ht="25.5" hidden="1" customHeight="1" outlineLevel="1">
      <c r="A78" s="37" t="str">
        <f>$A$73&amp;"."&amp;ROW()-ROW($A$73)</f>
        <v>3A.S2.5</v>
      </c>
      <c r="B78" s="38" t="s">
        <v>69</v>
      </c>
      <c r="C78" s="38" t="s">
        <v>515</v>
      </c>
      <c r="D78" s="39" t="s">
        <v>520</v>
      </c>
      <c r="E78" s="40">
        <v>0</v>
      </c>
      <c r="F78" s="88"/>
      <c r="G78" s="161">
        <f>_xlfn.XLOOKUP(B78, Rate_Master!$A:$A, Rate_Master!$C:$C, "")</f>
        <v>0</v>
      </c>
      <c r="H78" s="161">
        <f>_xlfn.XLOOKUP(B78, Rate_Master!$A:$A, Rate_Master!$D:$D, "")</f>
        <v>0</v>
      </c>
      <c r="I78" s="41">
        <f>G78+H78</f>
        <v>0</v>
      </c>
      <c r="J78" s="41">
        <f>I78*E78</f>
        <v>0</v>
      </c>
      <c r="K78" s="83">
        <f>+F78*I78</f>
        <v>0</v>
      </c>
      <c r="L78" s="41"/>
      <c r="N78" s="104"/>
      <c r="O78" s="104"/>
      <c r="P78" s="104"/>
    </row>
    <row r="79" spans="1:16" s="3" customFormat="1" ht="25.5" customHeight="1" collapsed="1">
      <c r="A79" s="62" t="str">
        <f>$A$56&amp;3</f>
        <v>3A.S3</v>
      </c>
      <c r="B79" s="63" t="s">
        <v>70</v>
      </c>
      <c r="C79" s="63" t="s">
        <v>515</v>
      </c>
      <c r="D79" s="62"/>
      <c r="E79" s="116"/>
      <c r="F79" s="117"/>
      <c r="G79" s="203">
        <f>_xlfn.XLOOKUP(B79, Rate_Master!$A:$A, Rate_Master!$C:$C, "")</f>
        <v>0</v>
      </c>
      <c r="H79" s="203">
        <f>_xlfn.XLOOKUP(B79, Rate_Master!$A:$A, Rate_Master!$D:$D, "")</f>
        <v>0</v>
      </c>
      <c r="I79" s="49"/>
      <c r="J79" s="49">
        <f>SUBTOTAL(9,J80:J93)</f>
        <v>8103713244.2356071</v>
      </c>
      <c r="K79" s="49">
        <f>SUBTOTAL(9,K80:K93)</f>
        <v>8004109191.1206074</v>
      </c>
      <c r="L79" s="49"/>
      <c r="N79" s="104"/>
      <c r="O79" s="104"/>
      <c r="P79" s="104"/>
    </row>
    <row r="80" spans="1:16" s="4" customFormat="1" ht="51" hidden="1" customHeight="1" outlineLevel="1">
      <c r="A80" s="27" t="str">
        <f t="shared" ref="A80:A93" si="16">$A$79&amp;"."&amp;ROW()-ROW($A$79)</f>
        <v>3A.S3.1</v>
      </c>
      <c r="B80" s="28" t="s">
        <v>71</v>
      </c>
      <c r="C80" s="28" t="str">
        <f>+'2A'!C80</f>
        <v xml:space="preserve">Tôn liên doanh Việt hàn, AZ170
</v>
      </c>
      <c r="D80" s="29" t="s">
        <v>520</v>
      </c>
      <c r="E80" s="31">
        <v>16343.46</v>
      </c>
      <c r="F80" s="36">
        <v>16334.39</v>
      </c>
      <c r="G80" s="204">
        <f>_xlfn.XLOOKUP(B80, Rate_Master!$A:$A, Rate_Master!$C:$C, "")</f>
        <v>248399.99999999997</v>
      </c>
      <c r="H80" s="204">
        <f>_xlfn.XLOOKUP(B80, Rate_Master!$A:$A, Rate_Master!$D:$D, "")</f>
        <v>34500</v>
      </c>
      <c r="I80" s="32">
        <f t="shared" ref="I80:I93" si="17">+SUM(G80:H80)</f>
        <v>282900</v>
      </c>
      <c r="J80" s="32">
        <f t="shared" ref="J80:J93" si="18">I80*E80</f>
        <v>4623564834</v>
      </c>
      <c r="K80" s="83">
        <f t="shared" ref="K80:K93" si="19">+F80*I80</f>
        <v>4620998931</v>
      </c>
      <c r="L80" s="32"/>
      <c r="N80" s="104"/>
      <c r="O80" s="104"/>
      <c r="P80" s="104"/>
    </row>
    <row r="81" spans="1:16" s="4" customFormat="1" ht="51" hidden="1" customHeight="1" outlineLevel="1">
      <c r="A81" s="27" t="str">
        <f t="shared" si="16"/>
        <v>3A.S3.2</v>
      </c>
      <c r="B81" s="28" t="s">
        <v>72</v>
      </c>
      <c r="C81" s="28" t="str">
        <f>+'2A'!C81</f>
        <v xml:space="preserve">Tôn liên doanh Việt hàn, AZ170
</v>
      </c>
      <c r="D81" s="29" t="s">
        <v>520</v>
      </c>
      <c r="E81" s="31">
        <v>806.38199999999995</v>
      </c>
      <c r="F81" s="36">
        <v>629.80200000000002</v>
      </c>
      <c r="G81" s="204">
        <f>_xlfn.XLOOKUP(B81, Rate_Master!$A:$A, Rate_Master!$C:$C, "")</f>
        <v>206999.99999999997</v>
      </c>
      <c r="H81" s="204">
        <f>_xlfn.XLOOKUP(B81, Rate_Master!$A:$A, Rate_Master!$D:$D, "")</f>
        <v>34500</v>
      </c>
      <c r="I81" s="32">
        <f t="shared" si="17"/>
        <v>241499.99999999997</v>
      </c>
      <c r="J81" s="32">
        <f t="shared" si="18"/>
        <v>194741252.99999997</v>
      </c>
      <c r="K81" s="83">
        <f t="shared" si="19"/>
        <v>152097183</v>
      </c>
      <c r="L81" s="32"/>
      <c r="N81" s="104"/>
      <c r="O81" s="104"/>
      <c r="P81" s="104"/>
    </row>
    <row r="82" spans="1:16" s="4" customFormat="1" ht="63.75" hidden="1" customHeight="1" outlineLevel="1">
      <c r="A82" s="27" t="str">
        <f t="shared" si="16"/>
        <v>3A.S3.3</v>
      </c>
      <c r="B82" s="28" t="s">
        <v>73</v>
      </c>
      <c r="C82" s="28" t="str">
        <f>+'2A'!C82</f>
        <v xml:space="preserve">Tôn liên doanh Việt hàn, AZ170
</v>
      </c>
      <c r="D82" s="29" t="s">
        <v>520</v>
      </c>
      <c r="E82" s="31">
        <v>409.58800000000002</v>
      </c>
      <c r="F82" s="36">
        <v>337.536</v>
      </c>
      <c r="G82" s="204">
        <f>_xlfn.XLOOKUP(B82, Rate_Master!$A:$A, Rate_Master!$C:$C, "")</f>
        <v>195499.99999999997</v>
      </c>
      <c r="H82" s="204">
        <f>_xlfn.XLOOKUP(B82, Rate_Master!$A:$A, Rate_Master!$D:$D, "")</f>
        <v>34500</v>
      </c>
      <c r="I82" s="32">
        <f t="shared" si="17"/>
        <v>229999.99999999997</v>
      </c>
      <c r="J82" s="32">
        <f t="shared" si="18"/>
        <v>94205240</v>
      </c>
      <c r="K82" s="83">
        <f t="shared" si="19"/>
        <v>77633279.999999985</v>
      </c>
      <c r="L82" s="32"/>
      <c r="N82" s="104"/>
      <c r="O82" s="104"/>
      <c r="P82" s="104"/>
    </row>
    <row r="83" spans="1:16" s="4" customFormat="1" ht="25.5" hidden="1" customHeight="1" outlineLevel="1">
      <c r="A83" s="27" t="str">
        <f t="shared" si="16"/>
        <v>3A.S3.4</v>
      </c>
      <c r="B83" s="28" t="s">
        <v>74</v>
      </c>
      <c r="C83" s="28" t="s">
        <v>515</v>
      </c>
      <c r="D83" s="29" t="s">
        <v>520</v>
      </c>
      <c r="E83" s="31">
        <v>16343.46</v>
      </c>
      <c r="F83" s="36">
        <v>16334.39</v>
      </c>
      <c r="G83" s="204">
        <f>_xlfn.XLOOKUP(B83, Rate_Master!$A:$A, Rate_Master!$C:$C, "")</f>
        <v>23000</v>
      </c>
      <c r="H83" s="204">
        <f>_xlfn.XLOOKUP(B83, Rate_Master!$A:$A, Rate_Master!$D:$D, "")</f>
        <v>11500</v>
      </c>
      <c r="I83" s="32">
        <f t="shared" si="17"/>
        <v>34500</v>
      </c>
      <c r="J83" s="32">
        <f t="shared" si="18"/>
        <v>563849370</v>
      </c>
      <c r="K83" s="83">
        <f t="shared" si="19"/>
        <v>563536455</v>
      </c>
      <c r="L83" s="32"/>
      <c r="N83" s="104"/>
      <c r="O83" s="104"/>
      <c r="P83" s="104"/>
    </row>
    <row r="84" spans="1:16" s="4" customFormat="1" ht="25.5" hidden="1" customHeight="1" outlineLevel="1">
      <c r="A84" s="27" t="str">
        <f t="shared" si="16"/>
        <v>3A.S3.5</v>
      </c>
      <c r="B84" s="28" t="s">
        <v>75</v>
      </c>
      <c r="C84" s="28" t="s">
        <v>538</v>
      </c>
      <c r="D84" s="29" t="s">
        <v>517</v>
      </c>
      <c r="E84" s="31">
        <v>921.8</v>
      </c>
      <c r="F84" s="36">
        <v>1008.24</v>
      </c>
      <c r="G84" s="204">
        <f>_xlfn.XLOOKUP(B84, Rate_Master!$A:$A, Rate_Master!$C:$C, "")</f>
        <v>110399.99999999999</v>
      </c>
      <c r="H84" s="204">
        <f>_xlfn.XLOOKUP(B84, Rate_Master!$A:$A, Rate_Master!$D:$D, "")</f>
        <v>17250</v>
      </c>
      <c r="I84" s="32">
        <f t="shared" si="17"/>
        <v>127649.99999999999</v>
      </c>
      <c r="J84" s="32">
        <f t="shared" si="18"/>
        <v>117667769.99999999</v>
      </c>
      <c r="K84" s="83">
        <f t="shared" si="19"/>
        <v>128701835.99999999</v>
      </c>
      <c r="L84" s="32"/>
      <c r="N84" s="104"/>
      <c r="O84" s="104"/>
      <c r="P84" s="104"/>
    </row>
    <row r="85" spans="1:16" s="4" customFormat="1" ht="25.5" hidden="1" customHeight="1" outlineLevel="1">
      <c r="A85" s="27" t="str">
        <f t="shared" si="16"/>
        <v>3A.S3.6</v>
      </c>
      <c r="B85" s="28" t="s">
        <v>75</v>
      </c>
      <c r="C85" s="28" t="s">
        <v>539</v>
      </c>
      <c r="D85" s="29" t="s">
        <v>517</v>
      </c>
      <c r="E85" s="31">
        <v>2856.6</v>
      </c>
      <c r="F85" s="36">
        <v>2606.3999999999992</v>
      </c>
      <c r="G85" s="204">
        <f>_xlfn.XLOOKUP(B85, Rate_Master!$A:$A, Rate_Master!$C:$C, "")</f>
        <v>110399.99999999999</v>
      </c>
      <c r="H85" s="204">
        <f>_xlfn.XLOOKUP(B85, Rate_Master!$A:$A, Rate_Master!$D:$D, "")</f>
        <v>17250</v>
      </c>
      <c r="I85" s="32">
        <f t="shared" si="17"/>
        <v>127649.99999999999</v>
      </c>
      <c r="J85" s="32">
        <f t="shared" si="18"/>
        <v>364644989.99999994</v>
      </c>
      <c r="K85" s="83">
        <f t="shared" si="19"/>
        <v>332706959.99999988</v>
      </c>
      <c r="L85" s="32"/>
      <c r="N85" s="104"/>
      <c r="O85" s="104"/>
      <c r="P85" s="104"/>
    </row>
    <row r="86" spans="1:16" s="4" customFormat="1" ht="25.5" hidden="1" customHeight="1" outlineLevel="1">
      <c r="A86" s="27" t="str">
        <f t="shared" si="16"/>
        <v>3A.S3.7</v>
      </c>
      <c r="B86" s="28" t="s">
        <v>76</v>
      </c>
      <c r="C86" s="28" t="s">
        <v>540</v>
      </c>
      <c r="D86" s="29" t="s">
        <v>517</v>
      </c>
      <c r="E86" s="31">
        <v>392.4</v>
      </c>
      <c r="F86" s="36">
        <v>392.4</v>
      </c>
      <c r="G86" s="204">
        <f>_xlfn.XLOOKUP(B86, Rate_Master!$A:$A, Rate_Master!$C:$C, "")</f>
        <v>1976115.3983999996</v>
      </c>
      <c r="H86" s="204">
        <f>_xlfn.XLOOKUP(B86, Rate_Master!$A:$A, Rate_Master!$D:$D, "")</f>
        <v>28749.999999999996</v>
      </c>
      <c r="I86" s="32">
        <f t="shared" si="17"/>
        <v>2004865.3983999996</v>
      </c>
      <c r="J86" s="32">
        <f t="shared" si="18"/>
        <v>786709182.33215976</v>
      </c>
      <c r="K86" s="83">
        <f t="shared" si="19"/>
        <v>786709182.33215976</v>
      </c>
      <c r="L86" s="32"/>
      <c r="N86" s="104"/>
      <c r="O86" s="104"/>
      <c r="P86" s="104"/>
    </row>
    <row r="87" spans="1:16" s="4" customFormat="1" ht="25.5" hidden="1" customHeight="1" outlineLevel="1">
      <c r="A87" s="27" t="str">
        <f t="shared" si="16"/>
        <v>3A.S3.8</v>
      </c>
      <c r="B87" s="28" t="s">
        <v>77</v>
      </c>
      <c r="C87" s="28" t="s">
        <v>541</v>
      </c>
      <c r="D87" s="29" t="s">
        <v>517</v>
      </c>
      <c r="E87" s="31">
        <v>196.2</v>
      </c>
      <c r="F87" s="36">
        <v>196.2</v>
      </c>
      <c r="G87" s="204">
        <f>_xlfn.XLOOKUP(B87, Rate_Master!$A:$A, Rate_Master!$C:$C, "")</f>
        <v>1077881.1263999997</v>
      </c>
      <c r="H87" s="204">
        <f>_xlfn.XLOOKUP(B87, Rate_Master!$A:$A, Rate_Master!$D:$D, "")</f>
        <v>23000</v>
      </c>
      <c r="I87" s="32">
        <f t="shared" si="17"/>
        <v>1100881.1263999997</v>
      </c>
      <c r="J87" s="32">
        <f t="shared" si="18"/>
        <v>215992876.99967992</v>
      </c>
      <c r="K87" s="83">
        <f t="shared" si="19"/>
        <v>215992876.99967992</v>
      </c>
      <c r="L87" s="32"/>
      <c r="N87" s="104"/>
      <c r="O87" s="104"/>
      <c r="P87" s="104"/>
    </row>
    <row r="88" spans="1:16" s="4" customFormat="1" ht="25.5" hidden="1" customHeight="1" outlineLevel="1">
      <c r="A88" s="27" t="str">
        <f t="shared" si="16"/>
        <v>3A.S3.9</v>
      </c>
      <c r="B88" s="28" t="s">
        <v>78</v>
      </c>
      <c r="C88" s="28" t="s">
        <v>515</v>
      </c>
      <c r="D88" s="29" t="s">
        <v>518</v>
      </c>
      <c r="E88" s="31">
        <v>24</v>
      </c>
      <c r="F88" s="36">
        <v>38</v>
      </c>
      <c r="G88" s="204">
        <f>_xlfn.XLOOKUP(B88, Rate_Master!$A:$A, Rate_Master!$C:$C, "")</f>
        <v>92000</v>
      </c>
      <c r="H88" s="204">
        <f>_xlfn.XLOOKUP(B88, Rate_Master!$A:$A, Rate_Master!$D:$D, "")</f>
        <v>11500</v>
      </c>
      <c r="I88" s="32">
        <f t="shared" si="17"/>
        <v>103500</v>
      </c>
      <c r="J88" s="32">
        <f t="shared" si="18"/>
        <v>2484000</v>
      </c>
      <c r="K88" s="83">
        <f t="shared" si="19"/>
        <v>3933000</v>
      </c>
      <c r="L88" s="32"/>
      <c r="N88" s="104"/>
      <c r="O88" s="104"/>
      <c r="P88" s="104"/>
    </row>
    <row r="89" spans="1:16" s="4" customFormat="1" ht="63.75" hidden="1" customHeight="1" outlineLevel="1">
      <c r="A89" s="27" t="str">
        <f t="shared" si="16"/>
        <v>3A.S3.10</v>
      </c>
      <c r="B89" s="28" t="s">
        <v>79</v>
      </c>
      <c r="C89" s="28" t="s">
        <v>542</v>
      </c>
      <c r="D89" s="29" t="s">
        <v>517</v>
      </c>
      <c r="E89" s="31">
        <v>376.2</v>
      </c>
      <c r="F89" s="36">
        <v>364.8</v>
      </c>
      <c r="G89" s="204">
        <f>_xlfn.XLOOKUP(B89, Rate_Master!$A:$A, Rate_Master!$C:$C, "")</f>
        <v>297443.47499999998</v>
      </c>
      <c r="H89" s="204">
        <f>_xlfn.XLOOKUP(B89, Rate_Master!$A:$A, Rate_Master!$D:$D, "")</f>
        <v>23000</v>
      </c>
      <c r="I89" s="32">
        <f t="shared" si="17"/>
        <v>320443.47499999998</v>
      </c>
      <c r="J89" s="32">
        <f t="shared" si="18"/>
        <v>120550835.29499999</v>
      </c>
      <c r="K89" s="83">
        <f t="shared" si="19"/>
        <v>116897779.67999999</v>
      </c>
      <c r="L89" s="32"/>
      <c r="N89" s="104"/>
      <c r="O89" s="104"/>
      <c r="P89" s="104"/>
    </row>
    <row r="90" spans="1:16" s="4" customFormat="1" ht="25.5" hidden="1" customHeight="1" outlineLevel="1">
      <c r="A90" s="27" t="str">
        <f t="shared" si="16"/>
        <v>3A.S3.11</v>
      </c>
      <c r="B90" s="28" t="s">
        <v>80</v>
      </c>
      <c r="C90" s="28" t="s">
        <v>515</v>
      </c>
      <c r="D90" s="29" t="s">
        <v>457</v>
      </c>
      <c r="E90" s="31">
        <v>1</v>
      </c>
      <c r="F90" s="36">
        <v>1</v>
      </c>
      <c r="G90" s="204">
        <f>_xlfn.XLOOKUP(B90, Rate_Master!$A:$A, Rate_Master!$C:$C, "")</f>
        <v>0</v>
      </c>
      <c r="H90" s="204">
        <f>_xlfn.XLOOKUP(B90, Rate_Master!$A:$A, Rate_Master!$D:$D, "")</f>
        <v>57499999.999999993</v>
      </c>
      <c r="I90" s="32">
        <f t="shared" si="17"/>
        <v>57499999.999999993</v>
      </c>
      <c r="J90" s="32">
        <f t="shared" si="18"/>
        <v>57499999.999999993</v>
      </c>
      <c r="K90" s="83">
        <f t="shared" si="19"/>
        <v>57499999.999999993</v>
      </c>
      <c r="L90" s="32"/>
      <c r="N90" s="104"/>
      <c r="O90" s="104"/>
      <c r="P90" s="104"/>
    </row>
    <row r="91" spans="1:16" s="4" customFormat="1" ht="25.5" hidden="1" customHeight="1" outlineLevel="1">
      <c r="A91" s="27" t="str">
        <f t="shared" si="16"/>
        <v>3A.S3.12</v>
      </c>
      <c r="B91" s="28" t="s">
        <v>81</v>
      </c>
      <c r="C91" s="28" t="s">
        <v>515</v>
      </c>
      <c r="D91" s="29" t="s">
        <v>520</v>
      </c>
      <c r="E91" s="31">
        <v>17559.43</v>
      </c>
      <c r="F91" s="36">
        <v>17301.727999999999</v>
      </c>
      <c r="G91" s="204">
        <f>_xlfn.XLOOKUP(B91, Rate_Master!$A:$A, Rate_Master!$C:$C, "")</f>
        <v>0</v>
      </c>
      <c r="H91" s="204">
        <f>_xlfn.XLOOKUP(B91, Rate_Master!$A:$A, Rate_Master!$D:$D, "")</f>
        <v>40250</v>
      </c>
      <c r="I91" s="32">
        <f t="shared" si="17"/>
        <v>40250</v>
      </c>
      <c r="J91" s="32">
        <f t="shared" si="18"/>
        <v>706767057.5</v>
      </c>
      <c r="K91" s="83">
        <f t="shared" si="19"/>
        <v>696394552</v>
      </c>
      <c r="L91" s="32"/>
      <c r="N91" s="104"/>
      <c r="O91" s="104"/>
      <c r="P91" s="104"/>
    </row>
    <row r="92" spans="1:16" s="4" customFormat="1" ht="38.25" hidden="1" customHeight="1" outlineLevel="1">
      <c r="A92" s="27" t="str">
        <f t="shared" si="16"/>
        <v>3A.S3.13</v>
      </c>
      <c r="B92" s="28" t="s">
        <v>82</v>
      </c>
      <c r="C92" s="28" t="s">
        <v>515</v>
      </c>
      <c r="D92" s="29" t="s">
        <v>517</v>
      </c>
      <c r="E92" s="31">
        <v>4743.2</v>
      </c>
      <c r="F92" s="36">
        <v>4568.04</v>
      </c>
      <c r="G92" s="204">
        <f>_xlfn.XLOOKUP(B92, Rate_Master!$A:$A, Rate_Master!$C:$C, "")</f>
        <v>0</v>
      </c>
      <c r="H92" s="204">
        <f>_xlfn.XLOOKUP(B92, Rate_Master!$A:$A, Rate_Master!$D:$D, "")</f>
        <v>23000</v>
      </c>
      <c r="I92" s="32">
        <f t="shared" si="17"/>
        <v>23000</v>
      </c>
      <c r="J92" s="32">
        <f t="shared" si="18"/>
        <v>109093600</v>
      </c>
      <c r="K92" s="83">
        <f t="shared" si="19"/>
        <v>105064920</v>
      </c>
      <c r="L92" s="32"/>
      <c r="N92" s="104"/>
      <c r="O92" s="104"/>
      <c r="P92" s="104"/>
    </row>
    <row r="93" spans="1:16" s="4" customFormat="1" ht="25.5" hidden="1" customHeight="1" outlineLevel="1">
      <c r="A93" s="27" t="str">
        <f t="shared" si="16"/>
        <v>3A.S3.14</v>
      </c>
      <c r="B93" s="28" t="s">
        <v>83</v>
      </c>
      <c r="C93" s="28" t="s">
        <v>543</v>
      </c>
      <c r="D93" s="29" t="s">
        <v>457</v>
      </c>
      <c r="E93" s="31">
        <v>1</v>
      </c>
      <c r="F93" s="36">
        <v>1</v>
      </c>
      <c r="G93" s="204">
        <f>_xlfn.XLOOKUP(B93, Rate_Master!$A:$A, Rate_Master!$C:$C, "")</f>
        <v>145942235.10876715</v>
      </c>
      <c r="H93" s="204">
        <f>_xlfn.XLOOKUP(B93, Rate_Master!$A:$A, Rate_Master!$D:$D, "")</f>
        <v>0</v>
      </c>
      <c r="I93" s="32">
        <f t="shared" si="17"/>
        <v>145942235.10876715</v>
      </c>
      <c r="J93" s="32">
        <f t="shared" si="18"/>
        <v>145942235.10876715</v>
      </c>
      <c r="K93" s="83">
        <f t="shared" si="19"/>
        <v>145942235.10876715</v>
      </c>
      <c r="L93" s="32"/>
      <c r="N93" s="104"/>
      <c r="O93" s="104"/>
      <c r="P93" s="104"/>
    </row>
    <row r="94" spans="1:16" s="3" customFormat="1" ht="25.5" customHeight="1" collapsed="1">
      <c r="A94" s="62" t="str">
        <f>$A$56&amp;4</f>
        <v>3A.S4</v>
      </c>
      <c r="B94" s="63" t="s">
        <v>84</v>
      </c>
      <c r="C94" s="63" t="s">
        <v>515</v>
      </c>
      <c r="D94" s="62"/>
      <c r="E94" s="116"/>
      <c r="F94" s="117"/>
      <c r="G94" s="203">
        <f>_xlfn.XLOOKUP(B94, Rate_Master!$A:$A, Rate_Master!$C:$C, "")</f>
        <v>0</v>
      </c>
      <c r="H94" s="203">
        <f>_xlfn.XLOOKUP(B94, Rate_Master!$A:$A, Rate_Master!$D:$D, "")</f>
        <v>0</v>
      </c>
      <c r="I94" s="49"/>
      <c r="J94" s="49">
        <f>SUBTOTAL(9,J95:J102)</f>
        <v>614379602.44285011</v>
      </c>
      <c r="K94" s="49">
        <f>SUBTOTAL(9,K95:K102)</f>
        <v>419754600</v>
      </c>
      <c r="L94" s="49"/>
      <c r="N94" s="104"/>
      <c r="O94" s="104"/>
      <c r="P94" s="104"/>
    </row>
    <row r="95" spans="1:16" s="4" customFormat="1" ht="38.25" hidden="1" customHeight="1" outlineLevel="1">
      <c r="A95" s="27" t="str">
        <f t="shared" ref="A95:A102" si="20">$A$94&amp;"."&amp;ROW()-ROW($A$94)</f>
        <v>3A.S4.1</v>
      </c>
      <c r="B95" s="28" t="s">
        <v>85</v>
      </c>
      <c r="C95" s="28" t="s">
        <v>544</v>
      </c>
      <c r="D95" s="29" t="s">
        <v>517</v>
      </c>
      <c r="E95" s="31">
        <v>17.995000000000001</v>
      </c>
      <c r="F95" s="36">
        <v>12</v>
      </c>
      <c r="G95" s="204">
        <f>_xlfn.XLOOKUP(B95, Rate_Master!$A:$A, Rate_Master!$C:$C, "")</f>
        <v>5175000</v>
      </c>
      <c r="H95" s="204">
        <f>_xlfn.XLOOKUP(B95, Rate_Master!$A:$A, Rate_Master!$D:$D, "")</f>
        <v>0</v>
      </c>
      <c r="I95" s="67">
        <f t="shared" ref="I95:I102" si="21">+SUM(G95:H95)</f>
        <v>5175000</v>
      </c>
      <c r="J95" s="32">
        <f t="shared" ref="J95:J102" si="22">I95*E95</f>
        <v>93124125</v>
      </c>
      <c r="K95" s="83">
        <f t="shared" ref="K95:K102" si="23">+F95*I95</f>
        <v>62100000</v>
      </c>
      <c r="L95" s="32"/>
      <c r="N95" s="104"/>
      <c r="O95" s="104"/>
      <c r="P95" s="104"/>
    </row>
    <row r="96" spans="1:16" s="4" customFormat="1" ht="38.25" hidden="1" customHeight="1" outlineLevel="1">
      <c r="A96" s="27" t="str">
        <f t="shared" si="20"/>
        <v>3A.S4.2</v>
      </c>
      <c r="B96" s="28" t="s">
        <v>86</v>
      </c>
      <c r="C96" s="28" t="s">
        <v>545</v>
      </c>
      <c r="D96" s="29" t="s">
        <v>517</v>
      </c>
      <c r="E96" s="31">
        <v>0</v>
      </c>
      <c r="F96" s="36"/>
      <c r="G96" s="204">
        <f>_xlfn.XLOOKUP(B96, Rate_Master!$A:$A, Rate_Master!$C:$C, "")</f>
        <v>0</v>
      </c>
      <c r="H96" s="204">
        <f>_xlfn.XLOOKUP(B96, Rate_Master!$A:$A, Rate_Master!$D:$D, "")</f>
        <v>0</v>
      </c>
      <c r="I96" s="67">
        <f t="shared" si="21"/>
        <v>0</v>
      </c>
      <c r="J96" s="32">
        <f t="shared" si="22"/>
        <v>0</v>
      </c>
      <c r="K96" s="83">
        <f t="shared" si="23"/>
        <v>0</v>
      </c>
      <c r="L96" s="32"/>
      <c r="N96" s="104"/>
      <c r="O96" s="104"/>
      <c r="P96" s="104"/>
    </row>
    <row r="97" spans="1:16" s="4" customFormat="1" ht="38.25" hidden="1" customHeight="1" outlineLevel="1">
      <c r="A97" s="27" t="str">
        <f t="shared" si="20"/>
        <v>3A.S4.3</v>
      </c>
      <c r="B97" s="28" t="s">
        <v>87</v>
      </c>
      <c r="C97" s="28" t="s">
        <v>546</v>
      </c>
      <c r="D97" s="29" t="s">
        <v>517</v>
      </c>
      <c r="E97" s="31">
        <v>0</v>
      </c>
      <c r="F97" s="36"/>
      <c r="G97" s="204">
        <f>_xlfn.XLOOKUP(B97, Rate_Master!$A:$A, Rate_Master!$C:$C, "")</f>
        <v>0</v>
      </c>
      <c r="H97" s="204">
        <f>_xlfn.XLOOKUP(B97, Rate_Master!$A:$A, Rate_Master!$D:$D, "")</f>
        <v>0</v>
      </c>
      <c r="I97" s="67">
        <f t="shared" si="21"/>
        <v>0</v>
      </c>
      <c r="J97" s="32">
        <f t="shared" si="22"/>
        <v>0</v>
      </c>
      <c r="K97" s="83">
        <f t="shared" si="23"/>
        <v>0</v>
      </c>
      <c r="L97" s="32"/>
      <c r="N97" s="104"/>
      <c r="O97" s="104"/>
      <c r="P97" s="104"/>
    </row>
    <row r="98" spans="1:16" s="4" customFormat="1" ht="25.5" hidden="1" customHeight="1" outlineLevel="1">
      <c r="A98" s="27" t="str">
        <f t="shared" si="20"/>
        <v>3A.S4.4</v>
      </c>
      <c r="B98" s="28" t="s">
        <v>88</v>
      </c>
      <c r="C98" s="28" t="s">
        <v>546</v>
      </c>
      <c r="D98" s="29" t="s">
        <v>517</v>
      </c>
      <c r="E98" s="31">
        <v>0</v>
      </c>
      <c r="F98" s="36"/>
      <c r="G98" s="204">
        <f>_xlfn.XLOOKUP(B98, Rate_Master!$A:$A, Rate_Master!$C:$C, "")</f>
        <v>0</v>
      </c>
      <c r="H98" s="204">
        <f>_xlfn.XLOOKUP(B98, Rate_Master!$A:$A, Rate_Master!$D:$D, "")</f>
        <v>0</v>
      </c>
      <c r="I98" s="67">
        <f t="shared" si="21"/>
        <v>0</v>
      </c>
      <c r="J98" s="32">
        <f t="shared" si="22"/>
        <v>0</v>
      </c>
      <c r="K98" s="83">
        <f t="shared" si="23"/>
        <v>0</v>
      </c>
      <c r="L98" s="32"/>
      <c r="N98" s="104"/>
      <c r="O98" s="104"/>
      <c r="P98" s="104"/>
    </row>
    <row r="99" spans="1:16" s="4" customFormat="1" ht="51" hidden="1" customHeight="1" outlineLevel="1">
      <c r="A99" s="27" t="str">
        <f t="shared" si="20"/>
        <v>3A.S4.5</v>
      </c>
      <c r="B99" s="28" t="s">
        <v>89</v>
      </c>
      <c r="C99" s="28" t="s">
        <v>547</v>
      </c>
      <c r="D99" s="29" t="s">
        <v>520</v>
      </c>
      <c r="E99" s="31">
        <v>15550.2</v>
      </c>
      <c r="F99" s="36">
        <v>15550.2</v>
      </c>
      <c r="G99" s="204">
        <f>_xlfn.XLOOKUP(B99, Rate_Master!$A:$A, Rate_Master!$C:$C, "")</f>
        <v>17250</v>
      </c>
      <c r="H99" s="204">
        <f>_xlfn.XLOOKUP(B99, Rate_Master!$A:$A, Rate_Master!$D:$D, "")</f>
        <v>5750</v>
      </c>
      <c r="I99" s="67">
        <f t="shared" si="21"/>
        <v>23000</v>
      </c>
      <c r="J99" s="32">
        <f t="shared" si="22"/>
        <v>357654600</v>
      </c>
      <c r="K99" s="83">
        <f t="shared" si="23"/>
        <v>357654600</v>
      </c>
      <c r="L99" s="32"/>
      <c r="N99" s="104"/>
      <c r="O99" s="104"/>
      <c r="P99" s="104"/>
    </row>
    <row r="100" spans="1:16" s="4" customFormat="1" ht="38.25" hidden="1" customHeight="1" outlineLevel="1">
      <c r="A100" s="27" t="str">
        <f t="shared" si="20"/>
        <v>3A.S4.6</v>
      </c>
      <c r="B100" s="28" t="s">
        <v>90</v>
      </c>
      <c r="C100" s="28" t="s">
        <v>548</v>
      </c>
      <c r="D100" s="29" t="s">
        <v>520</v>
      </c>
      <c r="E100" s="31">
        <v>8368.3313270000108</v>
      </c>
      <c r="F100" s="36"/>
      <c r="G100" s="204">
        <f>_xlfn.XLOOKUP(B100, Rate_Master!$A:$A, Rate_Master!$C:$C, "")</f>
        <v>0</v>
      </c>
      <c r="H100" s="204">
        <f>_xlfn.XLOOKUP(B100, Rate_Master!$A:$A, Rate_Master!$D:$D, "")</f>
        <v>0</v>
      </c>
      <c r="I100" s="67">
        <f t="shared" si="21"/>
        <v>0</v>
      </c>
      <c r="J100" s="32">
        <f t="shared" si="22"/>
        <v>0</v>
      </c>
      <c r="K100" s="83">
        <f t="shared" si="23"/>
        <v>0</v>
      </c>
      <c r="L100" s="75" t="s">
        <v>549</v>
      </c>
      <c r="N100" s="104"/>
      <c r="O100" s="104"/>
      <c r="P100" s="104"/>
    </row>
    <row r="101" spans="1:16" s="4" customFormat="1" ht="25.5" hidden="1" customHeight="1" outlineLevel="1">
      <c r="A101" s="27" t="str">
        <f t="shared" si="20"/>
        <v>3A.S4.7</v>
      </c>
      <c r="B101" s="28" t="s">
        <v>91</v>
      </c>
      <c r="C101" s="28" t="s">
        <v>515</v>
      </c>
      <c r="D101" s="29" t="s">
        <v>457</v>
      </c>
      <c r="E101" s="31">
        <v>1</v>
      </c>
      <c r="F101" s="36"/>
      <c r="G101" s="204">
        <f>_xlfn.XLOOKUP(B101, Rate_Master!$A:$A, Rate_Master!$C:$C, "")</f>
        <v>0</v>
      </c>
      <c r="H101" s="204">
        <f>_xlfn.XLOOKUP(B101, Rate_Master!$A:$A, Rate_Master!$D:$D, "")</f>
        <v>0</v>
      </c>
      <c r="I101" s="67">
        <f t="shared" si="21"/>
        <v>0</v>
      </c>
      <c r="J101" s="32">
        <f t="shared" si="22"/>
        <v>0</v>
      </c>
      <c r="K101" s="83">
        <f t="shared" si="23"/>
        <v>0</v>
      </c>
      <c r="L101" s="75" t="s">
        <v>549</v>
      </c>
      <c r="N101" s="104"/>
      <c r="O101" s="104"/>
      <c r="P101" s="104"/>
    </row>
    <row r="102" spans="1:16" s="4" customFormat="1" ht="51" hidden="1" customHeight="1" outlineLevel="1">
      <c r="A102" s="27" t="str">
        <f t="shared" si="20"/>
        <v>3A.S4.8</v>
      </c>
      <c r="B102" s="28" t="s">
        <v>92</v>
      </c>
      <c r="C102" s="28" t="s">
        <v>550</v>
      </c>
      <c r="D102" s="29" t="s">
        <v>520</v>
      </c>
      <c r="E102" s="31">
        <v>8368.3313270000108</v>
      </c>
      <c r="F102" s="36"/>
      <c r="G102" s="204">
        <f>_xlfn.XLOOKUP(B102, Rate_Master!$A:$A, Rate_Master!$C:$C, "")</f>
        <v>16099.999999999998</v>
      </c>
      <c r="H102" s="204">
        <f>_xlfn.XLOOKUP(B102, Rate_Master!$A:$A, Rate_Master!$D:$D, "")</f>
        <v>3449.9999999999995</v>
      </c>
      <c r="I102" s="67">
        <f t="shared" si="21"/>
        <v>19549.999999999996</v>
      </c>
      <c r="J102" s="32">
        <f t="shared" si="22"/>
        <v>163600877.44285017</v>
      </c>
      <c r="K102" s="83">
        <f t="shared" si="23"/>
        <v>0</v>
      </c>
      <c r="L102" s="75" t="s">
        <v>549</v>
      </c>
      <c r="N102" s="104"/>
      <c r="O102" s="104"/>
      <c r="P102" s="104"/>
    </row>
    <row r="103" spans="1:16" s="3" customFormat="1" ht="25.5" customHeight="1" collapsed="1">
      <c r="A103" s="22" t="str">
        <f>$A$9&amp;".F"</f>
        <v>3A.F</v>
      </c>
      <c r="B103" s="23" t="s">
        <v>93</v>
      </c>
      <c r="C103" s="23" t="s">
        <v>515</v>
      </c>
      <c r="D103" s="22"/>
      <c r="E103" s="25"/>
      <c r="F103" s="25"/>
      <c r="G103" s="145">
        <f>_xlfn.XLOOKUP(B103, Rate_Master!$A:$A, Rate_Master!$C:$C, "")</f>
        <v>0</v>
      </c>
      <c r="H103" s="145">
        <f>_xlfn.XLOOKUP(B103, Rate_Master!$A:$A, Rate_Master!$D:$D, "")</f>
        <v>0</v>
      </c>
      <c r="I103" s="26"/>
      <c r="J103" s="26"/>
      <c r="K103" s="121"/>
      <c r="L103" s="26"/>
    </row>
    <row r="104" spans="1:16" s="3" customFormat="1" ht="25.5" customHeight="1">
      <c r="A104" s="22" t="str">
        <f>$A$103&amp;1</f>
        <v>3A.F1</v>
      </c>
      <c r="B104" s="23" t="s">
        <v>94</v>
      </c>
      <c r="C104" s="23" t="s">
        <v>515</v>
      </c>
      <c r="D104" s="22"/>
      <c r="E104" s="25"/>
      <c r="F104" s="25"/>
      <c r="G104" s="145">
        <f>_xlfn.XLOOKUP(B104, Rate_Master!$A:$A, Rate_Master!$C:$C, "")</f>
        <v>0</v>
      </c>
      <c r="H104" s="145">
        <f>_xlfn.XLOOKUP(B104, Rate_Master!$A:$A, Rate_Master!$D:$D, "")</f>
        <v>0</v>
      </c>
      <c r="I104" s="26"/>
      <c r="J104" s="26">
        <f>SUBTOTAL(9,J105:J122)</f>
        <v>11344073271.932114</v>
      </c>
      <c r="K104" s="121">
        <f>SUBTOTAL(9,K105:K122)</f>
        <v>11344073271.932114</v>
      </c>
      <c r="L104" s="26"/>
    </row>
    <row r="105" spans="1:16" s="4" customFormat="1" ht="25.5" hidden="1" customHeight="1" outlineLevel="1">
      <c r="A105" s="27" t="str">
        <f t="shared" ref="A105:A122" si="24">$A$104&amp;"."&amp;ROW()-ROW($A$104)</f>
        <v>3A.F1.1</v>
      </c>
      <c r="B105" s="35" t="s">
        <v>95</v>
      </c>
      <c r="C105" s="34" t="s">
        <v>551</v>
      </c>
      <c r="D105" s="29" t="s">
        <v>519</v>
      </c>
      <c r="E105" s="31">
        <v>1391.3240000000001</v>
      </c>
      <c r="F105" s="31">
        <v>1391.3240000000001</v>
      </c>
      <c r="G105" s="142">
        <f>_xlfn.XLOOKUP(B105, Rate_Master!$A:$A, Rate_Master!$C:$C, "")</f>
        <v>1587600.0077618286</v>
      </c>
      <c r="H105" s="142">
        <f>_xlfn.XLOOKUP(B105, Rate_Master!$A:$A, Rate_Master!$D:$D, "")</f>
        <v>1086539.80861244</v>
      </c>
      <c r="I105" s="32">
        <f>+G105+H105</f>
        <v>2674139.8163742684</v>
      </c>
      <c r="J105" s="32">
        <f t="shared" ref="J105:J122" si="25">I105*E105</f>
        <v>3720594905.8771129</v>
      </c>
      <c r="K105" s="122">
        <f t="shared" ref="K105:K122" si="26">I105*F105</f>
        <v>3720594905.8771129</v>
      </c>
      <c r="L105" s="32"/>
    </row>
    <row r="106" spans="1:16" s="4" customFormat="1" ht="25.5" hidden="1" customHeight="1" outlineLevel="1">
      <c r="A106" s="27" t="str">
        <f t="shared" si="24"/>
        <v>3A.F1.2</v>
      </c>
      <c r="B106" s="35" t="s">
        <v>96</v>
      </c>
      <c r="C106" s="34" t="s">
        <v>551</v>
      </c>
      <c r="D106" s="29" t="s">
        <v>519</v>
      </c>
      <c r="E106" s="31">
        <v>14.707000000000001</v>
      </c>
      <c r="F106" s="31">
        <v>14.707000000000001</v>
      </c>
      <c r="G106" s="142">
        <f>_xlfn.XLOOKUP(B106, Rate_Master!$A:$A, Rate_Master!$C:$C, "")</f>
        <v>1368500</v>
      </c>
      <c r="H106" s="142">
        <f>_xlfn.XLOOKUP(B106, Rate_Master!$A:$A, Rate_Master!$D:$D, "")</f>
        <v>948749.99999999988</v>
      </c>
      <c r="I106" s="32">
        <f>+G106+H106</f>
        <v>2317250</v>
      </c>
      <c r="J106" s="32">
        <f t="shared" si="25"/>
        <v>34079795.75</v>
      </c>
      <c r="K106" s="122">
        <f t="shared" si="26"/>
        <v>34079795.75</v>
      </c>
      <c r="L106" s="32"/>
    </row>
    <row r="107" spans="1:16" s="4" customFormat="1" ht="63.75" hidden="1" customHeight="1" outlineLevel="1">
      <c r="A107" s="27" t="str">
        <f t="shared" si="24"/>
        <v>3A.F1.3</v>
      </c>
      <c r="B107" s="28" t="s">
        <v>172</v>
      </c>
      <c r="C107" s="34" t="s">
        <v>552</v>
      </c>
      <c r="D107" s="29" t="s">
        <v>520</v>
      </c>
      <c r="E107" s="31">
        <v>1253.423</v>
      </c>
      <c r="F107" s="31">
        <v>1253.423</v>
      </c>
      <c r="G107" s="144">
        <f>_xlfn.XLOOKUP(B107, Rate_Master!$A:$A, Rate_Master!$C:$C, "")</f>
        <v>755549.99999999988</v>
      </c>
      <c r="H107" s="144">
        <f>_xlfn.XLOOKUP(B107, Rate_Master!$A:$A, Rate_Master!$D:$D, "")</f>
        <v>294400</v>
      </c>
      <c r="I107" s="32">
        <f>+G107+H107</f>
        <v>1049950</v>
      </c>
      <c r="J107" s="32">
        <f t="shared" si="25"/>
        <v>1316031478.8499999</v>
      </c>
      <c r="K107" s="122">
        <f t="shared" si="26"/>
        <v>1316031478.8499999</v>
      </c>
      <c r="L107" s="32"/>
    </row>
    <row r="108" spans="1:16" s="4" customFormat="1" ht="51" hidden="1" customHeight="1" outlineLevel="1">
      <c r="A108" s="27" t="str">
        <f t="shared" si="24"/>
        <v>3A.F1.4</v>
      </c>
      <c r="B108" s="28" t="s">
        <v>98</v>
      </c>
      <c r="C108" s="34" t="s">
        <v>553</v>
      </c>
      <c r="D108" s="29" t="s">
        <v>520</v>
      </c>
      <c r="E108" s="31">
        <v>0</v>
      </c>
      <c r="F108" s="31">
        <v>0</v>
      </c>
      <c r="G108" s="144">
        <f>_xlfn.XLOOKUP(B108, Rate_Master!$A:$A, Rate_Master!$C:$C, "")</f>
        <v>0</v>
      </c>
      <c r="H108" s="144">
        <f>_xlfn.XLOOKUP(B108, Rate_Master!$A:$A, Rate_Master!$D:$D, "")</f>
        <v>0</v>
      </c>
      <c r="I108" s="32">
        <v>0</v>
      </c>
      <c r="J108" s="32">
        <f t="shared" si="25"/>
        <v>0</v>
      </c>
      <c r="K108" s="122">
        <f t="shared" si="26"/>
        <v>0</v>
      </c>
      <c r="L108" s="32"/>
    </row>
    <row r="109" spans="1:16" s="4" customFormat="1" ht="51" hidden="1" customHeight="1" outlineLevel="1">
      <c r="A109" s="27" t="str">
        <f t="shared" si="24"/>
        <v>3A.F1.5</v>
      </c>
      <c r="B109" s="28" t="s">
        <v>99</v>
      </c>
      <c r="C109" s="34" t="s">
        <v>553</v>
      </c>
      <c r="D109" s="29" t="s">
        <v>520</v>
      </c>
      <c r="E109" s="31">
        <v>469.685</v>
      </c>
      <c r="F109" s="31">
        <v>469.685</v>
      </c>
      <c r="G109" s="144">
        <f>_xlfn.XLOOKUP(B109, Rate_Master!$A:$A, Rate_Master!$C:$C, "")</f>
        <v>931499.99999999988</v>
      </c>
      <c r="H109" s="144">
        <f>_xlfn.XLOOKUP(B109, Rate_Master!$A:$A, Rate_Master!$D:$D, "")</f>
        <v>114999.99999999999</v>
      </c>
      <c r="I109" s="32">
        <f>+G109+H109</f>
        <v>1046499.9999999999</v>
      </c>
      <c r="J109" s="32">
        <f t="shared" si="25"/>
        <v>491525352.49999994</v>
      </c>
      <c r="K109" s="122">
        <f t="shared" si="26"/>
        <v>491525352.49999994</v>
      </c>
      <c r="L109" s="32"/>
    </row>
    <row r="110" spans="1:16" s="4" customFormat="1" ht="25.5" hidden="1" customHeight="1" outlineLevel="1">
      <c r="A110" s="27" t="str">
        <f t="shared" si="24"/>
        <v>3A.F1.6</v>
      </c>
      <c r="B110" s="28" t="s">
        <v>100</v>
      </c>
      <c r="C110" s="34" t="s">
        <v>554</v>
      </c>
      <c r="D110" s="29" t="s">
        <v>520</v>
      </c>
      <c r="E110" s="31">
        <v>819.83699999999999</v>
      </c>
      <c r="F110" s="31">
        <v>819.83699999999999</v>
      </c>
      <c r="G110" s="144">
        <f>_xlfn.XLOOKUP(B110, Rate_Master!$A:$A, Rate_Master!$C:$C, "")</f>
        <v>1586790</v>
      </c>
      <c r="H110" s="144">
        <f>_xlfn.XLOOKUP(B110, Rate_Master!$A:$A, Rate_Master!$D:$D, "")</f>
        <v>372210</v>
      </c>
      <c r="I110" s="32">
        <f>+G110+H110</f>
        <v>1959000</v>
      </c>
      <c r="J110" s="32">
        <f t="shared" si="25"/>
        <v>1606060683</v>
      </c>
      <c r="K110" s="122">
        <f t="shared" si="26"/>
        <v>1606060683</v>
      </c>
      <c r="L110" s="32"/>
    </row>
    <row r="111" spans="1:16" s="4" customFormat="1" ht="51" hidden="1" customHeight="1" outlineLevel="1">
      <c r="A111" s="27" t="str">
        <f t="shared" si="24"/>
        <v>3A.F1.7</v>
      </c>
      <c r="B111" s="28" t="s">
        <v>101</v>
      </c>
      <c r="C111" s="28" t="s">
        <v>515</v>
      </c>
      <c r="D111" s="29" t="s">
        <v>520</v>
      </c>
      <c r="E111" s="31">
        <v>152.63399999999999</v>
      </c>
      <c r="F111" s="31">
        <v>152.63399999999999</v>
      </c>
      <c r="G111" s="144">
        <f>_xlfn.XLOOKUP(B111, Rate_Master!$A:$A, Rate_Master!$C:$C, "")</f>
        <v>1121250</v>
      </c>
      <c r="H111" s="144">
        <f>_xlfn.XLOOKUP(B111, Rate_Master!$A:$A, Rate_Master!$D:$D, "")</f>
        <v>114999.99999999999</v>
      </c>
      <c r="I111" s="32">
        <f>+G111+H111</f>
        <v>1236250</v>
      </c>
      <c r="J111" s="32">
        <f t="shared" si="25"/>
        <v>188693782.49999997</v>
      </c>
      <c r="K111" s="122">
        <f t="shared" si="26"/>
        <v>188693782.49999997</v>
      </c>
      <c r="L111" s="32"/>
    </row>
    <row r="112" spans="1:16" s="4" customFormat="1" ht="51" hidden="1" customHeight="1" outlineLevel="1">
      <c r="A112" s="27" t="str">
        <f t="shared" si="24"/>
        <v>3A.F1.8</v>
      </c>
      <c r="B112" s="28" t="s">
        <v>102</v>
      </c>
      <c r="C112" s="34" t="s">
        <v>555</v>
      </c>
      <c r="D112" s="29" t="s">
        <v>520</v>
      </c>
      <c r="E112" s="31">
        <v>0</v>
      </c>
      <c r="F112" s="31">
        <v>0</v>
      </c>
      <c r="G112" s="144">
        <f>_xlfn.XLOOKUP(B112, Rate_Master!$A:$A, Rate_Master!$C:$C, "")</f>
        <v>0</v>
      </c>
      <c r="H112" s="144">
        <f>_xlfn.XLOOKUP(B112, Rate_Master!$A:$A, Rate_Master!$D:$D, "")</f>
        <v>0</v>
      </c>
      <c r="I112" s="32">
        <v>0</v>
      </c>
      <c r="J112" s="32">
        <f t="shared" si="25"/>
        <v>0</v>
      </c>
      <c r="K112" s="122">
        <f t="shared" si="26"/>
        <v>0</v>
      </c>
      <c r="L112" s="32"/>
    </row>
    <row r="113" spans="1:12" s="4" customFormat="1" ht="51" hidden="1" customHeight="1" outlineLevel="1">
      <c r="A113" s="27" t="str">
        <f t="shared" si="24"/>
        <v>3A.F1.9</v>
      </c>
      <c r="B113" s="28" t="s">
        <v>103</v>
      </c>
      <c r="C113" s="34" t="s">
        <v>555</v>
      </c>
      <c r="D113" s="29" t="s">
        <v>520</v>
      </c>
      <c r="E113" s="31">
        <v>0</v>
      </c>
      <c r="F113" s="31">
        <v>0</v>
      </c>
      <c r="G113" s="144">
        <f>_xlfn.XLOOKUP(B113, Rate_Master!$A:$A, Rate_Master!$C:$C, "")</f>
        <v>0</v>
      </c>
      <c r="H113" s="144">
        <f>_xlfn.XLOOKUP(B113, Rate_Master!$A:$A, Rate_Master!$D:$D, "")</f>
        <v>0</v>
      </c>
      <c r="I113" s="32">
        <v>0</v>
      </c>
      <c r="J113" s="32">
        <f t="shared" si="25"/>
        <v>0</v>
      </c>
      <c r="K113" s="122">
        <f t="shared" si="26"/>
        <v>0</v>
      </c>
      <c r="L113" s="32"/>
    </row>
    <row r="114" spans="1:12" s="4" customFormat="1" ht="25.5" hidden="1" customHeight="1" outlineLevel="1">
      <c r="A114" s="27" t="str">
        <f t="shared" si="24"/>
        <v>3A.F1.10</v>
      </c>
      <c r="B114" s="28" t="s">
        <v>104</v>
      </c>
      <c r="C114" s="28" t="s">
        <v>515</v>
      </c>
      <c r="D114" s="29" t="s">
        <v>520</v>
      </c>
      <c r="E114" s="31">
        <v>6547.38</v>
      </c>
      <c r="F114" s="31">
        <v>6547.38</v>
      </c>
      <c r="G114" s="142">
        <f>_xlfn.XLOOKUP(B114, Rate_Master!$A:$A, Rate_Master!$C:$C, "")</f>
        <v>46000</v>
      </c>
      <c r="H114" s="142">
        <f>_xlfn.XLOOKUP(B114, Rate_Master!$A:$A, Rate_Master!$D:$D, "")</f>
        <v>34500</v>
      </c>
      <c r="I114" s="32">
        <f t="shared" ref="I114:I122" si="27">+G114+H114</f>
        <v>80500</v>
      </c>
      <c r="J114" s="32">
        <f t="shared" si="25"/>
        <v>527064090</v>
      </c>
      <c r="K114" s="122">
        <f t="shared" si="26"/>
        <v>527064090</v>
      </c>
      <c r="L114" s="32"/>
    </row>
    <row r="115" spans="1:12" s="4" customFormat="1" ht="25.5" hidden="1" customHeight="1" outlineLevel="1">
      <c r="A115" s="27" t="str">
        <f t="shared" si="24"/>
        <v>3A.F1.11</v>
      </c>
      <c r="B115" s="28" t="s">
        <v>105</v>
      </c>
      <c r="C115" s="34" t="s">
        <v>556</v>
      </c>
      <c r="D115" s="29" t="s">
        <v>520</v>
      </c>
      <c r="E115" s="31">
        <v>5081.4570000000003</v>
      </c>
      <c r="F115" s="31">
        <v>5081.4570000000003</v>
      </c>
      <c r="G115" s="142">
        <f>_xlfn.XLOOKUP(B115, Rate_Master!$A:$A, Rate_Master!$C:$C, "")</f>
        <v>26565.000000000004</v>
      </c>
      <c r="H115" s="142">
        <f>_xlfn.XLOOKUP(B115, Rate_Master!$A:$A, Rate_Master!$D:$D, "")</f>
        <v>132250</v>
      </c>
      <c r="I115" s="32">
        <f t="shared" si="27"/>
        <v>158815</v>
      </c>
      <c r="J115" s="32">
        <f t="shared" si="25"/>
        <v>807011593.45500004</v>
      </c>
      <c r="K115" s="122">
        <f t="shared" si="26"/>
        <v>807011593.45500004</v>
      </c>
      <c r="L115" s="32"/>
    </row>
    <row r="116" spans="1:12" s="4" customFormat="1" ht="25.5" hidden="1" customHeight="1" outlineLevel="1">
      <c r="A116" s="27" t="str">
        <f t="shared" si="24"/>
        <v>3A.F1.12</v>
      </c>
      <c r="B116" s="28" t="s">
        <v>106</v>
      </c>
      <c r="C116" s="34" t="s">
        <v>556</v>
      </c>
      <c r="D116" s="29" t="s">
        <v>520</v>
      </c>
      <c r="E116" s="31">
        <v>9387.4699999999993</v>
      </c>
      <c r="F116" s="31">
        <v>9387.4699999999993</v>
      </c>
      <c r="G116" s="142">
        <f>_xlfn.XLOOKUP(B116, Rate_Master!$A:$A, Rate_Master!$C:$C, "")</f>
        <v>26565.000000000004</v>
      </c>
      <c r="H116" s="142">
        <f>_xlfn.XLOOKUP(B116, Rate_Master!$A:$A, Rate_Master!$D:$D, "")</f>
        <v>117299.99999999999</v>
      </c>
      <c r="I116" s="32">
        <f t="shared" si="27"/>
        <v>143865</v>
      </c>
      <c r="J116" s="32">
        <f t="shared" si="25"/>
        <v>1350528371.55</v>
      </c>
      <c r="K116" s="122">
        <f t="shared" si="26"/>
        <v>1350528371.55</v>
      </c>
      <c r="L116" s="32"/>
    </row>
    <row r="117" spans="1:12" s="4" customFormat="1" ht="38.25" hidden="1" customHeight="1" outlineLevel="1">
      <c r="A117" s="27" t="str">
        <f t="shared" si="24"/>
        <v>3A.F1.13</v>
      </c>
      <c r="B117" s="28" t="s">
        <v>107</v>
      </c>
      <c r="C117" s="28" t="s">
        <v>515</v>
      </c>
      <c r="D117" s="29" t="s">
        <v>520</v>
      </c>
      <c r="E117" s="31">
        <v>493.798</v>
      </c>
      <c r="F117" s="31">
        <v>493.798</v>
      </c>
      <c r="G117" s="144">
        <f>_xlfn.XLOOKUP(B117, Rate_Master!$A:$A, Rate_Master!$C:$C, "")</f>
        <v>218499.99999999997</v>
      </c>
      <c r="H117" s="144">
        <f>_xlfn.XLOOKUP(B117, Rate_Master!$A:$A, Rate_Master!$D:$D, "")</f>
        <v>138000</v>
      </c>
      <c r="I117" s="32">
        <f t="shared" si="27"/>
        <v>356500</v>
      </c>
      <c r="J117" s="32">
        <f t="shared" si="25"/>
        <v>176038987</v>
      </c>
      <c r="K117" s="122">
        <f t="shared" si="26"/>
        <v>176038987</v>
      </c>
      <c r="L117" s="32"/>
    </row>
    <row r="118" spans="1:12" s="4" customFormat="1" ht="25.5" hidden="1" customHeight="1" outlineLevel="1">
      <c r="A118" s="27" t="str">
        <f t="shared" si="24"/>
        <v>3A.F1.14</v>
      </c>
      <c r="B118" s="34" t="s">
        <v>108</v>
      </c>
      <c r="C118" s="28" t="s">
        <v>515</v>
      </c>
      <c r="D118" s="29" t="s">
        <v>520</v>
      </c>
      <c r="E118" s="31">
        <v>5081.4570000000003</v>
      </c>
      <c r="F118" s="31">
        <v>5081.4570000000003</v>
      </c>
      <c r="G118" s="142">
        <f>_xlfn.XLOOKUP(B118, Rate_Master!$A:$A, Rate_Master!$C:$C, "")</f>
        <v>51749.999999999993</v>
      </c>
      <c r="H118" s="142">
        <f>_xlfn.XLOOKUP(B118, Rate_Master!$A:$A, Rate_Master!$D:$D, "")</f>
        <v>34500</v>
      </c>
      <c r="I118" s="32">
        <f t="shared" si="27"/>
        <v>86250</v>
      </c>
      <c r="J118" s="32">
        <f t="shared" si="25"/>
        <v>438275666.25</v>
      </c>
      <c r="K118" s="122">
        <f t="shared" si="26"/>
        <v>438275666.25</v>
      </c>
      <c r="L118" s="32"/>
    </row>
    <row r="119" spans="1:12" s="4" customFormat="1" ht="25.5" hidden="1" customHeight="1" outlineLevel="1">
      <c r="A119" s="27" t="str">
        <f t="shared" si="24"/>
        <v>3A.F1.15</v>
      </c>
      <c r="B119" s="34" t="s">
        <v>109</v>
      </c>
      <c r="C119" s="28" t="s">
        <v>515</v>
      </c>
      <c r="D119" s="29" t="s">
        <v>520</v>
      </c>
      <c r="E119" s="31">
        <v>8596.7340000000004</v>
      </c>
      <c r="F119" s="31">
        <v>8596.7340000000004</v>
      </c>
      <c r="G119" s="144">
        <f>_xlfn.XLOOKUP(B119, Rate_Master!$A:$A, Rate_Master!$C:$C, "")</f>
        <v>46000</v>
      </c>
      <c r="H119" s="144">
        <f>_xlfn.XLOOKUP(B119, Rate_Master!$A:$A, Rate_Master!$D:$D, "")</f>
        <v>19550</v>
      </c>
      <c r="I119" s="32">
        <f t="shared" si="27"/>
        <v>65550</v>
      </c>
      <c r="J119" s="32">
        <f t="shared" si="25"/>
        <v>563515913.70000005</v>
      </c>
      <c r="K119" s="122">
        <f t="shared" si="26"/>
        <v>563515913.70000005</v>
      </c>
      <c r="L119" s="32"/>
    </row>
    <row r="120" spans="1:12" s="4" customFormat="1" ht="38.25" hidden="1" customHeight="1" outlineLevel="1">
      <c r="A120" s="27" t="str">
        <f t="shared" si="24"/>
        <v>3A.F1.16</v>
      </c>
      <c r="B120" s="34" t="s">
        <v>110</v>
      </c>
      <c r="C120" s="28" t="s">
        <v>515</v>
      </c>
      <c r="D120" s="29" t="s">
        <v>520</v>
      </c>
      <c r="E120" s="31">
        <v>207.876</v>
      </c>
      <c r="F120" s="31">
        <v>207.876</v>
      </c>
      <c r="G120" s="144">
        <f>_xlfn.XLOOKUP(B120, Rate_Master!$A:$A, Rate_Master!$C:$C, "")</f>
        <v>51749.999999999993</v>
      </c>
      <c r="H120" s="144">
        <f>_xlfn.XLOOKUP(B120, Rate_Master!$A:$A, Rate_Master!$D:$D, "")</f>
        <v>17250</v>
      </c>
      <c r="I120" s="32">
        <f t="shared" si="27"/>
        <v>69000</v>
      </c>
      <c r="J120" s="32">
        <f t="shared" si="25"/>
        <v>14343444</v>
      </c>
      <c r="K120" s="122">
        <f t="shared" si="26"/>
        <v>14343444</v>
      </c>
      <c r="L120" s="32"/>
    </row>
    <row r="121" spans="1:12" s="4" customFormat="1" ht="25.5" hidden="1" customHeight="1" outlineLevel="1">
      <c r="A121" s="27" t="str">
        <f t="shared" si="24"/>
        <v>3A.F1.17</v>
      </c>
      <c r="B121" s="34" t="s">
        <v>111</v>
      </c>
      <c r="C121" s="28" t="s">
        <v>515</v>
      </c>
      <c r="D121" s="29" t="s">
        <v>520</v>
      </c>
      <c r="E121" s="31">
        <v>89.061999999999998</v>
      </c>
      <c r="F121" s="31">
        <v>89.061999999999998</v>
      </c>
      <c r="G121" s="144">
        <f>_xlfn.XLOOKUP(B121, Rate_Master!$A:$A, Rate_Master!$C:$C, "")</f>
        <v>172500</v>
      </c>
      <c r="H121" s="144">
        <f>_xlfn.XLOOKUP(B121, Rate_Master!$A:$A, Rate_Master!$D:$D, "")</f>
        <v>28749.999999999996</v>
      </c>
      <c r="I121" s="70">
        <f t="shared" si="27"/>
        <v>201250</v>
      </c>
      <c r="J121" s="32">
        <f t="shared" si="25"/>
        <v>17923727.5</v>
      </c>
      <c r="K121" s="122">
        <f t="shared" si="26"/>
        <v>17923727.5</v>
      </c>
      <c r="L121" s="32"/>
    </row>
    <row r="122" spans="1:12" s="4" customFormat="1" ht="38.25" hidden="1" customHeight="1" outlineLevel="1">
      <c r="A122" s="27" t="str">
        <f t="shared" si="24"/>
        <v>3A.F1.18</v>
      </c>
      <c r="B122" s="34" t="s">
        <v>112</v>
      </c>
      <c r="C122" s="34" t="s">
        <v>557</v>
      </c>
      <c r="D122" s="29" t="s">
        <v>517</v>
      </c>
      <c r="E122" s="31">
        <v>429.6</v>
      </c>
      <c r="F122" s="31">
        <v>429.6</v>
      </c>
      <c r="G122" s="144">
        <f>_xlfn.XLOOKUP(B122, Rate_Master!$A:$A, Rate_Master!$C:$C, "")</f>
        <v>163300</v>
      </c>
      <c r="H122" s="144">
        <f>_xlfn.XLOOKUP(B122, Rate_Master!$A:$A, Rate_Master!$D:$D, "")</f>
        <v>51749.999999999993</v>
      </c>
      <c r="I122" s="32">
        <f t="shared" si="27"/>
        <v>215050</v>
      </c>
      <c r="J122" s="32">
        <f t="shared" si="25"/>
        <v>92385480</v>
      </c>
      <c r="K122" s="122">
        <f t="shared" si="26"/>
        <v>92385480</v>
      </c>
      <c r="L122" s="32"/>
    </row>
    <row r="123" spans="1:12" s="3" customFormat="1" ht="25.5" customHeight="1" collapsed="1">
      <c r="A123" s="22" t="str">
        <f>$A$103&amp;2</f>
        <v>3A.F2</v>
      </c>
      <c r="B123" s="23" t="s">
        <v>113</v>
      </c>
      <c r="C123" s="23" t="s">
        <v>515</v>
      </c>
      <c r="D123" s="22"/>
      <c r="E123" s="25"/>
      <c r="F123" s="25"/>
      <c r="G123" s="145">
        <f>_xlfn.XLOOKUP(B123, Rate_Master!$A:$A, Rate_Master!$C:$C, "")</f>
        <v>0</v>
      </c>
      <c r="H123" s="145">
        <f>_xlfn.XLOOKUP(B123, Rate_Master!$A:$A, Rate_Master!$D:$D, "")</f>
        <v>0</v>
      </c>
      <c r="I123" s="26"/>
      <c r="J123" s="26">
        <f>SUBTOTAL(9,J124:J128)</f>
        <v>1254021938.9999998</v>
      </c>
      <c r="K123" s="121">
        <f>SUBTOTAL(9,K124:K128)</f>
        <v>1254021938.9999998</v>
      </c>
      <c r="L123" s="26"/>
    </row>
    <row r="124" spans="1:12" s="4" customFormat="1" ht="51" hidden="1" customHeight="1" outlineLevel="1">
      <c r="A124" s="27" t="str">
        <f>$A$123&amp;"."&amp;ROW()-ROW($A$123)</f>
        <v>3A.F2.1</v>
      </c>
      <c r="B124" s="34" t="s">
        <v>114</v>
      </c>
      <c r="C124" s="28" t="s">
        <v>515</v>
      </c>
      <c r="D124" s="29" t="s">
        <v>520</v>
      </c>
      <c r="E124" s="31">
        <v>157.19399999999999</v>
      </c>
      <c r="F124" s="31">
        <v>157.19399999999999</v>
      </c>
      <c r="G124" s="142">
        <f>_xlfn.XLOOKUP(B124, Rate_Master!$A:$A, Rate_Master!$C:$C, "")</f>
        <v>206999.99999999997</v>
      </c>
      <c r="H124" s="142">
        <f>_xlfn.XLOOKUP(B124, Rate_Master!$A:$A, Rate_Master!$D:$D, "")</f>
        <v>126499.99999999999</v>
      </c>
      <c r="I124" s="32">
        <f>+G124+H124</f>
        <v>333499.99999999994</v>
      </c>
      <c r="J124" s="32">
        <f>I124*E124</f>
        <v>52424198.999999985</v>
      </c>
      <c r="K124" s="122">
        <f>I124*F124</f>
        <v>52424198.999999985</v>
      </c>
      <c r="L124" s="32"/>
    </row>
    <row r="125" spans="1:12" s="4" customFormat="1" ht="51" hidden="1" customHeight="1" outlineLevel="1">
      <c r="A125" s="27" t="str">
        <f>$A$123&amp;"."&amp;ROW()-ROW($A$123)</f>
        <v>3A.F2.2</v>
      </c>
      <c r="B125" s="28" t="s">
        <v>115</v>
      </c>
      <c r="C125" s="28" t="s">
        <v>515</v>
      </c>
      <c r="D125" s="29" t="s">
        <v>520</v>
      </c>
      <c r="E125" s="31">
        <v>15365.7</v>
      </c>
      <c r="F125" s="31">
        <v>15365.7</v>
      </c>
      <c r="G125" s="142">
        <f>_xlfn.XLOOKUP(B125, Rate_Master!$A:$A, Rate_Master!$C:$C, "")</f>
        <v>28749.999999999996</v>
      </c>
      <c r="H125" s="142">
        <f>_xlfn.XLOOKUP(B125, Rate_Master!$A:$A, Rate_Master!$D:$D, "")</f>
        <v>49449.999999999993</v>
      </c>
      <c r="I125" s="32">
        <f>+G125+H125</f>
        <v>78199.999999999985</v>
      </c>
      <c r="J125" s="32">
        <f>I125*E125</f>
        <v>1201597739.9999998</v>
      </c>
      <c r="K125" s="122">
        <f>I125*F125</f>
        <v>1201597739.9999998</v>
      </c>
      <c r="L125" s="32"/>
    </row>
    <row r="126" spans="1:12" s="4" customFormat="1" ht="51" hidden="1" customHeight="1" outlineLevel="1">
      <c r="A126" s="27" t="str">
        <f>$A$123&amp;"."&amp;ROW()-ROW($A$123)</f>
        <v>3A.F2.3</v>
      </c>
      <c r="B126" s="34" t="s">
        <v>116</v>
      </c>
      <c r="C126" s="28" t="s">
        <v>515</v>
      </c>
      <c r="D126" s="29" t="s">
        <v>520</v>
      </c>
      <c r="E126" s="31">
        <v>0</v>
      </c>
      <c r="F126" s="31">
        <v>0</v>
      </c>
      <c r="G126" s="144">
        <f>_xlfn.XLOOKUP(B126, Rate_Master!$A:$A, Rate_Master!$C:$C, "")</f>
        <v>0</v>
      </c>
      <c r="H126" s="144">
        <f>_xlfn.XLOOKUP(B126, Rate_Master!$A:$A, Rate_Master!$D:$D, "")</f>
        <v>0</v>
      </c>
      <c r="I126" s="32">
        <v>0</v>
      </c>
      <c r="J126" s="32">
        <f>I126*E126</f>
        <v>0</v>
      </c>
      <c r="K126" s="122">
        <f>I126*F126</f>
        <v>0</v>
      </c>
      <c r="L126" s="32"/>
    </row>
    <row r="127" spans="1:12" s="4" customFormat="1" ht="51" hidden="1" customHeight="1" outlineLevel="1">
      <c r="A127" s="27" t="str">
        <f>$A$123&amp;"."&amp;ROW()-ROW($A$123)</f>
        <v>3A.F2.4</v>
      </c>
      <c r="B127" s="34" t="s">
        <v>117</v>
      </c>
      <c r="C127" s="28" t="s">
        <v>515</v>
      </c>
      <c r="D127" s="29" t="s">
        <v>520</v>
      </c>
      <c r="E127" s="31">
        <v>0</v>
      </c>
      <c r="F127" s="31">
        <v>0</v>
      </c>
      <c r="G127" s="144">
        <f>_xlfn.XLOOKUP(B127, Rate_Master!$A:$A, Rate_Master!$C:$C, "")</f>
        <v>0</v>
      </c>
      <c r="H127" s="144">
        <f>_xlfn.XLOOKUP(B127, Rate_Master!$A:$A, Rate_Master!$D:$D, "")</f>
        <v>0</v>
      </c>
      <c r="I127" s="32">
        <v>0</v>
      </c>
      <c r="J127" s="32">
        <f>I127*E127</f>
        <v>0</v>
      </c>
      <c r="K127" s="122">
        <f>I127*F127</f>
        <v>0</v>
      </c>
      <c r="L127" s="32"/>
    </row>
    <row r="128" spans="1:12" s="4" customFormat="1" ht="38.25" hidden="1" customHeight="1" outlineLevel="1">
      <c r="A128" s="27" t="str">
        <f>$A$123&amp;"."&amp;ROW()-ROW($A$123)</f>
        <v>3A.F2.5</v>
      </c>
      <c r="B128" s="34" t="s">
        <v>118</v>
      </c>
      <c r="C128" s="28" t="s">
        <v>515</v>
      </c>
      <c r="D128" s="29" t="s">
        <v>520</v>
      </c>
      <c r="E128" s="31">
        <v>0</v>
      </c>
      <c r="F128" s="31">
        <v>0</v>
      </c>
      <c r="G128" s="144">
        <f>_xlfn.XLOOKUP(B128, Rate_Master!$A:$A, Rate_Master!$C:$C, "")</f>
        <v>0</v>
      </c>
      <c r="H128" s="144">
        <f>_xlfn.XLOOKUP(B128, Rate_Master!$A:$A, Rate_Master!$D:$D, "")</f>
        <v>0</v>
      </c>
      <c r="I128" s="32">
        <v>0</v>
      </c>
      <c r="J128" s="32">
        <f>I128*E128</f>
        <v>0</v>
      </c>
      <c r="K128" s="122">
        <f>I128*F128</f>
        <v>0</v>
      </c>
      <c r="L128" s="32"/>
    </row>
    <row r="129" spans="1:12" s="3" customFormat="1" ht="25.5" customHeight="1" collapsed="1">
      <c r="A129" s="22" t="str">
        <f>$A$103&amp;3</f>
        <v>3A.F3</v>
      </c>
      <c r="B129" s="23" t="s">
        <v>119</v>
      </c>
      <c r="C129" s="23" t="s">
        <v>515</v>
      </c>
      <c r="D129" s="22"/>
      <c r="E129" s="25"/>
      <c r="F129" s="25"/>
      <c r="G129" s="145">
        <f>_xlfn.XLOOKUP(B129, Rate_Master!$A:$A, Rate_Master!$C:$C, "")</f>
        <v>0</v>
      </c>
      <c r="H129" s="145">
        <f>_xlfn.XLOOKUP(B129, Rate_Master!$A:$A, Rate_Master!$D:$D, "")</f>
        <v>0</v>
      </c>
      <c r="I129" s="26"/>
      <c r="J129" s="26">
        <f>SUBTOTAL(9,J130:J137)</f>
        <v>965827454</v>
      </c>
      <c r="K129" s="121">
        <f>SUBTOTAL(9,K130:K137)</f>
        <v>965827454</v>
      </c>
      <c r="L129" s="26"/>
    </row>
    <row r="130" spans="1:12" s="4" customFormat="1" ht="25.5" hidden="1" customHeight="1" outlineLevel="1">
      <c r="A130" s="27" t="str">
        <f t="shared" ref="A130:A137" si="28">$A$129&amp;"."&amp;ROW()-ROW($A$129)</f>
        <v>3A.F3.1</v>
      </c>
      <c r="B130" s="34" t="s">
        <v>120</v>
      </c>
      <c r="C130" s="28" t="s">
        <v>515</v>
      </c>
      <c r="D130" s="29" t="s">
        <v>520</v>
      </c>
      <c r="E130" s="31">
        <v>194.321</v>
      </c>
      <c r="F130" s="31">
        <v>194.321</v>
      </c>
      <c r="G130" s="144">
        <f>_xlfn.XLOOKUP(B130, Rate_Master!$A:$A, Rate_Master!$C:$C, "")</f>
        <v>28749.999999999996</v>
      </c>
      <c r="H130" s="144">
        <f>_xlfn.XLOOKUP(B130, Rate_Master!$A:$A, Rate_Master!$D:$D, "")</f>
        <v>0</v>
      </c>
      <c r="I130" s="32">
        <f>+G130+H130</f>
        <v>28749.999999999996</v>
      </c>
      <c r="J130" s="32">
        <f t="shared" ref="J130:J137" si="29">I130*E130</f>
        <v>5586728.7499999991</v>
      </c>
      <c r="K130" s="122">
        <f t="shared" ref="K130:K137" si="30">I130*F130</f>
        <v>5586728.7499999991</v>
      </c>
      <c r="L130" s="32"/>
    </row>
    <row r="131" spans="1:12" s="4" customFormat="1" ht="25.5" hidden="1" customHeight="1" outlineLevel="1">
      <c r="A131" s="27" t="str">
        <f t="shared" si="28"/>
        <v>3A.F3.2</v>
      </c>
      <c r="B131" s="34" t="s">
        <v>121</v>
      </c>
      <c r="C131" s="28" t="s">
        <v>515</v>
      </c>
      <c r="D131" s="29" t="s">
        <v>520</v>
      </c>
      <c r="E131" s="31">
        <v>6.52</v>
      </c>
      <c r="F131" s="31">
        <v>6.52</v>
      </c>
      <c r="G131" s="144">
        <f>_xlfn.XLOOKUP(B131, Rate_Master!$A:$A, Rate_Master!$C:$C, "")</f>
        <v>0</v>
      </c>
      <c r="H131" s="144">
        <f>_xlfn.XLOOKUP(B131, Rate_Master!$A:$A, Rate_Master!$D:$D, "")</f>
        <v>0</v>
      </c>
      <c r="I131" s="32">
        <f>+G131+H131</f>
        <v>0</v>
      </c>
      <c r="J131" s="32">
        <f t="shared" si="29"/>
        <v>0</v>
      </c>
      <c r="K131" s="122">
        <f t="shared" si="30"/>
        <v>0</v>
      </c>
      <c r="L131" s="32"/>
    </row>
    <row r="132" spans="1:12" s="4" customFormat="1" ht="38.25" hidden="1" customHeight="1" outlineLevel="1">
      <c r="A132" s="27" t="str">
        <f t="shared" si="28"/>
        <v>3A.F3.3</v>
      </c>
      <c r="B132" s="34" t="s">
        <v>122</v>
      </c>
      <c r="C132" s="28" t="s">
        <v>515</v>
      </c>
      <c r="D132" s="29" t="s">
        <v>520</v>
      </c>
      <c r="E132" s="31">
        <v>153.327</v>
      </c>
      <c r="F132" s="31">
        <v>153.327</v>
      </c>
      <c r="G132" s="144">
        <f>_xlfn.XLOOKUP(B132, Rate_Master!$A:$A, Rate_Master!$C:$C, "")</f>
        <v>51749.999999999993</v>
      </c>
      <c r="H132" s="144">
        <f>_xlfn.XLOOKUP(B132, Rate_Master!$A:$A, Rate_Master!$D:$D, "")</f>
        <v>23000</v>
      </c>
      <c r="I132" s="32">
        <f>+G132+H132</f>
        <v>74750</v>
      </c>
      <c r="J132" s="32">
        <f t="shared" si="29"/>
        <v>11461193.25</v>
      </c>
      <c r="K132" s="122">
        <f t="shared" si="30"/>
        <v>11461193.25</v>
      </c>
      <c r="L132" s="32"/>
    </row>
    <row r="133" spans="1:12" s="4" customFormat="1" ht="25.5" hidden="1" customHeight="1" outlineLevel="1">
      <c r="A133" s="27" t="str">
        <f t="shared" si="28"/>
        <v>3A.F3.4</v>
      </c>
      <c r="B133" s="34" t="s">
        <v>123</v>
      </c>
      <c r="C133" s="28" t="s">
        <v>515</v>
      </c>
      <c r="D133" s="29" t="s">
        <v>520</v>
      </c>
      <c r="E133" s="31">
        <v>34.473999999999997</v>
      </c>
      <c r="F133" s="31">
        <v>34.473999999999997</v>
      </c>
      <c r="G133" s="144">
        <f>_xlfn.XLOOKUP(B133, Rate_Master!$A:$A, Rate_Master!$C:$C, "")</f>
        <v>172500</v>
      </c>
      <c r="H133" s="144">
        <f>_xlfn.XLOOKUP(B133, Rate_Master!$A:$A, Rate_Master!$D:$D, "")</f>
        <v>34500</v>
      </c>
      <c r="I133" s="32">
        <f>+G133+H133</f>
        <v>207000</v>
      </c>
      <c r="J133" s="32">
        <f t="shared" si="29"/>
        <v>7136117.9999999991</v>
      </c>
      <c r="K133" s="122">
        <f t="shared" si="30"/>
        <v>7136117.9999999991</v>
      </c>
      <c r="L133" s="32"/>
    </row>
    <row r="134" spans="1:12" s="4" customFormat="1" ht="51" hidden="1" customHeight="1" outlineLevel="1">
      <c r="A134" s="27" t="str">
        <f t="shared" si="28"/>
        <v>3A.F3.5</v>
      </c>
      <c r="B134" s="28" t="s">
        <v>124</v>
      </c>
      <c r="C134" s="34" t="s">
        <v>553</v>
      </c>
      <c r="D134" s="29" t="s">
        <v>520</v>
      </c>
      <c r="E134" s="31">
        <v>758.16700000000003</v>
      </c>
      <c r="F134" s="31">
        <v>758.16700000000003</v>
      </c>
      <c r="G134" s="142">
        <f>_xlfn.XLOOKUP(B134, Rate_Master!$A:$A, Rate_Master!$C:$C, "")</f>
        <v>1069500</v>
      </c>
      <c r="H134" s="142">
        <f>_xlfn.XLOOKUP(B134, Rate_Master!$A:$A, Rate_Master!$D:$D, "")</f>
        <v>172500</v>
      </c>
      <c r="I134" s="32">
        <f>+G134+H134</f>
        <v>1242000</v>
      </c>
      <c r="J134" s="32">
        <f t="shared" si="29"/>
        <v>941643414</v>
      </c>
      <c r="K134" s="122">
        <f t="shared" si="30"/>
        <v>941643414</v>
      </c>
      <c r="L134" s="32"/>
    </row>
    <row r="135" spans="1:12" s="4" customFormat="1" ht="51" hidden="1" customHeight="1" outlineLevel="1">
      <c r="A135" s="27" t="str">
        <f t="shared" si="28"/>
        <v>3A.F3.6</v>
      </c>
      <c r="B135" s="34" t="s">
        <v>125</v>
      </c>
      <c r="C135" s="28" t="s">
        <v>515</v>
      </c>
      <c r="D135" s="29" t="s">
        <v>520</v>
      </c>
      <c r="E135" s="31">
        <v>0</v>
      </c>
      <c r="F135" s="31">
        <v>0</v>
      </c>
      <c r="G135" s="142">
        <f>_xlfn.XLOOKUP(B135, Rate_Master!$A:$A, Rate_Master!$C:$C, "")</f>
        <v>965999.99999999988</v>
      </c>
      <c r="H135" s="142">
        <f>_xlfn.XLOOKUP(B135, Rate_Master!$A:$A, Rate_Master!$D:$D, "")</f>
        <v>138000</v>
      </c>
      <c r="I135" s="32"/>
      <c r="J135" s="32">
        <f t="shared" si="29"/>
        <v>0</v>
      </c>
      <c r="K135" s="122">
        <f t="shared" si="30"/>
        <v>0</v>
      </c>
      <c r="L135" s="32"/>
    </row>
    <row r="136" spans="1:12" s="4" customFormat="1" ht="25.5" hidden="1" customHeight="1" outlineLevel="1">
      <c r="A136" s="27" t="str">
        <f t="shared" si="28"/>
        <v>3A.F3.7</v>
      </c>
      <c r="B136" s="28" t="s">
        <v>126</v>
      </c>
      <c r="C136" s="28" t="s">
        <v>515</v>
      </c>
      <c r="D136" s="29" t="s">
        <v>520</v>
      </c>
      <c r="E136" s="31">
        <v>0</v>
      </c>
      <c r="F136" s="31">
        <v>0</v>
      </c>
      <c r="G136" s="142">
        <f>_xlfn.XLOOKUP(B136, Rate_Master!$A:$A, Rate_Master!$C:$C, "")</f>
        <v>0</v>
      </c>
      <c r="H136" s="142">
        <f>_xlfn.XLOOKUP(B136, Rate_Master!$A:$A, Rate_Master!$D:$D, "")</f>
        <v>0</v>
      </c>
      <c r="I136" s="32">
        <v>0</v>
      </c>
      <c r="J136" s="32">
        <f t="shared" si="29"/>
        <v>0</v>
      </c>
      <c r="K136" s="122">
        <f t="shared" si="30"/>
        <v>0</v>
      </c>
      <c r="L136" s="32"/>
    </row>
    <row r="137" spans="1:12" s="4" customFormat="1" ht="25.5" hidden="1" customHeight="1" outlineLevel="1">
      <c r="A137" s="27" t="str">
        <f t="shared" si="28"/>
        <v>3A.F3.8</v>
      </c>
      <c r="B137" s="34" t="s">
        <v>127</v>
      </c>
      <c r="C137" s="28" t="s">
        <v>515</v>
      </c>
      <c r="D137" s="29" t="s">
        <v>520</v>
      </c>
      <c r="E137" s="31">
        <v>0</v>
      </c>
      <c r="F137" s="31">
        <v>0</v>
      </c>
      <c r="G137" s="142">
        <f>_xlfn.XLOOKUP(B137, Rate_Master!$A:$A, Rate_Master!$C:$C, "")</f>
        <v>0</v>
      </c>
      <c r="H137" s="142">
        <f>_xlfn.XLOOKUP(B137, Rate_Master!$A:$A, Rate_Master!$D:$D, "")</f>
        <v>0</v>
      </c>
      <c r="I137" s="32">
        <v>0</v>
      </c>
      <c r="J137" s="32">
        <f t="shared" si="29"/>
        <v>0</v>
      </c>
      <c r="K137" s="122">
        <f t="shared" si="30"/>
        <v>0</v>
      </c>
      <c r="L137" s="32"/>
    </row>
    <row r="138" spans="1:12" s="3" customFormat="1" ht="25.5" customHeight="1" collapsed="1">
      <c r="A138" s="22" t="str">
        <f>$A$103&amp;4</f>
        <v>3A.F4</v>
      </c>
      <c r="B138" s="23" t="s">
        <v>128</v>
      </c>
      <c r="C138" s="23" t="s">
        <v>515</v>
      </c>
      <c r="D138" s="22"/>
      <c r="E138" s="25"/>
      <c r="F138" s="25"/>
      <c r="G138" s="145">
        <f>_xlfn.XLOOKUP(B138, Rate_Master!$A:$A, Rate_Master!$C:$C, "")</f>
        <v>0</v>
      </c>
      <c r="H138" s="145">
        <f>_xlfn.XLOOKUP(B138, Rate_Master!$A:$A, Rate_Master!$D:$D, "")</f>
        <v>0</v>
      </c>
      <c r="I138" s="26"/>
      <c r="J138" s="26">
        <f>SUBTOTAL(9,J139:J159)</f>
        <v>2602313725</v>
      </c>
      <c r="K138" s="121">
        <f>SUBTOTAL(9,K139:K159)</f>
        <v>2602313725</v>
      </c>
      <c r="L138" s="26"/>
    </row>
    <row r="139" spans="1:12" s="4" customFormat="1" ht="63.75" customHeight="1" outlineLevel="1">
      <c r="A139" s="27" t="str">
        <f t="shared" ref="A139:A159" si="31">$A$138&amp;"."&amp;ROW()-ROW($A$138)</f>
        <v>3A.F4.1</v>
      </c>
      <c r="B139" s="28" t="s">
        <v>164</v>
      </c>
      <c r="C139" s="28" t="s">
        <v>515</v>
      </c>
      <c r="D139" s="29" t="s">
        <v>516</v>
      </c>
      <c r="E139" s="31">
        <v>2</v>
      </c>
      <c r="F139" s="31">
        <v>2</v>
      </c>
      <c r="G139" s="144">
        <f>_xlfn.XLOOKUP(B139, Rate_Master!$A:$A, Rate_Master!$C:$C, "")</f>
        <v>6209999.9999999991</v>
      </c>
      <c r="H139" s="144">
        <f>_xlfn.XLOOKUP(B139, Rate_Master!$A:$A, Rate_Master!$D:$D, "")</f>
        <v>413999.99999999994</v>
      </c>
      <c r="I139" s="32">
        <f t="shared" ref="I139:I159" si="32">+G139+H139</f>
        <v>6623999.9999999991</v>
      </c>
      <c r="J139" s="32">
        <f t="shared" ref="J139:J159" si="33">I139*E139</f>
        <v>13247999.999999998</v>
      </c>
      <c r="K139" s="122">
        <f t="shared" ref="K139:K159" si="34">I139*F139</f>
        <v>13247999.999999998</v>
      </c>
      <c r="L139" s="32"/>
    </row>
    <row r="140" spans="1:12" s="4" customFormat="1" ht="51" customHeight="1" outlineLevel="1">
      <c r="A140" s="27" t="str">
        <f t="shared" si="31"/>
        <v>3A.F4.2</v>
      </c>
      <c r="B140" s="28" t="s">
        <v>173</v>
      </c>
      <c r="C140" s="28" t="s">
        <v>515</v>
      </c>
      <c r="D140" s="29" t="s">
        <v>516</v>
      </c>
      <c r="E140" s="31">
        <v>68</v>
      </c>
      <c r="F140" s="31">
        <v>68</v>
      </c>
      <c r="G140" s="144">
        <f>_xlfn.XLOOKUP(B140, Rate_Master!$A:$A, Rate_Master!$C:$C, "")</f>
        <v>2665125</v>
      </c>
      <c r="H140" s="144">
        <f>_xlfn.XLOOKUP(B140, Rate_Master!$A:$A, Rate_Master!$D:$D, "")</f>
        <v>177675</v>
      </c>
      <c r="I140" s="32">
        <f t="shared" si="32"/>
        <v>2842800</v>
      </c>
      <c r="J140" s="32">
        <f t="shared" si="33"/>
        <v>193310400</v>
      </c>
      <c r="K140" s="122">
        <f t="shared" si="34"/>
        <v>193310400</v>
      </c>
      <c r="L140" s="32"/>
    </row>
    <row r="141" spans="1:12" s="4" customFormat="1" ht="76.5" customHeight="1" outlineLevel="1">
      <c r="A141" s="27" t="str">
        <f t="shared" si="31"/>
        <v>3A.F4.3</v>
      </c>
      <c r="B141" s="28" t="s">
        <v>130</v>
      </c>
      <c r="C141" s="28" t="s">
        <v>515</v>
      </c>
      <c r="D141" s="29" t="s">
        <v>516</v>
      </c>
      <c r="E141" s="31">
        <v>16</v>
      </c>
      <c r="F141" s="31">
        <v>16</v>
      </c>
      <c r="G141" s="144">
        <f>_xlfn.XLOOKUP(B141, Rate_Master!$A:$A, Rate_Master!$C:$C, "")</f>
        <v>3104999.9999999995</v>
      </c>
      <c r="H141" s="144">
        <f>_xlfn.XLOOKUP(B141, Rate_Master!$A:$A, Rate_Master!$D:$D, "")</f>
        <v>206999.99999999997</v>
      </c>
      <c r="I141" s="32">
        <f t="shared" si="32"/>
        <v>3311999.9999999995</v>
      </c>
      <c r="J141" s="32">
        <f t="shared" si="33"/>
        <v>52991999.999999993</v>
      </c>
      <c r="K141" s="122">
        <f t="shared" si="34"/>
        <v>52991999.999999993</v>
      </c>
      <c r="L141" s="32"/>
    </row>
    <row r="142" spans="1:12" s="4" customFormat="1" ht="76.5" customHeight="1" outlineLevel="1">
      <c r="A142" s="27" t="str">
        <f t="shared" si="31"/>
        <v>3A.F4.4</v>
      </c>
      <c r="B142" s="28" t="s">
        <v>131</v>
      </c>
      <c r="C142" s="28" t="s">
        <v>515</v>
      </c>
      <c r="D142" s="29" t="s">
        <v>516</v>
      </c>
      <c r="E142" s="31">
        <v>84</v>
      </c>
      <c r="F142" s="31">
        <v>84</v>
      </c>
      <c r="G142" s="144">
        <f>_xlfn.XLOOKUP(B142, Rate_Master!$A:$A, Rate_Master!$C:$C, "")</f>
        <v>5037000</v>
      </c>
      <c r="H142" s="144">
        <f>_xlfn.XLOOKUP(B142, Rate_Master!$A:$A, Rate_Master!$D:$D, "")</f>
        <v>206999.99999999997</v>
      </c>
      <c r="I142" s="32">
        <f t="shared" si="32"/>
        <v>5244000</v>
      </c>
      <c r="J142" s="32">
        <f t="shared" si="33"/>
        <v>440496000</v>
      </c>
      <c r="K142" s="122">
        <f t="shared" si="34"/>
        <v>440496000</v>
      </c>
      <c r="L142" s="32"/>
    </row>
    <row r="143" spans="1:12" s="4" customFormat="1" ht="63.75" customHeight="1" outlineLevel="1">
      <c r="A143" s="27" t="str">
        <f t="shared" si="31"/>
        <v>3A.F4.5</v>
      </c>
      <c r="B143" s="34" t="s">
        <v>174</v>
      </c>
      <c r="C143" s="28" t="s">
        <v>515</v>
      </c>
      <c r="D143" s="29" t="s">
        <v>516</v>
      </c>
      <c r="E143" s="31">
        <v>6</v>
      </c>
      <c r="F143" s="31">
        <v>6</v>
      </c>
      <c r="G143" s="144">
        <f>_xlfn.XLOOKUP(B143, Rate_Master!$A:$A, Rate_Master!$C:$C, "")</f>
        <v>3095799.9999999995</v>
      </c>
      <c r="H143" s="144">
        <f>_xlfn.XLOOKUP(B143, Rate_Master!$A:$A, Rate_Master!$D:$D, "")</f>
        <v>1204050</v>
      </c>
      <c r="I143" s="32">
        <f t="shared" si="32"/>
        <v>4299850</v>
      </c>
      <c r="J143" s="32">
        <f t="shared" si="33"/>
        <v>25799100</v>
      </c>
      <c r="K143" s="122">
        <f t="shared" si="34"/>
        <v>25799100</v>
      </c>
      <c r="L143" s="32"/>
    </row>
    <row r="144" spans="1:12" s="4" customFormat="1" ht="38.25" customHeight="1" outlineLevel="1">
      <c r="A144" s="27" t="str">
        <f t="shared" si="31"/>
        <v>3A.F4.6</v>
      </c>
      <c r="B144" s="28" t="s">
        <v>175</v>
      </c>
      <c r="C144" s="28" t="s">
        <v>558</v>
      </c>
      <c r="D144" s="29" t="s">
        <v>516</v>
      </c>
      <c r="E144" s="31">
        <v>6</v>
      </c>
      <c r="F144" s="31">
        <v>6</v>
      </c>
      <c r="G144" s="144">
        <f>_xlfn.XLOOKUP(B144, Rate_Master!$A:$A, Rate_Master!$C:$C, "")</f>
        <v>5544150</v>
      </c>
      <c r="H144" s="144">
        <f>_xlfn.XLOOKUP(B144, Rate_Master!$A:$A, Rate_Master!$D:$D, "")</f>
        <v>2156250</v>
      </c>
      <c r="I144" s="32">
        <f t="shared" si="32"/>
        <v>7700400</v>
      </c>
      <c r="J144" s="32">
        <f t="shared" si="33"/>
        <v>46202400</v>
      </c>
      <c r="K144" s="122">
        <f t="shared" si="34"/>
        <v>46202400</v>
      </c>
      <c r="L144" s="32"/>
    </row>
    <row r="145" spans="1:12" s="4" customFormat="1" ht="38.25" customHeight="1" outlineLevel="1">
      <c r="A145" s="27" t="str">
        <f t="shared" si="31"/>
        <v>3A.F4.7</v>
      </c>
      <c r="B145" s="28" t="s">
        <v>176</v>
      </c>
      <c r="C145" s="28" t="s">
        <v>558</v>
      </c>
      <c r="D145" s="29" t="s">
        <v>516</v>
      </c>
      <c r="E145" s="31">
        <v>11</v>
      </c>
      <c r="F145" s="31">
        <v>11</v>
      </c>
      <c r="G145" s="144">
        <f>_xlfn.XLOOKUP(B145, Rate_Master!$A:$A, Rate_Master!$C:$C, "")</f>
        <v>8315649.9999999991</v>
      </c>
      <c r="H145" s="144">
        <f>_xlfn.XLOOKUP(B145, Rate_Master!$A:$A, Rate_Master!$D:$D, "")</f>
        <v>3233799.9999999995</v>
      </c>
      <c r="I145" s="32">
        <f t="shared" si="32"/>
        <v>11549449.999999998</v>
      </c>
      <c r="J145" s="32">
        <f t="shared" si="33"/>
        <v>127043949.99999999</v>
      </c>
      <c r="K145" s="122">
        <f t="shared" si="34"/>
        <v>127043949.99999999</v>
      </c>
      <c r="L145" s="32"/>
    </row>
    <row r="146" spans="1:12" s="4" customFormat="1" ht="76.5" customHeight="1" outlineLevel="1">
      <c r="A146" s="27" t="str">
        <f t="shared" si="31"/>
        <v>3A.F4.8</v>
      </c>
      <c r="B146" s="28" t="s">
        <v>177</v>
      </c>
      <c r="C146" s="28" t="s">
        <v>558</v>
      </c>
      <c r="D146" s="29" t="s">
        <v>516</v>
      </c>
      <c r="E146" s="31">
        <v>6</v>
      </c>
      <c r="F146" s="31">
        <v>6</v>
      </c>
      <c r="G146" s="144">
        <f>_xlfn.XLOOKUP(B146, Rate_Master!$A:$A, Rate_Master!$C:$C, "")</f>
        <v>5292300</v>
      </c>
      <c r="H146" s="144">
        <f>_xlfn.XLOOKUP(B146, Rate_Master!$A:$A, Rate_Master!$D:$D, "")</f>
        <v>2058499.9999999998</v>
      </c>
      <c r="I146" s="32">
        <f t="shared" si="32"/>
        <v>7350800</v>
      </c>
      <c r="J146" s="32">
        <f t="shared" si="33"/>
        <v>44104800</v>
      </c>
      <c r="K146" s="122">
        <f t="shared" si="34"/>
        <v>44104800</v>
      </c>
      <c r="L146" s="32"/>
    </row>
    <row r="147" spans="1:12" s="4" customFormat="1" ht="76.5" customHeight="1" outlineLevel="1">
      <c r="A147" s="27" t="str">
        <f t="shared" si="31"/>
        <v>3A.F4.9</v>
      </c>
      <c r="B147" s="56" t="s">
        <v>178</v>
      </c>
      <c r="C147" s="28" t="s">
        <v>558</v>
      </c>
      <c r="D147" s="29" t="s">
        <v>516</v>
      </c>
      <c r="E147" s="31">
        <v>10</v>
      </c>
      <c r="F147" s="31">
        <v>10</v>
      </c>
      <c r="G147" s="144">
        <f>_xlfn.XLOOKUP(B147, Rate_Master!$A:$A, Rate_Master!$C:$C, "")</f>
        <v>23760150</v>
      </c>
      <c r="H147" s="144">
        <f>_xlfn.XLOOKUP(B147, Rate_Master!$A:$A, Rate_Master!$D:$D, "")</f>
        <v>9240250</v>
      </c>
      <c r="I147" s="32">
        <f t="shared" si="32"/>
        <v>33000400</v>
      </c>
      <c r="J147" s="32">
        <f t="shared" si="33"/>
        <v>330004000</v>
      </c>
      <c r="K147" s="122">
        <f t="shared" si="34"/>
        <v>330004000</v>
      </c>
      <c r="L147" s="71" t="s">
        <v>559</v>
      </c>
    </row>
    <row r="148" spans="1:12" s="4" customFormat="1" ht="76.5" customHeight="1" outlineLevel="1">
      <c r="A148" s="27" t="str">
        <f t="shared" si="31"/>
        <v>3A.F4.10</v>
      </c>
      <c r="B148" s="56" t="s">
        <v>179</v>
      </c>
      <c r="C148" s="28" t="s">
        <v>558</v>
      </c>
      <c r="D148" s="29" t="s">
        <v>516</v>
      </c>
      <c r="E148" s="31">
        <v>2</v>
      </c>
      <c r="F148" s="31">
        <v>2</v>
      </c>
      <c r="G148" s="144">
        <f>_xlfn.XLOOKUP(B148, Rate_Master!$A:$A, Rate_Master!$C:$C, "")</f>
        <v>29699899.999999996</v>
      </c>
      <c r="H148" s="144">
        <f>_xlfn.XLOOKUP(B148, Rate_Master!$A:$A, Rate_Master!$D:$D, "")</f>
        <v>11549450</v>
      </c>
      <c r="I148" s="32">
        <f t="shared" si="32"/>
        <v>41249350</v>
      </c>
      <c r="J148" s="32">
        <f t="shared" si="33"/>
        <v>82498700</v>
      </c>
      <c r="K148" s="122">
        <f t="shared" si="34"/>
        <v>82498700</v>
      </c>
      <c r="L148" s="71" t="s">
        <v>559</v>
      </c>
    </row>
    <row r="149" spans="1:12" s="4" customFormat="1" ht="76.5" customHeight="1" outlineLevel="1">
      <c r="A149" s="27" t="str">
        <f t="shared" si="31"/>
        <v>3A.F4.11</v>
      </c>
      <c r="B149" s="56" t="s">
        <v>135</v>
      </c>
      <c r="C149" s="28" t="s">
        <v>558</v>
      </c>
      <c r="D149" s="29" t="s">
        <v>516</v>
      </c>
      <c r="E149" s="31">
        <v>8</v>
      </c>
      <c r="F149" s="31">
        <v>8</v>
      </c>
      <c r="G149" s="144">
        <f>_xlfn.XLOOKUP(B149, Rate_Master!$A:$A, Rate_Master!$C:$C, "")</f>
        <v>33119999.999999996</v>
      </c>
      <c r="H149" s="144">
        <f>_xlfn.XLOOKUP(B149, Rate_Master!$A:$A, Rate_Master!$D:$D, "")</f>
        <v>345000</v>
      </c>
      <c r="I149" s="32">
        <f t="shared" si="32"/>
        <v>33464999.999999996</v>
      </c>
      <c r="J149" s="32">
        <f t="shared" si="33"/>
        <v>267719999.99999997</v>
      </c>
      <c r="K149" s="122">
        <f t="shared" si="34"/>
        <v>267719999.99999997</v>
      </c>
      <c r="L149" s="71" t="s">
        <v>559</v>
      </c>
    </row>
    <row r="150" spans="1:12" s="4" customFormat="1" ht="38.25" customHeight="1" outlineLevel="1">
      <c r="A150" s="27" t="str">
        <f t="shared" si="31"/>
        <v>3A.F4.12</v>
      </c>
      <c r="B150" s="28" t="s">
        <v>180</v>
      </c>
      <c r="C150" s="28" t="s">
        <v>515</v>
      </c>
      <c r="D150" s="29" t="s">
        <v>516</v>
      </c>
      <c r="E150" s="31">
        <v>1</v>
      </c>
      <c r="F150" s="31">
        <v>1</v>
      </c>
      <c r="G150" s="144">
        <f>_xlfn.XLOOKUP(B150, Rate_Master!$A:$A, Rate_Master!$C:$C, "")</f>
        <v>2613950</v>
      </c>
      <c r="H150" s="144">
        <f>_xlfn.XLOOKUP(B150, Rate_Master!$A:$A, Rate_Master!$D:$D, "")</f>
        <v>1016599.9999999999</v>
      </c>
      <c r="I150" s="32">
        <f t="shared" si="32"/>
        <v>3630550</v>
      </c>
      <c r="J150" s="32">
        <f t="shared" si="33"/>
        <v>3630550</v>
      </c>
      <c r="K150" s="122">
        <f t="shared" si="34"/>
        <v>3630550</v>
      </c>
      <c r="L150" s="71" t="s">
        <v>559</v>
      </c>
    </row>
    <row r="151" spans="1:12" s="4" customFormat="1" ht="38.25" customHeight="1" outlineLevel="1">
      <c r="A151" s="27" t="str">
        <f t="shared" si="31"/>
        <v>3A.F4.13</v>
      </c>
      <c r="B151" s="28" t="s">
        <v>166</v>
      </c>
      <c r="C151" s="28" t="s">
        <v>515</v>
      </c>
      <c r="D151" s="29" t="s">
        <v>516</v>
      </c>
      <c r="E151" s="31">
        <v>1</v>
      </c>
      <c r="F151" s="31">
        <v>1</v>
      </c>
      <c r="G151" s="144">
        <f>_xlfn.XLOOKUP(B151, Rate_Master!$A:$A, Rate_Master!$C:$C, "")</f>
        <v>5692500</v>
      </c>
      <c r="H151" s="144">
        <f>_xlfn.XLOOKUP(B151, Rate_Master!$A:$A, Rate_Master!$D:$D, "")</f>
        <v>569250</v>
      </c>
      <c r="I151" s="32">
        <f t="shared" si="32"/>
        <v>6261750</v>
      </c>
      <c r="J151" s="32">
        <f t="shared" si="33"/>
        <v>6261750</v>
      </c>
      <c r="K151" s="122">
        <f t="shared" si="34"/>
        <v>6261750</v>
      </c>
      <c r="L151" s="71" t="s">
        <v>559</v>
      </c>
    </row>
    <row r="152" spans="1:12" s="4" customFormat="1" ht="76.5" customHeight="1" outlineLevel="1">
      <c r="A152" s="27" t="str">
        <f t="shared" si="31"/>
        <v>3A.F4.14</v>
      </c>
      <c r="B152" s="28" t="s">
        <v>181</v>
      </c>
      <c r="C152" s="28" t="s">
        <v>515</v>
      </c>
      <c r="D152" s="29" t="s">
        <v>516</v>
      </c>
      <c r="E152" s="31">
        <v>4</v>
      </c>
      <c r="F152" s="31">
        <v>4</v>
      </c>
      <c r="G152" s="144">
        <f>_xlfn.XLOOKUP(B152, Rate_Master!$A:$A, Rate_Master!$C:$C, "")</f>
        <v>6781549.9999999991</v>
      </c>
      <c r="H152" s="144">
        <f>_xlfn.XLOOKUP(B152, Rate_Master!$A:$A, Rate_Master!$D:$D, "")</f>
        <v>2636950</v>
      </c>
      <c r="I152" s="32">
        <f t="shared" si="32"/>
        <v>9418500</v>
      </c>
      <c r="J152" s="32">
        <f t="shared" si="33"/>
        <v>37674000</v>
      </c>
      <c r="K152" s="122">
        <f t="shared" si="34"/>
        <v>37674000</v>
      </c>
      <c r="L152" s="32"/>
    </row>
    <row r="153" spans="1:12" s="4" customFormat="1" ht="76.5" customHeight="1" outlineLevel="1">
      <c r="A153" s="27" t="str">
        <f t="shared" si="31"/>
        <v>3A.F4.15</v>
      </c>
      <c r="B153" s="28" t="s">
        <v>182</v>
      </c>
      <c r="C153" s="28" t="s">
        <v>515</v>
      </c>
      <c r="D153" s="29" t="s">
        <v>516</v>
      </c>
      <c r="E153" s="31">
        <v>4</v>
      </c>
      <c r="F153" s="31">
        <v>4</v>
      </c>
      <c r="G153" s="144">
        <f>_xlfn.XLOOKUP(B153, Rate_Master!$A:$A, Rate_Master!$C:$C, "")</f>
        <v>6458399.9999999991</v>
      </c>
      <c r="H153" s="144">
        <f>_xlfn.XLOOKUP(B153, Rate_Master!$A:$A, Rate_Master!$D:$D, "")</f>
        <v>2511600</v>
      </c>
      <c r="I153" s="32">
        <f t="shared" si="32"/>
        <v>8970000</v>
      </c>
      <c r="J153" s="32">
        <f t="shared" si="33"/>
        <v>35880000</v>
      </c>
      <c r="K153" s="122">
        <f t="shared" si="34"/>
        <v>35880000</v>
      </c>
      <c r="L153" s="32"/>
    </row>
    <row r="154" spans="1:12" s="4" customFormat="1" ht="51" customHeight="1" outlineLevel="1">
      <c r="A154" s="27" t="str">
        <f t="shared" si="31"/>
        <v>3A.F4.16</v>
      </c>
      <c r="B154" s="28" t="s">
        <v>139</v>
      </c>
      <c r="C154" s="28" t="s">
        <v>515</v>
      </c>
      <c r="D154" s="29" t="s">
        <v>516</v>
      </c>
      <c r="E154" s="31">
        <v>7</v>
      </c>
      <c r="F154" s="31">
        <v>7</v>
      </c>
      <c r="G154" s="144">
        <f>_xlfn.XLOOKUP(B154, Rate_Master!$A:$A, Rate_Master!$C:$C, "")</f>
        <v>19923750</v>
      </c>
      <c r="H154" s="144">
        <f>_xlfn.XLOOKUP(B154, Rate_Master!$A:$A, Rate_Master!$D:$D, "")</f>
        <v>2716875</v>
      </c>
      <c r="I154" s="32">
        <f t="shared" si="32"/>
        <v>22640625</v>
      </c>
      <c r="J154" s="32">
        <f t="shared" si="33"/>
        <v>158484375</v>
      </c>
      <c r="K154" s="122">
        <f t="shared" si="34"/>
        <v>158484375</v>
      </c>
      <c r="L154" s="32"/>
    </row>
    <row r="155" spans="1:12" s="4" customFormat="1" ht="76.5" customHeight="1" outlineLevel="1">
      <c r="A155" s="27" t="str">
        <f t="shared" si="31"/>
        <v>3A.F4.17</v>
      </c>
      <c r="B155" s="28" t="s">
        <v>183</v>
      </c>
      <c r="C155" s="28" t="s">
        <v>515</v>
      </c>
      <c r="D155" s="29" t="s">
        <v>516</v>
      </c>
      <c r="E155" s="31">
        <v>2</v>
      </c>
      <c r="F155" s="31">
        <v>2</v>
      </c>
      <c r="G155" s="144">
        <f>_xlfn.XLOOKUP(B155, Rate_Master!$A:$A, Rate_Master!$C:$C, "")</f>
        <v>6458399.9999999991</v>
      </c>
      <c r="H155" s="144">
        <f>_xlfn.XLOOKUP(B155, Rate_Master!$A:$A, Rate_Master!$D:$D, "")</f>
        <v>2511600</v>
      </c>
      <c r="I155" s="32">
        <f t="shared" si="32"/>
        <v>8970000</v>
      </c>
      <c r="J155" s="32">
        <f t="shared" si="33"/>
        <v>17940000</v>
      </c>
      <c r="K155" s="122">
        <f t="shared" si="34"/>
        <v>17940000</v>
      </c>
      <c r="L155" s="32"/>
    </row>
    <row r="156" spans="1:12" s="4" customFormat="1" ht="51" customHeight="1" outlineLevel="1">
      <c r="A156" s="27" t="str">
        <f t="shared" si="31"/>
        <v>3A.F4.18</v>
      </c>
      <c r="B156" s="28" t="s">
        <v>184</v>
      </c>
      <c r="C156" s="28" t="s">
        <v>515</v>
      </c>
      <c r="D156" s="29" t="s">
        <v>516</v>
      </c>
      <c r="E156" s="31">
        <v>1</v>
      </c>
      <c r="F156" s="31">
        <v>1</v>
      </c>
      <c r="G156" s="144">
        <f>_xlfn.XLOOKUP(B156, Rate_Master!$A:$A, Rate_Master!$C:$C, "")</f>
        <v>14741849.999999998</v>
      </c>
      <c r="H156" s="144">
        <f>_xlfn.XLOOKUP(B156, Rate_Master!$A:$A, Rate_Master!$D:$D, "")</f>
        <v>5732750</v>
      </c>
      <c r="I156" s="32">
        <f t="shared" si="32"/>
        <v>20474600</v>
      </c>
      <c r="J156" s="32">
        <f t="shared" si="33"/>
        <v>20474600</v>
      </c>
      <c r="K156" s="122">
        <f t="shared" si="34"/>
        <v>20474600</v>
      </c>
      <c r="L156" s="32"/>
    </row>
    <row r="157" spans="1:12" s="4" customFormat="1" ht="51" customHeight="1" outlineLevel="1">
      <c r="A157" s="27" t="str">
        <f t="shared" si="31"/>
        <v>3A.F4.19</v>
      </c>
      <c r="B157" s="28" t="s">
        <v>140</v>
      </c>
      <c r="C157" s="28" t="s">
        <v>515</v>
      </c>
      <c r="D157" s="29" t="s">
        <v>516</v>
      </c>
      <c r="E157" s="31">
        <v>12</v>
      </c>
      <c r="F157" s="31">
        <v>12</v>
      </c>
      <c r="G157" s="144">
        <f>_xlfn.XLOOKUP(B157, Rate_Master!$A:$A, Rate_Master!$C:$C, "")</f>
        <v>27168749.999999996</v>
      </c>
      <c r="H157" s="144">
        <f>_xlfn.XLOOKUP(B157, Rate_Master!$A:$A, Rate_Master!$D:$D, "")</f>
        <v>2716875</v>
      </c>
      <c r="I157" s="32">
        <f t="shared" si="32"/>
        <v>29885624.999999996</v>
      </c>
      <c r="J157" s="32">
        <f t="shared" si="33"/>
        <v>358627499.99999994</v>
      </c>
      <c r="K157" s="122">
        <f t="shared" si="34"/>
        <v>358627499.99999994</v>
      </c>
      <c r="L157" s="32"/>
    </row>
    <row r="158" spans="1:12" s="4" customFormat="1" ht="63.75" customHeight="1" outlineLevel="1">
      <c r="A158" s="27" t="str">
        <f t="shared" si="31"/>
        <v>3A.F4.20</v>
      </c>
      <c r="B158" s="28" t="s">
        <v>185</v>
      </c>
      <c r="C158" s="28" t="s">
        <v>515</v>
      </c>
      <c r="D158" s="29" t="s">
        <v>516</v>
      </c>
      <c r="E158" s="31">
        <v>2</v>
      </c>
      <c r="F158" s="31">
        <v>2</v>
      </c>
      <c r="G158" s="144">
        <f>_xlfn.XLOOKUP(B158, Rate_Master!$A:$A, Rate_Master!$C:$C, "")</f>
        <v>50346999.999999993</v>
      </c>
      <c r="H158" s="144">
        <f>_xlfn.XLOOKUP(B158, Rate_Master!$A:$A, Rate_Master!$D:$D, "")</f>
        <v>19579900</v>
      </c>
      <c r="I158" s="32">
        <f t="shared" si="32"/>
        <v>69926900</v>
      </c>
      <c r="J158" s="32">
        <f t="shared" si="33"/>
        <v>139853800</v>
      </c>
      <c r="K158" s="122">
        <f t="shared" si="34"/>
        <v>139853800</v>
      </c>
      <c r="L158" s="32"/>
    </row>
    <row r="159" spans="1:12" s="4" customFormat="1" ht="63.75" customHeight="1" outlineLevel="1">
      <c r="A159" s="27" t="str">
        <f t="shared" si="31"/>
        <v>3A.F4.21</v>
      </c>
      <c r="B159" s="28" t="s">
        <v>186</v>
      </c>
      <c r="C159" s="28" t="s">
        <v>515</v>
      </c>
      <c r="D159" s="29" t="s">
        <v>516</v>
      </c>
      <c r="E159" s="31">
        <v>4</v>
      </c>
      <c r="F159" s="31">
        <v>4</v>
      </c>
      <c r="G159" s="144">
        <f>_xlfn.XLOOKUP(B159, Rate_Master!$A:$A, Rate_Master!$C:$C, "")</f>
        <v>36012250</v>
      </c>
      <c r="H159" s="144">
        <f>_xlfn.XLOOKUP(B159, Rate_Master!$A:$A, Rate_Master!$D:$D, "")</f>
        <v>14004699.999999998</v>
      </c>
      <c r="I159" s="32">
        <f t="shared" si="32"/>
        <v>50016950</v>
      </c>
      <c r="J159" s="32">
        <f t="shared" si="33"/>
        <v>200067800</v>
      </c>
      <c r="K159" s="122">
        <f t="shared" si="34"/>
        <v>200067800</v>
      </c>
      <c r="L159" s="32"/>
    </row>
    <row r="160" spans="1:12" s="3" customFormat="1" ht="25.5" customHeight="1">
      <c r="A160" s="22" t="str">
        <f>$A$103&amp;5</f>
        <v>3A.F5</v>
      </c>
      <c r="B160" s="23" t="s">
        <v>143</v>
      </c>
      <c r="C160" s="23" t="s">
        <v>515</v>
      </c>
      <c r="D160" s="22"/>
      <c r="E160" s="25"/>
      <c r="F160" s="25"/>
      <c r="G160" s="25">
        <f>_xlfn.XLOOKUP(B160, Rate_Master!$A:$A, Rate_Master!$C:$C, "")</f>
        <v>0</v>
      </c>
      <c r="H160" s="25">
        <f>_xlfn.XLOOKUP(B160, Rate_Master!$A:$A, Rate_Master!$D:$D, "")</f>
        <v>0</v>
      </c>
      <c r="I160" s="26"/>
      <c r="J160" s="26">
        <f>SUBTOTAL(9,J161:J163)</f>
        <v>227250465</v>
      </c>
      <c r="K160" s="121">
        <f>SUBTOTAL(9,K161:K163)</f>
        <v>227250465</v>
      </c>
      <c r="L160" s="26"/>
    </row>
    <row r="161" spans="1:12" s="4" customFormat="1" ht="51" hidden="1" customHeight="1" outlineLevel="1">
      <c r="A161" s="27" t="str">
        <f>$A$160&amp;"."&amp;ROW()-ROW($A$160)</f>
        <v>3A.F5.1</v>
      </c>
      <c r="B161" s="34" t="s">
        <v>144</v>
      </c>
      <c r="C161" s="28" t="s">
        <v>515</v>
      </c>
      <c r="D161" s="29" t="s">
        <v>517</v>
      </c>
      <c r="E161" s="31">
        <v>884.32</v>
      </c>
      <c r="F161" s="31">
        <v>884.32</v>
      </c>
      <c r="G161" s="31">
        <f>_xlfn.XLOOKUP(B161, Rate_Master!$A:$A, Rate_Master!$C:$C, "")</f>
        <v>161000</v>
      </c>
      <c r="H161" s="31">
        <f>_xlfn.XLOOKUP(B161, Rate_Master!$A:$A, Rate_Master!$D:$D, "")</f>
        <v>34500</v>
      </c>
      <c r="I161" s="32">
        <f>+G161+H161</f>
        <v>195500</v>
      </c>
      <c r="J161" s="32">
        <f>I161*E161</f>
        <v>172884560</v>
      </c>
      <c r="K161" s="122">
        <f>I161*F161</f>
        <v>172884560</v>
      </c>
      <c r="L161" s="32"/>
    </row>
    <row r="162" spans="1:12" s="4" customFormat="1" ht="38.25" hidden="1" customHeight="1" outlineLevel="1">
      <c r="A162" s="27" t="str">
        <f>$A$160&amp;"."&amp;ROW()-ROW($A$160)</f>
        <v>3A.F5.2</v>
      </c>
      <c r="B162" s="34" t="s">
        <v>145</v>
      </c>
      <c r="C162" s="28" t="s">
        <v>515</v>
      </c>
      <c r="D162" s="29" t="s">
        <v>517</v>
      </c>
      <c r="E162" s="31">
        <v>42.976999999999997</v>
      </c>
      <c r="F162" s="31">
        <v>42.976999999999997</v>
      </c>
      <c r="G162" s="31">
        <f>_xlfn.XLOOKUP(B162, Rate_Master!$A:$A, Rate_Master!$C:$C, "")</f>
        <v>517499.99999999994</v>
      </c>
      <c r="H162" s="31">
        <f>_xlfn.XLOOKUP(B162, Rate_Master!$A:$A, Rate_Master!$D:$D, "")</f>
        <v>57499.999999999993</v>
      </c>
      <c r="I162" s="32">
        <f>+G162+H162</f>
        <v>574999.99999999988</v>
      </c>
      <c r="J162" s="32">
        <f>I162*E162</f>
        <v>24711774.999999993</v>
      </c>
      <c r="K162" s="122">
        <f>I162*F162</f>
        <v>24711774.999999993</v>
      </c>
      <c r="L162" s="32"/>
    </row>
    <row r="163" spans="1:12" s="4" customFormat="1" ht="38.25" hidden="1" customHeight="1" outlineLevel="1">
      <c r="A163" s="27" t="str">
        <f>$A$160&amp;"."&amp;ROW()-ROW($A$160)</f>
        <v>3A.F5.3</v>
      </c>
      <c r="B163" s="34" t="s">
        <v>146</v>
      </c>
      <c r="C163" s="28" t="s">
        <v>515</v>
      </c>
      <c r="D163" s="29" t="s">
        <v>517</v>
      </c>
      <c r="E163" s="31">
        <v>42.976999999999997</v>
      </c>
      <c r="F163" s="31">
        <v>42.976999999999997</v>
      </c>
      <c r="G163" s="31">
        <f>_xlfn.XLOOKUP(B163, Rate_Master!$A:$A, Rate_Master!$C:$C, "")</f>
        <v>632500</v>
      </c>
      <c r="H163" s="31">
        <f>_xlfn.XLOOKUP(B163, Rate_Master!$A:$A, Rate_Master!$D:$D, "")</f>
        <v>57499.999999999993</v>
      </c>
      <c r="I163" s="32">
        <f>+G163+H163</f>
        <v>690000</v>
      </c>
      <c r="J163" s="32">
        <f>I163*E163</f>
        <v>29654129.999999996</v>
      </c>
      <c r="K163" s="122">
        <f>I163*F163</f>
        <v>29654129.999999996</v>
      </c>
      <c r="L163" s="32"/>
    </row>
    <row r="164" spans="1:12" s="3" customFormat="1" ht="25.5" customHeight="1" collapsed="1">
      <c r="A164" s="22" t="str">
        <f>$A$103&amp;6</f>
        <v>3A.F6</v>
      </c>
      <c r="B164" s="23" t="s">
        <v>147</v>
      </c>
      <c r="C164" s="23" t="s">
        <v>515</v>
      </c>
      <c r="D164" s="22"/>
      <c r="E164" s="25"/>
      <c r="F164" s="25"/>
      <c r="G164" s="25">
        <f>_xlfn.XLOOKUP(B164, Rate_Master!$A:$A, Rate_Master!$C:$C, "")</f>
        <v>0</v>
      </c>
      <c r="H164" s="25">
        <f>_xlfn.XLOOKUP(B164, Rate_Master!$A:$A, Rate_Master!$D:$D, "")</f>
        <v>0</v>
      </c>
      <c r="I164" s="26"/>
      <c r="J164" s="26">
        <f>SUBTOTAL(9,J165:J169)</f>
        <v>278418810</v>
      </c>
      <c r="K164" s="121">
        <f>SUBTOTAL(9,K165:K169)</f>
        <v>278418810</v>
      </c>
      <c r="L164" s="26"/>
    </row>
    <row r="165" spans="1:12" s="4" customFormat="1" ht="51" hidden="1" customHeight="1" outlineLevel="1">
      <c r="A165" s="27" t="str">
        <f>$A$164&amp;"."&amp;ROW()-ROW($A$164)</f>
        <v>3A.F6.1</v>
      </c>
      <c r="B165" s="34" t="s">
        <v>148</v>
      </c>
      <c r="C165" s="34" t="s">
        <v>515</v>
      </c>
      <c r="D165" s="29" t="s">
        <v>520</v>
      </c>
      <c r="E165" s="31">
        <v>373.83</v>
      </c>
      <c r="F165" s="31">
        <v>373.83</v>
      </c>
      <c r="G165" s="31">
        <f>_xlfn.XLOOKUP(B165, Rate_Master!$A:$A, Rate_Master!$C:$C, "")</f>
        <v>155000</v>
      </c>
      <c r="H165" s="31">
        <f>_xlfn.XLOOKUP(B165, Rate_Master!$A:$A, Rate_Master!$D:$D, "")</f>
        <v>45000</v>
      </c>
      <c r="I165" s="32">
        <f>+G165+H165</f>
        <v>200000</v>
      </c>
      <c r="J165" s="32">
        <f>I165*E165</f>
        <v>74766000</v>
      </c>
      <c r="K165" s="122">
        <f>I165*F165</f>
        <v>74766000</v>
      </c>
      <c r="L165" s="32"/>
    </row>
    <row r="166" spans="1:12" s="4" customFormat="1" ht="25.5" hidden="1" customHeight="1" outlineLevel="1">
      <c r="A166" s="27" t="str">
        <f>$A$164&amp;"."&amp;ROW()-ROW($A$164)</f>
        <v>3A.F6.2</v>
      </c>
      <c r="B166" s="34" t="s">
        <v>149</v>
      </c>
      <c r="C166" s="34" t="s">
        <v>515</v>
      </c>
      <c r="D166" s="29" t="s">
        <v>520</v>
      </c>
      <c r="E166" s="31">
        <v>217.05500000000001</v>
      </c>
      <c r="F166" s="31">
        <v>217.05500000000001</v>
      </c>
      <c r="G166" s="31">
        <f>_xlfn.XLOOKUP(B166, Rate_Master!$A:$A, Rate_Master!$C:$C, "")</f>
        <v>310500</v>
      </c>
      <c r="H166" s="31">
        <f>_xlfn.XLOOKUP(B166, Rate_Master!$A:$A, Rate_Master!$D:$D, "")</f>
        <v>34500</v>
      </c>
      <c r="I166" s="32">
        <f>+G166+H166</f>
        <v>345000</v>
      </c>
      <c r="J166" s="32">
        <f>I166*E166</f>
        <v>74883975</v>
      </c>
      <c r="K166" s="122">
        <f>I166*F166</f>
        <v>74883975</v>
      </c>
      <c r="L166" s="32"/>
    </row>
    <row r="167" spans="1:12" s="4" customFormat="1" ht="51" hidden="1" customHeight="1" outlineLevel="1">
      <c r="A167" s="27" t="str">
        <f>$A$164&amp;"."&amp;ROW()-ROW($A$164)</f>
        <v>3A.F6.3</v>
      </c>
      <c r="B167" s="34" t="s">
        <v>150</v>
      </c>
      <c r="C167" s="34" t="s">
        <v>515</v>
      </c>
      <c r="D167" s="29" t="s">
        <v>520</v>
      </c>
      <c r="E167" s="31">
        <v>217.05500000000001</v>
      </c>
      <c r="F167" s="31">
        <v>217.05500000000001</v>
      </c>
      <c r="G167" s="31">
        <f>_xlfn.XLOOKUP(B167, Rate_Master!$A:$A, Rate_Master!$C:$C, "")</f>
        <v>287500</v>
      </c>
      <c r="H167" s="31">
        <f>_xlfn.XLOOKUP(B167, Rate_Master!$A:$A, Rate_Master!$D:$D, "")</f>
        <v>69000</v>
      </c>
      <c r="I167" s="32">
        <f>+G167+H167</f>
        <v>356500</v>
      </c>
      <c r="J167" s="32">
        <f>I167*E167</f>
        <v>77380107.5</v>
      </c>
      <c r="K167" s="122">
        <f>I167*F167</f>
        <v>77380107.5</v>
      </c>
      <c r="L167" s="32"/>
    </row>
    <row r="168" spans="1:12" s="4" customFormat="1" ht="51" hidden="1" customHeight="1" outlineLevel="1">
      <c r="A168" s="27" t="str">
        <f>$A$164&amp;"."&amp;ROW()-ROW($A$164)</f>
        <v>3A.F6.4</v>
      </c>
      <c r="B168" s="34" t="s">
        <v>151</v>
      </c>
      <c r="C168" s="34" t="s">
        <v>515</v>
      </c>
      <c r="D168" s="29" t="s">
        <v>520</v>
      </c>
      <c r="E168" s="31">
        <v>217.05500000000001</v>
      </c>
      <c r="F168" s="31">
        <v>217.05500000000001</v>
      </c>
      <c r="G168" s="31">
        <f>_xlfn.XLOOKUP(B168, Rate_Master!$A:$A, Rate_Master!$C:$C, "")</f>
        <v>23000</v>
      </c>
      <c r="H168" s="31">
        <f>_xlfn.XLOOKUP(B168, Rate_Master!$A:$A, Rate_Master!$D:$D, "")</f>
        <v>126499.99999999999</v>
      </c>
      <c r="I168" s="32">
        <f>+G168+H168</f>
        <v>149500</v>
      </c>
      <c r="J168" s="32">
        <f>I168*E168</f>
        <v>32449722.5</v>
      </c>
      <c r="K168" s="122">
        <f>I168*F168</f>
        <v>32449722.5</v>
      </c>
      <c r="L168" s="32"/>
    </row>
    <row r="169" spans="1:12" s="4" customFormat="1" ht="25.5" hidden="1" customHeight="1" outlineLevel="1">
      <c r="A169" s="27" t="str">
        <f>$A$164&amp;"."&amp;ROW()-ROW($A$164)</f>
        <v>3A.F6.5</v>
      </c>
      <c r="B169" s="34" t="s">
        <v>152</v>
      </c>
      <c r="C169" s="34" t="s">
        <v>565</v>
      </c>
      <c r="D169" s="29" t="s">
        <v>517</v>
      </c>
      <c r="E169" s="31">
        <v>89.02</v>
      </c>
      <c r="F169" s="31">
        <v>89.02</v>
      </c>
      <c r="G169" s="31">
        <f>_xlfn.XLOOKUP(B169, Rate_Master!$A:$A, Rate_Master!$C:$C, "")</f>
        <v>155250</v>
      </c>
      <c r="H169" s="31">
        <f>_xlfn.XLOOKUP(B169, Rate_Master!$A:$A, Rate_Master!$D:$D, "")</f>
        <v>57499.999999999993</v>
      </c>
      <c r="I169" s="32">
        <f>+G169+H169</f>
        <v>212750</v>
      </c>
      <c r="J169" s="32">
        <f>I169*E169</f>
        <v>18939005</v>
      </c>
      <c r="K169" s="122">
        <f>I169*F169</f>
        <v>18939005</v>
      </c>
      <c r="L169" s="32"/>
    </row>
    <row r="170" spans="1:12" s="3" customFormat="1" ht="25.5" customHeight="1" collapsed="1">
      <c r="A170" s="22" t="str">
        <f>$A$103&amp;7</f>
        <v>3A.F7</v>
      </c>
      <c r="B170" s="23" t="s">
        <v>84</v>
      </c>
      <c r="C170" s="23" t="s">
        <v>515</v>
      </c>
      <c r="D170" s="22"/>
      <c r="E170" s="25"/>
      <c r="F170" s="25"/>
      <c r="G170" s="25">
        <f>_xlfn.XLOOKUP(B170, Rate_Master!$A:$A, Rate_Master!$C:$C, "")</f>
        <v>0</v>
      </c>
      <c r="H170" s="25">
        <f>_xlfn.XLOOKUP(B170, Rate_Master!$A:$A, Rate_Master!$D:$D, "")</f>
        <v>0</v>
      </c>
      <c r="I170" s="26"/>
      <c r="J170" s="26">
        <f>SUBTOTAL(9,J171:J182)</f>
        <v>117363250</v>
      </c>
      <c r="K170" s="121">
        <f>SUBTOTAL(9,K171:K182)</f>
        <v>117363250</v>
      </c>
      <c r="L170" s="26"/>
    </row>
    <row r="171" spans="1:12" s="4" customFormat="1" ht="38.25" hidden="1" customHeight="1" outlineLevel="1">
      <c r="A171" s="27" t="str">
        <f t="shared" ref="A171:A182" si="35">$A$170&amp;"."&amp;ROW()-ROW($A$170)</f>
        <v>3A.F7.1</v>
      </c>
      <c r="B171" s="48" t="s">
        <v>153</v>
      </c>
      <c r="C171" s="34" t="s">
        <v>561</v>
      </c>
      <c r="D171" s="29" t="s">
        <v>517</v>
      </c>
      <c r="E171" s="31">
        <v>8.7200000000000006</v>
      </c>
      <c r="F171" s="31">
        <v>8.7200000000000006</v>
      </c>
      <c r="G171" s="31">
        <f>_xlfn.XLOOKUP(B171, Rate_Master!$A:$A, Rate_Master!$C:$C, "")</f>
        <v>4024999.9999999995</v>
      </c>
      <c r="H171" s="31">
        <f>_xlfn.XLOOKUP(B171, Rate_Master!$A:$A, Rate_Master!$D:$D, "")</f>
        <v>1380000</v>
      </c>
      <c r="I171" s="32">
        <f>+G171+H171</f>
        <v>5405000</v>
      </c>
      <c r="J171" s="32">
        <f t="shared" ref="J171:J182" si="36">I171*E171</f>
        <v>47131600</v>
      </c>
      <c r="K171" s="122">
        <f t="shared" ref="K171:K182" si="37">I171*F171</f>
        <v>47131600</v>
      </c>
      <c r="L171" s="32"/>
    </row>
    <row r="172" spans="1:12" s="4" customFormat="1" ht="38.25" hidden="1" customHeight="1" outlineLevel="1">
      <c r="A172" s="27" t="str">
        <f t="shared" si="35"/>
        <v>3A.F7.2</v>
      </c>
      <c r="B172" s="48" t="s">
        <v>167</v>
      </c>
      <c r="C172" s="34"/>
      <c r="D172" s="29" t="s">
        <v>517</v>
      </c>
      <c r="E172" s="31"/>
      <c r="F172" s="31"/>
      <c r="G172" s="31">
        <f>_xlfn.XLOOKUP(B172, Rate_Master!$A:$A, Rate_Master!$C:$C, "")</f>
        <v>0</v>
      </c>
      <c r="H172" s="31">
        <f>_xlfn.XLOOKUP(B172, Rate_Master!$A:$A, Rate_Master!$D:$D, "")</f>
        <v>0</v>
      </c>
      <c r="I172" s="32">
        <v>0</v>
      </c>
      <c r="J172" s="32">
        <f t="shared" si="36"/>
        <v>0</v>
      </c>
      <c r="K172" s="122">
        <f t="shared" si="37"/>
        <v>0</v>
      </c>
      <c r="L172" s="32"/>
    </row>
    <row r="173" spans="1:12" s="4" customFormat="1" ht="38.25" hidden="1" customHeight="1" outlineLevel="1">
      <c r="A173" s="27" t="str">
        <f t="shared" si="35"/>
        <v>3A.F7.3</v>
      </c>
      <c r="B173" s="48" t="s">
        <v>154</v>
      </c>
      <c r="C173" s="28" t="s">
        <v>515</v>
      </c>
      <c r="D173" s="50" t="s">
        <v>517</v>
      </c>
      <c r="E173" s="31">
        <v>9</v>
      </c>
      <c r="F173" s="31">
        <v>9</v>
      </c>
      <c r="G173" s="31">
        <f>_xlfn.XLOOKUP(B173, Rate_Master!$A:$A, Rate_Master!$C:$C, "")</f>
        <v>359375</v>
      </c>
      <c r="H173" s="31">
        <f>_xlfn.XLOOKUP(B173, Rate_Master!$A:$A, Rate_Master!$D:$D, "")</f>
        <v>71875</v>
      </c>
      <c r="I173" s="32">
        <f>+G173+H173</f>
        <v>431250</v>
      </c>
      <c r="J173" s="32">
        <f t="shared" si="36"/>
        <v>3881250</v>
      </c>
      <c r="K173" s="122">
        <f t="shared" si="37"/>
        <v>3881250</v>
      </c>
      <c r="L173" s="32"/>
    </row>
    <row r="174" spans="1:12" s="4" customFormat="1" ht="25.5" hidden="1" customHeight="1" outlineLevel="1">
      <c r="A174" s="27" t="str">
        <f t="shared" si="35"/>
        <v>3A.F7.4</v>
      </c>
      <c r="B174" s="51" t="s">
        <v>155</v>
      </c>
      <c r="C174" s="28" t="s">
        <v>515</v>
      </c>
      <c r="D174" s="50" t="s">
        <v>517</v>
      </c>
      <c r="E174" s="31">
        <v>8.7200000000000006</v>
      </c>
      <c r="F174" s="31">
        <v>8.7200000000000006</v>
      </c>
      <c r="G174" s="31">
        <f>_xlfn.XLOOKUP(B174, Rate_Master!$A:$A, Rate_Master!$C:$C, "")</f>
        <v>1954999.9999999998</v>
      </c>
      <c r="H174" s="31">
        <f>_xlfn.XLOOKUP(B174, Rate_Master!$A:$A, Rate_Master!$D:$D, "")</f>
        <v>114999.99999999999</v>
      </c>
      <c r="I174" s="32">
        <f>+G174+H174</f>
        <v>2069999.9999999998</v>
      </c>
      <c r="J174" s="32">
        <f t="shared" si="36"/>
        <v>18050400</v>
      </c>
      <c r="K174" s="122">
        <f t="shared" si="37"/>
        <v>18050400</v>
      </c>
      <c r="L174" s="32"/>
    </row>
    <row r="175" spans="1:12" s="4" customFormat="1" ht="51" hidden="1" customHeight="1" outlineLevel="1">
      <c r="A175" s="27" t="str">
        <f t="shared" si="35"/>
        <v>3A.F7.5</v>
      </c>
      <c r="B175" s="51" t="s">
        <v>168</v>
      </c>
      <c r="C175" s="28"/>
      <c r="D175" s="50" t="s">
        <v>517</v>
      </c>
      <c r="E175" s="31"/>
      <c r="F175" s="31"/>
      <c r="G175" s="31">
        <f>_xlfn.XLOOKUP(B175, Rate_Master!$A:$A, Rate_Master!$C:$C, "")</f>
        <v>0</v>
      </c>
      <c r="H175" s="31">
        <f>_xlfn.XLOOKUP(B175, Rate_Master!$A:$A, Rate_Master!$D:$D, "")</f>
        <v>0</v>
      </c>
      <c r="I175" s="32">
        <v>0</v>
      </c>
      <c r="J175" s="32">
        <f t="shared" si="36"/>
        <v>0</v>
      </c>
      <c r="K175" s="122">
        <f t="shared" si="37"/>
        <v>0</v>
      </c>
      <c r="L175" s="32"/>
    </row>
    <row r="176" spans="1:12" s="4" customFormat="1" ht="51" hidden="1" customHeight="1" outlineLevel="1">
      <c r="A176" s="27" t="str">
        <f t="shared" si="35"/>
        <v>3A.F7.6</v>
      </c>
      <c r="B176" s="48" t="s">
        <v>156</v>
      </c>
      <c r="C176" s="28" t="s">
        <v>515</v>
      </c>
      <c r="D176" s="54" t="s">
        <v>518</v>
      </c>
      <c r="E176" s="31">
        <v>24</v>
      </c>
      <c r="F176" s="31">
        <v>24</v>
      </c>
      <c r="G176" s="31">
        <f>_xlfn.XLOOKUP(B176, Rate_Master!$A:$A, Rate_Master!$C:$C, "")</f>
        <v>1724999.9999999998</v>
      </c>
      <c r="H176" s="31">
        <f>_xlfn.XLOOKUP(B176, Rate_Master!$A:$A, Rate_Master!$D:$D, "")</f>
        <v>287500</v>
      </c>
      <c r="I176" s="32">
        <f>+G176+H176</f>
        <v>2012499.9999999998</v>
      </c>
      <c r="J176" s="32">
        <f t="shared" si="36"/>
        <v>48299999.999999993</v>
      </c>
      <c r="K176" s="122">
        <f t="shared" si="37"/>
        <v>48299999.999999993</v>
      </c>
      <c r="L176" s="32"/>
    </row>
    <row r="177" spans="1:16" s="4" customFormat="1" ht="25.5" hidden="1" customHeight="1" outlineLevel="1">
      <c r="A177" s="27" t="str">
        <f t="shared" si="35"/>
        <v>3A.F7.7</v>
      </c>
      <c r="B177" s="48" t="s">
        <v>157</v>
      </c>
      <c r="C177" s="28" t="s">
        <v>515</v>
      </c>
      <c r="D177" s="29" t="s">
        <v>517</v>
      </c>
      <c r="E177" s="31">
        <v>0</v>
      </c>
      <c r="F177" s="31">
        <v>0</v>
      </c>
      <c r="G177" s="31">
        <f>_xlfn.XLOOKUP(B177, Rate_Master!$A:$A, Rate_Master!$C:$C, "")</f>
        <v>632500</v>
      </c>
      <c r="H177" s="31">
        <f>_xlfn.XLOOKUP(B177, Rate_Master!$A:$A, Rate_Master!$D:$D, "")</f>
        <v>57499.999999999993</v>
      </c>
      <c r="I177" s="32">
        <v>0</v>
      </c>
      <c r="J177" s="32">
        <f t="shared" si="36"/>
        <v>0</v>
      </c>
      <c r="K177" s="122">
        <f t="shared" si="37"/>
        <v>0</v>
      </c>
      <c r="L177" s="32"/>
    </row>
    <row r="178" spans="1:16" s="4" customFormat="1" ht="25.5" hidden="1" customHeight="1" outlineLevel="1">
      <c r="A178" s="27" t="str">
        <f t="shared" si="35"/>
        <v>3A.F7.8</v>
      </c>
      <c r="B178" s="34" t="s">
        <v>158</v>
      </c>
      <c r="C178" s="56" t="s">
        <v>562</v>
      </c>
      <c r="D178" s="29" t="s">
        <v>516</v>
      </c>
      <c r="E178" s="31">
        <v>0</v>
      </c>
      <c r="F178" s="31">
        <v>0</v>
      </c>
      <c r="G178" s="31">
        <f>_xlfn.XLOOKUP(B178, Rate_Master!$A:$A, Rate_Master!$C:$C, "")</f>
        <v>68400000</v>
      </c>
      <c r="H178" s="31">
        <f>_xlfn.XLOOKUP(B178, Rate_Master!$A:$A, Rate_Master!$D:$D, "")</f>
        <v>26600000</v>
      </c>
      <c r="I178" s="32">
        <v>0</v>
      </c>
      <c r="J178" s="32">
        <f t="shared" si="36"/>
        <v>0</v>
      </c>
      <c r="K178" s="122">
        <f t="shared" si="37"/>
        <v>0</v>
      </c>
      <c r="L178" s="32"/>
    </row>
    <row r="179" spans="1:16" s="4" customFormat="1" ht="25.5" hidden="1" customHeight="1" outlineLevel="1">
      <c r="A179" s="27" t="str">
        <f t="shared" si="35"/>
        <v>3A.F7.9</v>
      </c>
      <c r="B179" s="34" t="s">
        <v>159</v>
      </c>
      <c r="C179" s="28" t="s">
        <v>515</v>
      </c>
      <c r="D179" s="29" t="s">
        <v>516</v>
      </c>
      <c r="E179" s="31">
        <v>0</v>
      </c>
      <c r="F179" s="31">
        <v>0</v>
      </c>
      <c r="G179" s="31">
        <f>_xlfn.XLOOKUP(B179, Rate_Master!$A:$A, Rate_Master!$C:$C, "")</f>
        <v>25200000</v>
      </c>
      <c r="H179" s="31">
        <f>_xlfn.XLOOKUP(B179, Rate_Master!$A:$A, Rate_Master!$D:$D, "")</f>
        <v>9800000.0000000019</v>
      </c>
      <c r="I179" s="32">
        <v>0</v>
      </c>
      <c r="J179" s="32">
        <f t="shared" si="36"/>
        <v>0</v>
      </c>
      <c r="K179" s="122">
        <f t="shared" si="37"/>
        <v>0</v>
      </c>
      <c r="L179" s="32"/>
    </row>
    <row r="180" spans="1:16" s="4" customFormat="1" ht="25.5" hidden="1" customHeight="1" outlineLevel="1">
      <c r="A180" s="27" t="str">
        <f t="shared" si="35"/>
        <v>3A.F7.10</v>
      </c>
      <c r="B180" s="34" t="s">
        <v>160</v>
      </c>
      <c r="C180" s="28" t="s">
        <v>515</v>
      </c>
      <c r="D180" s="29" t="s">
        <v>518</v>
      </c>
      <c r="E180" s="31">
        <v>0</v>
      </c>
      <c r="F180" s="31">
        <v>0</v>
      </c>
      <c r="G180" s="31">
        <f>_xlfn.XLOOKUP(B180, Rate_Master!$A:$A, Rate_Master!$C:$C, "")</f>
        <v>1440000</v>
      </c>
      <c r="H180" s="31">
        <f>_xlfn.XLOOKUP(B180, Rate_Master!$A:$A, Rate_Master!$D:$D, "")</f>
        <v>560000</v>
      </c>
      <c r="I180" s="32">
        <v>0</v>
      </c>
      <c r="J180" s="32">
        <f t="shared" si="36"/>
        <v>0</v>
      </c>
      <c r="K180" s="122">
        <f t="shared" si="37"/>
        <v>0</v>
      </c>
      <c r="L180" s="32"/>
    </row>
    <row r="181" spans="1:16" s="4" customFormat="1" ht="25.5" hidden="1" customHeight="1" outlineLevel="1">
      <c r="A181" s="27" t="str">
        <f t="shared" si="35"/>
        <v>3A.F7.11</v>
      </c>
      <c r="B181" s="48" t="s">
        <v>161</v>
      </c>
      <c r="C181" s="28" t="s">
        <v>515</v>
      </c>
      <c r="D181" s="29" t="s">
        <v>517</v>
      </c>
      <c r="E181" s="31">
        <v>0</v>
      </c>
      <c r="F181" s="31">
        <v>0</v>
      </c>
      <c r="G181" s="31">
        <f>_xlfn.XLOOKUP(B181, Rate_Master!$A:$A, Rate_Master!$C:$C, "")</f>
        <v>149500</v>
      </c>
      <c r="H181" s="31">
        <f>_xlfn.XLOOKUP(B181, Rate_Master!$A:$A, Rate_Master!$D:$D, "")</f>
        <v>34500</v>
      </c>
      <c r="I181" s="32">
        <v>0</v>
      </c>
      <c r="J181" s="32">
        <f t="shared" si="36"/>
        <v>0</v>
      </c>
      <c r="K181" s="122">
        <f t="shared" si="37"/>
        <v>0</v>
      </c>
      <c r="L181" s="32"/>
    </row>
    <row r="182" spans="1:16" s="4" customFormat="1" ht="38.25" hidden="1" customHeight="1" outlineLevel="1">
      <c r="A182" s="27" t="str">
        <f t="shared" si="35"/>
        <v>3A.F7.12</v>
      </c>
      <c r="B182" s="34" t="s">
        <v>162</v>
      </c>
      <c r="C182" s="28" t="s">
        <v>515</v>
      </c>
      <c r="D182" s="29" t="s">
        <v>517</v>
      </c>
      <c r="E182" s="31">
        <v>0</v>
      </c>
      <c r="F182" s="31">
        <v>0</v>
      </c>
      <c r="G182" s="31">
        <f>_xlfn.XLOOKUP(B182, Rate_Master!$A:$A, Rate_Master!$C:$C, "")</f>
        <v>252000</v>
      </c>
      <c r="H182" s="31">
        <f>_xlfn.XLOOKUP(B182, Rate_Master!$A:$A, Rate_Master!$D:$D, "")</f>
        <v>98000</v>
      </c>
      <c r="I182" s="32">
        <v>0</v>
      </c>
      <c r="J182" s="32">
        <f t="shared" si="36"/>
        <v>0</v>
      </c>
      <c r="K182" s="122">
        <f t="shared" si="37"/>
        <v>0</v>
      </c>
      <c r="L182" s="32"/>
    </row>
    <row r="183" spans="1:16" collapsed="1">
      <c r="A183" s="111"/>
      <c r="B183" s="112" t="s">
        <v>169</v>
      </c>
      <c r="C183" s="112"/>
      <c r="D183" s="111"/>
      <c r="E183" s="109"/>
      <c r="F183" s="109"/>
      <c r="G183" s="113">
        <f>_xlfn.XLOOKUP(B183, Rate_Master!$A:$A, Rate_Master!$C:$C, "")</f>
        <v>0</v>
      </c>
      <c r="H183" s="113">
        <f>_xlfn.XLOOKUP(B183, Rate_Master!$A:$A, Rate_Master!$D:$D, "")</f>
        <v>0</v>
      </c>
      <c r="I183" s="110"/>
      <c r="J183" s="110"/>
      <c r="K183" s="110"/>
      <c r="L183" s="110"/>
    </row>
    <row r="184" spans="1:16" ht="89.25" customHeight="1">
      <c r="A184" s="55">
        <v>1</v>
      </c>
      <c r="B184" s="56" t="s">
        <v>170</v>
      </c>
      <c r="C184" s="56" t="s">
        <v>564</v>
      </c>
      <c r="D184" s="57" t="s">
        <v>520</v>
      </c>
      <c r="E184" s="36">
        <v>0</v>
      </c>
      <c r="F184" s="36">
        <v>75.296000000000006</v>
      </c>
      <c r="G184" s="114">
        <f>_xlfn.XLOOKUP(B184, Rate_Master!$A:$A, Rate_Master!$C:$C, "")</f>
        <v>626750</v>
      </c>
      <c r="H184" s="114">
        <f>_xlfn.XLOOKUP(B184, Rate_Master!$A:$A, Rate_Master!$D:$D, "")</f>
        <v>221949.99999999997</v>
      </c>
      <c r="I184" s="58">
        <f>G184+H184</f>
        <v>848700</v>
      </c>
      <c r="J184" s="58">
        <f>I184*E184</f>
        <v>0</v>
      </c>
      <c r="K184" s="58">
        <f>+F184*I184</f>
        <v>63903715.200000003</v>
      </c>
      <c r="L184" s="58"/>
      <c r="N184" s="104"/>
      <c r="O184" s="104"/>
      <c r="P184" s="104"/>
    </row>
  </sheetData>
  <mergeCells count="5">
    <mergeCell ref="C5:L5"/>
    <mergeCell ref="C4:L4"/>
    <mergeCell ref="C3:L3"/>
    <mergeCell ref="C7:L7"/>
    <mergeCell ref="C6:L6"/>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pageSetUpPr fitToPage="1"/>
  </sheetPr>
  <dimension ref="A1:R180"/>
  <sheetViews>
    <sheetView topLeftCell="A8" zoomScale="85" zoomScaleNormal="85" workbookViewId="0">
      <pane ySplit="1" topLeftCell="A159" activePane="bottomLeft" state="frozen"/>
      <selection activeCell="C54" sqref="C54"/>
      <selection pane="bottomLeft" activeCell="I9" sqref="I9"/>
    </sheetView>
  </sheetViews>
  <sheetFormatPr defaultColWidth="9" defaultRowHeight="12.75" outlineLevelRow="1" outlineLevelCol="1"/>
  <cols>
    <col min="1" max="1" width="8.25" style="2" customWidth="1"/>
    <col min="2" max="2" width="44.875" style="5" customWidth="1"/>
    <col min="3" max="3" width="30.875" style="5" customWidth="1"/>
    <col min="4" max="4" width="6.375" style="6" customWidth="1"/>
    <col min="5" max="6" width="14" style="8" customWidth="1"/>
    <col min="7" max="7" width="11.5" style="85" bestFit="1" customWidth="1"/>
    <col min="8" max="8" width="12.5" style="155" bestFit="1" customWidth="1" outlineLevel="1"/>
    <col min="9" max="9" width="14" style="155" customWidth="1" outlineLevel="1"/>
    <col min="10" max="11" width="14" style="9" customWidth="1"/>
    <col min="12" max="12" width="14.25" style="9" bestFit="1" customWidth="1"/>
    <col min="13" max="13" width="14" style="9" customWidth="1"/>
    <col min="14" max="14" width="5.5" style="9" customWidth="1"/>
    <col min="15" max="15" width="13.625" style="198" bestFit="1" customWidth="1"/>
    <col min="16" max="16" width="13.625" style="6" bestFit="1" customWidth="1"/>
    <col min="17" max="17" width="25.625" style="6" customWidth="1"/>
    <col min="18" max="233" width="9.125" style="6" customWidth="1"/>
    <col min="234" max="234" width="6.375" style="6" customWidth="1"/>
    <col min="235" max="235" width="34.25" style="6" customWidth="1"/>
    <col min="236" max="236" width="7.375" style="6" customWidth="1"/>
    <col min="237" max="237" width="6.375" style="6" customWidth="1"/>
    <col min="238" max="238" width="13.125" style="6" customWidth="1"/>
    <col min="239" max="239" width="15.375" style="6" customWidth="1"/>
    <col min="240" max="240" width="21.25" style="6" customWidth="1"/>
    <col min="241" max="489" width="9.125" style="6" customWidth="1"/>
    <col min="490" max="490" width="6.375" style="6" customWidth="1"/>
    <col min="491" max="491" width="34.25" style="6" customWidth="1"/>
    <col min="492" max="492" width="7.375" style="6" customWidth="1"/>
    <col min="493" max="493" width="6.375" style="6" customWidth="1"/>
    <col min="494" max="494" width="13.125" style="6" customWidth="1"/>
    <col min="495" max="495" width="15.375" style="6" customWidth="1"/>
    <col min="496" max="496" width="21.25" style="6" customWidth="1"/>
    <col min="497" max="745" width="9.125" style="6" customWidth="1"/>
    <col min="746" max="746" width="6.375" style="6" customWidth="1"/>
    <col min="747" max="747" width="34.25" style="6" customWidth="1"/>
    <col min="748" max="748" width="7.375" style="6" customWidth="1"/>
    <col min="749" max="749" width="6.375" style="6" customWidth="1"/>
    <col min="750" max="750" width="13.125" style="6" customWidth="1"/>
    <col min="751" max="751" width="15.375" style="6" customWidth="1"/>
    <col min="752" max="752" width="21.25" style="6" customWidth="1"/>
    <col min="753" max="1001" width="9.125" style="6" customWidth="1"/>
    <col min="1002" max="1002" width="6.375" style="6" customWidth="1"/>
    <col min="1003" max="1003" width="34.25" style="6" customWidth="1"/>
    <col min="1004" max="1004" width="7.375" style="6" customWidth="1"/>
    <col min="1005" max="1005" width="6.375" style="6" customWidth="1"/>
    <col min="1006" max="1006" width="13.125" style="6" customWidth="1"/>
    <col min="1007" max="1007" width="15.375" style="6" customWidth="1"/>
    <col min="1008" max="1008" width="21.25" style="6" customWidth="1"/>
    <col min="1009" max="1257" width="9.125" style="6" customWidth="1"/>
    <col min="1258" max="1258" width="6.375" style="6" customWidth="1"/>
    <col min="1259" max="1259" width="34.25" style="6" customWidth="1"/>
    <col min="1260" max="1260" width="7.375" style="6" customWidth="1"/>
    <col min="1261" max="1261" width="6.375" style="6" customWidth="1"/>
    <col min="1262" max="1262" width="13.125" style="6" customWidth="1"/>
    <col min="1263" max="1263" width="15.375" style="6" customWidth="1"/>
    <col min="1264" max="1264" width="21.25" style="6" customWidth="1"/>
    <col min="1265" max="1513" width="9.125" style="6" customWidth="1"/>
    <col min="1514" max="1514" width="6.375" style="6" customWidth="1"/>
    <col min="1515" max="1515" width="34.25" style="6" customWidth="1"/>
    <col min="1516" max="1516" width="7.375" style="6" customWidth="1"/>
    <col min="1517" max="1517" width="6.375" style="6" customWidth="1"/>
    <col min="1518" max="1518" width="13.125" style="6" customWidth="1"/>
    <col min="1519" max="1519" width="15.375" style="6" customWidth="1"/>
    <col min="1520" max="1520" width="21.25" style="6" customWidth="1"/>
    <col min="1521" max="1769" width="9.125" style="6" customWidth="1"/>
    <col min="1770" max="1770" width="6.375" style="6" customWidth="1"/>
    <col min="1771" max="1771" width="34.25" style="6" customWidth="1"/>
    <col min="1772" max="1772" width="7.375" style="6" customWidth="1"/>
    <col min="1773" max="1773" width="6.375" style="6" customWidth="1"/>
    <col min="1774" max="1774" width="13.125" style="6" customWidth="1"/>
    <col min="1775" max="1775" width="15.375" style="6" customWidth="1"/>
    <col min="1776" max="1776" width="21.25" style="6" customWidth="1"/>
    <col min="1777" max="2025" width="9.125" style="6" customWidth="1"/>
    <col min="2026" max="2026" width="6.375" style="6" customWidth="1"/>
    <col min="2027" max="2027" width="34.25" style="6" customWidth="1"/>
    <col min="2028" max="2028" width="7.375" style="6" customWidth="1"/>
    <col min="2029" max="2029" width="6.375" style="6" customWidth="1"/>
    <col min="2030" max="2030" width="13.125" style="6" customWidth="1"/>
    <col min="2031" max="2031" width="15.375" style="6" customWidth="1"/>
    <col min="2032" max="2032" width="21.25" style="6" customWidth="1"/>
    <col min="2033" max="2281" width="9.125" style="6" customWidth="1"/>
    <col min="2282" max="2282" width="6.375" style="6" customWidth="1"/>
    <col min="2283" max="2283" width="34.25" style="6" customWidth="1"/>
    <col min="2284" max="2284" width="7.375" style="6" customWidth="1"/>
    <col min="2285" max="2285" width="6.375" style="6" customWidth="1"/>
    <col min="2286" max="2286" width="13.125" style="6" customWidth="1"/>
    <col min="2287" max="2287" width="15.375" style="6" customWidth="1"/>
    <col min="2288" max="2288" width="21.25" style="6" customWidth="1"/>
    <col min="2289" max="2537" width="9.125" style="6" customWidth="1"/>
    <col min="2538" max="2538" width="6.375" style="6" customWidth="1"/>
    <col min="2539" max="2539" width="34.25" style="6" customWidth="1"/>
    <col min="2540" max="2540" width="7.375" style="6" customWidth="1"/>
    <col min="2541" max="2541" width="6.375" style="6" customWidth="1"/>
    <col min="2542" max="2542" width="13.125" style="6" customWidth="1"/>
    <col min="2543" max="2543" width="15.375" style="6" customWidth="1"/>
    <col min="2544" max="2544" width="21.25" style="6" customWidth="1"/>
    <col min="2545" max="2793" width="9.125" style="6" customWidth="1"/>
    <col min="2794" max="2794" width="6.375" style="6" customWidth="1"/>
    <col min="2795" max="2795" width="34.25" style="6" customWidth="1"/>
    <col min="2796" max="2796" width="7.375" style="6" customWidth="1"/>
    <col min="2797" max="2797" width="6.375" style="6" customWidth="1"/>
    <col min="2798" max="2798" width="13.125" style="6" customWidth="1"/>
    <col min="2799" max="2799" width="15.375" style="6" customWidth="1"/>
    <col min="2800" max="2800" width="21.25" style="6" customWidth="1"/>
    <col min="2801" max="3049" width="9.125" style="6" customWidth="1"/>
    <col min="3050" max="3050" width="6.375" style="6" customWidth="1"/>
    <col min="3051" max="3051" width="34.25" style="6" customWidth="1"/>
    <col min="3052" max="3052" width="7.375" style="6" customWidth="1"/>
    <col min="3053" max="3053" width="6.375" style="6" customWidth="1"/>
    <col min="3054" max="3054" width="13.125" style="6" customWidth="1"/>
    <col min="3055" max="3055" width="15.375" style="6" customWidth="1"/>
    <col min="3056" max="3056" width="21.25" style="6" customWidth="1"/>
    <col min="3057" max="3305" width="9.125" style="6" customWidth="1"/>
    <col min="3306" max="3306" width="6.375" style="6" customWidth="1"/>
    <col min="3307" max="3307" width="34.25" style="6" customWidth="1"/>
    <col min="3308" max="3308" width="7.375" style="6" customWidth="1"/>
    <col min="3309" max="3309" width="6.375" style="6" customWidth="1"/>
    <col min="3310" max="3310" width="13.125" style="6" customWidth="1"/>
    <col min="3311" max="3311" width="15.375" style="6" customWidth="1"/>
    <col min="3312" max="3312" width="21.25" style="6" customWidth="1"/>
    <col min="3313" max="3561" width="9.125" style="6" customWidth="1"/>
    <col min="3562" max="3562" width="6.375" style="6" customWidth="1"/>
    <col min="3563" max="3563" width="34.25" style="6" customWidth="1"/>
    <col min="3564" max="3564" width="7.375" style="6" customWidth="1"/>
    <col min="3565" max="3565" width="6.375" style="6" customWidth="1"/>
    <col min="3566" max="3566" width="13.125" style="6" customWidth="1"/>
    <col min="3567" max="3567" width="15.375" style="6" customWidth="1"/>
    <col min="3568" max="3568" width="21.25" style="6" customWidth="1"/>
    <col min="3569" max="3817" width="9.125" style="6" customWidth="1"/>
    <col min="3818" max="3818" width="6.375" style="6" customWidth="1"/>
    <col min="3819" max="3819" width="34.25" style="6" customWidth="1"/>
    <col min="3820" max="3820" width="7.375" style="6" customWidth="1"/>
    <col min="3821" max="3821" width="6.375" style="6" customWidth="1"/>
    <col min="3822" max="3822" width="13.125" style="6" customWidth="1"/>
    <col min="3823" max="3823" width="15.375" style="6" customWidth="1"/>
    <col min="3824" max="3824" width="21.25" style="6" customWidth="1"/>
    <col min="3825" max="4073" width="9.125" style="6" customWidth="1"/>
    <col min="4074" max="4074" width="6.375" style="6" customWidth="1"/>
    <col min="4075" max="4075" width="34.25" style="6" customWidth="1"/>
    <col min="4076" max="4076" width="7.375" style="6" customWidth="1"/>
    <col min="4077" max="4077" width="6.375" style="6" customWidth="1"/>
    <col min="4078" max="4078" width="13.125" style="6" customWidth="1"/>
    <col min="4079" max="4079" width="15.375" style="6" customWidth="1"/>
    <col min="4080" max="4080" width="21.25" style="6" customWidth="1"/>
    <col min="4081" max="4329" width="9.125" style="6" customWidth="1"/>
    <col min="4330" max="4330" width="6.375" style="6" customWidth="1"/>
    <col min="4331" max="4331" width="34.25" style="6" customWidth="1"/>
    <col min="4332" max="4332" width="7.375" style="6" customWidth="1"/>
    <col min="4333" max="4333" width="6.375" style="6" customWidth="1"/>
    <col min="4334" max="4334" width="13.125" style="6" customWidth="1"/>
    <col min="4335" max="4335" width="15.375" style="6" customWidth="1"/>
    <col min="4336" max="4336" width="21.25" style="6" customWidth="1"/>
    <col min="4337" max="4585" width="9.125" style="6" customWidth="1"/>
    <col min="4586" max="4586" width="6.375" style="6" customWidth="1"/>
    <col min="4587" max="4587" width="34.25" style="6" customWidth="1"/>
    <col min="4588" max="4588" width="7.375" style="6" customWidth="1"/>
    <col min="4589" max="4589" width="6.375" style="6" customWidth="1"/>
    <col min="4590" max="4590" width="13.125" style="6" customWidth="1"/>
    <col min="4591" max="4591" width="15.375" style="6" customWidth="1"/>
    <col min="4592" max="4592" width="21.25" style="6" customWidth="1"/>
    <col min="4593" max="4841" width="9.125" style="6" customWidth="1"/>
    <col min="4842" max="4842" width="6.375" style="6" customWidth="1"/>
    <col min="4843" max="4843" width="34.25" style="6" customWidth="1"/>
    <col min="4844" max="4844" width="7.375" style="6" customWidth="1"/>
    <col min="4845" max="4845" width="6.375" style="6" customWidth="1"/>
    <col min="4846" max="4846" width="13.125" style="6" customWidth="1"/>
    <col min="4847" max="4847" width="15.375" style="6" customWidth="1"/>
    <col min="4848" max="4848" width="21.25" style="6" customWidth="1"/>
    <col min="4849" max="5097" width="9.125" style="6" customWidth="1"/>
    <col min="5098" max="5098" width="6.375" style="6" customWidth="1"/>
    <col min="5099" max="5099" width="34.25" style="6" customWidth="1"/>
    <col min="5100" max="5100" width="7.375" style="6" customWidth="1"/>
    <col min="5101" max="5101" width="6.375" style="6" customWidth="1"/>
    <col min="5102" max="5102" width="13.125" style="6" customWidth="1"/>
    <col min="5103" max="5103" width="15.375" style="6" customWidth="1"/>
    <col min="5104" max="5104" width="21.25" style="6" customWidth="1"/>
    <col min="5105" max="5353" width="9.125" style="6" customWidth="1"/>
    <col min="5354" max="5354" width="6.375" style="6" customWidth="1"/>
    <col min="5355" max="5355" width="34.25" style="6" customWidth="1"/>
    <col min="5356" max="5356" width="7.375" style="6" customWidth="1"/>
    <col min="5357" max="5357" width="6.375" style="6" customWidth="1"/>
    <col min="5358" max="5358" width="13.125" style="6" customWidth="1"/>
    <col min="5359" max="5359" width="15.375" style="6" customWidth="1"/>
    <col min="5360" max="5360" width="21.25" style="6" customWidth="1"/>
    <col min="5361" max="5609" width="9.125" style="6" customWidth="1"/>
    <col min="5610" max="5610" width="6.375" style="6" customWidth="1"/>
    <col min="5611" max="5611" width="34.25" style="6" customWidth="1"/>
    <col min="5612" max="5612" width="7.375" style="6" customWidth="1"/>
    <col min="5613" max="5613" width="6.375" style="6" customWidth="1"/>
    <col min="5614" max="5614" width="13.125" style="6" customWidth="1"/>
    <col min="5615" max="5615" width="15.375" style="6" customWidth="1"/>
    <col min="5616" max="5616" width="21.25" style="6" customWidth="1"/>
    <col min="5617" max="5865" width="9.125" style="6" customWidth="1"/>
    <col min="5866" max="5866" width="6.375" style="6" customWidth="1"/>
    <col min="5867" max="5867" width="34.25" style="6" customWidth="1"/>
    <col min="5868" max="5868" width="7.375" style="6" customWidth="1"/>
    <col min="5869" max="5869" width="6.375" style="6" customWidth="1"/>
    <col min="5870" max="5870" width="13.125" style="6" customWidth="1"/>
    <col min="5871" max="5871" width="15.375" style="6" customWidth="1"/>
    <col min="5872" max="5872" width="21.25" style="6" customWidth="1"/>
    <col min="5873" max="6121" width="9.125" style="6" customWidth="1"/>
    <col min="6122" max="6122" width="6.375" style="6" customWidth="1"/>
    <col min="6123" max="6123" width="34.25" style="6" customWidth="1"/>
    <col min="6124" max="6124" width="7.375" style="6" customWidth="1"/>
    <col min="6125" max="6125" width="6.375" style="6" customWidth="1"/>
    <col min="6126" max="6126" width="13.125" style="6" customWidth="1"/>
    <col min="6127" max="6127" width="15.375" style="6" customWidth="1"/>
    <col min="6128" max="6128" width="21.25" style="6" customWidth="1"/>
    <col min="6129" max="6377" width="9.125" style="6" customWidth="1"/>
    <col min="6378" max="6378" width="6.375" style="6" customWidth="1"/>
    <col min="6379" max="6379" width="34.25" style="6" customWidth="1"/>
    <col min="6380" max="6380" width="7.375" style="6" customWidth="1"/>
    <col min="6381" max="6381" width="6.375" style="6" customWidth="1"/>
    <col min="6382" max="6382" width="13.125" style="6" customWidth="1"/>
    <col min="6383" max="6383" width="15.375" style="6" customWidth="1"/>
    <col min="6384" max="6384" width="21.25" style="6" customWidth="1"/>
    <col min="6385" max="6633" width="9.125" style="6" customWidth="1"/>
    <col min="6634" max="6634" width="6.375" style="6" customWidth="1"/>
    <col min="6635" max="6635" width="34.25" style="6" customWidth="1"/>
    <col min="6636" max="6636" width="7.375" style="6" customWidth="1"/>
    <col min="6637" max="6637" width="6.375" style="6" customWidth="1"/>
    <col min="6638" max="6638" width="13.125" style="6" customWidth="1"/>
    <col min="6639" max="6639" width="15.375" style="6" customWidth="1"/>
    <col min="6640" max="6640" width="21.25" style="6" customWidth="1"/>
    <col min="6641" max="6889" width="9.125" style="6" customWidth="1"/>
    <col min="6890" max="6890" width="6.375" style="6" customWidth="1"/>
    <col min="6891" max="6891" width="34.25" style="6" customWidth="1"/>
    <col min="6892" max="6892" width="7.375" style="6" customWidth="1"/>
    <col min="6893" max="6893" width="6.375" style="6" customWidth="1"/>
    <col min="6894" max="6894" width="13.125" style="6" customWidth="1"/>
    <col min="6895" max="6895" width="15.375" style="6" customWidth="1"/>
    <col min="6896" max="6896" width="21.25" style="6" customWidth="1"/>
    <col min="6897" max="7145" width="9.125" style="6" customWidth="1"/>
    <col min="7146" max="7146" width="6.375" style="6" customWidth="1"/>
    <col min="7147" max="7147" width="34.25" style="6" customWidth="1"/>
    <col min="7148" max="7148" width="7.375" style="6" customWidth="1"/>
    <col min="7149" max="7149" width="6.375" style="6" customWidth="1"/>
    <col min="7150" max="7150" width="13.125" style="6" customWidth="1"/>
    <col min="7151" max="7151" width="15.375" style="6" customWidth="1"/>
    <col min="7152" max="7152" width="21.25" style="6" customWidth="1"/>
    <col min="7153" max="7401" width="9.125" style="6" customWidth="1"/>
    <col min="7402" max="7402" width="6.375" style="6" customWidth="1"/>
    <col min="7403" max="7403" width="34.25" style="6" customWidth="1"/>
    <col min="7404" max="7404" width="7.375" style="6" customWidth="1"/>
    <col min="7405" max="7405" width="6.375" style="6" customWidth="1"/>
    <col min="7406" max="7406" width="13.125" style="6" customWidth="1"/>
    <col min="7407" max="7407" width="15.375" style="6" customWidth="1"/>
    <col min="7408" max="7408" width="21.25" style="6" customWidth="1"/>
    <col min="7409" max="7657" width="9.125" style="6" customWidth="1"/>
    <col min="7658" max="7658" width="6.375" style="6" customWidth="1"/>
    <col min="7659" max="7659" width="34.25" style="6" customWidth="1"/>
    <col min="7660" max="7660" width="7.375" style="6" customWidth="1"/>
    <col min="7661" max="7661" width="6.375" style="6" customWidth="1"/>
    <col min="7662" max="7662" width="13.125" style="6" customWidth="1"/>
    <col min="7663" max="7663" width="15.375" style="6" customWidth="1"/>
    <col min="7664" max="7664" width="21.25" style="6" customWidth="1"/>
    <col min="7665" max="7913" width="9.125" style="6" customWidth="1"/>
    <col min="7914" max="7914" width="6.375" style="6" customWidth="1"/>
    <col min="7915" max="7915" width="34.25" style="6" customWidth="1"/>
    <col min="7916" max="7916" width="7.375" style="6" customWidth="1"/>
    <col min="7917" max="7917" width="6.375" style="6" customWidth="1"/>
    <col min="7918" max="7918" width="13.125" style="6" customWidth="1"/>
    <col min="7919" max="7919" width="15.375" style="6" customWidth="1"/>
    <col min="7920" max="7920" width="21.25" style="6" customWidth="1"/>
    <col min="7921" max="8169" width="9.125" style="6" customWidth="1"/>
    <col min="8170" max="8170" width="6.375" style="6" customWidth="1"/>
    <col min="8171" max="8171" width="34.25" style="6" customWidth="1"/>
    <col min="8172" max="8172" width="7.375" style="6" customWidth="1"/>
    <col min="8173" max="8173" width="6.375" style="6" customWidth="1"/>
    <col min="8174" max="8174" width="13.125" style="6" customWidth="1"/>
    <col min="8175" max="8175" width="15.375" style="6" customWidth="1"/>
    <col min="8176" max="8176" width="21.25" style="6" customWidth="1"/>
    <col min="8177" max="8425" width="9.125" style="6" customWidth="1"/>
    <col min="8426" max="8426" width="6.375" style="6" customWidth="1"/>
    <col min="8427" max="8427" width="34.25" style="6" customWidth="1"/>
    <col min="8428" max="8428" width="7.375" style="6" customWidth="1"/>
    <col min="8429" max="8429" width="6.375" style="6" customWidth="1"/>
    <col min="8430" max="8430" width="13.125" style="6" customWidth="1"/>
    <col min="8431" max="8431" width="15.375" style="6" customWidth="1"/>
    <col min="8432" max="8432" width="21.25" style="6" customWidth="1"/>
    <col min="8433" max="8681" width="9.125" style="6" customWidth="1"/>
    <col min="8682" max="8682" width="6.375" style="6" customWidth="1"/>
    <col min="8683" max="8683" width="34.25" style="6" customWidth="1"/>
    <col min="8684" max="8684" width="7.375" style="6" customWidth="1"/>
    <col min="8685" max="8685" width="6.375" style="6" customWidth="1"/>
    <col min="8686" max="8686" width="13.125" style="6" customWidth="1"/>
    <col min="8687" max="8687" width="15.375" style="6" customWidth="1"/>
    <col min="8688" max="8688" width="21.25" style="6" customWidth="1"/>
    <col min="8689" max="8937" width="9.125" style="6" customWidth="1"/>
    <col min="8938" max="8938" width="6.375" style="6" customWidth="1"/>
    <col min="8939" max="8939" width="34.25" style="6" customWidth="1"/>
    <col min="8940" max="8940" width="7.375" style="6" customWidth="1"/>
    <col min="8941" max="8941" width="6.375" style="6" customWidth="1"/>
    <col min="8942" max="8942" width="13.125" style="6" customWidth="1"/>
    <col min="8943" max="8943" width="15.375" style="6" customWidth="1"/>
    <col min="8944" max="8944" width="21.25" style="6" customWidth="1"/>
    <col min="8945" max="9193" width="9.125" style="6" customWidth="1"/>
    <col min="9194" max="9194" width="6.375" style="6" customWidth="1"/>
    <col min="9195" max="9195" width="34.25" style="6" customWidth="1"/>
    <col min="9196" max="9196" width="7.375" style="6" customWidth="1"/>
    <col min="9197" max="9197" width="6.375" style="6" customWidth="1"/>
    <col min="9198" max="9198" width="13.125" style="6" customWidth="1"/>
    <col min="9199" max="9199" width="15.375" style="6" customWidth="1"/>
    <col min="9200" max="9200" width="21.25" style="6" customWidth="1"/>
    <col min="9201" max="9449" width="9.125" style="6" customWidth="1"/>
    <col min="9450" max="9450" width="6.375" style="6" customWidth="1"/>
    <col min="9451" max="9451" width="34.25" style="6" customWidth="1"/>
    <col min="9452" max="9452" width="7.375" style="6" customWidth="1"/>
    <col min="9453" max="9453" width="6.375" style="6" customWidth="1"/>
    <col min="9454" max="9454" width="13.125" style="6" customWidth="1"/>
    <col min="9455" max="9455" width="15.375" style="6" customWidth="1"/>
    <col min="9456" max="9456" width="21.25" style="6" customWidth="1"/>
    <col min="9457" max="9705" width="9.125" style="6" customWidth="1"/>
    <col min="9706" max="9706" width="6.375" style="6" customWidth="1"/>
    <col min="9707" max="9707" width="34.25" style="6" customWidth="1"/>
    <col min="9708" max="9708" width="7.375" style="6" customWidth="1"/>
    <col min="9709" max="9709" width="6.375" style="6" customWidth="1"/>
    <col min="9710" max="9710" width="13.125" style="6" customWidth="1"/>
    <col min="9711" max="9711" width="15.375" style="6" customWidth="1"/>
    <col min="9712" max="9712" width="21.25" style="6" customWidth="1"/>
    <col min="9713" max="9961" width="9.125" style="6" customWidth="1"/>
    <col min="9962" max="9962" width="6.375" style="6" customWidth="1"/>
    <col min="9963" max="9963" width="34.25" style="6" customWidth="1"/>
    <col min="9964" max="9964" width="7.375" style="6" customWidth="1"/>
    <col min="9965" max="9965" width="6.375" style="6" customWidth="1"/>
    <col min="9966" max="9966" width="13.125" style="6" customWidth="1"/>
    <col min="9967" max="9967" width="15.375" style="6" customWidth="1"/>
    <col min="9968" max="9968" width="21.25" style="6" customWidth="1"/>
    <col min="9969" max="10217" width="9.125" style="6" customWidth="1"/>
    <col min="10218" max="10218" width="6.375" style="6" customWidth="1"/>
    <col min="10219" max="10219" width="34.25" style="6" customWidth="1"/>
    <col min="10220" max="10220" width="7.375" style="6" customWidth="1"/>
    <col min="10221" max="10221" width="6.375" style="6" customWidth="1"/>
    <col min="10222" max="10222" width="13.125" style="6" customWidth="1"/>
    <col min="10223" max="10223" width="15.375" style="6" customWidth="1"/>
    <col min="10224" max="10224" width="21.25" style="6" customWidth="1"/>
    <col min="10225" max="10473" width="9.125" style="6" customWidth="1"/>
    <col min="10474" max="10474" width="6.375" style="6" customWidth="1"/>
    <col min="10475" max="10475" width="34.25" style="6" customWidth="1"/>
    <col min="10476" max="10476" width="7.375" style="6" customWidth="1"/>
    <col min="10477" max="10477" width="6.375" style="6" customWidth="1"/>
    <col min="10478" max="10478" width="13.125" style="6" customWidth="1"/>
    <col min="10479" max="10479" width="15.375" style="6" customWidth="1"/>
    <col min="10480" max="10480" width="21.25" style="6" customWidth="1"/>
    <col min="10481" max="10729" width="9.125" style="6" customWidth="1"/>
    <col min="10730" max="10730" width="6.375" style="6" customWidth="1"/>
    <col min="10731" max="10731" width="34.25" style="6" customWidth="1"/>
    <col min="10732" max="10732" width="7.375" style="6" customWidth="1"/>
    <col min="10733" max="10733" width="6.375" style="6" customWidth="1"/>
    <col min="10734" max="10734" width="13.125" style="6" customWidth="1"/>
    <col min="10735" max="10735" width="15.375" style="6" customWidth="1"/>
    <col min="10736" max="10736" width="21.25" style="6" customWidth="1"/>
    <col min="10737" max="10985" width="9.125" style="6" customWidth="1"/>
    <col min="10986" max="10986" width="6.375" style="6" customWidth="1"/>
    <col min="10987" max="10987" width="34.25" style="6" customWidth="1"/>
    <col min="10988" max="10988" width="7.375" style="6" customWidth="1"/>
    <col min="10989" max="10989" width="6.375" style="6" customWidth="1"/>
    <col min="10990" max="10990" width="13.125" style="6" customWidth="1"/>
    <col min="10991" max="10991" width="15.375" style="6" customWidth="1"/>
    <col min="10992" max="10992" width="21.25" style="6" customWidth="1"/>
    <col min="10993" max="11241" width="9.125" style="6" customWidth="1"/>
    <col min="11242" max="11242" width="6.375" style="6" customWidth="1"/>
    <col min="11243" max="11243" width="34.25" style="6" customWidth="1"/>
    <col min="11244" max="11244" width="7.375" style="6" customWidth="1"/>
    <col min="11245" max="11245" width="6.375" style="6" customWidth="1"/>
    <col min="11246" max="11246" width="13.125" style="6" customWidth="1"/>
    <col min="11247" max="11247" width="15.375" style="6" customWidth="1"/>
    <col min="11248" max="11248" width="21.25" style="6" customWidth="1"/>
    <col min="11249" max="11497" width="9.125" style="6" customWidth="1"/>
    <col min="11498" max="11498" width="6.375" style="6" customWidth="1"/>
    <col min="11499" max="11499" width="34.25" style="6" customWidth="1"/>
    <col min="11500" max="11500" width="7.375" style="6" customWidth="1"/>
    <col min="11501" max="11501" width="6.375" style="6" customWidth="1"/>
    <col min="11502" max="11502" width="13.125" style="6" customWidth="1"/>
    <col min="11503" max="11503" width="15.375" style="6" customWidth="1"/>
    <col min="11504" max="11504" width="21.25" style="6" customWidth="1"/>
    <col min="11505" max="11753" width="9.125" style="6" customWidth="1"/>
    <col min="11754" max="11754" width="6.375" style="6" customWidth="1"/>
    <col min="11755" max="11755" width="34.25" style="6" customWidth="1"/>
    <col min="11756" max="11756" width="7.375" style="6" customWidth="1"/>
    <col min="11757" max="11757" width="6.375" style="6" customWidth="1"/>
    <col min="11758" max="11758" width="13.125" style="6" customWidth="1"/>
    <col min="11759" max="11759" width="15.375" style="6" customWidth="1"/>
    <col min="11760" max="11760" width="21.25" style="6" customWidth="1"/>
    <col min="11761" max="12009" width="9.125" style="6" customWidth="1"/>
    <col min="12010" max="12010" width="6.375" style="6" customWidth="1"/>
    <col min="12011" max="12011" width="34.25" style="6" customWidth="1"/>
    <col min="12012" max="12012" width="7.375" style="6" customWidth="1"/>
    <col min="12013" max="12013" width="6.375" style="6" customWidth="1"/>
    <col min="12014" max="12014" width="13.125" style="6" customWidth="1"/>
    <col min="12015" max="12015" width="15.375" style="6" customWidth="1"/>
    <col min="12016" max="12016" width="21.25" style="6" customWidth="1"/>
    <col min="12017" max="12265" width="9.125" style="6" customWidth="1"/>
    <col min="12266" max="12266" width="6.375" style="6" customWidth="1"/>
    <col min="12267" max="12267" width="34.25" style="6" customWidth="1"/>
    <col min="12268" max="12268" width="7.375" style="6" customWidth="1"/>
    <col min="12269" max="12269" width="6.375" style="6" customWidth="1"/>
    <col min="12270" max="12270" width="13.125" style="6" customWidth="1"/>
    <col min="12271" max="12271" width="15.375" style="6" customWidth="1"/>
    <col min="12272" max="12272" width="21.25" style="6" customWidth="1"/>
    <col min="12273" max="12521" width="9.125" style="6" customWidth="1"/>
    <col min="12522" max="12522" width="6.375" style="6" customWidth="1"/>
    <col min="12523" max="12523" width="34.25" style="6" customWidth="1"/>
    <col min="12524" max="12524" width="7.375" style="6" customWidth="1"/>
    <col min="12525" max="12525" width="6.375" style="6" customWidth="1"/>
    <col min="12526" max="12526" width="13.125" style="6" customWidth="1"/>
    <col min="12527" max="12527" width="15.375" style="6" customWidth="1"/>
    <col min="12528" max="12528" width="21.25" style="6" customWidth="1"/>
    <col min="12529" max="12777" width="9.125" style="6" customWidth="1"/>
    <col min="12778" max="12778" width="6.375" style="6" customWidth="1"/>
    <col min="12779" max="12779" width="34.25" style="6" customWidth="1"/>
    <col min="12780" max="12780" width="7.375" style="6" customWidth="1"/>
    <col min="12781" max="12781" width="6.375" style="6" customWidth="1"/>
    <col min="12782" max="12782" width="13.125" style="6" customWidth="1"/>
    <col min="12783" max="12783" width="15.375" style="6" customWidth="1"/>
    <col min="12784" max="12784" width="21.25" style="6" customWidth="1"/>
    <col min="12785" max="13033" width="9.125" style="6" customWidth="1"/>
    <col min="13034" max="13034" width="6.375" style="6" customWidth="1"/>
    <col min="13035" max="13035" width="34.25" style="6" customWidth="1"/>
    <col min="13036" max="13036" width="7.375" style="6" customWidth="1"/>
    <col min="13037" max="13037" width="6.375" style="6" customWidth="1"/>
    <col min="13038" max="13038" width="13.125" style="6" customWidth="1"/>
    <col min="13039" max="13039" width="15.375" style="6" customWidth="1"/>
    <col min="13040" max="13040" width="21.25" style="6" customWidth="1"/>
    <col min="13041" max="13289" width="9.125" style="6" customWidth="1"/>
    <col min="13290" max="13290" width="6.375" style="6" customWidth="1"/>
    <col min="13291" max="13291" width="34.25" style="6" customWidth="1"/>
    <col min="13292" max="13292" width="7.375" style="6" customWidth="1"/>
    <col min="13293" max="13293" width="6.375" style="6" customWidth="1"/>
    <col min="13294" max="13294" width="13.125" style="6" customWidth="1"/>
    <col min="13295" max="13295" width="15.375" style="6" customWidth="1"/>
    <col min="13296" max="13296" width="21.25" style="6" customWidth="1"/>
    <col min="13297" max="13545" width="9.125" style="6" customWidth="1"/>
    <col min="13546" max="13546" width="6.375" style="6" customWidth="1"/>
    <col min="13547" max="13547" width="34.25" style="6" customWidth="1"/>
    <col min="13548" max="13548" width="7.375" style="6" customWidth="1"/>
    <col min="13549" max="13549" width="6.375" style="6" customWidth="1"/>
    <col min="13550" max="13550" width="13.125" style="6" customWidth="1"/>
    <col min="13551" max="13551" width="15.375" style="6" customWidth="1"/>
    <col min="13552" max="13552" width="21.25" style="6" customWidth="1"/>
    <col min="13553" max="13801" width="9.125" style="6" customWidth="1"/>
    <col min="13802" max="13802" width="6.375" style="6" customWidth="1"/>
    <col min="13803" max="13803" width="34.25" style="6" customWidth="1"/>
    <col min="13804" max="13804" width="7.375" style="6" customWidth="1"/>
    <col min="13805" max="13805" width="6.375" style="6" customWidth="1"/>
    <col min="13806" max="13806" width="13.125" style="6" customWidth="1"/>
    <col min="13807" max="13807" width="15.375" style="6" customWidth="1"/>
    <col min="13808" max="13808" width="21.25" style="6" customWidth="1"/>
    <col min="13809" max="14057" width="9.125" style="6" customWidth="1"/>
    <col min="14058" max="14058" width="6.375" style="6" customWidth="1"/>
    <col min="14059" max="14059" width="34.25" style="6" customWidth="1"/>
    <col min="14060" max="14060" width="7.375" style="6" customWidth="1"/>
    <col min="14061" max="14061" width="6.375" style="6" customWidth="1"/>
    <col min="14062" max="14062" width="13.125" style="6" customWidth="1"/>
    <col min="14063" max="14063" width="15.375" style="6" customWidth="1"/>
    <col min="14064" max="14064" width="21.25" style="6" customWidth="1"/>
    <col min="14065" max="14313" width="9.125" style="6" customWidth="1"/>
    <col min="14314" max="14314" width="6.375" style="6" customWidth="1"/>
    <col min="14315" max="14315" width="34.25" style="6" customWidth="1"/>
    <col min="14316" max="14316" width="7.375" style="6" customWidth="1"/>
    <col min="14317" max="14317" width="6.375" style="6" customWidth="1"/>
    <col min="14318" max="14318" width="13.125" style="6" customWidth="1"/>
    <col min="14319" max="14319" width="15.375" style="6" customWidth="1"/>
    <col min="14320" max="14320" width="21.25" style="6" customWidth="1"/>
    <col min="14321" max="14569" width="9.125" style="6" customWidth="1"/>
    <col min="14570" max="14570" width="6.375" style="6" customWidth="1"/>
    <col min="14571" max="14571" width="34.25" style="6" customWidth="1"/>
    <col min="14572" max="14572" width="7.375" style="6" customWidth="1"/>
    <col min="14573" max="14573" width="6.375" style="6" customWidth="1"/>
    <col min="14574" max="14574" width="13.125" style="6" customWidth="1"/>
    <col min="14575" max="14575" width="15.375" style="6" customWidth="1"/>
    <col min="14576" max="14576" width="21.25" style="6" customWidth="1"/>
    <col min="14577" max="14825" width="9.125" style="6" customWidth="1"/>
    <col min="14826" max="14826" width="6.375" style="6" customWidth="1"/>
    <col min="14827" max="14827" width="34.25" style="6" customWidth="1"/>
    <col min="14828" max="14828" width="7.375" style="6" customWidth="1"/>
    <col min="14829" max="14829" width="6.375" style="6" customWidth="1"/>
    <col min="14830" max="14830" width="13.125" style="6" customWidth="1"/>
    <col min="14831" max="14831" width="15.375" style="6" customWidth="1"/>
    <col min="14832" max="14832" width="21.25" style="6" customWidth="1"/>
    <col min="14833" max="15081" width="9.125" style="6" customWidth="1"/>
    <col min="15082" max="15082" width="6.375" style="6" customWidth="1"/>
    <col min="15083" max="15083" width="34.25" style="6" customWidth="1"/>
    <col min="15084" max="15084" width="7.375" style="6" customWidth="1"/>
    <col min="15085" max="15085" width="6.375" style="6" customWidth="1"/>
    <col min="15086" max="15086" width="13.125" style="6" customWidth="1"/>
    <col min="15087" max="15087" width="15.375" style="6" customWidth="1"/>
    <col min="15088" max="15088" width="21.25" style="6" customWidth="1"/>
    <col min="15089" max="15337" width="9.125" style="6" customWidth="1"/>
    <col min="15338" max="15338" width="6.375" style="6" customWidth="1"/>
    <col min="15339" max="15339" width="34.25" style="6" customWidth="1"/>
    <col min="15340" max="15340" width="7.375" style="6" customWidth="1"/>
    <col min="15341" max="15341" width="6.375" style="6" customWidth="1"/>
    <col min="15342" max="15342" width="13.125" style="6" customWidth="1"/>
    <col min="15343" max="15343" width="15.375" style="6" customWidth="1"/>
    <col min="15344" max="15344" width="21.25" style="6" customWidth="1"/>
    <col min="15345" max="15593" width="9.125" style="6" customWidth="1"/>
    <col min="15594" max="15594" width="6.375" style="6" customWidth="1"/>
    <col min="15595" max="15595" width="34.25" style="6" customWidth="1"/>
    <col min="15596" max="15596" width="7.375" style="6" customWidth="1"/>
    <col min="15597" max="15597" width="6.375" style="6" customWidth="1"/>
    <col min="15598" max="15598" width="13.125" style="6" customWidth="1"/>
    <col min="15599" max="15599" width="15.375" style="6" customWidth="1"/>
    <col min="15600" max="15600" width="21.25" style="6" customWidth="1"/>
    <col min="15601" max="15849" width="9.125" style="6" customWidth="1"/>
    <col min="15850" max="15850" width="6.375" style="6" customWidth="1"/>
    <col min="15851" max="15851" width="34.25" style="6" customWidth="1"/>
    <col min="15852" max="15852" width="7.375" style="6" customWidth="1"/>
    <col min="15853" max="15853" width="6.375" style="6" customWidth="1"/>
    <col min="15854" max="15854" width="13.125" style="6" customWidth="1"/>
    <col min="15855" max="15855" width="15.375" style="6" customWidth="1"/>
    <col min="15856" max="15856" width="21.25" style="6" customWidth="1"/>
    <col min="15857" max="16105" width="9.125" style="6" customWidth="1"/>
    <col min="16106" max="16106" width="6.375" style="6" customWidth="1"/>
    <col min="16107" max="16107" width="34.25" style="6" customWidth="1"/>
    <col min="16108" max="16108" width="7.375" style="6" customWidth="1"/>
    <col min="16109" max="16109" width="6.375" style="6" customWidth="1"/>
    <col min="16110" max="16110" width="13.125" style="6" customWidth="1"/>
    <col min="16111" max="16111" width="15.375" style="6" customWidth="1"/>
    <col min="16112" max="16112" width="21.25" style="6" customWidth="1"/>
    <col min="16113" max="16384" width="9.125" style="6" customWidth="1"/>
  </cols>
  <sheetData>
    <row r="1" spans="1:17" ht="48" customHeight="1"/>
    <row r="2" spans="1:17" s="1" customFormat="1" ht="51" customHeight="1">
      <c r="A2" s="10" t="s">
        <v>507</v>
      </c>
      <c r="B2" s="11"/>
      <c r="C2" s="12"/>
      <c r="D2" s="11"/>
      <c r="E2" s="14"/>
      <c r="F2" s="14"/>
      <c r="G2" s="86"/>
      <c r="H2" s="156"/>
      <c r="I2" s="156"/>
      <c r="J2" s="15"/>
      <c r="K2" s="15"/>
      <c r="L2" s="15"/>
      <c r="M2" s="15"/>
      <c r="N2" s="15"/>
      <c r="O2" s="199"/>
    </row>
    <row r="3" spans="1:17" ht="26.25" customHeight="1">
      <c r="A3" s="16"/>
      <c r="B3" s="17" t="s">
        <v>440</v>
      </c>
      <c r="C3" s="213"/>
      <c r="D3" s="217"/>
      <c r="E3" s="214"/>
      <c r="F3" s="214"/>
      <c r="G3" s="218"/>
      <c r="H3" s="226"/>
      <c r="I3" s="226"/>
      <c r="J3" s="220"/>
      <c r="K3" s="220"/>
      <c r="L3" s="220"/>
      <c r="M3" s="220"/>
      <c r="N3" s="5"/>
    </row>
    <row r="4" spans="1:17" ht="26.25" customHeight="1">
      <c r="A4" s="18"/>
      <c r="B4" s="5" t="s">
        <v>441</v>
      </c>
      <c r="C4" s="222"/>
      <c r="D4" s="217"/>
      <c r="E4" s="214"/>
      <c r="F4" s="214"/>
      <c r="G4" s="218"/>
      <c r="H4" s="226"/>
      <c r="I4" s="226"/>
      <c r="J4" s="220"/>
      <c r="K4" s="220"/>
      <c r="L4" s="220"/>
      <c r="M4" s="220"/>
      <c r="N4" s="18"/>
    </row>
    <row r="5" spans="1:17" ht="26.25" customHeight="1">
      <c r="A5" s="18"/>
      <c r="B5" s="5" t="s">
        <v>442</v>
      </c>
      <c r="C5" s="216"/>
      <c r="D5" s="217"/>
      <c r="E5" s="214"/>
      <c r="F5" s="214"/>
      <c r="G5" s="218"/>
      <c r="H5" s="226"/>
      <c r="I5" s="226"/>
      <c r="J5" s="220"/>
      <c r="K5" s="220"/>
      <c r="L5" s="220"/>
      <c r="M5" s="220"/>
      <c r="N5" s="17"/>
    </row>
    <row r="6" spans="1:17" ht="26.25" customHeight="1">
      <c r="A6" s="18"/>
      <c r="B6" s="5" t="s">
        <v>443</v>
      </c>
      <c r="C6" s="213" t="str">
        <f>INDEX(總表!$B$9:$B$47,MATCH('4A'!A9,總表!$A$9:$A$48,0))</f>
        <v>Nhà xưởng sản xuất 3
三號生產廠房</v>
      </c>
      <c r="D6" s="217"/>
      <c r="E6" s="214"/>
      <c r="F6" s="214"/>
      <c r="G6" s="218"/>
      <c r="H6" s="226"/>
      <c r="I6" s="226"/>
      <c r="J6" s="220"/>
      <c r="K6" s="220"/>
      <c r="L6" s="220"/>
      <c r="M6" s="220"/>
      <c r="N6" s="5"/>
    </row>
    <row r="7" spans="1:17" ht="26.25" customHeight="1">
      <c r="A7" s="18"/>
      <c r="B7" s="5" t="s">
        <v>444</v>
      </c>
      <c r="C7" s="223" t="s">
        <v>445</v>
      </c>
      <c r="D7" s="224"/>
      <c r="E7" s="224"/>
      <c r="F7" s="224"/>
      <c r="G7" s="224"/>
      <c r="H7" s="224"/>
      <c r="I7" s="224"/>
      <c r="J7" s="224"/>
      <c r="K7" s="224"/>
      <c r="L7" s="224"/>
      <c r="M7" s="224"/>
      <c r="N7" s="18"/>
    </row>
    <row r="8" spans="1:17" s="2" customFormat="1" ht="41.25" customHeight="1">
      <c r="A8" s="19" t="s">
        <v>446</v>
      </c>
      <c r="B8" s="19" t="s">
        <v>508</v>
      </c>
      <c r="C8" s="19" t="s">
        <v>509</v>
      </c>
      <c r="D8" s="19" t="s">
        <v>448</v>
      </c>
      <c r="E8" s="19" t="s">
        <v>449</v>
      </c>
      <c r="F8" s="19"/>
      <c r="G8" s="84" t="s">
        <v>510</v>
      </c>
      <c r="H8" s="157" t="s">
        <v>511</v>
      </c>
      <c r="I8" s="157" t="s">
        <v>512</v>
      </c>
      <c r="J8" s="21" t="s">
        <v>450</v>
      </c>
      <c r="K8" s="21" t="s">
        <v>452</v>
      </c>
      <c r="L8" s="84" t="s">
        <v>513</v>
      </c>
      <c r="M8" s="21" t="s">
        <v>514</v>
      </c>
      <c r="O8" s="200"/>
    </row>
    <row r="9" spans="1:17" s="3" customFormat="1" ht="25.5" customHeight="1">
      <c r="A9" s="22" t="s">
        <v>461</v>
      </c>
      <c r="B9" s="23" t="str">
        <f>C6</f>
        <v>Nhà xưởng sản xuất 3
三號生產廠房</v>
      </c>
      <c r="C9" s="23" t="s">
        <v>515</v>
      </c>
      <c r="D9" s="22"/>
      <c r="E9" s="25"/>
      <c r="F9" s="25"/>
      <c r="G9" s="87"/>
      <c r="H9" s="158">
        <f>_xlfn.XLOOKUP(B9, Rate_Master!$A:$A, Rate_Master!$C:$C, "")</f>
        <v>0</v>
      </c>
      <c r="I9" s="158">
        <f>_xlfn.XLOOKUP(B9, Rate_Master!$A:$A, Rate_Master!$D:$D, "")</f>
        <v>0</v>
      </c>
      <c r="J9" s="26"/>
      <c r="K9" s="26">
        <f>SUBTOTAL(9,K10:K180)</f>
        <v>119341024358.40504</v>
      </c>
      <c r="L9" s="26">
        <f>SUBTOTAL(9,L10:L180)</f>
        <v>134772900342.17699</v>
      </c>
      <c r="M9" s="26"/>
      <c r="N9" s="103"/>
      <c r="O9" s="201"/>
      <c r="P9" s="103"/>
      <c r="Q9" s="2"/>
    </row>
    <row r="10" spans="1:17" s="3" customFormat="1" ht="25.5" customHeight="1">
      <c r="A10" s="22" t="str">
        <f>$A$9&amp;".C"</f>
        <v>4A.C</v>
      </c>
      <c r="B10" s="23" t="s">
        <v>1</v>
      </c>
      <c r="C10" s="23" t="s">
        <v>515</v>
      </c>
      <c r="D10" s="22"/>
      <c r="E10" s="25"/>
      <c r="F10" s="25"/>
      <c r="G10" s="87"/>
      <c r="H10" s="158">
        <f>_xlfn.XLOOKUP(B10, Rate_Master!$A:$A, Rate_Master!$C:$C, "")</f>
        <v>0</v>
      </c>
      <c r="I10" s="158">
        <f>_xlfn.XLOOKUP(B10, Rate_Master!$A:$A, Rate_Master!$D:$D, "")</f>
        <v>0</v>
      </c>
      <c r="J10" s="26"/>
      <c r="K10" s="26"/>
      <c r="L10" s="26"/>
      <c r="M10" s="26"/>
      <c r="O10" s="201"/>
      <c r="Q10" s="2"/>
    </row>
    <row r="11" spans="1:17" s="3" customFormat="1" ht="25.5" customHeight="1">
      <c r="A11" s="22" t="str">
        <f>$A$10&amp;1</f>
        <v>4A.C1</v>
      </c>
      <c r="B11" s="23" t="s">
        <v>2</v>
      </c>
      <c r="C11" s="23" t="s">
        <v>515</v>
      </c>
      <c r="D11" s="22"/>
      <c r="E11" s="25"/>
      <c r="F11" s="25"/>
      <c r="G11" s="87"/>
      <c r="H11" s="158">
        <f>_xlfn.XLOOKUP(B11, Rate_Master!$A:$A, Rate_Master!$C:$C, "")</f>
        <v>0</v>
      </c>
      <c r="I11" s="158">
        <f>_xlfn.XLOOKUP(B11, Rate_Master!$A:$A, Rate_Master!$D:$D, "")</f>
        <v>0</v>
      </c>
      <c r="J11" s="26"/>
      <c r="K11" s="26">
        <f>SUBTOTAL(9,K12:K22)</f>
        <v>19922871399.999996</v>
      </c>
      <c r="L11" s="26">
        <f>SUBTOTAL(9,L12:L22)</f>
        <v>20351146350</v>
      </c>
      <c r="M11" s="26"/>
      <c r="N11" s="103"/>
      <c r="O11" s="201"/>
      <c r="P11" s="103"/>
      <c r="Q11" s="2"/>
    </row>
    <row r="12" spans="1:17" s="4" customFormat="1" ht="25.5" customHeight="1" outlineLevel="1">
      <c r="A12" s="27" t="str">
        <f t="shared" ref="A12:A22" si="0">$A$11&amp;"."&amp;ROW()-ROW($A$11)</f>
        <v>4A.C1.1</v>
      </c>
      <c r="B12" s="28" t="s">
        <v>3</v>
      </c>
      <c r="C12" s="28" t="s">
        <v>515</v>
      </c>
      <c r="D12" s="29" t="s">
        <v>516</v>
      </c>
      <c r="E12" s="31">
        <v>1</v>
      </c>
      <c r="F12" s="31"/>
      <c r="G12" s="36">
        <v>1</v>
      </c>
      <c r="H12" s="159">
        <f>_xlfn.XLOOKUP(B12, Rate_Master!$A:$A, Rate_Master!$C:$C, "")</f>
        <v>0</v>
      </c>
      <c r="I12" s="159">
        <f>_xlfn.XLOOKUP(B12, Rate_Master!$A:$A, Rate_Master!$D:$D, "")</f>
        <v>114999999.99999999</v>
      </c>
      <c r="J12" s="66">
        <f t="shared" ref="J12:J22" si="1">H12+I12</f>
        <v>114999999.99999999</v>
      </c>
      <c r="K12" s="32">
        <f t="shared" ref="K12:K22" si="2">J12*E12</f>
        <v>114999999.99999999</v>
      </c>
      <c r="L12" s="122">
        <f t="shared" ref="L12:L22" si="3">+G12*J12</f>
        <v>114999999.99999999</v>
      </c>
      <c r="M12" s="32"/>
      <c r="N12" s="9"/>
      <c r="O12" s="202"/>
      <c r="P12" s="178"/>
    </row>
    <row r="13" spans="1:17" s="4" customFormat="1" ht="25.5" customHeight="1" outlineLevel="1">
      <c r="A13" s="27" t="str">
        <f t="shared" si="0"/>
        <v>4A.C1.2</v>
      </c>
      <c r="B13" s="28" t="s">
        <v>4</v>
      </c>
      <c r="C13" s="28" t="s">
        <v>515</v>
      </c>
      <c r="D13" s="29" t="s">
        <v>517</v>
      </c>
      <c r="E13" s="31">
        <v>384</v>
      </c>
      <c r="F13" s="31"/>
      <c r="G13" s="36">
        <v>384</v>
      </c>
      <c r="H13" s="159">
        <f>_xlfn.XLOOKUP(B13, Rate_Master!$A:$A, Rate_Master!$C:$C, "")</f>
        <v>425499.99999999994</v>
      </c>
      <c r="I13" s="159">
        <f>_xlfn.XLOOKUP(B13, Rate_Master!$A:$A, Rate_Master!$D:$D, "")</f>
        <v>0</v>
      </c>
      <c r="J13" s="66">
        <f t="shared" si="1"/>
        <v>425499.99999999994</v>
      </c>
      <c r="K13" s="32">
        <f t="shared" si="2"/>
        <v>163391999.99999997</v>
      </c>
      <c r="L13" s="122">
        <f t="shared" si="3"/>
        <v>163391999.99999997</v>
      </c>
      <c r="M13" s="32"/>
      <c r="N13" s="9"/>
      <c r="O13" s="202"/>
      <c r="P13" s="178"/>
    </row>
    <row r="14" spans="1:17" s="4" customFormat="1" ht="25.5" customHeight="1" outlineLevel="1">
      <c r="A14" s="27" t="str">
        <f t="shared" si="0"/>
        <v>4A.C1.3</v>
      </c>
      <c r="B14" s="28" t="s">
        <v>5</v>
      </c>
      <c r="C14" s="28" t="s">
        <v>515</v>
      </c>
      <c r="D14" s="29" t="s">
        <v>517</v>
      </c>
      <c r="E14" s="31">
        <v>352</v>
      </c>
      <c r="F14" s="31"/>
      <c r="G14" s="36">
        <v>384</v>
      </c>
      <c r="H14" s="159">
        <f>_xlfn.XLOOKUP(B14, Rate_Master!$A:$A, Rate_Master!$C:$C, "")</f>
        <v>0</v>
      </c>
      <c r="I14" s="159">
        <f>_xlfn.XLOOKUP(B14, Rate_Master!$A:$A, Rate_Master!$D:$D, "")</f>
        <v>69000</v>
      </c>
      <c r="J14" s="66">
        <f t="shared" si="1"/>
        <v>69000</v>
      </c>
      <c r="K14" s="32">
        <f t="shared" si="2"/>
        <v>24288000</v>
      </c>
      <c r="L14" s="122">
        <f t="shared" si="3"/>
        <v>26496000</v>
      </c>
      <c r="M14" s="32"/>
      <c r="N14" s="9"/>
      <c r="O14" s="202"/>
      <c r="P14" s="178"/>
    </row>
    <row r="15" spans="1:17" s="4" customFormat="1" ht="25.5" customHeight="1" outlineLevel="1">
      <c r="A15" s="27" t="str">
        <f t="shared" si="0"/>
        <v>4A.C1.4</v>
      </c>
      <c r="B15" s="28" t="s">
        <v>6</v>
      </c>
      <c r="C15" s="28" t="s">
        <v>515</v>
      </c>
      <c r="D15" s="29" t="s">
        <v>517</v>
      </c>
      <c r="E15" s="31">
        <v>368</v>
      </c>
      <c r="F15" s="31"/>
      <c r="G15" s="36">
        <v>384</v>
      </c>
      <c r="H15" s="159">
        <f>_xlfn.XLOOKUP(B15, Rate_Master!$A:$A, Rate_Master!$C:$C, "")</f>
        <v>0</v>
      </c>
      <c r="I15" s="159">
        <f>_xlfn.XLOOKUP(B15, Rate_Master!$A:$A, Rate_Master!$D:$D, "")</f>
        <v>57499.999999999993</v>
      </c>
      <c r="J15" s="66">
        <f t="shared" si="1"/>
        <v>57499.999999999993</v>
      </c>
      <c r="K15" s="32">
        <f t="shared" si="2"/>
        <v>21159999.999999996</v>
      </c>
      <c r="L15" s="122">
        <f t="shared" si="3"/>
        <v>22079999.999999996</v>
      </c>
      <c r="M15" s="32"/>
      <c r="N15" s="9"/>
      <c r="O15" s="202"/>
      <c r="P15" s="178"/>
    </row>
    <row r="16" spans="1:17" s="4" customFormat="1" ht="102" customHeight="1" outlineLevel="1">
      <c r="A16" s="27" t="str">
        <f t="shared" si="0"/>
        <v>4A.C1.5</v>
      </c>
      <c r="B16" s="28" t="s">
        <v>7</v>
      </c>
      <c r="C16" s="28" t="s">
        <v>515</v>
      </c>
      <c r="D16" s="29" t="s">
        <v>518</v>
      </c>
      <c r="E16" s="31">
        <v>16</v>
      </c>
      <c r="F16" s="31"/>
      <c r="G16" s="36">
        <v>16</v>
      </c>
      <c r="H16" s="159">
        <f>_xlfn.XLOOKUP(B16, Rate_Master!$A:$A, Rate_Master!$C:$C, "")</f>
        <v>0</v>
      </c>
      <c r="I16" s="159">
        <f>_xlfn.XLOOKUP(B16, Rate_Master!$A:$A, Rate_Master!$D:$D, "")</f>
        <v>13799999.999999998</v>
      </c>
      <c r="J16" s="66">
        <f t="shared" si="1"/>
        <v>13799999.999999998</v>
      </c>
      <c r="K16" s="32">
        <f t="shared" si="2"/>
        <v>220799999.99999997</v>
      </c>
      <c r="L16" s="122">
        <f t="shared" si="3"/>
        <v>220799999.99999997</v>
      </c>
      <c r="M16" s="32"/>
      <c r="N16" s="9"/>
      <c r="O16" s="202"/>
      <c r="P16" s="178"/>
    </row>
    <row r="17" spans="1:17" s="4" customFormat="1" ht="25.5" customHeight="1" outlineLevel="1">
      <c r="A17" s="27" t="str">
        <f t="shared" si="0"/>
        <v>4A.C1.6</v>
      </c>
      <c r="B17" s="28" t="s">
        <v>8</v>
      </c>
      <c r="C17" s="28" t="s">
        <v>515</v>
      </c>
      <c r="D17" s="29" t="s">
        <v>518</v>
      </c>
      <c r="E17" s="31">
        <v>317</v>
      </c>
      <c r="F17" s="31"/>
      <c r="G17" s="36">
        <v>384</v>
      </c>
      <c r="H17" s="159">
        <f>_xlfn.XLOOKUP(B17, Rate_Master!$A:$A, Rate_Master!$C:$C, "")</f>
        <v>0</v>
      </c>
      <c r="I17" s="159">
        <f>_xlfn.XLOOKUP(B17, Rate_Master!$A:$A, Rate_Master!$D:$D, "")</f>
        <v>252999.99999999997</v>
      </c>
      <c r="J17" s="66">
        <f t="shared" si="1"/>
        <v>252999.99999999997</v>
      </c>
      <c r="K17" s="32">
        <f t="shared" si="2"/>
        <v>80200999.999999985</v>
      </c>
      <c r="L17" s="122">
        <f t="shared" si="3"/>
        <v>97151999.999999985</v>
      </c>
      <c r="M17" s="32"/>
      <c r="N17" s="9"/>
      <c r="O17" s="202"/>
      <c r="P17" s="178"/>
    </row>
    <row r="18" spans="1:17" s="4" customFormat="1" ht="25.5" customHeight="1" outlineLevel="1">
      <c r="A18" s="27" t="str">
        <f t="shared" si="0"/>
        <v>4A.C1.7</v>
      </c>
      <c r="B18" s="28" t="s">
        <v>9</v>
      </c>
      <c r="C18" s="28" t="s">
        <v>515</v>
      </c>
      <c r="D18" s="29" t="s">
        <v>517</v>
      </c>
      <c r="E18" s="31">
        <v>34408</v>
      </c>
      <c r="F18" s="31"/>
      <c r="G18" s="36">
        <v>34694</v>
      </c>
      <c r="H18" s="159">
        <f>_xlfn.XLOOKUP(B18, Rate_Master!$A:$A, Rate_Master!$C:$C, "")</f>
        <v>402499.99999999994</v>
      </c>
      <c r="I18" s="159">
        <f>_xlfn.XLOOKUP(B18, Rate_Master!$A:$A, Rate_Master!$D:$D, "")</f>
        <v>0</v>
      </c>
      <c r="J18" s="66">
        <f t="shared" si="1"/>
        <v>402499.99999999994</v>
      </c>
      <c r="K18" s="32">
        <f t="shared" si="2"/>
        <v>13849219999.999998</v>
      </c>
      <c r="L18" s="122">
        <f t="shared" si="3"/>
        <v>13964334999.999998</v>
      </c>
      <c r="M18" s="32"/>
      <c r="N18" s="9"/>
      <c r="O18" s="202"/>
      <c r="P18" s="178"/>
    </row>
    <row r="19" spans="1:17" s="4" customFormat="1" ht="25.5" customHeight="1" outlineLevel="1">
      <c r="A19" s="27" t="str">
        <f t="shared" si="0"/>
        <v>4A.C1.8</v>
      </c>
      <c r="B19" s="28" t="s">
        <v>10</v>
      </c>
      <c r="C19" s="28" t="s">
        <v>515</v>
      </c>
      <c r="D19" s="29" t="s">
        <v>518</v>
      </c>
      <c r="E19" s="31">
        <v>1580</v>
      </c>
      <c r="F19" s="31"/>
      <c r="G19" s="36">
        <v>1593</v>
      </c>
      <c r="H19" s="159">
        <f>_xlfn.XLOOKUP(B19, Rate_Master!$A:$A, Rate_Master!$C:$C, "")</f>
        <v>80500</v>
      </c>
      <c r="I19" s="159">
        <f>_xlfn.XLOOKUP(B19, Rate_Master!$A:$A, Rate_Master!$D:$D, "")</f>
        <v>0</v>
      </c>
      <c r="J19" s="66">
        <f t="shared" si="1"/>
        <v>80500</v>
      </c>
      <c r="K19" s="32">
        <f t="shared" si="2"/>
        <v>127190000</v>
      </c>
      <c r="L19" s="122">
        <f t="shared" si="3"/>
        <v>128236500</v>
      </c>
      <c r="M19" s="32"/>
      <c r="N19" s="9"/>
      <c r="O19" s="202"/>
      <c r="P19" s="178"/>
    </row>
    <row r="20" spans="1:17" s="4" customFormat="1" ht="25.5" customHeight="1" outlineLevel="1">
      <c r="A20" s="27" t="str">
        <f t="shared" si="0"/>
        <v>4A.C1.9</v>
      </c>
      <c r="B20" s="28" t="s">
        <v>11</v>
      </c>
      <c r="C20" s="28" t="s">
        <v>515</v>
      </c>
      <c r="D20" s="29" t="s">
        <v>517</v>
      </c>
      <c r="E20" s="31">
        <v>33313.599999999999</v>
      </c>
      <c r="F20" s="31"/>
      <c r="G20" s="36">
        <v>36266.9</v>
      </c>
      <c r="H20" s="159">
        <f>_xlfn.XLOOKUP(B20, Rate_Master!$A:$A, Rate_Master!$C:$C, "")</f>
        <v>0</v>
      </c>
      <c r="I20" s="159">
        <f>_xlfn.XLOOKUP(B20, Rate_Master!$A:$A, Rate_Master!$D:$D, "")</f>
        <v>69000</v>
      </c>
      <c r="J20" s="66">
        <f t="shared" si="1"/>
        <v>69000</v>
      </c>
      <c r="K20" s="32">
        <f t="shared" si="2"/>
        <v>2298638400</v>
      </c>
      <c r="L20" s="122">
        <f t="shared" si="3"/>
        <v>2502416100</v>
      </c>
      <c r="M20" s="32"/>
      <c r="N20" s="9"/>
      <c r="O20" s="202"/>
      <c r="P20" s="178"/>
    </row>
    <row r="21" spans="1:17" s="4" customFormat="1" ht="25.5" customHeight="1" outlineLevel="1">
      <c r="A21" s="27" t="str">
        <f t="shared" si="0"/>
        <v>4A.C1.10</v>
      </c>
      <c r="B21" s="28" t="s">
        <v>12</v>
      </c>
      <c r="C21" s="28" t="s">
        <v>515</v>
      </c>
      <c r="D21" s="29" t="s">
        <v>517</v>
      </c>
      <c r="E21" s="31">
        <v>34877.599999999999</v>
      </c>
      <c r="F21" s="31"/>
      <c r="G21" s="36">
        <v>36266.9</v>
      </c>
      <c r="H21" s="159">
        <f>_xlfn.XLOOKUP(B21, Rate_Master!$A:$A, Rate_Master!$C:$C, "")</f>
        <v>0</v>
      </c>
      <c r="I21" s="159">
        <f>_xlfn.XLOOKUP(B21, Rate_Master!$A:$A, Rate_Master!$D:$D, "")</f>
        <v>57499.999999999993</v>
      </c>
      <c r="J21" s="66">
        <f t="shared" si="1"/>
        <v>57499.999999999993</v>
      </c>
      <c r="K21" s="32">
        <f t="shared" si="2"/>
        <v>2005461999.9999998</v>
      </c>
      <c r="L21" s="122">
        <f t="shared" si="3"/>
        <v>2085346749.9999998</v>
      </c>
      <c r="M21" s="32"/>
      <c r="N21" s="9"/>
      <c r="O21" s="202"/>
      <c r="P21" s="178"/>
    </row>
    <row r="22" spans="1:17" s="4" customFormat="1" ht="51" customHeight="1" outlineLevel="1">
      <c r="A22" s="27" t="str">
        <f t="shared" si="0"/>
        <v>4A.C1.11</v>
      </c>
      <c r="B22" s="28" t="s">
        <v>13</v>
      </c>
      <c r="C22" s="28" t="s">
        <v>515</v>
      </c>
      <c r="D22" s="29" t="s">
        <v>518</v>
      </c>
      <c r="E22" s="31">
        <v>1580</v>
      </c>
      <c r="F22" s="31"/>
      <c r="G22" s="36">
        <v>1593</v>
      </c>
      <c r="H22" s="159">
        <f>_xlfn.XLOOKUP(B22, Rate_Master!$A:$A, Rate_Master!$C:$C, "")</f>
        <v>482999.99999999994</v>
      </c>
      <c r="I22" s="159">
        <f>_xlfn.XLOOKUP(B22, Rate_Master!$A:$A, Rate_Master!$D:$D, "")</f>
        <v>161000</v>
      </c>
      <c r="J22" s="66">
        <f t="shared" si="1"/>
        <v>644000</v>
      </c>
      <c r="K22" s="32">
        <f t="shared" si="2"/>
        <v>1017520000</v>
      </c>
      <c r="L22" s="122">
        <f t="shared" si="3"/>
        <v>1025892000</v>
      </c>
      <c r="M22" s="32"/>
      <c r="N22" s="9"/>
      <c r="O22" s="202"/>
      <c r="P22" s="178"/>
    </row>
    <row r="23" spans="1:17" s="3" customFormat="1" ht="25.5" customHeight="1">
      <c r="A23" s="22" t="str">
        <f>$A$10&amp;2</f>
        <v>4A.C2</v>
      </c>
      <c r="B23" s="23" t="s">
        <v>14</v>
      </c>
      <c r="C23" s="23" t="s">
        <v>515</v>
      </c>
      <c r="D23" s="22"/>
      <c r="E23" s="25"/>
      <c r="F23" s="25"/>
      <c r="G23" s="87"/>
      <c r="H23" s="158">
        <f>_xlfn.XLOOKUP(B23, Rate_Master!$A:$A, Rate_Master!$C:$C, "")</f>
        <v>0</v>
      </c>
      <c r="I23" s="158">
        <f>_xlfn.XLOOKUP(B23, Rate_Master!$A:$A, Rate_Master!$D:$D, "")</f>
        <v>0</v>
      </c>
      <c r="J23" s="26"/>
      <c r="K23" s="26">
        <f>SUBTOTAL(9,K24:K31)</f>
        <v>5121178867.8249998</v>
      </c>
      <c r="L23" s="26">
        <f>SUBTOTAL(9,L24:L31)</f>
        <v>5738737699.25</v>
      </c>
      <c r="M23" s="26"/>
      <c r="N23" s="166"/>
      <c r="O23" s="201"/>
      <c r="Q23" s="175"/>
    </row>
    <row r="24" spans="1:17" s="4" customFormat="1" ht="25.5" customHeight="1" outlineLevel="1">
      <c r="A24" s="27" t="str">
        <f t="shared" ref="A24:A31" si="4">$A$23&amp;"."&amp;ROW()-ROW($A$23)</f>
        <v>4A.C2.1</v>
      </c>
      <c r="B24" s="28" t="s">
        <v>15</v>
      </c>
      <c r="C24" s="28" t="s">
        <v>515</v>
      </c>
      <c r="D24" s="29" t="s">
        <v>519</v>
      </c>
      <c r="E24" s="31">
        <v>5123.4049999999997</v>
      </c>
      <c r="F24" s="31"/>
      <c r="G24" s="36">
        <v>7482.07</v>
      </c>
      <c r="H24" s="142">
        <f>_xlfn.XLOOKUP(B24, Rate_Master!$A:$A, Rate_Master!$C:$C, "")</f>
        <v>0</v>
      </c>
      <c r="I24" s="142">
        <f>_xlfn.XLOOKUP(B24, Rate_Master!$A:$A, Rate_Master!$D:$D, "")</f>
        <v>32199.999999999996</v>
      </c>
      <c r="J24" s="66">
        <f t="shared" ref="J24:J31" si="5">H24+I24</f>
        <v>32199.999999999996</v>
      </c>
      <c r="K24" s="32">
        <f t="shared" ref="K24:K31" si="6">J24*E24</f>
        <v>164973640.99999997</v>
      </c>
      <c r="L24" s="122">
        <f t="shared" ref="L24:L31" si="7">+G24*J24</f>
        <v>240922653.99999997</v>
      </c>
      <c r="M24" s="32"/>
      <c r="N24" s="9"/>
      <c r="O24" s="202"/>
      <c r="P24" s="178"/>
      <c r="Q24" s="176"/>
    </row>
    <row r="25" spans="1:17" s="4" customFormat="1" ht="25.5" customHeight="1" outlineLevel="1">
      <c r="A25" s="27" t="str">
        <f t="shared" si="4"/>
        <v>4A.C2.2</v>
      </c>
      <c r="B25" s="28" t="s">
        <v>16</v>
      </c>
      <c r="C25" s="28" t="s">
        <v>515</v>
      </c>
      <c r="D25" s="29" t="s">
        <v>520</v>
      </c>
      <c r="E25" s="31">
        <v>5414.0640000000003</v>
      </c>
      <c r="F25" s="31"/>
      <c r="G25" s="36">
        <v>5546.72</v>
      </c>
      <c r="H25" s="142">
        <f>_xlfn.XLOOKUP(B25, Rate_Master!$A:$A, Rate_Master!$C:$C, "")</f>
        <v>0</v>
      </c>
      <c r="I25" s="142">
        <f>_xlfn.XLOOKUP(B25, Rate_Master!$A:$A, Rate_Master!$D:$D, "")</f>
        <v>17250</v>
      </c>
      <c r="J25" s="66">
        <f t="shared" si="5"/>
        <v>17250</v>
      </c>
      <c r="K25" s="32">
        <f t="shared" si="6"/>
        <v>93392604</v>
      </c>
      <c r="L25" s="122">
        <f t="shared" si="7"/>
        <v>95680920</v>
      </c>
      <c r="M25" s="32"/>
      <c r="N25" s="9"/>
      <c r="O25" s="202"/>
      <c r="P25" s="178"/>
    </row>
    <row r="26" spans="1:17" s="4" customFormat="1" ht="25.5" customHeight="1" outlineLevel="1">
      <c r="A26" s="27" t="str">
        <f t="shared" si="4"/>
        <v>4A.C2.3</v>
      </c>
      <c r="B26" s="28" t="s">
        <v>17</v>
      </c>
      <c r="C26" s="28" t="s">
        <v>515</v>
      </c>
      <c r="D26" s="29" t="s">
        <v>519</v>
      </c>
      <c r="E26" s="31">
        <v>3334.038</v>
      </c>
      <c r="F26" s="31"/>
      <c r="G26" s="36">
        <v>3941.73</v>
      </c>
      <c r="H26" s="142">
        <f>_xlfn.XLOOKUP(B26, Rate_Master!$A:$A, Rate_Master!$C:$C, "")</f>
        <v>0</v>
      </c>
      <c r="I26" s="142">
        <f>_xlfn.XLOOKUP(B26, Rate_Master!$A:$A, Rate_Master!$D:$D, "")</f>
        <v>37950</v>
      </c>
      <c r="J26" s="66">
        <f t="shared" si="5"/>
        <v>37950</v>
      </c>
      <c r="K26" s="32">
        <f t="shared" si="6"/>
        <v>126526742.09999999</v>
      </c>
      <c r="L26" s="122">
        <f t="shared" si="7"/>
        <v>149588653.5</v>
      </c>
      <c r="M26" s="32"/>
      <c r="N26" s="9"/>
      <c r="O26" s="202"/>
      <c r="P26" s="178"/>
    </row>
    <row r="27" spans="1:17" s="4" customFormat="1" ht="25.5" customHeight="1" outlineLevel="1">
      <c r="A27" s="27" t="str">
        <f t="shared" si="4"/>
        <v>4A.C2.4</v>
      </c>
      <c r="B27" s="34" t="s">
        <v>18</v>
      </c>
      <c r="C27" s="34" t="s">
        <v>521</v>
      </c>
      <c r="D27" s="29" t="s">
        <v>519</v>
      </c>
      <c r="E27" s="31">
        <v>1789.366</v>
      </c>
      <c r="F27" s="31"/>
      <c r="G27" s="36">
        <v>3540.34</v>
      </c>
      <c r="H27" s="142">
        <f>_xlfn.XLOOKUP(B27, Rate_Master!$A:$A, Rate_Master!$C:$C, "")</f>
        <v>0</v>
      </c>
      <c r="I27" s="142">
        <f>_xlfn.XLOOKUP(B27, Rate_Master!$A:$A, Rate_Master!$D:$D, "")</f>
        <v>32199.999999999996</v>
      </c>
      <c r="J27" s="66">
        <f t="shared" si="5"/>
        <v>32199.999999999996</v>
      </c>
      <c r="K27" s="32">
        <f t="shared" si="6"/>
        <v>57617585.199999996</v>
      </c>
      <c r="L27" s="122">
        <f t="shared" si="7"/>
        <v>113998947.99999999</v>
      </c>
      <c r="M27" s="32"/>
      <c r="N27" s="9"/>
      <c r="O27" s="202"/>
      <c r="P27" s="178"/>
      <c r="Q27" s="176"/>
    </row>
    <row r="28" spans="1:17" s="4" customFormat="1" ht="25.5" customHeight="1" outlineLevel="1">
      <c r="A28" s="27" t="str">
        <f t="shared" si="4"/>
        <v>4A.C2.5</v>
      </c>
      <c r="B28" s="28" t="s">
        <v>19</v>
      </c>
      <c r="C28" s="28" t="s">
        <v>515</v>
      </c>
      <c r="D28" s="29" t="s">
        <v>520</v>
      </c>
      <c r="E28" s="31">
        <v>5414.0640000000003</v>
      </c>
      <c r="F28" s="31"/>
      <c r="G28" s="36">
        <v>5546.72</v>
      </c>
      <c r="H28" s="142">
        <f>_xlfn.XLOOKUP(B28, Rate_Master!$A:$A, Rate_Master!$C:$C, "")</f>
        <v>6899.9999999999991</v>
      </c>
      <c r="I28" s="142">
        <f>_xlfn.XLOOKUP(B28, Rate_Master!$A:$A, Rate_Master!$D:$D, "")</f>
        <v>1724.9999999999998</v>
      </c>
      <c r="J28" s="66">
        <f t="shared" si="5"/>
        <v>8624.9999999999982</v>
      </c>
      <c r="K28" s="32">
        <f t="shared" si="6"/>
        <v>46696301.999999993</v>
      </c>
      <c r="L28" s="122">
        <f t="shared" si="7"/>
        <v>47840459.999999993</v>
      </c>
      <c r="M28" s="32"/>
      <c r="N28" s="9"/>
      <c r="O28" s="202"/>
      <c r="P28" s="178"/>
    </row>
    <row r="29" spans="1:17" s="4" customFormat="1" ht="38.25" customHeight="1" outlineLevel="1">
      <c r="A29" s="27" t="str">
        <f t="shared" si="4"/>
        <v>4A.C2.6</v>
      </c>
      <c r="B29" s="28" t="s">
        <v>20</v>
      </c>
      <c r="C29" s="28" t="s">
        <v>515</v>
      </c>
      <c r="D29" s="29" t="s">
        <v>520</v>
      </c>
      <c r="E29" s="31">
        <v>17101.829000000002</v>
      </c>
      <c r="F29" s="31"/>
      <c r="G29" s="36">
        <v>18883.23</v>
      </c>
      <c r="H29" s="142">
        <f>_xlfn.XLOOKUP(B29, Rate_Master!$A:$A, Rate_Master!$C:$C, "")</f>
        <v>34500</v>
      </c>
      <c r="I29" s="142">
        <f>_xlfn.XLOOKUP(B29, Rate_Master!$A:$A, Rate_Master!$D:$D, "")</f>
        <v>5750</v>
      </c>
      <c r="J29" s="66">
        <f t="shared" si="5"/>
        <v>40250</v>
      </c>
      <c r="K29" s="32">
        <f t="shared" si="6"/>
        <v>688348617.25000012</v>
      </c>
      <c r="L29" s="122">
        <f t="shared" si="7"/>
        <v>760050007.5</v>
      </c>
      <c r="M29" s="32"/>
      <c r="N29" s="9"/>
      <c r="O29" s="202"/>
      <c r="P29" s="178"/>
    </row>
    <row r="30" spans="1:17" s="4" customFormat="1" ht="25.5" customHeight="1" outlineLevel="1">
      <c r="A30" s="27" t="str">
        <f t="shared" si="4"/>
        <v>4A.C2.7</v>
      </c>
      <c r="B30" s="34" t="s">
        <v>21</v>
      </c>
      <c r="C30" s="28" t="s">
        <v>515</v>
      </c>
      <c r="D30" s="29" t="s">
        <v>520</v>
      </c>
      <c r="E30" s="31">
        <v>17101.829000000002</v>
      </c>
      <c r="F30" s="31"/>
      <c r="G30" s="36">
        <v>18883.23</v>
      </c>
      <c r="H30" s="142">
        <f>_xlfn.XLOOKUP(B30, Rate_Master!$A:$A, Rate_Master!$C:$C, "")</f>
        <v>0</v>
      </c>
      <c r="I30" s="142">
        <f>_xlfn.XLOOKUP(B30, Rate_Master!$A:$A, Rate_Master!$D:$D, "")</f>
        <v>13799.999999999998</v>
      </c>
      <c r="J30" s="32">
        <f t="shared" si="5"/>
        <v>13799.999999999998</v>
      </c>
      <c r="K30" s="32">
        <f t="shared" si="6"/>
        <v>236005240.19999999</v>
      </c>
      <c r="L30" s="122">
        <f t="shared" si="7"/>
        <v>260588573.99999997</v>
      </c>
      <c r="M30" s="32"/>
      <c r="N30" s="9"/>
      <c r="O30" s="202"/>
      <c r="P30" s="178"/>
    </row>
    <row r="31" spans="1:17" s="4" customFormat="1" ht="25.5" customHeight="1" outlineLevel="1">
      <c r="A31" s="27" t="str">
        <f t="shared" si="4"/>
        <v>4A.C2.8</v>
      </c>
      <c r="B31" s="28" t="s">
        <v>22</v>
      </c>
      <c r="C31" s="28" t="s">
        <v>515</v>
      </c>
      <c r="D31" s="29" t="s">
        <v>519</v>
      </c>
      <c r="E31" s="31">
        <v>6020.5709999999999</v>
      </c>
      <c r="F31" s="31"/>
      <c r="G31" s="36">
        <v>6609.13</v>
      </c>
      <c r="H31" s="142">
        <f>_xlfn.XLOOKUP(B31, Rate_Master!$A:$A, Rate_Master!$C:$C, "")</f>
        <v>512325</v>
      </c>
      <c r="I31" s="142">
        <f>_xlfn.XLOOKUP(B31, Rate_Master!$A:$A, Rate_Master!$D:$D, "")</f>
        <v>103499.99999999999</v>
      </c>
      <c r="J31" s="66">
        <f t="shared" si="5"/>
        <v>615825</v>
      </c>
      <c r="K31" s="32">
        <f t="shared" si="6"/>
        <v>3707618136.0749998</v>
      </c>
      <c r="L31" s="122">
        <f t="shared" si="7"/>
        <v>4070067482.25</v>
      </c>
      <c r="M31" s="32"/>
      <c r="N31" s="9"/>
      <c r="O31" s="202"/>
      <c r="P31" s="178"/>
    </row>
    <row r="32" spans="1:17" s="3" customFormat="1" ht="25.5" customHeight="1">
      <c r="A32" s="22" t="str">
        <f>$A$10&amp;3</f>
        <v>4A.C3</v>
      </c>
      <c r="B32" s="23" t="s">
        <v>23</v>
      </c>
      <c r="C32" s="23" t="s">
        <v>515</v>
      </c>
      <c r="D32" s="22"/>
      <c r="E32" s="25"/>
      <c r="F32" s="25"/>
      <c r="G32" s="87"/>
      <c r="H32" s="158">
        <f>_xlfn.XLOOKUP(B32, Rate_Master!$A:$A, Rate_Master!$C:$C, "")</f>
        <v>0</v>
      </c>
      <c r="I32" s="158">
        <f>_xlfn.XLOOKUP(B32, Rate_Master!$A:$A, Rate_Master!$D:$D, "")</f>
        <v>0</v>
      </c>
      <c r="J32" s="26"/>
      <c r="K32" s="26">
        <f>SUBTOTAL(9,K33:K39)</f>
        <v>15989190908.423611</v>
      </c>
      <c r="L32" s="26">
        <f>SUBTOTAL(9,L33:L39)</f>
        <v>16861565024.208332</v>
      </c>
      <c r="M32" s="26"/>
      <c r="N32" s="166"/>
      <c r="O32" s="201"/>
      <c r="Q32" s="175"/>
    </row>
    <row r="33" spans="1:17" s="4" customFormat="1" ht="25.5" customHeight="1" outlineLevel="1">
      <c r="A33" s="27" t="str">
        <f t="shared" ref="A33:A39" si="8">$A$32&amp;"."&amp;ROW()-ROW($A$32)</f>
        <v>4A.C3.1</v>
      </c>
      <c r="B33" s="28" t="s">
        <v>24</v>
      </c>
      <c r="C33" s="28" t="s">
        <v>515</v>
      </c>
      <c r="D33" s="29" t="s">
        <v>519</v>
      </c>
      <c r="E33" s="31">
        <v>542.43700000000001</v>
      </c>
      <c r="F33" s="31"/>
      <c r="G33" s="36">
        <v>554.66999999999996</v>
      </c>
      <c r="H33" s="142">
        <f>_xlfn.XLOOKUP(B33, Rate_Master!$A:$A, Rate_Master!$C:$C, "")</f>
        <v>1249762.5</v>
      </c>
      <c r="I33" s="142">
        <f>_xlfn.XLOOKUP(B33, Rate_Master!$A:$A, Rate_Master!$D:$D, "")</f>
        <v>206999.99999999997</v>
      </c>
      <c r="J33" s="66">
        <f t="shared" ref="J33:J39" si="9">+I33+H33</f>
        <v>1456762.5</v>
      </c>
      <c r="K33" s="32">
        <f t="shared" ref="K33:K39" si="10">J33*E33</f>
        <v>790201880.21249998</v>
      </c>
      <c r="L33" s="122">
        <f t="shared" ref="L33:L39" si="11">+G33*J33</f>
        <v>808022455.875</v>
      </c>
      <c r="M33" s="32"/>
      <c r="N33" s="9"/>
      <c r="O33" s="202"/>
      <c r="P33" s="178"/>
    </row>
    <row r="34" spans="1:17" s="4" customFormat="1" ht="59.25" customHeight="1" outlineLevel="1">
      <c r="A34" s="27" t="str">
        <f t="shared" si="8"/>
        <v>4A.C3.2</v>
      </c>
      <c r="B34" s="28" t="s">
        <v>25</v>
      </c>
      <c r="C34" s="28" t="s">
        <v>515</v>
      </c>
      <c r="D34" s="29" t="s">
        <v>519</v>
      </c>
      <c r="E34" s="31">
        <v>8322.0210000000006</v>
      </c>
      <c r="F34" s="31"/>
      <c r="G34" s="36">
        <v>8493.2800000000007</v>
      </c>
      <c r="H34" s="142">
        <f>_xlfn.XLOOKUP(B34, Rate_Master!$A:$A, Rate_Master!$C:$C, "")</f>
        <v>1607444.4444444443</v>
      </c>
      <c r="I34" s="142">
        <f>_xlfn.XLOOKUP(B34, Rate_Master!$A:$A, Rate_Master!$D:$D, "")</f>
        <v>149500</v>
      </c>
      <c r="J34" s="66">
        <f t="shared" si="9"/>
        <v>1756944.4444444443</v>
      </c>
      <c r="K34" s="32">
        <f t="shared" si="10"/>
        <v>14621328562.5</v>
      </c>
      <c r="L34" s="122">
        <f t="shared" si="11"/>
        <v>14922221111.111111</v>
      </c>
      <c r="M34" s="32"/>
      <c r="N34" s="9"/>
      <c r="O34" s="202"/>
      <c r="P34" s="178"/>
    </row>
    <row r="35" spans="1:17" s="4" customFormat="1" ht="25.5" customHeight="1" outlineLevel="1">
      <c r="A35" s="27" t="str">
        <f t="shared" si="8"/>
        <v>4A.C3.3</v>
      </c>
      <c r="B35" s="28" t="s">
        <v>26</v>
      </c>
      <c r="C35" s="28" t="s">
        <v>515</v>
      </c>
      <c r="D35" s="29" t="s">
        <v>519</v>
      </c>
      <c r="E35" s="31">
        <v>103.851</v>
      </c>
      <c r="F35" s="31"/>
      <c r="G35" s="36">
        <v>195.06</v>
      </c>
      <c r="H35" s="142">
        <f>_xlfn.XLOOKUP(B35, Rate_Master!$A:$A, Rate_Master!$C:$C, "")</f>
        <v>1520555.5555555553</v>
      </c>
      <c r="I35" s="142">
        <f>_xlfn.XLOOKUP(B35, Rate_Master!$A:$A, Rate_Master!$D:$D, "")</f>
        <v>252999.99999999997</v>
      </c>
      <c r="J35" s="66">
        <f t="shared" si="9"/>
        <v>1773555.5555555553</v>
      </c>
      <c r="K35" s="32">
        <f t="shared" si="10"/>
        <v>184185517.99999997</v>
      </c>
      <c r="L35" s="122">
        <f t="shared" si="11"/>
        <v>345949746.66666663</v>
      </c>
      <c r="M35" s="32"/>
      <c r="N35" s="9"/>
      <c r="O35" s="202"/>
      <c r="P35" s="178"/>
    </row>
    <row r="36" spans="1:17" s="4" customFormat="1" ht="25.5" customHeight="1" outlineLevel="1">
      <c r="A36" s="27" t="str">
        <f t="shared" si="8"/>
        <v>4A.C3.4</v>
      </c>
      <c r="B36" s="28" t="s">
        <v>27</v>
      </c>
      <c r="C36" s="28" t="s">
        <v>515</v>
      </c>
      <c r="D36" s="29" t="s">
        <v>519</v>
      </c>
      <c r="E36" s="31">
        <v>104.401</v>
      </c>
      <c r="F36" s="31"/>
      <c r="G36" s="36">
        <v>338.59</v>
      </c>
      <c r="H36" s="142">
        <f>_xlfn.XLOOKUP(B36, Rate_Master!$A:$A, Rate_Master!$C:$C, "")</f>
        <v>1520555.5555555553</v>
      </c>
      <c r="I36" s="142">
        <f>_xlfn.XLOOKUP(B36, Rate_Master!$A:$A, Rate_Master!$D:$D, "")</f>
        <v>149500</v>
      </c>
      <c r="J36" s="66">
        <f t="shared" si="9"/>
        <v>1670055.5555555553</v>
      </c>
      <c r="K36" s="32">
        <f t="shared" si="10"/>
        <v>174355470.05555552</v>
      </c>
      <c r="L36" s="122">
        <f t="shared" si="11"/>
        <v>565464110.55555546</v>
      </c>
      <c r="M36" s="32"/>
      <c r="N36" s="9"/>
      <c r="O36" s="202"/>
      <c r="P36" s="178"/>
    </row>
    <row r="37" spans="1:17" s="4" customFormat="1" ht="25.5" customHeight="1" outlineLevel="1">
      <c r="A37" s="27" t="str">
        <f t="shared" si="8"/>
        <v>4A.C3.5</v>
      </c>
      <c r="B37" s="28" t="s">
        <v>28</v>
      </c>
      <c r="C37" s="28" t="s">
        <v>515</v>
      </c>
      <c r="D37" s="29" t="s">
        <v>519</v>
      </c>
      <c r="E37" s="31">
        <v>15.6312</v>
      </c>
      <c r="F37" s="31"/>
      <c r="G37" s="36">
        <v>15.44</v>
      </c>
      <c r="H37" s="142">
        <f>_xlfn.XLOOKUP(B37, Rate_Master!$A:$A, Rate_Master!$C:$C, "")</f>
        <v>1390222.2222222222</v>
      </c>
      <c r="I37" s="142">
        <f>_xlfn.XLOOKUP(B37, Rate_Master!$A:$A, Rate_Master!$D:$D, "")</f>
        <v>149500</v>
      </c>
      <c r="J37" s="66">
        <f t="shared" si="9"/>
        <v>1539722.2222222222</v>
      </c>
      <c r="K37" s="32">
        <f t="shared" si="10"/>
        <v>24067706</v>
      </c>
      <c r="L37" s="122">
        <f t="shared" si="11"/>
        <v>23773311.111111112</v>
      </c>
      <c r="M37" s="32"/>
      <c r="N37" s="9"/>
      <c r="O37" s="202"/>
      <c r="P37" s="178"/>
    </row>
    <row r="38" spans="1:17" s="4" customFormat="1" ht="25.5" customHeight="1" outlineLevel="1">
      <c r="A38" s="27" t="str">
        <f t="shared" si="8"/>
        <v>4A.C3.6</v>
      </c>
      <c r="B38" s="28" t="s">
        <v>29</v>
      </c>
      <c r="C38" s="28" t="s">
        <v>515</v>
      </c>
      <c r="D38" s="29" t="s">
        <v>519</v>
      </c>
      <c r="E38" s="31">
        <v>63.718000000000004</v>
      </c>
      <c r="F38" s="31"/>
      <c r="G38" s="36">
        <v>76</v>
      </c>
      <c r="H38" s="142">
        <f>_xlfn.XLOOKUP(B38, Rate_Master!$A:$A, Rate_Master!$C:$C, "")</f>
        <v>1390222.2222222222</v>
      </c>
      <c r="I38" s="142">
        <f>_xlfn.XLOOKUP(B38, Rate_Master!$A:$A, Rate_Master!$D:$D, "")</f>
        <v>149500</v>
      </c>
      <c r="J38" s="66">
        <f t="shared" si="9"/>
        <v>1539722.2222222222</v>
      </c>
      <c r="K38" s="32">
        <f t="shared" si="10"/>
        <v>98108020.555555567</v>
      </c>
      <c r="L38" s="122">
        <f t="shared" si="11"/>
        <v>117018888.8888889</v>
      </c>
      <c r="M38" s="32"/>
      <c r="N38" s="9"/>
      <c r="O38" s="202"/>
      <c r="P38" s="178"/>
    </row>
    <row r="39" spans="1:17" s="4" customFormat="1" ht="38.25" customHeight="1" outlineLevel="1">
      <c r="A39" s="27" t="str">
        <f t="shared" si="8"/>
        <v>4A.C3.7</v>
      </c>
      <c r="B39" s="28" t="s">
        <v>30</v>
      </c>
      <c r="C39" s="28" t="s">
        <v>515</v>
      </c>
      <c r="D39" s="29" t="s">
        <v>519</v>
      </c>
      <c r="E39" s="31">
        <v>3.1859000000000002</v>
      </c>
      <c r="F39" s="31"/>
      <c r="G39" s="36">
        <v>2.6</v>
      </c>
      <c r="H39" s="142">
        <f>_xlfn.XLOOKUP(B39, Rate_Master!$A:$A, Rate_Master!$C:$C, "")</f>
        <v>22425000</v>
      </c>
      <c r="I39" s="142">
        <f>_xlfn.XLOOKUP(B39, Rate_Master!$A:$A, Rate_Master!$D:$D, "")</f>
        <v>8003999.9999999991</v>
      </c>
      <c r="J39" s="66">
        <f t="shared" si="9"/>
        <v>30429000</v>
      </c>
      <c r="K39" s="32">
        <f t="shared" si="10"/>
        <v>96943751.100000009</v>
      </c>
      <c r="L39" s="122">
        <f t="shared" si="11"/>
        <v>79115400</v>
      </c>
      <c r="M39" s="32"/>
      <c r="N39" s="9"/>
      <c r="O39" s="202"/>
      <c r="P39" s="178"/>
    </row>
    <row r="40" spans="1:17" s="3" customFormat="1" ht="25.5" customHeight="1">
      <c r="A40" s="22" t="str">
        <f>$A$10&amp;4</f>
        <v>4A.C4</v>
      </c>
      <c r="B40" s="23" t="s">
        <v>31</v>
      </c>
      <c r="C40" s="23" t="s">
        <v>515</v>
      </c>
      <c r="D40" s="22"/>
      <c r="E40" s="25"/>
      <c r="F40" s="25"/>
      <c r="G40" s="87"/>
      <c r="H40" s="158">
        <f>_xlfn.XLOOKUP(B40, Rate_Master!$A:$A, Rate_Master!$C:$C, "")</f>
        <v>0</v>
      </c>
      <c r="I40" s="158">
        <f>_xlfn.XLOOKUP(B40, Rate_Master!$A:$A, Rate_Master!$D:$D, "")</f>
        <v>0</v>
      </c>
      <c r="J40" s="26"/>
      <c r="K40" s="26">
        <f>SUBTOTAL(9,K41:K45)</f>
        <v>3442616545.7499995</v>
      </c>
      <c r="L40" s="26">
        <f>SUBTOTAL(9,L41:L45)</f>
        <v>4289842240</v>
      </c>
      <c r="M40" s="26"/>
      <c r="N40" s="166"/>
      <c r="O40" s="201"/>
      <c r="P40" s="175"/>
      <c r="Q40" s="2"/>
    </row>
    <row r="41" spans="1:17" s="4" customFormat="1" ht="25.5" customHeight="1" outlineLevel="1">
      <c r="A41" s="27" t="str">
        <f>$A$40&amp;"."&amp;ROW()-ROW($A$40)</f>
        <v>4A.C4.1</v>
      </c>
      <c r="B41" s="28" t="s">
        <v>32</v>
      </c>
      <c r="C41" s="28" t="s">
        <v>515</v>
      </c>
      <c r="D41" s="29" t="s">
        <v>520</v>
      </c>
      <c r="E41" s="31">
        <v>1450.893</v>
      </c>
      <c r="F41" s="31"/>
      <c r="G41" s="36">
        <v>1553.2</v>
      </c>
      <c r="H41" s="142">
        <f>_xlfn.XLOOKUP(B41, Rate_Master!$A:$A, Rate_Master!$C:$C, "")</f>
        <v>80500</v>
      </c>
      <c r="I41" s="142">
        <f>_xlfn.XLOOKUP(B41, Rate_Master!$A:$A, Rate_Master!$D:$D, "")</f>
        <v>92000</v>
      </c>
      <c r="J41" s="66">
        <f>+I41+H41</f>
        <v>172500</v>
      </c>
      <c r="K41" s="32">
        <f>J41*E41</f>
        <v>250279042.5</v>
      </c>
      <c r="L41" s="122">
        <f>+G41*J41</f>
        <v>267927000</v>
      </c>
      <c r="M41" s="32"/>
      <c r="N41" s="9"/>
      <c r="O41" s="202"/>
      <c r="P41" s="178"/>
    </row>
    <row r="42" spans="1:17" s="4" customFormat="1" ht="38.25" customHeight="1" outlineLevel="1">
      <c r="A42" s="27" t="str">
        <f>$A$40&amp;"."&amp;ROW()-ROW($A$40)</f>
        <v>4A.C4.2</v>
      </c>
      <c r="B42" s="28" t="s">
        <v>33</v>
      </c>
      <c r="C42" s="28" t="s">
        <v>515</v>
      </c>
      <c r="D42" s="29" t="s">
        <v>520</v>
      </c>
      <c r="E42" s="31">
        <v>10931.227999999999</v>
      </c>
      <c r="F42" s="31"/>
      <c r="G42" s="36">
        <v>10413.77</v>
      </c>
      <c r="H42" s="142">
        <f>_xlfn.XLOOKUP(B42, Rate_Master!$A:$A, Rate_Master!$C:$C, "")</f>
        <v>126499.99999999999</v>
      </c>
      <c r="I42" s="142">
        <f>_xlfn.XLOOKUP(B42, Rate_Master!$A:$A, Rate_Master!$D:$D, "")</f>
        <v>103499.99999999999</v>
      </c>
      <c r="J42" s="66">
        <f>+I42+H42</f>
        <v>229999.99999999997</v>
      </c>
      <c r="K42" s="32">
        <f>J42*E42</f>
        <v>2514182439.9999995</v>
      </c>
      <c r="L42" s="122">
        <f>+G42*J42</f>
        <v>2395167100</v>
      </c>
      <c r="M42" s="32"/>
      <c r="N42" s="9"/>
      <c r="O42" s="202"/>
      <c r="P42" s="178"/>
    </row>
    <row r="43" spans="1:17" s="4" customFormat="1" ht="25.5" customHeight="1" outlineLevel="1">
      <c r="A43" s="27" t="str">
        <f>$A$40&amp;"."&amp;ROW()-ROW($A$40)</f>
        <v>4A.C4.3</v>
      </c>
      <c r="B43" s="28" t="s">
        <v>34</v>
      </c>
      <c r="C43" s="28" t="s">
        <v>515</v>
      </c>
      <c r="D43" s="29" t="s">
        <v>520</v>
      </c>
      <c r="E43" s="31">
        <v>1379.5840000000001</v>
      </c>
      <c r="F43" s="31"/>
      <c r="G43" s="36">
        <v>2935.09</v>
      </c>
      <c r="H43" s="142">
        <f>_xlfn.XLOOKUP(B43, Rate_Master!$A:$A, Rate_Master!$C:$C, "")</f>
        <v>126499.99999999999</v>
      </c>
      <c r="I43" s="142">
        <f>_xlfn.XLOOKUP(B43, Rate_Master!$A:$A, Rate_Master!$D:$D, "")</f>
        <v>149500</v>
      </c>
      <c r="J43" s="66">
        <f>+I43+H43</f>
        <v>276000</v>
      </c>
      <c r="K43" s="32">
        <f>J43*E43</f>
        <v>380765184</v>
      </c>
      <c r="L43" s="122">
        <f>+G43*J43</f>
        <v>810084840</v>
      </c>
      <c r="M43" s="32"/>
      <c r="N43" s="9"/>
      <c r="O43" s="202"/>
      <c r="P43" s="178"/>
      <c r="Q43" s="181"/>
    </row>
    <row r="44" spans="1:17" s="4" customFormat="1" ht="25.5" customHeight="1" outlineLevel="1">
      <c r="A44" s="27" t="str">
        <f>$A$40&amp;"."&amp;ROW()-ROW($A$40)</f>
        <v>4A.C4.4</v>
      </c>
      <c r="B44" s="28" t="s">
        <v>35</v>
      </c>
      <c r="C44" s="28" t="s">
        <v>515</v>
      </c>
      <c r="D44" s="29" t="s">
        <v>520</v>
      </c>
      <c r="E44" s="31">
        <v>864.46500000000003</v>
      </c>
      <c r="F44" s="31"/>
      <c r="G44" s="36">
        <v>2958.2</v>
      </c>
      <c r="H44" s="142">
        <f>_xlfn.XLOOKUP(B44, Rate_Master!$A:$A, Rate_Master!$C:$C, "")</f>
        <v>126499.99999999999</v>
      </c>
      <c r="I44" s="142">
        <f>_xlfn.XLOOKUP(B44, Rate_Master!$A:$A, Rate_Master!$D:$D, "")</f>
        <v>114999.99999999999</v>
      </c>
      <c r="J44" s="66">
        <f>+I44+H44</f>
        <v>241499.99999999997</v>
      </c>
      <c r="K44" s="32">
        <f>J44*E44</f>
        <v>208768297.49999997</v>
      </c>
      <c r="L44" s="122">
        <f>+G44*J44</f>
        <v>714405299.99999988</v>
      </c>
      <c r="M44" s="32"/>
      <c r="N44" s="9"/>
      <c r="O44" s="202"/>
      <c r="P44" s="178"/>
    </row>
    <row r="45" spans="1:17" s="4" customFormat="1" ht="25.5" customHeight="1" outlineLevel="1">
      <c r="A45" s="27" t="str">
        <f>$A$40&amp;"."&amp;ROW()-ROW($A$40)</f>
        <v>4A.C4.5</v>
      </c>
      <c r="B45" s="28" t="s">
        <v>36</v>
      </c>
      <c r="C45" s="28" t="s">
        <v>515</v>
      </c>
      <c r="D45" s="29" t="s">
        <v>520</v>
      </c>
      <c r="E45" s="31">
        <v>395.19099999999997</v>
      </c>
      <c r="F45" s="31"/>
      <c r="G45" s="36">
        <v>456</v>
      </c>
      <c r="H45" s="142">
        <f>_xlfn.XLOOKUP(B45, Rate_Master!$A:$A, Rate_Master!$C:$C, "")</f>
        <v>126499.99999999999</v>
      </c>
      <c r="I45" s="142">
        <f>_xlfn.XLOOKUP(B45, Rate_Master!$A:$A, Rate_Master!$D:$D, "")</f>
        <v>97749.999999999985</v>
      </c>
      <c r="J45" s="66">
        <f>+I45+H45</f>
        <v>224249.99999999997</v>
      </c>
      <c r="K45" s="32">
        <f>J45*E45</f>
        <v>88621581.749999985</v>
      </c>
      <c r="L45" s="122">
        <f>+G45*J45</f>
        <v>102257999.99999999</v>
      </c>
      <c r="M45" s="32"/>
      <c r="N45" s="9"/>
      <c r="O45" s="202"/>
      <c r="P45" s="178"/>
    </row>
    <row r="46" spans="1:17" s="3" customFormat="1" ht="25.5" customHeight="1">
      <c r="A46" s="22" t="str">
        <f>$A$10&amp;5</f>
        <v>4A.C5</v>
      </c>
      <c r="B46" s="23" t="s">
        <v>37</v>
      </c>
      <c r="C46" s="23" t="s">
        <v>515</v>
      </c>
      <c r="D46" s="22"/>
      <c r="E46" s="25"/>
      <c r="F46" s="25"/>
      <c r="G46" s="87"/>
      <c r="H46" s="158">
        <f>_xlfn.XLOOKUP(B46, Rate_Master!$A:$A, Rate_Master!$C:$C, "")</f>
        <v>0</v>
      </c>
      <c r="I46" s="158">
        <f>_xlfn.XLOOKUP(B46, Rate_Master!$A:$A, Rate_Master!$D:$D, "")</f>
        <v>0</v>
      </c>
      <c r="J46" s="26"/>
      <c r="K46" s="26">
        <f>SUBTOTAL(9,K47:K51)</f>
        <v>22473326120.37236</v>
      </c>
      <c r="L46" s="26">
        <f>SUBTOTAL(9,L47:L51)</f>
        <v>27856825136.425045</v>
      </c>
      <c r="M46" s="26"/>
      <c r="N46" s="166"/>
      <c r="O46" s="201"/>
      <c r="P46" s="175"/>
      <c r="Q46" s="2"/>
    </row>
    <row r="47" spans="1:17" s="4" customFormat="1" ht="38.25" customHeight="1" outlineLevel="1">
      <c r="A47" s="27" t="str">
        <f>$A$46&amp;"."&amp;ROW()-ROW($A$46)</f>
        <v>4A.C5.1</v>
      </c>
      <c r="B47" s="28" t="s">
        <v>38</v>
      </c>
      <c r="C47" s="28" t="s">
        <v>522</v>
      </c>
      <c r="D47" s="29" t="s">
        <v>523</v>
      </c>
      <c r="E47" s="31">
        <v>1041647.7782263299</v>
      </c>
      <c r="F47" s="31"/>
      <c r="G47" s="36">
        <v>1231778.94</v>
      </c>
      <c r="H47" s="142">
        <f>_xlfn.XLOOKUP(B47, Rate_Master!$A:$A, Rate_Master!$C:$C, "")</f>
        <v>16770.564999999999</v>
      </c>
      <c r="I47" s="142">
        <f>_xlfn.XLOOKUP(B47, Rate_Master!$A:$A, Rate_Master!$D:$D, "")</f>
        <v>2875</v>
      </c>
      <c r="J47" s="66">
        <f>+I47+H47</f>
        <v>19645.564999999999</v>
      </c>
      <c r="K47" s="32">
        <f>J47*E47</f>
        <v>20463759134.25095</v>
      </c>
      <c r="L47" s="122">
        <f>+G47*J47</f>
        <v>24198993231.401096</v>
      </c>
      <c r="M47" s="32"/>
      <c r="N47" s="9"/>
      <c r="O47" s="202"/>
      <c r="P47" s="178"/>
      <c r="Q47" s="179"/>
    </row>
    <row r="48" spans="1:17" s="4" customFormat="1" ht="25.5" customHeight="1" outlineLevel="1">
      <c r="A48" s="27" t="str">
        <f>$A$46&amp;"."&amp;ROW()-ROW($A$46)</f>
        <v>4A.C5.2</v>
      </c>
      <c r="B48" s="28" t="s">
        <v>39</v>
      </c>
      <c r="C48" s="28" t="s">
        <v>522</v>
      </c>
      <c r="D48" s="29" t="s">
        <v>523</v>
      </c>
      <c r="E48" s="31">
        <v>28825.474922961901</v>
      </c>
      <c r="F48" s="31"/>
      <c r="G48" s="36">
        <v>53213.919999999998</v>
      </c>
      <c r="H48" s="142">
        <f>_xlfn.XLOOKUP(B48, Rate_Master!$A:$A, Rate_Master!$C:$C, "")</f>
        <v>16770.564999999999</v>
      </c>
      <c r="I48" s="142">
        <f>_xlfn.XLOOKUP(B48, Rate_Master!$A:$A, Rate_Master!$D:$D, "")</f>
        <v>3679.9999999999995</v>
      </c>
      <c r="J48" s="66">
        <f>+I48+H48</f>
        <v>20450.564999999999</v>
      </c>
      <c r="K48" s="32">
        <f>J48*E48</f>
        <v>589497248.56790233</v>
      </c>
      <c r="L48" s="122">
        <f>+G48*J48</f>
        <v>1088254729.8648</v>
      </c>
      <c r="M48" s="32"/>
      <c r="N48" s="9"/>
      <c r="O48" s="202"/>
      <c r="P48" s="178"/>
      <c r="Q48" s="179"/>
    </row>
    <row r="49" spans="1:18" s="4" customFormat="1" ht="25.5" customHeight="1" outlineLevel="1">
      <c r="A49" s="27" t="str">
        <f>$A$46&amp;"."&amp;ROW()-ROW($A$46)</f>
        <v>4A.C5.3</v>
      </c>
      <c r="B49" s="28" t="s">
        <v>40</v>
      </c>
      <c r="C49" s="28" t="s">
        <v>522</v>
      </c>
      <c r="D49" s="29" t="s">
        <v>523</v>
      </c>
      <c r="E49" s="31">
        <v>15499.775612986999</v>
      </c>
      <c r="F49" s="31"/>
      <c r="G49" s="36">
        <v>19336.84</v>
      </c>
      <c r="H49" s="142">
        <f>_xlfn.XLOOKUP(B49, Rate_Master!$A:$A, Rate_Master!$C:$C, "")</f>
        <v>16770.564999999999</v>
      </c>
      <c r="I49" s="142">
        <f>_xlfn.XLOOKUP(B49, Rate_Master!$A:$A, Rate_Master!$D:$D, "")</f>
        <v>3449.9999999999995</v>
      </c>
      <c r="J49" s="66">
        <f>+I49+H49</f>
        <v>20220.564999999999</v>
      </c>
      <c r="K49" s="32">
        <f>J49*E49</f>
        <v>313414220.26781845</v>
      </c>
      <c r="L49" s="122">
        <f>+G49*J49</f>
        <v>391001830.1146</v>
      </c>
      <c r="M49" s="32"/>
      <c r="N49" s="9"/>
      <c r="O49" s="202"/>
      <c r="P49" s="178"/>
      <c r="Q49" s="179"/>
    </row>
    <row r="50" spans="1:18" s="4" customFormat="1" ht="25.5" customHeight="1" outlineLevel="1">
      <c r="A50" s="27" t="str">
        <f>$A$46&amp;"."&amp;ROW()-ROW($A$46)</f>
        <v>4A.C5.4</v>
      </c>
      <c r="B50" s="28" t="s">
        <v>41</v>
      </c>
      <c r="C50" s="28" t="s">
        <v>522</v>
      </c>
      <c r="D50" s="29" t="s">
        <v>523</v>
      </c>
      <c r="E50" s="31">
        <v>53755.7770253813</v>
      </c>
      <c r="F50" s="31"/>
      <c r="G50" s="36">
        <v>106135.15</v>
      </c>
      <c r="H50" s="142">
        <f>_xlfn.XLOOKUP(B50, Rate_Master!$A:$A, Rate_Master!$C:$C, "")</f>
        <v>16770.564999999999</v>
      </c>
      <c r="I50" s="142">
        <f>_xlfn.XLOOKUP(B50, Rate_Master!$A:$A, Rate_Master!$D:$D, "")</f>
        <v>3679.9999999999995</v>
      </c>
      <c r="J50" s="66">
        <f>+I50+H50</f>
        <v>20450.564999999999</v>
      </c>
      <c r="K50" s="32">
        <f>J50*E50</f>
        <v>1099336012.1830668</v>
      </c>
      <c r="L50" s="122">
        <f>+G50*J50</f>
        <v>2170523783.8597498</v>
      </c>
      <c r="M50" s="32"/>
      <c r="N50" s="9"/>
      <c r="O50" s="202"/>
      <c r="P50" s="178"/>
      <c r="Q50" s="179"/>
    </row>
    <row r="51" spans="1:18" s="4" customFormat="1" ht="25.5" customHeight="1" outlineLevel="1">
      <c r="A51" s="27" t="str">
        <f>$A$46&amp;"."&amp;ROW()-ROW($A$46)</f>
        <v>4A.C5.5</v>
      </c>
      <c r="B51" s="28" t="s">
        <v>42</v>
      </c>
      <c r="C51" s="28" t="s">
        <v>524</v>
      </c>
      <c r="D51" s="29" t="s">
        <v>523</v>
      </c>
      <c r="E51" s="31">
        <v>343.88639999999998</v>
      </c>
      <c r="F51" s="31"/>
      <c r="G51" s="36">
        <v>378.28</v>
      </c>
      <c r="H51" s="142">
        <f>_xlfn.XLOOKUP(B51, Rate_Master!$A:$A, Rate_Master!$C:$C, "")</f>
        <v>17834.66</v>
      </c>
      <c r="I51" s="142">
        <f>_xlfn.XLOOKUP(B51, Rate_Master!$A:$A, Rate_Master!$D:$D, "")</f>
        <v>3449.9999999999995</v>
      </c>
      <c r="J51" s="66">
        <f>+I51+H51</f>
        <v>21284.66</v>
      </c>
      <c r="K51" s="32">
        <f>J51*E51</f>
        <v>7319505.1026239991</v>
      </c>
      <c r="L51" s="122">
        <f>+G51*J51</f>
        <v>8051561.184799999</v>
      </c>
      <c r="M51" s="32"/>
      <c r="N51" s="9"/>
      <c r="O51" s="202"/>
      <c r="P51" s="178"/>
      <c r="Q51" s="179"/>
    </row>
    <row r="52" spans="1:18" s="3" customFormat="1" ht="25.5" customHeight="1">
      <c r="A52" s="22" t="str">
        <f>$A$10&amp;6</f>
        <v>4A.C6</v>
      </c>
      <c r="B52" s="23" t="s">
        <v>43</v>
      </c>
      <c r="C52" s="23" t="s">
        <v>515</v>
      </c>
      <c r="D52" s="22"/>
      <c r="E52" s="25"/>
      <c r="F52" s="25"/>
      <c r="G52" s="87"/>
      <c r="H52" s="158">
        <f>_xlfn.XLOOKUP(B52, Rate_Master!$A:$A, Rate_Master!$C:$C, "")</f>
        <v>0</v>
      </c>
      <c r="I52" s="158">
        <f>_xlfn.XLOOKUP(B52, Rate_Master!$A:$A, Rate_Master!$D:$D, "")</f>
        <v>0</v>
      </c>
      <c r="J52" s="26">
        <f>H52+I52</f>
        <v>0</v>
      </c>
      <c r="K52" s="26">
        <f>SUBTOTAL(9,K53:K55)</f>
        <v>1120735020.8000002</v>
      </c>
      <c r="L52" s="26">
        <f>SUBTOTAL(9,L53:L55)</f>
        <v>1116611613</v>
      </c>
      <c r="M52" s="26"/>
      <c r="N52" s="166"/>
      <c r="O52" s="201"/>
      <c r="Q52" s="2"/>
    </row>
    <row r="53" spans="1:18" s="4" customFormat="1" ht="25.5" customHeight="1" outlineLevel="1">
      <c r="A53" s="27" t="str">
        <f>$A$52&amp;"."&amp;ROW()-ROW($A$52)</f>
        <v>4A.C6.1</v>
      </c>
      <c r="B53" s="28" t="s">
        <v>44</v>
      </c>
      <c r="C53" s="28" t="s">
        <v>515</v>
      </c>
      <c r="D53" s="29" t="s">
        <v>520</v>
      </c>
      <c r="E53" s="31">
        <v>20762.364000000001</v>
      </c>
      <c r="F53" s="31"/>
      <c r="G53" s="36">
        <v>21629.29</v>
      </c>
      <c r="H53" s="142">
        <f>_xlfn.XLOOKUP(B53, Rate_Master!$A:$A, Rate_Master!$C:$C, "")</f>
        <v>14949.999999999998</v>
      </c>
      <c r="I53" s="142">
        <f>_xlfn.XLOOKUP(B53, Rate_Master!$A:$A, Rate_Master!$D:$D, "")</f>
        <v>17250</v>
      </c>
      <c r="J53" s="32">
        <f>+I53+H53</f>
        <v>32200</v>
      </c>
      <c r="K53" s="32">
        <f>J53*E53</f>
        <v>668548120.80000007</v>
      </c>
      <c r="L53" s="122">
        <f>+G53*J53</f>
        <v>696463138</v>
      </c>
      <c r="M53" s="32"/>
      <c r="N53" s="9"/>
      <c r="O53" s="202"/>
      <c r="P53" s="178"/>
    </row>
    <row r="54" spans="1:18" s="4" customFormat="1" ht="51" customHeight="1" outlineLevel="1">
      <c r="A54" s="27" t="str">
        <f>$A$52&amp;"."&amp;ROW()-ROW($A$52)</f>
        <v>4A.C6.2</v>
      </c>
      <c r="B54" s="34" t="s">
        <v>45</v>
      </c>
      <c r="C54" s="28" t="s">
        <v>515</v>
      </c>
      <c r="D54" s="29" t="s">
        <v>517</v>
      </c>
      <c r="E54" s="31">
        <v>15728.24</v>
      </c>
      <c r="F54" s="31"/>
      <c r="G54" s="36">
        <v>14613.86</v>
      </c>
      <c r="H54" s="142">
        <f>_xlfn.XLOOKUP(B54, Rate_Master!$A:$A, Rate_Master!$C:$C, "")</f>
        <v>5750</v>
      </c>
      <c r="I54" s="142">
        <f>_xlfn.XLOOKUP(B54, Rate_Master!$A:$A, Rate_Master!$D:$D, "")</f>
        <v>23000</v>
      </c>
      <c r="J54" s="32">
        <f>+I54+H54</f>
        <v>28750</v>
      </c>
      <c r="K54" s="32">
        <f>J54*E54</f>
        <v>452186900</v>
      </c>
      <c r="L54" s="122">
        <f>+G54*J54</f>
        <v>420148475</v>
      </c>
      <c r="M54" s="32"/>
      <c r="N54" s="9"/>
      <c r="O54" s="202"/>
      <c r="P54" s="178"/>
    </row>
    <row r="55" spans="1:18" s="4" customFormat="1" ht="25.5" customHeight="1" outlineLevel="1">
      <c r="A55" s="27" t="str">
        <f>$A$52&amp;"."&amp;ROW()-ROW($A$52)</f>
        <v>4A.C6.3</v>
      </c>
      <c r="B55" s="28" t="s">
        <v>46</v>
      </c>
      <c r="C55" s="28" t="s">
        <v>515</v>
      </c>
      <c r="D55" s="29" t="s">
        <v>517</v>
      </c>
      <c r="E55" s="31">
        <v>0</v>
      </c>
      <c r="F55" s="31"/>
      <c r="G55" s="36"/>
      <c r="H55" s="142">
        <f>_xlfn.XLOOKUP(B55, Rate_Master!$A:$A, Rate_Master!$C:$C, "")</f>
        <v>172500</v>
      </c>
      <c r="I55" s="142">
        <f>_xlfn.XLOOKUP(B55, Rate_Master!$A:$A, Rate_Master!$D:$D, "")</f>
        <v>57499.999999999993</v>
      </c>
      <c r="J55" s="32">
        <f>+I55+H55</f>
        <v>230000</v>
      </c>
      <c r="K55" s="32">
        <f>J55*E55</f>
        <v>0</v>
      </c>
      <c r="L55" s="122">
        <f>+G55*J55</f>
        <v>0</v>
      </c>
      <c r="M55" s="32"/>
      <c r="N55" s="9"/>
      <c r="O55" s="202"/>
      <c r="P55" s="178"/>
    </row>
    <row r="56" spans="1:18" s="3" customFormat="1" ht="25.5" customHeight="1">
      <c r="A56" s="22" t="str">
        <f>$A$9&amp;".S"</f>
        <v>4A.S</v>
      </c>
      <c r="B56" s="23" t="s">
        <v>47</v>
      </c>
      <c r="C56" s="23" t="s">
        <v>515</v>
      </c>
      <c r="D56" s="22"/>
      <c r="E56" s="25"/>
      <c r="F56" s="25"/>
      <c r="G56" s="87"/>
      <c r="H56" s="158">
        <f>_xlfn.XLOOKUP(B56, Rate_Master!$A:$A, Rate_Master!$C:$C, "")</f>
        <v>0</v>
      </c>
      <c r="I56" s="158">
        <f>_xlfn.XLOOKUP(B56, Rate_Master!$A:$A, Rate_Master!$D:$D, "")</f>
        <v>0</v>
      </c>
      <c r="J56" s="26"/>
      <c r="K56" s="26"/>
      <c r="L56" s="121"/>
      <c r="M56" s="26"/>
      <c r="N56" s="166"/>
      <c r="O56" s="201"/>
      <c r="Q56" s="2"/>
    </row>
    <row r="57" spans="1:18" s="3" customFormat="1" ht="25.5" customHeight="1">
      <c r="A57" s="62" t="str">
        <f>$A$56&amp;1</f>
        <v>4A.S1</v>
      </c>
      <c r="B57" s="63" t="s">
        <v>48</v>
      </c>
      <c r="C57" s="63" t="s">
        <v>515</v>
      </c>
      <c r="D57" s="62"/>
      <c r="E57" s="116"/>
      <c r="F57" s="116"/>
      <c r="G57" s="117"/>
      <c r="H57" s="160">
        <f>_xlfn.XLOOKUP(B57, Rate_Master!$A:$A, Rate_Master!$C:$C, "")</f>
        <v>0</v>
      </c>
      <c r="I57" s="160">
        <f>_xlfn.XLOOKUP(B57, Rate_Master!$A:$A, Rate_Master!$D:$D, "")</f>
        <v>0</v>
      </c>
      <c r="J57" s="49"/>
      <c r="K57" s="49">
        <f>SUBTOTAL(9,K58:K72)</f>
        <v>21042648648.811333</v>
      </c>
      <c r="L57" s="49">
        <f>SUBTOTAL(9,L58:L72)</f>
        <v>22357465942.62529</v>
      </c>
      <c r="M57" s="49"/>
      <c r="N57" s="167"/>
      <c r="O57" s="201"/>
      <c r="P57" s="175"/>
      <c r="Q57" s="2"/>
    </row>
    <row r="58" spans="1:18" s="4" customFormat="1" ht="51" customHeight="1" outlineLevel="1">
      <c r="A58" s="27" t="str">
        <f t="shared" ref="A58:A72" si="12">$A$57&amp;"."&amp;ROW()-ROW($A$57)</f>
        <v>4A.S1.1</v>
      </c>
      <c r="B58" s="28" t="s">
        <v>49</v>
      </c>
      <c r="C58" s="28" t="s">
        <v>525</v>
      </c>
      <c r="D58" s="29" t="s">
        <v>523</v>
      </c>
      <c r="E58" s="31">
        <v>513225.10007400002</v>
      </c>
      <c r="F58" s="31"/>
      <c r="G58" s="36">
        <v>526132.05510519992</v>
      </c>
      <c r="H58" s="101">
        <f>_xlfn.XLOOKUP(B58, Rate_Master!$A:$A, Rate_Master!$C:$C, "")</f>
        <v>20475</v>
      </c>
      <c r="I58" s="101">
        <f>_xlfn.XLOOKUP(B58, Rate_Master!$A:$A, Rate_Master!$D:$D, "")</f>
        <v>0</v>
      </c>
      <c r="J58" s="67">
        <f t="shared" ref="J58:J72" si="13">+SUM(H58:I58)</f>
        <v>20475</v>
      </c>
      <c r="K58" s="32">
        <f t="shared" ref="K58:K72" si="14">J58*E58</f>
        <v>10508283924.01515</v>
      </c>
      <c r="L58" s="58">
        <f t="shared" ref="L58:L72" si="15">+G58*J58</f>
        <v>10772553828.278969</v>
      </c>
      <c r="M58" s="32"/>
      <c r="N58" s="9"/>
      <c r="O58" s="202"/>
      <c r="P58" s="178"/>
      <c r="Q58" s="104"/>
      <c r="R58" s="104"/>
    </row>
    <row r="59" spans="1:18" s="4" customFormat="1" ht="76.5" customHeight="1" outlineLevel="1">
      <c r="A59" s="27" t="str">
        <f t="shared" si="12"/>
        <v>4A.S1.2</v>
      </c>
      <c r="B59" s="28" t="s">
        <v>50</v>
      </c>
      <c r="C59" s="28" t="s">
        <v>526</v>
      </c>
      <c r="D59" s="29" t="s">
        <v>523</v>
      </c>
      <c r="E59" s="31">
        <v>84093.329100000003</v>
      </c>
      <c r="F59" s="31"/>
      <c r="G59" s="36">
        <v>89976.836185599997</v>
      </c>
      <c r="H59" s="101">
        <f>_xlfn.XLOOKUP(B59, Rate_Master!$A:$A, Rate_Master!$C:$C, "")</f>
        <v>26775</v>
      </c>
      <c r="I59" s="101">
        <f>_xlfn.XLOOKUP(B59, Rate_Master!$A:$A, Rate_Master!$D:$D, "")</f>
        <v>0</v>
      </c>
      <c r="J59" s="67">
        <f t="shared" si="13"/>
        <v>26775</v>
      </c>
      <c r="K59" s="32">
        <f t="shared" si="14"/>
        <v>2251598886.6525002</v>
      </c>
      <c r="L59" s="58">
        <f t="shared" si="15"/>
        <v>2409129788.8694401</v>
      </c>
      <c r="M59" s="32"/>
      <c r="N59" s="9"/>
      <c r="O59" s="202"/>
      <c r="P59" s="178"/>
      <c r="Q59" s="104"/>
      <c r="R59" s="104"/>
    </row>
    <row r="60" spans="1:18" s="4" customFormat="1" ht="76.5" customHeight="1" outlineLevel="1">
      <c r="A60" s="27" t="str">
        <f t="shared" si="12"/>
        <v>4A.S1.3</v>
      </c>
      <c r="B60" s="28" t="s">
        <v>51</v>
      </c>
      <c r="C60" s="28" t="s">
        <v>527</v>
      </c>
      <c r="D60" s="29" t="s">
        <v>523</v>
      </c>
      <c r="E60" s="31">
        <v>5013.9053773482001</v>
      </c>
      <c r="F60" s="31"/>
      <c r="G60" s="36">
        <v>5610.5336000000016</v>
      </c>
      <c r="H60" s="101">
        <f>_xlfn.XLOOKUP(B60, Rate_Master!$A:$A, Rate_Master!$C:$C, "")</f>
        <v>36750</v>
      </c>
      <c r="I60" s="101">
        <f>_xlfn.XLOOKUP(B60, Rate_Master!$A:$A, Rate_Master!$D:$D, "")</f>
        <v>0</v>
      </c>
      <c r="J60" s="67">
        <f t="shared" si="13"/>
        <v>36750</v>
      </c>
      <c r="K60" s="32">
        <f t="shared" si="14"/>
        <v>184261022.61754635</v>
      </c>
      <c r="L60" s="58">
        <f t="shared" si="15"/>
        <v>206187109.80000007</v>
      </c>
      <c r="M60" s="32"/>
      <c r="N60" s="9"/>
      <c r="O60" s="202"/>
      <c r="P60" s="178"/>
      <c r="Q60" s="104"/>
      <c r="R60" s="104"/>
    </row>
    <row r="61" spans="1:18" s="4" customFormat="1" ht="76.5" customHeight="1" outlineLevel="1">
      <c r="A61" s="27" t="str">
        <f t="shared" si="12"/>
        <v>4A.S1.4</v>
      </c>
      <c r="B61" s="28" t="s">
        <v>52</v>
      </c>
      <c r="C61" s="28" t="s">
        <v>527</v>
      </c>
      <c r="D61" s="29" t="s">
        <v>523</v>
      </c>
      <c r="E61" s="31">
        <v>12307.23</v>
      </c>
      <c r="F61" s="31"/>
      <c r="G61" s="36">
        <v>12736.18944</v>
      </c>
      <c r="H61" s="101">
        <f>_xlfn.XLOOKUP(B61, Rate_Master!$A:$A, Rate_Master!$C:$C, "")</f>
        <v>26775</v>
      </c>
      <c r="I61" s="101">
        <f>_xlfn.XLOOKUP(B61, Rate_Master!$A:$A, Rate_Master!$D:$D, "")</f>
        <v>0</v>
      </c>
      <c r="J61" s="67">
        <f t="shared" si="13"/>
        <v>26775</v>
      </c>
      <c r="K61" s="32">
        <f t="shared" si="14"/>
        <v>329526083.25</v>
      </c>
      <c r="L61" s="58">
        <f t="shared" si="15"/>
        <v>341011472.25599998</v>
      </c>
      <c r="M61" s="32"/>
      <c r="N61" s="9"/>
      <c r="O61" s="202"/>
      <c r="P61" s="178"/>
      <c r="Q61" s="104"/>
      <c r="R61" s="104"/>
    </row>
    <row r="62" spans="1:18" s="4" customFormat="1" ht="25.5" customHeight="1" outlineLevel="1">
      <c r="A62" s="27" t="str">
        <f t="shared" si="12"/>
        <v>4A.S1.5</v>
      </c>
      <c r="B62" s="28" t="s">
        <v>53</v>
      </c>
      <c r="C62" s="28" t="s">
        <v>528</v>
      </c>
      <c r="D62" s="29" t="s">
        <v>523</v>
      </c>
      <c r="E62" s="31">
        <v>116104.59918</v>
      </c>
      <c r="F62" s="31"/>
      <c r="G62" s="36">
        <v>143845.16781999989</v>
      </c>
      <c r="H62" s="101">
        <f>_xlfn.XLOOKUP(B62, Rate_Master!$A:$A, Rate_Master!$C:$C, "")</f>
        <v>22365</v>
      </c>
      <c r="I62" s="101">
        <f>_xlfn.XLOOKUP(B62, Rate_Master!$A:$A, Rate_Master!$D:$D, "")</f>
        <v>0</v>
      </c>
      <c r="J62" s="67">
        <f t="shared" si="13"/>
        <v>22365</v>
      </c>
      <c r="K62" s="32">
        <f t="shared" si="14"/>
        <v>2596679360.6607003</v>
      </c>
      <c r="L62" s="58">
        <f t="shared" si="15"/>
        <v>3217097178.2942972</v>
      </c>
      <c r="M62" s="32"/>
      <c r="N62" s="9"/>
      <c r="O62" s="202"/>
      <c r="P62" s="178"/>
      <c r="Q62" s="104"/>
      <c r="R62" s="104"/>
    </row>
    <row r="63" spans="1:18" s="4" customFormat="1" ht="38.25" customHeight="1" outlineLevel="1">
      <c r="A63" s="27" t="str">
        <f t="shared" si="12"/>
        <v>4A.S1.6</v>
      </c>
      <c r="B63" s="28" t="s">
        <v>54</v>
      </c>
      <c r="C63" s="28" t="s">
        <v>529</v>
      </c>
      <c r="D63" s="29" t="s">
        <v>523</v>
      </c>
      <c r="E63" s="31">
        <v>11936.923497383999</v>
      </c>
      <c r="F63" s="31"/>
      <c r="G63" s="36">
        <v>10795.797333333339</v>
      </c>
      <c r="H63" s="101">
        <f>_xlfn.XLOOKUP(B63, Rate_Master!$A:$A, Rate_Master!$C:$C, "")</f>
        <v>36750</v>
      </c>
      <c r="I63" s="101">
        <f>_xlfn.XLOOKUP(B63, Rate_Master!$A:$A, Rate_Master!$D:$D, "")</f>
        <v>0</v>
      </c>
      <c r="J63" s="67">
        <f t="shared" si="13"/>
        <v>36750</v>
      </c>
      <c r="K63" s="32">
        <f t="shared" si="14"/>
        <v>438681938.528862</v>
      </c>
      <c r="L63" s="58">
        <f t="shared" si="15"/>
        <v>396745552.00000024</v>
      </c>
      <c r="M63" s="32"/>
      <c r="N63" s="9"/>
      <c r="O63" s="202"/>
      <c r="P63" s="178"/>
      <c r="Q63" s="104"/>
      <c r="R63" s="104"/>
    </row>
    <row r="64" spans="1:18" s="4" customFormat="1" ht="25.5" customHeight="1" outlineLevel="1">
      <c r="A64" s="27" t="str">
        <f t="shared" si="12"/>
        <v>4A.S1.7</v>
      </c>
      <c r="B64" s="28" t="s">
        <v>55</v>
      </c>
      <c r="C64" s="28" t="s">
        <v>530</v>
      </c>
      <c r="D64" s="29" t="s">
        <v>523</v>
      </c>
      <c r="E64" s="31">
        <v>9864.7747199999994</v>
      </c>
      <c r="F64" s="31"/>
      <c r="G64" s="36">
        <v>11609.22443899131</v>
      </c>
      <c r="H64" s="101">
        <f>_xlfn.XLOOKUP(B64, Rate_Master!$A:$A, Rate_Master!$C:$C, "")</f>
        <v>27930</v>
      </c>
      <c r="I64" s="101">
        <f>_xlfn.XLOOKUP(B64, Rate_Master!$A:$A, Rate_Master!$D:$D, "")</f>
        <v>0</v>
      </c>
      <c r="J64" s="67">
        <f t="shared" si="13"/>
        <v>27930</v>
      </c>
      <c r="K64" s="32">
        <f t="shared" si="14"/>
        <v>275523157.9296</v>
      </c>
      <c r="L64" s="58">
        <f t="shared" si="15"/>
        <v>324245638.58102727</v>
      </c>
      <c r="M64" s="32"/>
      <c r="N64" s="9"/>
      <c r="O64" s="202"/>
      <c r="P64" s="178"/>
      <c r="Q64" s="104"/>
      <c r="R64" s="104"/>
    </row>
    <row r="65" spans="1:18" s="4" customFormat="1" ht="25.5" customHeight="1" outlineLevel="1">
      <c r="A65" s="27" t="str">
        <f t="shared" si="12"/>
        <v>4A.S1.8</v>
      </c>
      <c r="B65" s="28" t="s">
        <v>56</v>
      </c>
      <c r="C65" s="28" t="s">
        <v>531</v>
      </c>
      <c r="D65" s="29" t="s">
        <v>523</v>
      </c>
      <c r="E65" s="31">
        <v>13562.2</v>
      </c>
      <c r="F65" s="31"/>
      <c r="G65" s="36">
        <v>13073.84</v>
      </c>
      <c r="H65" s="101">
        <f>_xlfn.XLOOKUP(B65, Rate_Master!$A:$A, Rate_Master!$C:$C, "")</f>
        <v>52500</v>
      </c>
      <c r="I65" s="101">
        <f>_xlfn.XLOOKUP(B65, Rate_Master!$A:$A, Rate_Master!$D:$D, "")</f>
        <v>0</v>
      </c>
      <c r="J65" s="67">
        <f t="shared" si="13"/>
        <v>52500</v>
      </c>
      <c r="K65" s="32">
        <f t="shared" si="14"/>
        <v>712015500</v>
      </c>
      <c r="L65" s="58">
        <f t="shared" si="15"/>
        <v>686376600</v>
      </c>
      <c r="M65" s="32"/>
      <c r="N65" s="9"/>
      <c r="O65" s="202"/>
      <c r="P65" s="178"/>
      <c r="Q65" s="104"/>
      <c r="R65" s="104"/>
    </row>
    <row r="66" spans="1:18" s="4" customFormat="1" ht="25.5" customHeight="1" outlineLevel="1">
      <c r="A66" s="27" t="str">
        <f t="shared" si="12"/>
        <v>4A.S1.9</v>
      </c>
      <c r="B66" s="28" t="s">
        <v>57</v>
      </c>
      <c r="C66" s="28" t="s">
        <v>532</v>
      </c>
      <c r="D66" s="29" t="s">
        <v>523</v>
      </c>
      <c r="E66" s="31">
        <v>5605</v>
      </c>
      <c r="F66" s="31"/>
      <c r="G66" s="36">
        <v>6051.9080000000004</v>
      </c>
      <c r="H66" s="101">
        <f>_xlfn.XLOOKUP(B66, Rate_Master!$A:$A, Rate_Master!$C:$C, "")</f>
        <v>60900</v>
      </c>
      <c r="I66" s="101">
        <f>_xlfn.XLOOKUP(B66, Rate_Master!$A:$A, Rate_Master!$D:$D, "")</f>
        <v>0</v>
      </c>
      <c r="J66" s="67">
        <f t="shared" si="13"/>
        <v>60900</v>
      </c>
      <c r="K66" s="32">
        <f t="shared" si="14"/>
        <v>341344500</v>
      </c>
      <c r="L66" s="58">
        <f t="shared" si="15"/>
        <v>368561197.20000005</v>
      </c>
      <c r="M66" s="32"/>
      <c r="N66" s="9"/>
      <c r="O66" s="202"/>
      <c r="P66" s="178"/>
      <c r="Q66" s="104"/>
      <c r="R66" s="104"/>
    </row>
    <row r="67" spans="1:18" s="4" customFormat="1" ht="25.5" customHeight="1" outlineLevel="1">
      <c r="A67" s="27" t="str">
        <f t="shared" si="12"/>
        <v>4A.S1.10</v>
      </c>
      <c r="B67" s="28" t="s">
        <v>58</v>
      </c>
      <c r="C67" s="28" t="s">
        <v>533</v>
      </c>
      <c r="D67" s="29" t="s">
        <v>523</v>
      </c>
      <c r="E67" s="31">
        <v>1896.18</v>
      </c>
      <c r="F67" s="31"/>
      <c r="G67" s="36">
        <v>1409.2139999999999</v>
      </c>
      <c r="H67" s="101">
        <f>_xlfn.XLOOKUP(B67, Rate_Master!$A:$A, Rate_Master!$C:$C, "")</f>
        <v>60900</v>
      </c>
      <c r="I67" s="101">
        <f>_xlfn.XLOOKUP(B67, Rate_Master!$A:$A, Rate_Master!$D:$D, "")</f>
        <v>0</v>
      </c>
      <c r="J67" s="67">
        <f t="shared" si="13"/>
        <v>60900</v>
      </c>
      <c r="K67" s="32">
        <f t="shared" si="14"/>
        <v>115477362</v>
      </c>
      <c r="L67" s="58">
        <f t="shared" si="15"/>
        <v>85821132.599999994</v>
      </c>
      <c r="M67" s="32"/>
      <c r="N67" s="9"/>
      <c r="O67" s="202"/>
      <c r="P67" s="178"/>
      <c r="Q67" s="104"/>
      <c r="R67" s="104"/>
    </row>
    <row r="68" spans="1:18" s="4" customFormat="1" ht="25.5" customHeight="1" outlineLevel="1">
      <c r="A68" s="27" t="str">
        <f t="shared" si="12"/>
        <v>4A.S1.11</v>
      </c>
      <c r="B68" s="28" t="s">
        <v>59</v>
      </c>
      <c r="C68" s="28" t="s">
        <v>534</v>
      </c>
      <c r="D68" s="29" t="s">
        <v>518</v>
      </c>
      <c r="E68" s="31">
        <v>7711</v>
      </c>
      <c r="F68" s="31"/>
      <c r="G68" s="36">
        <v>8180</v>
      </c>
      <c r="H68" s="101">
        <f>_xlfn.XLOOKUP(B68, Rate_Master!$A:$A, Rate_Master!$C:$C, "")</f>
        <v>21000</v>
      </c>
      <c r="I68" s="101">
        <f>_xlfn.XLOOKUP(B68, Rate_Master!$A:$A, Rate_Master!$D:$D, "")</f>
        <v>0</v>
      </c>
      <c r="J68" s="67">
        <f t="shared" si="13"/>
        <v>21000</v>
      </c>
      <c r="K68" s="32">
        <f t="shared" si="14"/>
        <v>161931000</v>
      </c>
      <c r="L68" s="58">
        <f t="shared" si="15"/>
        <v>171780000</v>
      </c>
      <c r="M68" s="32"/>
      <c r="N68" s="9"/>
      <c r="O68" s="202"/>
      <c r="P68" s="178"/>
      <c r="Q68" s="104"/>
      <c r="R68" s="104"/>
    </row>
    <row r="69" spans="1:18" s="4" customFormat="1" ht="25.5" customHeight="1" outlineLevel="1">
      <c r="A69" s="27" t="str">
        <f t="shared" si="12"/>
        <v>4A.S1.12</v>
      </c>
      <c r="B69" s="28" t="s">
        <v>60</v>
      </c>
      <c r="C69" s="28" t="s">
        <v>515</v>
      </c>
      <c r="D69" s="29" t="s">
        <v>523</v>
      </c>
      <c r="E69" s="31">
        <v>13562.2</v>
      </c>
      <c r="F69" s="31"/>
      <c r="G69" s="36">
        <v>13073.84</v>
      </c>
      <c r="H69" s="101">
        <f>_xlfn.XLOOKUP(B69, Rate_Master!$A:$A, Rate_Master!$C:$C, "")</f>
        <v>630</v>
      </c>
      <c r="I69" s="101">
        <f>_xlfn.XLOOKUP(B69, Rate_Master!$A:$A, Rate_Master!$D:$D, "")</f>
        <v>0</v>
      </c>
      <c r="J69" s="67">
        <f t="shared" si="13"/>
        <v>630</v>
      </c>
      <c r="K69" s="32">
        <f t="shared" si="14"/>
        <v>8544186</v>
      </c>
      <c r="L69" s="58">
        <f t="shared" si="15"/>
        <v>8236519.2000000002</v>
      </c>
      <c r="M69" s="32"/>
      <c r="N69" s="9"/>
      <c r="O69" s="202"/>
      <c r="P69" s="178"/>
      <c r="Q69" s="104"/>
      <c r="R69" s="104"/>
    </row>
    <row r="70" spans="1:18" s="4" customFormat="1" ht="25.5" customHeight="1" outlineLevel="1">
      <c r="A70" s="27" t="str">
        <f t="shared" si="12"/>
        <v>4A.S1.13</v>
      </c>
      <c r="B70" s="28" t="s">
        <v>61</v>
      </c>
      <c r="C70" s="28" t="s">
        <v>515</v>
      </c>
      <c r="D70" s="29" t="s">
        <v>523</v>
      </c>
      <c r="E70" s="31">
        <v>752545.86194873205</v>
      </c>
      <c r="F70" s="31"/>
      <c r="G70" s="36">
        <v>808166.92592312454</v>
      </c>
      <c r="H70" s="101">
        <f>_xlfn.XLOOKUP(B70, Rate_Master!$A:$A, Rate_Master!$C:$C, "")</f>
        <v>630</v>
      </c>
      <c r="I70" s="101">
        <f>_xlfn.XLOOKUP(B70, Rate_Master!$A:$A, Rate_Master!$D:$D, "")</f>
        <v>0</v>
      </c>
      <c r="J70" s="67">
        <f t="shared" si="13"/>
        <v>630</v>
      </c>
      <c r="K70" s="32">
        <f t="shared" si="14"/>
        <v>474103893.0277012</v>
      </c>
      <c r="L70" s="58">
        <f t="shared" si="15"/>
        <v>509145163.33156848</v>
      </c>
      <c r="M70" s="32"/>
      <c r="N70" s="9"/>
      <c r="O70" s="202"/>
      <c r="P70" s="178"/>
      <c r="Q70" s="104"/>
      <c r="R70" s="104"/>
    </row>
    <row r="71" spans="1:18" s="4" customFormat="1" ht="25.5" customHeight="1" outlineLevel="1">
      <c r="A71" s="27" t="str">
        <f t="shared" si="12"/>
        <v>4A.S1.14</v>
      </c>
      <c r="B71" s="28" t="s">
        <v>62</v>
      </c>
      <c r="C71" s="28" t="s">
        <v>515</v>
      </c>
      <c r="D71" s="29" t="s">
        <v>518</v>
      </c>
      <c r="E71" s="31">
        <v>1634</v>
      </c>
      <c r="F71" s="31"/>
      <c r="G71" s="36">
        <v>1832</v>
      </c>
      <c r="H71" s="101">
        <f>_xlfn.XLOOKUP(B71, Rate_Master!$A:$A, Rate_Master!$C:$C, "")</f>
        <v>0</v>
      </c>
      <c r="I71" s="101">
        <f>_xlfn.XLOOKUP(B71, Rate_Master!$A:$A, Rate_Master!$D:$D, "")</f>
        <v>264500</v>
      </c>
      <c r="J71" s="67">
        <f t="shared" si="13"/>
        <v>264500</v>
      </c>
      <c r="K71" s="32">
        <f t="shared" si="14"/>
        <v>432193000</v>
      </c>
      <c r="L71" s="58">
        <f t="shared" si="15"/>
        <v>484564000</v>
      </c>
      <c r="M71" s="32"/>
      <c r="N71" s="9"/>
      <c r="O71" s="202"/>
      <c r="P71" s="178"/>
      <c r="Q71" s="104"/>
      <c r="R71" s="104"/>
    </row>
    <row r="72" spans="1:18" s="4" customFormat="1" ht="25.5" customHeight="1" outlineLevel="1">
      <c r="A72" s="27" t="str">
        <f t="shared" si="12"/>
        <v>4A.S1.15</v>
      </c>
      <c r="B72" s="28" t="s">
        <v>63</v>
      </c>
      <c r="C72" s="28" t="s">
        <v>515</v>
      </c>
      <c r="D72" s="29" t="s">
        <v>523</v>
      </c>
      <c r="E72" s="31">
        <v>752545.86194873205</v>
      </c>
      <c r="F72" s="31"/>
      <c r="G72" s="36">
        <v>808166.92592312454</v>
      </c>
      <c r="H72" s="101">
        <f>_xlfn.XLOOKUP(B72, Rate_Master!$A:$A, Rate_Master!$C:$C, "")</f>
        <v>2940</v>
      </c>
      <c r="I72" s="101">
        <f>_xlfn.XLOOKUP(B72, Rate_Master!$A:$A, Rate_Master!$D:$D, "")</f>
        <v>0</v>
      </c>
      <c r="J72" s="67">
        <f t="shared" si="13"/>
        <v>2940</v>
      </c>
      <c r="K72" s="32">
        <f t="shared" si="14"/>
        <v>2212484834.1292725</v>
      </c>
      <c r="L72" s="58">
        <f t="shared" si="15"/>
        <v>2376010762.2139859</v>
      </c>
      <c r="M72" s="32"/>
      <c r="N72" s="9"/>
      <c r="O72" s="202"/>
      <c r="P72" s="178"/>
      <c r="Q72" s="104"/>
      <c r="R72" s="104"/>
    </row>
    <row r="73" spans="1:18" s="3" customFormat="1" ht="25.5" customHeight="1">
      <c r="A73" s="62" t="str">
        <f>$A$56&amp;2</f>
        <v>4A.S2</v>
      </c>
      <c r="B73" s="63" t="s">
        <v>64</v>
      </c>
      <c r="C73" s="63" t="s">
        <v>515</v>
      </c>
      <c r="D73" s="62"/>
      <c r="E73" s="116"/>
      <c r="F73" s="116"/>
      <c r="G73" s="117"/>
      <c r="H73" s="160">
        <f>_xlfn.XLOOKUP(B73, Rate_Master!$A:$A, Rate_Master!$C:$C, "")</f>
        <v>0</v>
      </c>
      <c r="I73" s="160">
        <f>_xlfn.XLOOKUP(B73, Rate_Master!$A:$A, Rate_Master!$D:$D, "")</f>
        <v>0</v>
      </c>
      <c r="J73" s="49"/>
      <c r="K73" s="49">
        <f>SUBTOTAL(9,K74:K78)</f>
        <v>0</v>
      </c>
      <c r="L73" s="49"/>
      <c r="M73" s="49"/>
      <c r="N73" s="167"/>
      <c r="O73" s="201"/>
      <c r="P73" s="180"/>
      <c r="Q73" s="104"/>
      <c r="R73" s="104"/>
    </row>
    <row r="74" spans="1:18" s="4" customFormat="1" ht="25.5" hidden="1" customHeight="1" outlineLevel="1">
      <c r="A74" s="37" t="str">
        <f>$A$73&amp;"."&amp;ROW()-ROW($A$73)</f>
        <v>4A.S2.1</v>
      </c>
      <c r="B74" s="38" t="s">
        <v>65</v>
      </c>
      <c r="C74" s="38" t="s">
        <v>535</v>
      </c>
      <c r="D74" s="39" t="s">
        <v>520</v>
      </c>
      <c r="E74" s="40">
        <v>0</v>
      </c>
      <c r="F74" s="40"/>
      <c r="G74" s="88"/>
      <c r="H74" s="161">
        <f>_xlfn.XLOOKUP(B74, Rate_Master!$A:$A, Rate_Master!$C:$C, "")</f>
        <v>0</v>
      </c>
      <c r="I74" s="161">
        <f>_xlfn.XLOOKUP(B74, Rate_Master!$A:$A, Rate_Master!$D:$D, "")</f>
        <v>0</v>
      </c>
      <c r="J74" s="41">
        <f>H74+I74</f>
        <v>0</v>
      </c>
      <c r="K74" s="41">
        <f>J74*E74</f>
        <v>0</v>
      </c>
      <c r="L74" s="41"/>
      <c r="M74" s="41"/>
      <c r="N74" s="9"/>
      <c r="O74" s="202"/>
      <c r="P74" s="180"/>
      <c r="Q74" s="104"/>
      <c r="R74" s="104"/>
    </row>
    <row r="75" spans="1:18" s="4" customFormat="1" ht="25.5" hidden="1" customHeight="1" outlineLevel="1">
      <c r="A75" s="37" t="str">
        <f>$A$73&amp;"."&amp;ROW()-ROW($A$73)</f>
        <v>4A.S2.2</v>
      </c>
      <c r="B75" s="38" t="s">
        <v>66</v>
      </c>
      <c r="C75" s="38" t="s">
        <v>536</v>
      </c>
      <c r="D75" s="39" t="s">
        <v>518</v>
      </c>
      <c r="E75" s="40">
        <v>0</v>
      </c>
      <c r="F75" s="40"/>
      <c r="G75" s="88"/>
      <c r="H75" s="161">
        <f>_xlfn.XLOOKUP(B75, Rate_Master!$A:$A, Rate_Master!$C:$C, "")</f>
        <v>0</v>
      </c>
      <c r="I75" s="161">
        <f>_xlfn.XLOOKUP(B75, Rate_Master!$A:$A, Rate_Master!$D:$D, "")</f>
        <v>0</v>
      </c>
      <c r="J75" s="41">
        <f>H75+I75</f>
        <v>0</v>
      </c>
      <c r="K75" s="41">
        <f>J75*E75</f>
        <v>0</v>
      </c>
      <c r="L75" s="41"/>
      <c r="M75" s="41"/>
      <c r="N75" s="9"/>
      <c r="O75" s="202"/>
      <c r="P75" s="180"/>
      <c r="Q75" s="104"/>
      <c r="R75" s="104"/>
    </row>
    <row r="76" spans="1:18" s="4" customFormat="1" ht="25.5" hidden="1" customHeight="1" outlineLevel="1">
      <c r="A76" s="37" t="str">
        <f>$A$73&amp;"."&amp;ROW()-ROW($A$73)</f>
        <v>4A.S2.3</v>
      </c>
      <c r="B76" s="38" t="s">
        <v>67</v>
      </c>
      <c r="C76" s="38" t="s">
        <v>515</v>
      </c>
      <c r="D76" s="39" t="s">
        <v>520</v>
      </c>
      <c r="E76" s="40">
        <v>0</v>
      </c>
      <c r="F76" s="40"/>
      <c r="G76" s="88"/>
      <c r="H76" s="161">
        <f>_xlfn.XLOOKUP(B76, Rate_Master!$A:$A, Rate_Master!$C:$C, "")</f>
        <v>0</v>
      </c>
      <c r="I76" s="161">
        <f>_xlfn.XLOOKUP(B76, Rate_Master!$A:$A, Rate_Master!$D:$D, "")</f>
        <v>0</v>
      </c>
      <c r="J76" s="41">
        <f>H76+I76</f>
        <v>0</v>
      </c>
      <c r="K76" s="41">
        <f>J76*E76</f>
        <v>0</v>
      </c>
      <c r="L76" s="41"/>
      <c r="M76" s="41"/>
      <c r="N76" s="9"/>
      <c r="O76" s="202"/>
      <c r="P76" s="180"/>
      <c r="Q76" s="104"/>
      <c r="R76" s="104"/>
    </row>
    <row r="77" spans="1:18" s="4" customFormat="1" ht="25.5" hidden="1" customHeight="1" outlineLevel="1">
      <c r="A77" s="37" t="str">
        <f>$A$73&amp;"."&amp;ROW()-ROW($A$73)</f>
        <v>4A.S2.4</v>
      </c>
      <c r="B77" s="38" t="s">
        <v>68</v>
      </c>
      <c r="C77" s="38" t="s">
        <v>515</v>
      </c>
      <c r="D77" s="39" t="s">
        <v>457</v>
      </c>
      <c r="E77" s="40">
        <v>0</v>
      </c>
      <c r="F77" s="40"/>
      <c r="G77" s="88"/>
      <c r="H77" s="161">
        <f>_xlfn.XLOOKUP(B77, Rate_Master!$A:$A, Rate_Master!$C:$C, "")</f>
        <v>0</v>
      </c>
      <c r="I77" s="161">
        <f>_xlfn.XLOOKUP(B77, Rate_Master!$A:$A, Rate_Master!$D:$D, "")</f>
        <v>0</v>
      </c>
      <c r="J77" s="41">
        <f>H77+I77</f>
        <v>0</v>
      </c>
      <c r="K77" s="41">
        <f>J77*E77</f>
        <v>0</v>
      </c>
      <c r="L77" s="41"/>
      <c r="M77" s="41"/>
      <c r="N77" s="9"/>
      <c r="O77" s="202"/>
      <c r="P77" s="180"/>
      <c r="Q77" s="104"/>
      <c r="R77" s="104"/>
    </row>
    <row r="78" spans="1:18" s="4" customFormat="1" ht="25.5" hidden="1" customHeight="1" outlineLevel="1">
      <c r="A78" s="37" t="str">
        <f>$A$73&amp;"."&amp;ROW()-ROW($A$73)</f>
        <v>4A.S2.5</v>
      </c>
      <c r="B78" s="38" t="s">
        <v>69</v>
      </c>
      <c r="C78" s="38" t="s">
        <v>515</v>
      </c>
      <c r="D78" s="39" t="s">
        <v>520</v>
      </c>
      <c r="E78" s="40">
        <v>0</v>
      </c>
      <c r="F78" s="40"/>
      <c r="G78" s="88"/>
      <c r="H78" s="161">
        <f>_xlfn.XLOOKUP(B78, Rate_Master!$A:$A, Rate_Master!$C:$C, "")</f>
        <v>0</v>
      </c>
      <c r="I78" s="161">
        <f>_xlfn.XLOOKUP(B78, Rate_Master!$A:$A, Rate_Master!$D:$D, "")</f>
        <v>0</v>
      </c>
      <c r="J78" s="41">
        <f>H78+I78</f>
        <v>0</v>
      </c>
      <c r="K78" s="41">
        <f>J78*E78</f>
        <v>0</v>
      </c>
      <c r="L78" s="41"/>
      <c r="M78" s="41"/>
      <c r="N78" s="9"/>
      <c r="O78" s="202"/>
      <c r="P78" s="180"/>
      <c r="Q78" s="104"/>
      <c r="R78" s="104"/>
    </row>
    <row r="79" spans="1:18" s="3" customFormat="1" ht="25.5" customHeight="1" collapsed="1">
      <c r="A79" s="62" t="str">
        <f>$A$56&amp;3</f>
        <v>4A.S3</v>
      </c>
      <c r="B79" s="63" t="s">
        <v>70</v>
      </c>
      <c r="C79" s="63" t="s">
        <v>515</v>
      </c>
      <c r="D79" s="62"/>
      <c r="E79" s="116"/>
      <c r="F79" s="116"/>
      <c r="G79" s="117"/>
      <c r="H79" s="160">
        <f>_xlfn.XLOOKUP(B79, Rate_Master!$A:$A, Rate_Master!$C:$C, "")</f>
        <v>0</v>
      </c>
      <c r="I79" s="160">
        <f>_xlfn.XLOOKUP(B79, Rate_Master!$A:$A, Rate_Master!$D:$D, "")</f>
        <v>0</v>
      </c>
      <c r="J79" s="49"/>
      <c r="K79" s="49">
        <f>SUBTOTAL(9,K80:K93)</f>
        <v>10736235815.643246</v>
      </c>
      <c r="L79" s="49">
        <f>SUBTOTAL(9,L80:L93)</f>
        <v>10587209436.116287</v>
      </c>
      <c r="M79" s="49"/>
      <c r="N79" s="167"/>
      <c r="O79" s="201"/>
      <c r="P79" s="175"/>
      <c r="Q79" s="104"/>
      <c r="R79" s="104"/>
    </row>
    <row r="80" spans="1:18" s="4" customFormat="1" ht="51" customHeight="1" outlineLevel="1">
      <c r="A80" s="27" t="str">
        <f t="shared" ref="A80:A93" si="16">$A$79&amp;"."&amp;ROW()-ROW($A$79)</f>
        <v>4A.S3.1</v>
      </c>
      <c r="B80" s="28" t="s">
        <v>71</v>
      </c>
      <c r="C80" s="28" t="str">
        <f>+'3A'!C80</f>
        <v xml:space="preserve">Tôn liên doanh Việt hàn, AZ170
</v>
      </c>
      <c r="D80" s="29" t="s">
        <v>520</v>
      </c>
      <c r="E80" s="31">
        <v>21774.62</v>
      </c>
      <c r="F80" s="31"/>
      <c r="G80" s="36">
        <v>21814.656200000001</v>
      </c>
      <c r="H80" s="101">
        <f>_xlfn.XLOOKUP(B80, Rate_Master!$A:$A, Rate_Master!$C:$C, "")</f>
        <v>248399.99999999997</v>
      </c>
      <c r="I80" s="101">
        <f>_xlfn.XLOOKUP(B80, Rate_Master!$A:$A, Rate_Master!$D:$D, "")</f>
        <v>34500</v>
      </c>
      <c r="J80" s="32">
        <f t="shared" ref="J80:J93" si="17">+SUM(H80:I80)</f>
        <v>282900</v>
      </c>
      <c r="K80" s="32">
        <f t="shared" ref="K80:K93" si="18">J80*E80</f>
        <v>6160039998</v>
      </c>
      <c r="L80" s="58">
        <f t="shared" ref="L80:L93" si="19">+G80*J80</f>
        <v>6171366238.9800005</v>
      </c>
      <c r="M80" s="32"/>
      <c r="N80" s="9"/>
      <c r="O80" s="202"/>
      <c r="P80" s="178"/>
      <c r="Q80" s="104"/>
      <c r="R80" s="104"/>
    </row>
    <row r="81" spans="1:18" s="4" customFormat="1" ht="51" customHeight="1" outlineLevel="1">
      <c r="A81" s="27" t="str">
        <f t="shared" si="16"/>
        <v>4A.S3.2</v>
      </c>
      <c r="B81" s="28" t="s">
        <v>72</v>
      </c>
      <c r="C81" s="28" t="str">
        <f>+'3A'!C81</f>
        <v xml:space="preserve">Tôn liên doanh Việt hàn, AZ170
</v>
      </c>
      <c r="D81" s="29" t="s">
        <v>520</v>
      </c>
      <c r="E81" s="31">
        <v>1074.354</v>
      </c>
      <c r="F81" s="31"/>
      <c r="G81" s="36">
        <v>838.13099999999997</v>
      </c>
      <c r="H81" s="101">
        <f>_xlfn.XLOOKUP(B81, Rate_Master!$A:$A, Rate_Master!$C:$C, "")</f>
        <v>206999.99999999997</v>
      </c>
      <c r="I81" s="101">
        <f>_xlfn.XLOOKUP(B81, Rate_Master!$A:$A, Rate_Master!$D:$D, "")</f>
        <v>34500</v>
      </c>
      <c r="J81" s="32">
        <f t="shared" si="17"/>
        <v>241499.99999999997</v>
      </c>
      <c r="K81" s="32">
        <f t="shared" si="18"/>
        <v>259456490.99999997</v>
      </c>
      <c r="L81" s="58">
        <f t="shared" si="19"/>
        <v>202408636.49999997</v>
      </c>
      <c r="M81" s="32"/>
      <c r="N81" s="9"/>
      <c r="O81" s="202"/>
      <c r="P81" s="178"/>
      <c r="Q81" s="104"/>
      <c r="R81" s="104"/>
    </row>
    <row r="82" spans="1:18" s="4" customFormat="1" ht="51" customHeight="1" outlineLevel="1">
      <c r="A82" s="27" t="str">
        <f t="shared" si="16"/>
        <v>4A.S3.3</v>
      </c>
      <c r="B82" s="28" t="s">
        <v>73</v>
      </c>
      <c r="C82" s="28" t="str">
        <f>+'3A'!C82</f>
        <v xml:space="preserve">Tôn liên doanh Việt hàn, AZ170
</v>
      </c>
      <c r="D82" s="29" t="s">
        <v>520</v>
      </c>
      <c r="E82" s="31">
        <v>546.25699999999995</v>
      </c>
      <c r="F82" s="31"/>
      <c r="G82" s="36">
        <v>480.36799999999988</v>
      </c>
      <c r="H82" s="101">
        <f>_xlfn.XLOOKUP(B82, Rate_Master!$A:$A, Rate_Master!$C:$C, "")</f>
        <v>195499.99999999997</v>
      </c>
      <c r="I82" s="101">
        <f>_xlfn.XLOOKUP(B82, Rate_Master!$A:$A, Rate_Master!$D:$D, "")</f>
        <v>34500</v>
      </c>
      <c r="J82" s="32">
        <f t="shared" si="17"/>
        <v>229999.99999999997</v>
      </c>
      <c r="K82" s="32">
        <f t="shared" si="18"/>
        <v>125639109.99999997</v>
      </c>
      <c r="L82" s="58">
        <f t="shared" si="19"/>
        <v>110484639.99999996</v>
      </c>
      <c r="M82" s="32"/>
      <c r="N82" s="9"/>
      <c r="O82" s="202"/>
      <c r="P82" s="178"/>
      <c r="Q82" s="104"/>
      <c r="R82" s="104"/>
    </row>
    <row r="83" spans="1:18" s="4" customFormat="1" ht="25.5" customHeight="1" outlineLevel="1">
      <c r="A83" s="27" t="str">
        <f t="shared" si="16"/>
        <v>4A.S3.4</v>
      </c>
      <c r="B83" s="28" t="s">
        <v>74</v>
      </c>
      <c r="C83" s="28" t="s">
        <v>515</v>
      </c>
      <c r="D83" s="29" t="s">
        <v>520</v>
      </c>
      <c r="E83" s="31">
        <v>21774.62</v>
      </c>
      <c r="F83" s="31"/>
      <c r="G83" s="36">
        <v>21814.656200000001</v>
      </c>
      <c r="H83" s="101">
        <f>_xlfn.XLOOKUP(B83, Rate_Master!$A:$A, Rate_Master!$C:$C, "")</f>
        <v>23000</v>
      </c>
      <c r="I83" s="101">
        <f>_xlfn.XLOOKUP(B83, Rate_Master!$A:$A, Rate_Master!$D:$D, "")</f>
        <v>11500</v>
      </c>
      <c r="J83" s="32">
        <f t="shared" si="17"/>
        <v>34500</v>
      </c>
      <c r="K83" s="32">
        <f t="shared" si="18"/>
        <v>751224390</v>
      </c>
      <c r="L83" s="58">
        <f t="shared" si="19"/>
        <v>752605638.9000001</v>
      </c>
      <c r="M83" s="32"/>
      <c r="N83" s="9"/>
      <c r="O83" s="202"/>
      <c r="P83" s="178"/>
      <c r="Q83" s="104"/>
      <c r="R83" s="104"/>
    </row>
    <row r="84" spans="1:18" s="4" customFormat="1" ht="25.5" customHeight="1" outlineLevel="1">
      <c r="A84" s="27" t="str">
        <f t="shared" si="16"/>
        <v>4A.S3.5</v>
      </c>
      <c r="B84" s="28" t="s">
        <v>75</v>
      </c>
      <c r="C84" s="28" t="s">
        <v>538</v>
      </c>
      <c r="D84" s="29" t="s">
        <v>517</v>
      </c>
      <c r="E84" s="31">
        <v>1117.4000000000001</v>
      </c>
      <c r="F84" s="31"/>
      <c r="G84" s="36">
        <v>1336.98</v>
      </c>
      <c r="H84" s="101">
        <f>_xlfn.XLOOKUP(B84, Rate_Master!$A:$A, Rate_Master!$C:$C, "")</f>
        <v>110399.99999999999</v>
      </c>
      <c r="I84" s="101">
        <f>_xlfn.XLOOKUP(B84, Rate_Master!$A:$A, Rate_Master!$D:$D, "")</f>
        <v>17250</v>
      </c>
      <c r="J84" s="32">
        <f t="shared" si="17"/>
        <v>127649.99999999999</v>
      </c>
      <c r="K84" s="32">
        <f t="shared" si="18"/>
        <v>142636110</v>
      </c>
      <c r="L84" s="58">
        <f t="shared" si="19"/>
        <v>170665496.99999997</v>
      </c>
      <c r="M84" s="32"/>
      <c r="N84" s="9"/>
      <c r="O84" s="202"/>
      <c r="P84" s="178"/>
      <c r="Q84" s="104"/>
      <c r="R84" s="104"/>
    </row>
    <row r="85" spans="1:18" s="4" customFormat="1" ht="25.5" customHeight="1" outlineLevel="1">
      <c r="A85" s="27" t="str">
        <f t="shared" si="16"/>
        <v>4A.S3.6</v>
      </c>
      <c r="B85" s="28" t="s">
        <v>75</v>
      </c>
      <c r="C85" s="28" t="s">
        <v>539</v>
      </c>
      <c r="D85" s="29" t="s">
        <v>517</v>
      </c>
      <c r="E85" s="31">
        <v>3962.2</v>
      </c>
      <c r="F85" s="31"/>
      <c r="G85" s="36">
        <v>3536.4</v>
      </c>
      <c r="H85" s="101">
        <f>_xlfn.XLOOKUP(B85, Rate_Master!$A:$A, Rate_Master!$C:$C, "")</f>
        <v>110399.99999999999</v>
      </c>
      <c r="I85" s="101">
        <f>_xlfn.XLOOKUP(B85, Rate_Master!$A:$A, Rate_Master!$D:$D, "")</f>
        <v>17250</v>
      </c>
      <c r="J85" s="32">
        <f t="shared" si="17"/>
        <v>127649.99999999999</v>
      </c>
      <c r="K85" s="32">
        <f t="shared" si="18"/>
        <v>505774829.99999994</v>
      </c>
      <c r="L85" s="58">
        <f t="shared" si="19"/>
        <v>451421459.99999994</v>
      </c>
      <c r="M85" s="32"/>
      <c r="N85" s="9"/>
      <c r="O85" s="202"/>
      <c r="P85" s="178"/>
      <c r="Q85" s="104"/>
      <c r="R85" s="104"/>
    </row>
    <row r="86" spans="1:18" s="4" customFormat="1" ht="25.5" customHeight="1" outlineLevel="1">
      <c r="A86" s="27" t="str">
        <f t="shared" si="16"/>
        <v>4A.S3.7</v>
      </c>
      <c r="B86" s="28" t="s">
        <v>76</v>
      </c>
      <c r="C86" s="28" t="s">
        <v>540</v>
      </c>
      <c r="D86" s="29" t="s">
        <v>517</v>
      </c>
      <c r="E86" s="31">
        <v>522.79999999999995</v>
      </c>
      <c r="F86" s="31"/>
      <c r="G86" s="36">
        <v>522.20000000000005</v>
      </c>
      <c r="H86" s="101">
        <f>_xlfn.XLOOKUP(B86, Rate_Master!$A:$A, Rate_Master!$C:$C, "")</f>
        <v>1976115.3983999996</v>
      </c>
      <c r="I86" s="101">
        <f>_xlfn.XLOOKUP(B86, Rate_Master!$A:$A, Rate_Master!$D:$D, "")</f>
        <v>28749.999999999996</v>
      </c>
      <c r="J86" s="32">
        <f t="shared" si="17"/>
        <v>2004865.3983999996</v>
      </c>
      <c r="K86" s="32">
        <f t="shared" si="18"/>
        <v>1048143630.2835197</v>
      </c>
      <c r="L86" s="58">
        <f t="shared" si="19"/>
        <v>1046940711.0444798</v>
      </c>
      <c r="M86" s="32"/>
      <c r="N86" s="9"/>
      <c r="O86" s="202"/>
      <c r="P86" s="178"/>
      <c r="Q86" s="104"/>
      <c r="R86" s="104"/>
    </row>
    <row r="87" spans="1:18" s="4" customFormat="1" ht="25.5" customHeight="1" outlineLevel="1">
      <c r="A87" s="27" t="str">
        <f t="shared" si="16"/>
        <v>4A.S3.8</v>
      </c>
      <c r="B87" s="28" t="s">
        <v>77</v>
      </c>
      <c r="C87" s="28" t="s">
        <v>541</v>
      </c>
      <c r="D87" s="29" t="s">
        <v>517</v>
      </c>
      <c r="E87" s="31">
        <v>261.39999999999998</v>
      </c>
      <c r="F87" s="31"/>
      <c r="G87" s="36">
        <v>261.10000000000002</v>
      </c>
      <c r="H87" s="101">
        <f>_xlfn.XLOOKUP(B87, Rate_Master!$A:$A, Rate_Master!$C:$C, "")</f>
        <v>1077881.1263999997</v>
      </c>
      <c r="I87" s="101">
        <f>_xlfn.XLOOKUP(B87, Rate_Master!$A:$A, Rate_Master!$D:$D, "")</f>
        <v>23000</v>
      </c>
      <c r="J87" s="32">
        <f t="shared" si="17"/>
        <v>1100881.1263999997</v>
      </c>
      <c r="K87" s="32">
        <f t="shared" si="18"/>
        <v>287770326.44095993</v>
      </c>
      <c r="L87" s="58">
        <f t="shared" si="19"/>
        <v>287440062.10303998</v>
      </c>
      <c r="M87" s="32"/>
      <c r="N87" s="9"/>
      <c r="O87" s="202"/>
      <c r="P87" s="178"/>
      <c r="Q87" s="104"/>
      <c r="R87" s="104"/>
    </row>
    <row r="88" spans="1:18" s="4" customFormat="1" ht="25.5" customHeight="1" outlineLevel="1">
      <c r="A88" s="27" t="str">
        <f t="shared" si="16"/>
        <v>4A.S3.9</v>
      </c>
      <c r="B88" s="28" t="s">
        <v>78</v>
      </c>
      <c r="C88" s="28" t="s">
        <v>515</v>
      </c>
      <c r="D88" s="29" t="s">
        <v>518</v>
      </c>
      <c r="E88" s="31">
        <v>32</v>
      </c>
      <c r="F88" s="31"/>
      <c r="G88" s="36">
        <v>38</v>
      </c>
      <c r="H88" s="101">
        <f>_xlfn.XLOOKUP(B88, Rate_Master!$A:$A, Rate_Master!$C:$C, "")</f>
        <v>92000</v>
      </c>
      <c r="I88" s="101">
        <f>_xlfn.XLOOKUP(B88, Rate_Master!$A:$A, Rate_Master!$D:$D, "")</f>
        <v>11500</v>
      </c>
      <c r="J88" s="32">
        <f t="shared" si="17"/>
        <v>103500</v>
      </c>
      <c r="K88" s="32">
        <f t="shared" si="18"/>
        <v>3312000</v>
      </c>
      <c r="L88" s="58">
        <f t="shared" si="19"/>
        <v>3933000</v>
      </c>
      <c r="M88" s="32"/>
      <c r="N88" s="9"/>
      <c r="O88" s="202"/>
      <c r="P88" s="178"/>
      <c r="Q88" s="104"/>
      <c r="R88" s="104"/>
    </row>
    <row r="89" spans="1:18" s="4" customFormat="1" ht="63.75" customHeight="1" outlineLevel="1">
      <c r="A89" s="27" t="str">
        <f t="shared" si="16"/>
        <v>4A.S3.10</v>
      </c>
      <c r="B89" s="28" t="s">
        <v>79</v>
      </c>
      <c r="C89" s="28" t="s">
        <v>542</v>
      </c>
      <c r="D89" s="29" t="s">
        <v>517</v>
      </c>
      <c r="E89" s="31">
        <v>501.6</v>
      </c>
      <c r="F89" s="31"/>
      <c r="G89" s="36">
        <v>364.8</v>
      </c>
      <c r="H89" s="101">
        <f>_xlfn.XLOOKUP(B89, Rate_Master!$A:$A, Rate_Master!$C:$C, "")</f>
        <v>297443.47499999998</v>
      </c>
      <c r="I89" s="101">
        <f>_xlfn.XLOOKUP(B89, Rate_Master!$A:$A, Rate_Master!$D:$D, "")</f>
        <v>23000</v>
      </c>
      <c r="J89" s="32">
        <f t="shared" si="17"/>
        <v>320443.47499999998</v>
      </c>
      <c r="K89" s="32">
        <f t="shared" si="18"/>
        <v>160734447.06</v>
      </c>
      <c r="L89" s="58">
        <f t="shared" si="19"/>
        <v>116897779.67999999</v>
      </c>
      <c r="M89" s="32"/>
      <c r="N89" s="9"/>
      <c r="O89" s="202"/>
      <c r="P89" s="178"/>
      <c r="Q89" s="104"/>
      <c r="R89" s="104"/>
    </row>
    <row r="90" spans="1:18" s="4" customFormat="1" ht="25.5" customHeight="1" outlineLevel="1">
      <c r="A90" s="27" t="str">
        <f t="shared" si="16"/>
        <v>4A.S3.11</v>
      </c>
      <c r="B90" s="28" t="s">
        <v>80</v>
      </c>
      <c r="C90" s="28" t="s">
        <v>515</v>
      </c>
      <c r="D90" s="29" t="s">
        <v>457</v>
      </c>
      <c r="E90" s="31">
        <v>1</v>
      </c>
      <c r="F90" s="31"/>
      <c r="G90" s="36">
        <v>1</v>
      </c>
      <c r="H90" s="101">
        <f>_xlfn.XLOOKUP(B90, Rate_Master!$A:$A, Rate_Master!$C:$C, "")</f>
        <v>0</v>
      </c>
      <c r="I90" s="101">
        <f>_xlfn.XLOOKUP(B90, Rate_Master!$A:$A, Rate_Master!$D:$D, "")</f>
        <v>57499999.999999993</v>
      </c>
      <c r="J90" s="32">
        <f t="shared" si="17"/>
        <v>57499999.999999993</v>
      </c>
      <c r="K90" s="32">
        <f t="shared" si="18"/>
        <v>57499999.999999993</v>
      </c>
      <c r="L90" s="58">
        <f t="shared" si="19"/>
        <v>57499999.999999993</v>
      </c>
      <c r="M90" s="32"/>
      <c r="N90" s="9"/>
      <c r="O90" s="202"/>
      <c r="P90" s="178"/>
      <c r="Q90" s="104"/>
      <c r="R90" s="104"/>
    </row>
    <row r="91" spans="1:18" s="4" customFormat="1" ht="25.5" customHeight="1" outlineLevel="1">
      <c r="A91" s="27" t="str">
        <f t="shared" si="16"/>
        <v>4A.S3.12</v>
      </c>
      <c r="B91" s="28" t="s">
        <v>81</v>
      </c>
      <c r="C91" s="28" t="s">
        <v>515</v>
      </c>
      <c r="D91" s="29" t="s">
        <v>520</v>
      </c>
      <c r="E91" s="31">
        <v>23395.231</v>
      </c>
      <c r="F91" s="31"/>
      <c r="G91" s="36">
        <v>23133.155200000001</v>
      </c>
      <c r="H91" s="101">
        <f>_xlfn.XLOOKUP(B91, Rate_Master!$A:$A, Rate_Master!$C:$C, "")</f>
        <v>0</v>
      </c>
      <c r="I91" s="101">
        <f>_xlfn.XLOOKUP(B91, Rate_Master!$A:$A, Rate_Master!$D:$D, "")</f>
        <v>40250</v>
      </c>
      <c r="J91" s="32">
        <f t="shared" si="17"/>
        <v>40250</v>
      </c>
      <c r="K91" s="32">
        <f t="shared" si="18"/>
        <v>941658047.75</v>
      </c>
      <c r="L91" s="58">
        <f t="shared" si="19"/>
        <v>931109496.80000007</v>
      </c>
      <c r="M91" s="32"/>
      <c r="N91" s="9"/>
      <c r="O91" s="202"/>
      <c r="P91" s="178"/>
      <c r="Q91" s="104"/>
      <c r="R91" s="104"/>
    </row>
    <row r="92" spans="1:18" s="4" customFormat="1" ht="38.25" customHeight="1" outlineLevel="1">
      <c r="A92" s="27" t="str">
        <f t="shared" si="16"/>
        <v>4A.S3.13</v>
      </c>
      <c r="B92" s="28" t="s">
        <v>82</v>
      </c>
      <c r="C92" s="28" t="s">
        <v>515</v>
      </c>
      <c r="D92" s="29" t="s">
        <v>517</v>
      </c>
      <c r="E92" s="31">
        <v>6365.4</v>
      </c>
      <c r="F92" s="31"/>
      <c r="G92" s="36">
        <v>6021.48</v>
      </c>
      <c r="H92" s="101">
        <f>_xlfn.XLOOKUP(B92, Rate_Master!$A:$A, Rate_Master!$C:$C, "")</f>
        <v>0</v>
      </c>
      <c r="I92" s="101">
        <f>_xlfn.XLOOKUP(B92, Rate_Master!$A:$A, Rate_Master!$D:$D, "")</f>
        <v>23000</v>
      </c>
      <c r="J92" s="32">
        <f t="shared" si="17"/>
        <v>23000</v>
      </c>
      <c r="K92" s="32">
        <f t="shared" si="18"/>
        <v>146404200</v>
      </c>
      <c r="L92" s="58">
        <f t="shared" si="19"/>
        <v>138494040</v>
      </c>
      <c r="M92" s="32"/>
      <c r="N92" s="9"/>
      <c r="O92" s="202"/>
      <c r="P92" s="178"/>
      <c r="Q92" s="104"/>
      <c r="R92" s="104"/>
    </row>
    <row r="93" spans="1:18" s="4" customFormat="1" ht="25.5" customHeight="1" outlineLevel="1">
      <c r="A93" s="27" t="str">
        <f t="shared" si="16"/>
        <v>4A.S3.14</v>
      </c>
      <c r="B93" s="28" t="s">
        <v>83</v>
      </c>
      <c r="C93" s="28" t="s">
        <v>543</v>
      </c>
      <c r="D93" s="29" t="s">
        <v>457</v>
      </c>
      <c r="E93" s="31">
        <v>1</v>
      </c>
      <c r="F93" s="31"/>
      <c r="G93" s="36">
        <v>1</v>
      </c>
      <c r="H93" s="101">
        <f>_xlfn.XLOOKUP(B93, Rate_Master!$A:$A, Rate_Master!$C:$C, "")</f>
        <v>145942235.10876715</v>
      </c>
      <c r="I93" s="101">
        <f>_xlfn.XLOOKUP(B93, Rate_Master!$A:$A, Rate_Master!$D:$D, "")</f>
        <v>0</v>
      </c>
      <c r="J93" s="32">
        <f t="shared" si="17"/>
        <v>145942235.10876715</v>
      </c>
      <c r="K93" s="32">
        <f t="shared" si="18"/>
        <v>145942235.10876715</v>
      </c>
      <c r="L93" s="58">
        <f t="shared" si="19"/>
        <v>145942235.10876715</v>
      </c>
      <c r="M93" s="32"/>
      <c r="N93" s="9"/>
      <c r="O93" s="202"/>
      <c r="P93" s="178"/>
      <c r="Q93" s="104"/>
      <c r="R93" s="104"/>
    </row>
    <row r="94" spans="1:18" s="3" customFormat="1" ht="25.5" customHeight="1">
      <c r="A94" s="62" t="str">
        <f>$A$56&amp;4</f>
        <v>4A.S4</v>
      </c>
      <c r="B94" s="63" t="s">
        <v>84</v>
      </c>
      <c r="C94" s="63" t="s">
        <v>515</v>
      </c>
      <c r="D94" s="62"/>
      <c r="E94" s="116"/>
      <c r="F94" s="116"/>
      <c r="G94" s="117"/>
      <c r="H94" s="160">
        <f>_xlfn.XLOOKUP(B94, Rate_Master!$A:$A, Rate_Master!$C:$C, "")</f>
        <v>0</v>
      </c>
      <c r="I94" s="160">
        <f>_xlfn.XLOOKUP(B94, Rate_Master!$A:$A, Rate_Master!$D:$D, "")</f>
        <v>0</v>
      </c>
      <c r="J94" s="49"/>
      <c r="K94" s="49">
        <f>SUBTOTAL(9,K95:K102)</f>
        <v>797742307.50059998</v>
      </c>
      <c r="L94" s="49">
        <f>SUBTOTAL(9,L95:L102)</f>
        <v>540069900</v>
      </c>
      <c r="M94" s="49"/>
      <c r="N94" s="167"/>
      <c r="O94" s="201"/>
      <c r="P94" s="180"/>
      <c r="Q94" s="104"/>
      <c r="R94" s="104"/>
    </row>
    <row r="95" spans="1:18" s="4" customFormat="1" ht="38.25" customHeight="1" outlineLevel="1">
      <c r="A95" s="27" t="str">
        <f t="shared" ref="A95:A102" si="20">$A$94&amp;"."&amp;ROW()-ROW($A$94)</f>
        <v>4A.S4.1</v>
      </c>
      <c r="B95" s="28" t="s">
        <v>85</v>
      </c>
      <c r="C95" s="28" t="s">
        <v>544</v>
      </c>
      <c r="D95" s="29" t="s">
        <v>517</v>
      </c>
      <c r="E95" s="31">
        <v>17.995000000000001</v>
      </c>
      <c r="F95" s="31"/>
      <c r="G95" s="36">
        <v>12</v>
      </c>
      <c r="H95" s="101">
        <f>_xlfn.XLOOKUP(B95, Rate_Master!$A:$A, Rate_Master!$C:$C, "")</f>
        <v>5175000</v>
      </c>
      <c r="I95" s="101">
        <f>_xlfn.XLOOKUP(B95, Rate_Master!$A:$A, Rate_Master!$D:$D, "")</f>
        <v>0</v>
      </c>
      <c r="J95" s="67">
        <f t="shared" ref="J95:J102" si="21">+SUM(H95:I95)</f>
        <v>5175000</v>
      </c>
      <c r="K95" s="32">
        <f t="shared" ref="K95:K102" si="22">J95*E95</f>
        <v>93124125</v>
      </c>
      <c r="L95" s="58">
        <f t="shared" ref="L95:L102" si="23">+G95*J95</f>
        <v>62100000</v>
      </c>
      <c r="M95" s="32"/>
      <c r="N95" s="9"/>
      <c r="O95" s="202"/>
      <c r="P95" s="178"/>
      <c r="Q95" s="104"/>
      <c r="R95" s="104"/>
    </row>
    <row r="96" spans="1:18" s="4" customFormat="1" ht="38.25" customHeight="1" outlineLevel="1">
      <c r="A96" s="27" t="str">
        <f t="shared" si="20"/>
        <v>4A.S4.2</v>
      </c>
      <c r="B96" s="28" t="s">
        <v>86</v>
      </c>
      <c r="C96" s="28" t="s">
        <v>545</v>
      </c>
      <c r="D96" s="29" t="s">
        <v>517</v>
      </c>
      <c r="E96" s="31">
        <v>0</v>
      </c>
      <c r="F96" s="31"/>
      <c r="G96" s="36"/>
      <c r="H96" s="101">
        <f>_xlfn.XLOOKUP(B96, Rate_Master!$A:$A, Rate_Master!$C:$C, "")</f>
        <v>0</v>
      </c>
      <c r="I96" s="101">
        <f>_xlfn.XLOOKUP(B96, Rate_Master!$A:$A, Rate_Master!$D:$D, "")</f>
        <v>0</v>
      </c>
      <c r="J96" s="67">
        <f t="shared" si="21"/>
        <v>0</v>
      </c>
      <c r="K96" s="32">
        <f t="shared" si="22"/>
        <v>0</v>
      </c>
      <c r="L96" s="58">
        <f t="shared" si="23"/>
        <v>0</v>
      </c>
      <c r="M96" s="32"/>
      <c r="N96" s="9"/>
      <c r="O96" s="202"/>
      <c r="P96" s="178"/>
      <c r="Q96" s="104"/>
      <c r="R96" s="104"/>
    </row>
    <row r="97" spans="1:18" s="4" customFormat="1" ht="38.25" customHeight="1" outlineLevel="1">
      <c r="A97" s="27" t="str">
        <f t="shared" si="20"/>
        <v>4A.S4.3</v>
      </c>
      <c r="B97" s="28" t="s">
        <v>87</v>
      </c>
      <c r="C97" s="28" t="s">
        <v>546</v>
      </c>
      <c r="D97" s="29" t="s">
        <v>517</v>
      </c>
      <c r="E97" s="31">
        <v>0</v>
      </c>
      <c r="F97" s="31"/>
      <c r="G97" s="36"/>
      <c r="H97" s="101">
        <f>_xlfn.XLOOKUP(B97, Rate_Master!$A:$A, Rate_Master!$C:$C, "")</f>
        <v>0</v>
      </c>
      <c r="I97" s="101">
        <f>_xlfn.XLOOKUP(B97, Rate_Master!$A:$A, Rate_Master!$D:$D, "")</f>
        <v>0</v>
      </c>
      <c r="J97" s="67">
        <f t="shared" si="21"/>
        <v>0</v>
      </c>
      <c r="K97" s="32">
        <f t="shared" si="22"/>
        <v>0</v>
      </c>
      <c r="L97" s="58">
        <f t="shared" si="23"/>
        <v>0</v>
      </c>
      <c r="M97" s="32"/>
      <c r="N97" s="9"/>
      <c r="O97" s="202"/>
      <c r="P97" s="178"/>
      <c r="Q97" s="104"/>
      <c r="R97" s="104"/>
    </row>
    <row r="98" spans="1:18" s="4" customFormat="1" ht="25.5" customHeight="1" outlineLevel="1">
      <c r="A98" s="27" t="str">
        <f t="shared" si="20"/>
        <v>4A.S4.4</v>
      </c>
      <c r="B98" s="28" t="s">
        <v>88</v>
      </c>
      <c r="C98" s="28" t="s">
        <v>546</v>
      </c>
      <c r="D98" s="29" t="s">
        <v>517</v>
      </c>
      <c r="E98" s="31">
        <v>0</v>
      </c>
      <c r="F98" s="31"/>
      <c r="G98" s="36"/>
      <c r="H98" s="101">
        <f>_xlfn.XLOOKUP(B98, Rate_Master!$A:$A, Rate_Master!$C:$C, "")</f>
        <v>0</v>
      </c>
      <c r="I98" s="101">
        <f>_xlfn.XLOOKUP(B98, Rate_Master!$A:$A, Rate_Master!$D:$D, "")</f>
        <v>0</v>
      </c>
      <c r="J98" s="67">
        <f t="shared" si="21"/>
        <v>0</v>
      </c>
      <c r="K98" s="32">
        <f t="shared" si="22"/>
        <v>0</v>
      </c>
      <c r="L98" s="58">
        <f t="shared" si="23"/>
        <v>0</v>
      </c>
      <c r="M98" s="32"/>
      <c r="N98" s="9"/>
      <c r="O98" s="202"/>
      <c r="P98" s="178"/>
      <c r="Q98" s="104"/>
      <c r="R98" s="104"/>
    </row>
    <row r="99" spans="1:18" s="4" customFormat="1" ht="51" customHeight="1" outlineLevel="1">
      <c r="A99" s="27" t="str">
        <f t="shared" si="20"/>
        <v>4A.S4.5</v>
      </c>
      <c r="B99" s="28" t="s">
        <v>89</v>
      </c>
      <c r="C99" s="28" t="s">
        <v>547</v>
      </c>
      <c r="D99" s="29" t="s">
        <v>520</v>
      </c>
      <c r="E99" s="31">
        <v>20781.3</v>
      </c>
      <c r="F99" s="31"/>
      <c r="G99" s="36">
        <v>20781.3</v>
      </c>
      <c r="H99" s="101">
        <f>_xlfn.XLOOKUP(B99, Rate_Master!$A:$A, Rate_Master!$C:$C, "")</f>
        <v>17250</v>
      </c>
      <c r="I99" s="101">
        <f>_xlfn.XLOOKUP(B99, Rate_Master!$A:$A, Rate_Master!$D:$D, "")</f>
        <v>5750</v>
      </c>
      <c r="J99" s="67">
        <f t="shared" si="21"/>
        <v>23000</v>
      </c>
      <c r="K99" s="32">
        <f t="shared" si="22"/>
        <v>477969900</v>
      </c>
      <c r="L99" s="58">
        <f t="shared" si="23"/>
        <v>477969900</v>
      </c>
      <c r="M99" s="32"/>
      <c r="N99" s="9"/>
      <c r="O99" s="202"/>
      <c r="P99" s="178"/>
      <c r="Q99" s="104"/>
      <c r="R99" s="104"/>
    </row>
    <row r="100" spans="1:18" s="4" customFormat="1" ht="38.25" customHeight="1" outlineLevel="1">
      <c r="A100" s="27" t="str">
        <f t="shared" si="20"/>
        <v>4A.S4.6</v>
      </c>
      <c r="B100" s="28" t="s">
        <v>90</v>
      </c>
      <c r="C100" s="28" t="s">
        <v>548</v>
      </c>
      <c r="D100" s="29" t="s">
        <v>520</v>
      </c>
      <c r="E100" s="31">
        <v>11593.262532000001</v>
      </c>
      <c r="F100" s="31"/>
      <c r="G100" s="36"/>
      <c r="H100" s="101">
        <f>_xlfn.XLOOKUP(B100, Rate_Master!$A:$A, Rate_Master!$C:$C, "")</f>
        <v>0</v>
      </c>
      <c r="I100" s="101">
        <f>_xlfn.XLOOKUP(B100, Rate_Master!$A:$A, Rate_Master!$D:$D, "")</f>
        <v>0</v>
      </c>
      <c r="J100" s="67">
        <f t="shared" si="21"/>
        <v>0</v>
      </c>
      <c r="K100" s="32">
        <f t="shared" si="22"/>
        <v>0</v>
      </c>
      <c r="L100" s="58">
        <f t="shared" si="23"/>
        <v>0</v>
      </c>
      <c r="M100" s="75" t="s">
        <v>549</v>
      </c>
      <c r="N100" s="168"/>
      <c r="O100" s="202"/>
      <c r="P100" s="178"/>
      <c r="Q100" s="104"/>
      <c r="R100" s="104"/>
    </row>
    <row r="101" spans="1:18" s="4" customFormat="1" ht="25.5" customHeight="1" outlineLevel="1">
      <c r="A101" s="27" t="str">
        <f t="shared" si="20"/>
        <v>4A.S4.7</v>
      </c>
      <c r="B101" s="28" t="s">
        <v>91</v>
      </c>
      <c r="C101" s="28" t="s">
        <v>515</v>
      </c>
      <c r="D101" s="29" t="s">
        <v>457</v>
      </c>
      <c r="E101" s="31">
        <v>1</v>
      </c>
      <c r="F101" s="31"/>
      <c r="G101" s="36"/>
      <c r="H101" s="101">
        <f>_xlfn.XLOOKUP(B101, Rate_Master!$A:$A, Rate_Master!$C:$C, "")</f>
        <v>0</v>
      </c>
      <c r="I101" s="101">
        <f>_xlfn.XLOOKUP(B101, Rate_Master!$A:$A, Rate_Master!$D:$D, "")</f>
        <v>0</v>
      </c>
      <c r="J101" s="67">
        <f t="shared" si="21"/>
        <v>0</v>
      </c>
      <c r="K101" s="32">
        <f t="shared" si="22"/>
        <v>0</v>
      </c>
      <c r="L101" s="58">
        <f t="shared" si="23"/>
        <v>0</v>
      </c>
      <c r="M101" s="75" t="s">
        <v>549</v>
      </c>
      <c r="N101" s="168"/>
      <c r="O101" s="202"/>
      <c r="P101" s="178"/>
      <c r="Q101" s="104"/>
      <c r="R101" s="104"/>
    </row>
    <row r="102" spans="1:18" s="4" customFormat="1" ht="51" customHeight="1" outlineLevel="1">
      <c r="A102" s="27" t="str">
        <f t="shared" si="20"/>
        <v>4A.S4.8</v>
      </c>
      <c r="B102" s="28" t="s">
        <v>92</v>
      </c>
      <c r="C102" s="28" t="s">
        <v>550</v>
      </c>
      <c r="D102" s="29" t="s">
        <v>520</v>
      </c>
      <c r="E102" s="31">
        <v>11593.262532000001</v>
      </c>
      <c r="F102" s="31"/>
      <c r="G102" s="36"/>
      <c r="H102" s="101">
        <f>_xlfn.XLOOKUP(B102, Rate_Master!$A:$A, Rate_Master!$C:$C, "")</f>
        <v>16099.999999999998</v>
      </c>
      <c r="I102" s="101">
        <f>_xlfn.XLOOKUP(B102, Rate_Master!$A:$A, Rate_Master!$D:$D, "")</f>
        <v>3449.9999999999995</v>
      </c>
      <c r="J102" s="67">
        <f t="shared" si="21"/>
        <v>19549.999999999996</v>
      </c>
      <c r="K102" s="32">
        <f t="shared" si="22"/>
        <v>226648282.50059998</v>
      </c>
      <c r="L102" s="58">
        <f t="shared" si="23"/>
        <v>0</v>
      </c>
      <c r="M102" s="75" t="s">
        <v>549</v>
      </c>
      <c r="N102" s="168"/>
      <c r="O102" s="202"/>
      <c r="P102" s="178"/>
      <c r="Q102" s="104"/>
      <c r="R102" s="104"/>
    </row>
    <row r="103" spans="1:18" s="146" customFormat="1" ht="25.5" customHeight="1">
      <c r="A103" s="23" t="str">
        <f>$A$9&amp;".F"</f>
        <v>4A.F</v>
      </c>
      <c r="B103" s="23" t="s">
        <v>93</v>
      </c>
      <c r="C103" s="23" t="s">
        <v>515</v>
      </c>
      <c r="D103" s="23"/>
      <c r="E103" s="23"/>
      <c r="F103" s="23"/>
      <c r="G103" s="23"/>
      <c r="H103" s="162">
        <f>_xlfn.XLOOKUP(B103, Rate_Master!$A:$A, Rate_Master!$C:$C, "")</f>
        <v>0</v>
      </c>
      <c r="I103" s="162">
        <f>_xlfn.XLOOKUP(B103, Rate_Master!$A:$A, Rate_Master!$D:$D, "")</f>
        <v>0</v>
      </c>
      <c r="J103" s="23"/>
      <c r="K103" s="23"/>
      <c r="L103" s="23"/>
      <c r="M103" s="23"/>
      <c r="N103" s="169"/>
      <c r="O103" s="201"/>
      <c r="Q103" s="177"/>
    </row>
    <row r="104" spans="1:18" s="3" customFormat="1" ht="25.5" customHeight="1">
      <c r="A104" s="22" t="str">
        <f>$A$103&amp;1</f>
        <v>4A.F1</v>
      </c>
      <c r="B104" s="23" t="s">
        <v>94</v>
      </c>
      <c r="C104" s="23" t="s">
        <v>515</v>
      </c>
      <c r="D104" s="22"/>
      <c r="E104" s="25"/>
      <c r="F104" s="25"/>
      <c r="G104" s="87"/>
      <c r="H104" s="158">
        <f>_xlfn.XLOOKUP(B104, Rate_Master!$A:$A, Rate_Master!$C:$C, "")</f>
        <v>0</v>
      </c>
      <c r="I104" s="158">
        <f>_xlfn.XLOOKUP(B104, Rate_Master!$A:$A, Rate_Master!$D:$D, "")</f>
        <v>0</v>
      </c>
      <c r="J104" s="26"/>
      <c r="K104" s="26">
        <f>SUBTOTAL(9,K105:K122)</f>
        <v>13208026248.978905</v>
      </c>
      <c r="L104" s="26">
        <f>SUBTOTAL(9,L105:L122)</f>
        <v>18350683947.762054</v>
      </c>
      <c r="M104" s="26"/>
      <c r="N104" s="166"/>
      <c r="O104" s="201"/>
      <c r="P104" s="175"/>
      <c r="Q104" s="2"/>
    </row>
    <row r="105" spans="1:18" s="4" customFormat="1" ht="25.5" customHeight="1" outlineLevel="1">
      <c r="A105" s="27" t="str">
        <f t="shared" ref="A105:A122" si="24">$A$104&amp;"."&amp;ROW()-ROW($A$104)</f>
        <v>4A.F1.1</v>
      </c>
      <c r="B105" s="35" t="s">
        <v>95</v>
      </c>
      <c r="C105" s="34" t="s">
        <v>551</v>
      </c>
      <c r="D105" s="29" t="s">
        <v>519</v>
      </c>
      <c r="E105" s="31">
        <v>1824.723</v>
      </c>
      <c r="F105" s="4">
        <v>2659.42</v>
      </c>
      <c r="G105" s="36">
        <v>2659.42</v>
      </c>
      <c r="H105" s="142">
        <f>_xlfn.XLOOKUP(B105, Rate_Master!$A:$A, Rate_Master!$C:$C, "")</f>
        <v>1587600.0077618286</v>
      </c>
      <c r="I105" s="142">
        <f>_xlfn.XLOOKUP(B105, Rate_Master!$A:$A, Rate_Master!$D:$D, "")</f>
        <v>1086539.80861244</v>
      </c>
      <c r="J105" s="32">
        <f t="shared" ref="J105:J122" si="25">+I105+H105</f>
        <v>2674139.8163742684</v>
      </c>
      <c r="K105" s="32">
        <f t="shared" ref="K105:K122" si="26">J105*E105</f>
        <v>4879564428.153904</v>
      </c>
      <c r="L105" s="32">
        <f t="shared" ref="L105:L122" si="27">+G105*J105</f>
        <v>7111660910.4620571</v>
      </c>
      <c r="M105" s="32"/>
      <c r="N105" s="9"/>
      <c r="O105" s="202"/>
      <c r="P105" s="178"/>
    </row>
    <row r="106" spans="1:18" s="4" customFormat="1" ht="25.5" customHeight="1" outlineLevel="1">
      <c r="A106" s="27" t="str">
        <f t="shared" si="24"/>
        <v>4A.F1.2</v>
      </c>
      <c r="B106" s="35" t="s">
        <v>96</v>
      </c>
      <c r="C106" s="34" t="s">
        <v>551</v>
      </c>
      <c r="D106" s="29" t="s">
        <v>519</v>
      </c>
      <c r="E106" s="31">
        <v>10.874000000000001</v>
      </c>
      <c r="F106" s="31">
        <v>11.07</v>
      </c>
      <c r="G106" s="36">
        <v>11.07</v>
      </c>
      <c r="H106" s="142">
        <f>_xlfn.XLOOKUP(B106, Rate_Master!$A:$A, Rate_Master!$C:$C, "")</f>
        <v>1368500</v>
      </c>
      <c r="I106" s="142">
        <f>_xlfn.XLOOKUP(B106, Rate_Master!$A:$A, Rate_Master!$D:$D, "")</f>
        <v>948749.99999999988</v>
      </c>
      <c r="J106" s="32">
        <f t="shared" si="25"/>
        <v>2317250</v>
      </c>
      <c r="K106" s="32">
        <f t="shared" si="26"/>
        <v>25197776.5</v>
      </c>
      <c r="L106" s="32">
        <f t="shared" si="27"/>
        <v>25651957.5</v>
      </c>
      <c r="M106" s="32"/>
      <c r="N106" s="9"/>
      <c r="O106" s="202"/>
      <c r="P106" s="178"/>
    </row>
    <row r="107" spans="1:18" s="4" customFormat="1" ht="63.75" customHeight="1" outlineLevel="1">
      <c r="A107" s="27" t="str">
        <f t="shared" si="24"/>
        <v>4A.F1.3</v>
      </c>
      <c r="B107" s="28" t="s">
        <v>97</v>
      </c>
      <c r="C107" s="34" t="s">
        <v>552</v>
      </c>
      <c r="D107" s="29" t="s">
        <v>520</v>
      </c>
      <c r="E107" s="31">
        <v>0</v>
      </c>
      <c r="F107" s="31"/>
      <c r="G107" s="36"/>
      <c r="H107" s="142">
        <f>_xlfn.XLOOKUP(B107, Rate_Master!$A:$A, Rate_Master!$C:$C, "")</f>
        <v>229999.99999999997</v>
      </c>
      <c r="I107" s="142">
        <f>_xlfn.XLOOKUP(B107, Rate_Master!$A:$A, Rate_Master!$D:$D, "")</f>
        <v>46000</v>
      </c>
      <c r="J107" s="32">
        <f t="shared" si="25"/>
        <v>276000</v>
      </c>
      <c r="K107" s="32">
        <f t="shared" si="26"/>
        <v>0</v>
      </c>
      <c r="L107" s="32">
        <f t="shared" si="27"/>
        <v>0</v>
      </c>
      <c r="M107" s="32"/>
      <c r="N107" s="9"/>
      <c r="O107" s="202"/>
      <c r="P107" s="178"/>
    </row>
    <row r="108" spans="1:18" s="4" customFormat="1" ht="38.25" customHeight="1" outlineLevel="1">
      <c r="A108" s="27" t="str">
        <f t="shared" si="24"/>
        <v>4A.F1.4</v>
      </c>
      <c r="B108" s="28" t="s">
        <v>98</v>
      </c>
      <c r="C108" s="34" t="s">
        <v>553</v>
      </c>
      <c r="D108" s="29" t="s">
        <v>520</v>
      </c>
      <c r="E108" s="31">
        <v>0</v>
      </c>
      <c r="F108" s="31"/>
      <c r="G108" s="36"/>
      <c r="H108" s="142">
        <f>_xlfn.XLOOKUP(B108, Rate_Master!$A:$A, Rate_Master!$C:$C, "")</f>
        <v>0</v>
      </c>
      <c r="I108" s="142">
        <f>_xlfn.XLOOKUP(B108, Rate_Master!$A:$A, Rate_Master!$D:$D, "")</f>
        <v>0</v>
      </c>
      <c r="J108" s="32">
        <f t="shared" si="25"/>
        <v>0</v>
      </c>
      <c r="K108" s="32">
        <f t="shared" si="26"/>
        <v>0</v>
      </c>
      <c r="L108" s="32">
        <f t="shared" si="27"/>
        <v>0</v>
      </c>
      <c r="M108" s="32"/>
      <c r="N108" s="9"/>
      <c r="O108" s="202"/>
      <c r="P108" s="178"/>
    </row>
    <row r="109" spans="1:18" s="4" customFormat="1" ht="71.25" customHeight="1" outlineLevel="1">
      <c r="A109" s="27" t="str">
        <f t="shared" si="24"/>
        <v>4A.F1.5</v>
      </c>
      <c r="B109" s="28" t="s">
        <v>99</v>
      </c>
      <c r="C109" s="34" t="s">
        <v>553</v>
      </c>
      <c r="D109" s="29" t="s">
        <v>520</v>
      </c>
      <c r="E109" s="31">
        <v>897.38099999999997</v>
      </c>
      <c r="F109" s="31">
        <v>1791.91</v>
      </c>
      <c r="G109" s="36">
        <v>1791.91</v>
      </c>
      <c r="H109" s="142">
        <f>_xlfn.XLOOKUP(B109, Rate_Master!$A:$A, Rate_Master!$C:$C, "")</f>
        <v>931499.99999999988</v>
      </c>
      <c r="I109" s="142">
        <f>_xlfn.XLOOKUP(B109, Rate_Master!$A:$A, Rate_Master!$D:$D, "")</f>
        <v>114999.99999999999</v>
      </c>
      <c r="J109" s="32">
        <f t="shared" si="25"/>
        <v>1046499.9999999999</v>
      </c>
      <c r="K109" s="32">
        <f t="shared" si="26"/>
        <v>939109216.49999988</v>
      </c>
      <c r="L109" s="32">
        <f t="shared" si="27"/>
        <v>1875233814.9999998</v>
      </c>
      <c r="M109" s="32"/>
      <c r="N109" s="9"/>
      <c r="O109" s="202"/>
      <c r="P109" s="178"/>
    </row>
    <row r="110" spans="1:18" s="4" customFormat="1" ht="25.5" customHeight="1" outlineLevel="1">
      <c r="A110" s="27" t="str">
        <f t="shared" si="24"/>
        <v>4A.F1.6</v>
      </c>
      <c r="B110" s="28" t="s">
        <v>100</v>
      </c>
      <c r="C110" s="34" t="s">
        <v>554</v>
      </c>
      <c r="D110" s="29" t="s">
        <v>520</v>
      </c>
      <c r="E110" s="31">
        <v>1092.672</v>
      </c>
      <c r="F110" s="31">
        <v>1350.62</v>
      </c>
      <c r="G110" s="36">
        <v>1350.62</v>
      </c>
      <c r="H110" s="142">
        <f>_xlfn.XLOOKUP(B110, Rate_Master!$A:$A, Rate_Master!$C:$C, "")</f>
        <v>1586790</v>
      </c>
      <c r="I110" s="142">
        <f>_xlfn.XLOOKUP(B110, Rate_Master!$A:$A, Rate_Master!$D:$D, "")</f>
        <v>372210</v>
      </c>
      <c r="J110" s="32">
        <f t="shared" si="25"/>
        <v>1959000</v>
      </c>
      <c r="K110" s="32">
        <f t="shared" si="26"/>
        <v>2140544448</v>
      </c>
      <c r="L110" s="32">
        <f t="shared" si="27"/>
        <v>2645864580</v>
      </c>
      <c r="M110" s="32"/>
      <c r="N110" s="9"/>
      <c r="O110" s="202"/>
      <c r="P110" s="178"/>
    </row>
    <row r="111" spans="1:18" s="4" customFormat="1" ht="51" customHeight="1" outlineLevel="1">
      <c r="A111" s="27" t="str">
        <f t="shared" si="24"/>
        <v>4A.F1.7</v>
      </c>
      <c r="B111" s="28" t="s">
        <v>101</v>
      </c>
      <c r="C111" s="28" t="s">
        <v>515</v>
      </c>
      <c r="D111" s="29" t="s">
        <v>520</v>
      </c>
      <c r="E111" s="31">
        <v>130.92599999999999</v>
      </c>
      <c r="F111" s="31">
        <v>151.82</v>
      </c>
      <c r="G111" s="36">
        <v>151.82</v>
      </c>
      <c r="H111" s="142">
        <f>_xlfn.XLOOKUP(B111, Rate_Master!$A:$A, Rate_Master!$C:$C, "")</f>
        <v>1121250</v>
      </c>
      <c r="I111" s="142">
        <f>_xlfn.XLOOKUP(B111, Rate_Master!$A:$A, Rate_Master!$D:$D, "")</f>
        <v>114999.99999999999</v>
      </c>
      <c r="J111" s="32">
        <f t="shared" si="25"/>
        <v>1236250</v>
      </c>
      <c r="K111" s="32">
        <f t="shared" si="26"/>
        <v>161857267.49999997</v>
      </c>
      <c r="L111" s="32">
        <f t="shared" si="27"/>
        <v>187687475</v>
      </c>
      <c r="M111" s="32"/>
      <c r="N111" s="9"/>
      <c r="O111" s="202"/>
      <c r="P111" s="178"/>
    </row>
    <row r="112" spans="1:18" s="4" customFormat="1" ht="51" customHeight="1" outlineLevel="1">
      <c r="A112" s="27" t="str">
        <f t="shared" si="24"/>
        <v>4A.F1.8</v>
      </c>
      <c r="B112" s="28" t="s">
        <v>102</v>
      </c>
      <c r="C112" s="34" t="s">
        <v>555</v>
      </c>
      <c r="D112" s="29" t="s">
        <v>520</v>
      </c>
      <c r="E112" s="31">
        <v>0</v>
      </c>
      <c r="F112" s="31"/>
      <c r="G112" s="36"/>
      <c r="H112" s="142">
        <f>_xlfn.XLOOKUP(B112, Rate_Master!$A:$A, Rate_Master!$C:$C, "")</f>
        <v>0</v>
      </c>
      <c r="I112" s="142">
        <f>_xlfn.XLOOKUP(B112, Rate_Master!$A:$A, Rate_Master!$D:$D, "")</f>
        <v>0</v>
      </c>
      <c r="J112" s="32">
        <f t="shared" si="25"/>
        <v>0</v>
      </c>
      <c r="K112" s="32">
        <f t="shared" si="26"/>
        <v>0</v>
      </c>
      <c r="L112" s="32">
        <f t="shared" si="27"/>
        <v>0</v>
      </c>
      <c r="M112" s="32"/>
      <c r="N112" s="9"/>
      <c r="O112" s="202"/>
      <c r="P112" s="178"/>
    </row>
    <row r="113" spans="1:17" s="4" customFormat="1" ht="51" customHeight="1" outlineLevel="1">
      <c r="A113" s="27" t="str">
        <f t="shared" si="24"/>
        <v>4A.F1.9</v>
      </c>
      <c r="B113" s="28" t="s">
        <v>103</v>
      </c>
      <c r="C113" s="34" t="s">
        <v>555</v>
      </c>
      <c r="D113" s="29" t="s">
        <v>520</v>
      </c>
      <c r="E113" s="31">
        <v>0</v>
      </c>
      <c r="F113" s="31"/>
      <c r="G113" s="36"/>
      <c r="H113" s="142">
        <f>_xlfn.XLOOKUP(B113, Rate_Master!$A:$A, Rate_Master!$C:$C, "")</f>
        <v>0</v>
      </c>
      <c r="I113" s="142">
        <f>_xlfn.XLOOKUP(B113, Rate_Master!$A:$A, Rate_Master!$D:$D, "")</f>
        <v>0</v>
      </c>
      <c r="J113" s="32">
        <f t="shared" si="25"/>
        <v>0</v>
      </c>
      <c r="K113" s="32">
        <f t="shared" si="26"/>
        <v>0</v>
      </c>
      <c r="L113" s="32">
        <f t="shared" si="27"/>
        <v>0</v>
      </c>
      <c r="M113" s="32"/>
      <c r="N113" s="9"/>
      <c r="O113" s="202"/>
      <c r="P113" s="178"/>
    </row>
    <row r="114" spans="1:17" s="4" customFormat="1" ht="25.5" customHeight="1" outlineLevel="1">
      <c r="A114" s="27" t="str">
        <f t="shared" si="24"/>
        <v>4A.F1.10</v>
      </c>
      <c r="B114" s="28" t="s">
        <v>104</v>
      </c>
      <c r="C114" s="28" t="s">
        <v>515</v>
      </c>
      <c r="D114" s="29" t="s">
        <v>520</v>
      </c>
      <c r="E114" s="31">
        <v>8099.14</v>
      </c>
      <c r="F114" s="31">
        <v>7449.84</v>
      </c>
      <c r="G114" s="36">
        <v>7449.84</v>
      </c>
      <c r="H114" s="142">
        <f>_xlfn.XLOOKUP(B114, Rate_Master!$A:$A, Rate_Master!$C:$C, "")</f>
        <v>46000</v>
      </c>
      <c r="I114" s="142">
        <f>_xlfn.XLOOKUP(B114, Rate_Master!$A:$A, Rate_Master!$D:$D, "")</f>
        <v>34500</v>
      </c>
      <c r="J114" s="32">
        <f t="shared" si="25"/>
        <v>80500</v>
      </c>
      <c r="K114" s="32">
        <f t="shared" si="26"/>
        <v>651980770</v>
      </c>
      <c r="L114" s="32">
        <f t="shared" si="27"/>
        <v>599712120</v>
      </c>
      <c r="M114" s="32"/>
      <c r="N114" s="9"/>
      <c r="O114" s="202"/>
      <c r="P114" s="178"/>
    </row>
    <row r="115" spans="1:17" s="4" customFormat="1" ht="25.5" customHeight="1" outlineLevel="1">
      <c r="A115" s="27" t="str">
        <f t="shared" si="24"/>
        <v>4A.F1.11</v>
      </c>
      <c r="B115" s="28" t="s">
        <v>105</v>
      </c>
      <c r="C115" s="34" t="s">
        <v>556</v>
      </c>
      <c r="D115" s="29" t="s">
        <v>520</v>
      </c>
      <c r="E115" s="31">
        <v>6243.5230000000001</v>
      </c>
      <c r="F115" s="31">
        <v>12088.26</v>
      </c>
      <c r="G115" s="36">
        <v>12088.26</v>
      </c>
      <c r="H115" s="142">
        <f>_xlfn.XLOOKUP(B115, Rate_Master!$A:$A, Rate_Master!$C:$C, "")</f>
        <v>26565.000000000004</v>
      </c>
      <c r="I115" s="142">
        <f>_xlfn.XLOOKUP(B115, Rate_Master!$A:$A, Rate_Master!$D:$D, "")</f>
        <v>132250</v>
      </c>
      <c r="J115" s="32">
        <f t="shared" si="25"/>
        <v>158815</v>
      </c>
      <c r="K115" s="32">
        <f t="shared" si="26"/>
        <v>991565105.245</v>
      </c>
      <c r="L115" s="32">
        <f t="shared" si="27"/>
        <v>1919797011.9000001</v>
      </c>
      <c r="M115" s="32"/>
      <c r="N115" s="9"/>
      <c r="O115" s="202"/>
      <c r="P115" s="178"/>
    </row>
    <row r="116" spans="1:17" s="4" customFormat="1" ht="25.5" customHeight="1" outlineLevel="1">
      <c r="A116" s="27" t="str">
        <f t="shared" si="24"/>
        <v>4A.F1.12</v>
      </c>
      <c r="B116" s="28" t="s">
        <v>106</v>
      </c>
      <c r="C116" s="34" t="s">
        <v>556</v>
      </c>
      <c r="D116" s="29" t="s">
        <v>520</v>
      </c>
      <c r="E116" s="31">
        <v>12388.882</v>
      </c>
      <c r="F116" s="31">
        <v>12088.26</v>
      </c>
      <c r="G116" s="36">
        <v>12088.26</v>
      </c>
      <c r="H116" s="142">
        <f>_xlfn.XLOOKUP(B116, Rate_Master!$A:$A, Rate_Master!$C:$C, "")</f>
        <v>26565.000000000004</v>
      </c>
      <c r="I116" s="142">
        <f>_xlfn.XLOOKUP(B116, Rate_Master!$A:$A, Rate_Master!$D:$D, "")</f>
        <v>117299.99999999999</v>
      </c>
      <c r="J116" s="32">
        <f t="shared" si="25"/>
        <v>143865</v>
      </c>
      <c r="K116" s="32">
        <f t="shared" si="26"/>
        <v>1782326508.9299998</v>
      </c>
      <c r="L116" s="32">
        <f t="shared" si="27"/>
        <v>1739077524.9000001</v>
      </c>
      <c r="M116" s="32"/>
      <c r="N116" s="9"/>
      <c r="O116" s="202"/>
      <c r="P116" s="178"/>
    </row>
    <row r="117" spans="1:17" s="4" customFormat="1" ht="38.25" customHeight="1" outlineLevel="1">
      <c r="A117" s="27" t="str">
        <f t="shared" si="24"/>
        <v>4A.F1.13</v>
      </c>
      <c r="B117" s="28" t="s">
        <v>107</v>
      </c>
      <c r="C117" s="28" t="s">
        <v>515</v>
      </c>
      <c r="D117" s="29" t="s">
        <v>520</v>
      </c>
      <c r="E117" s="31">
        <v>492.27800000000002</v>
      </c>
      <c r="F117" s="31">
        <v>590.74</v>
      </c>
      <c r="G117" s="36">
        <v>590.74</v>
      </c>
      <c r="H117" s="142">
        <f>_xlfn.XLOOKUP(B117, Rate_Master!$A:$A, Rate_Master!$C:$C, "")</f>
        <v>218499.99999999997</v>
      </c>
      <c r="I117" s="142">
        <f>_xlfn.XLOOKUP(B117, Rate_Master!$A:$A, Rate_Master!$D:$D, "")</f>
        <v>138000</v>
      </c>
      <c r="J117" s="32">
        <f t="shared" si="25"/>
        <v>356500</v>
      </c>
      <c r="K117" s="32">
        <f t="shared" si="26"/>
        <v>175497107</v>
      </c>
      <c r="L117" s="32">
        <f t="shared" si="27"/>
        <v>210598810</v>
      </c>
      <c r="M117" s="32"/>
      <c r="N117" s="9"/>
      <c r="O117" s="202"/>
      <c r="P117" s="178"/>
    </row>
    <row r="118" spans="1:17" s="4" customFormat="1" ht="25.5" customHeight="1" outlineLevel="1">
      <c r="A118" s="27" t="str">
        <f t="shared" si="24"/>
        <v>4A.F1.14</v>
      </c>
      <c r="B118" s="34" t="s">
        <v>108</v>
      </c>
      <c r="C118" s="28" t="s">
        <v>515</v>
      </c>
      <c r="D118" s="29" t="s">
        <v>520</v>
      </c>
      <c r="E118" s="31">
        <v>6243.5230000000001</v>
      </c>
      <c r="F118" s="31">
        <v>12088.26</v>
      </c>
      <c r="G118" s="36">
        <v>12088.26</v>
      </c>
      <c r="H118" s="142">
        <f>_xlfn.XLOOKUP(B118, Rate_Master!$A:$A, Rate_Master!$C:$C, "")</f>
        <v>51749.999999999993</v>
      </c>
      <c r="I118" s="142">
        <f>_xlfn.XLOOKUP(B118, Rate_Master!$A:$A, Rate_Master!$D:$D, "")</f>
        <v>34500</v>
      </c>
      <c r="J118" s="32">
        <f t="shared" si="25"/>
        <v>86250</v>
      </c>
      <c r="K118" s="32">
        <f t="shared" si="26"/>
        <v>538503858.75</v>
      </c>
      <c r="L118" s="32">
        <f t="shared" si="27"/>
        <v>1042612425</v>
      </c>
      <c r="M118" s="32"/>
      <c r="N118" s="9"/>
      <c r="O118" s="202"/>
      <c r="P118" s="178"/>
    </row>
    <row r="119" spans="1:17" s="4" customFormat="1" ht="25.5" customHeight="1" outlineLevel="1">
      <c r="A119" s="27" t="str">
        <f t="shared" si="24"/>
        <v>4A.F1.15</v>
      </c>
      <c r="B119" s="34" t="s">
        <v>109</v>
      </c>
      <c r="C119" s="28" t="s">
        <v>515</v>
      </c>
      <c r="D119" s="29" t="s">
        <v>520</v>
      </c>
      <c r="E119" s="31">
        <v>11468.413</v>
      </c>
      <c r="F119" s="31">
        <v>12088.26</v>
      </c>
      <c r="G119" s="36">
        <v>12088.26</v>
      </c>
      <c r="H119" s="142">
        <f>_xlfn.XLOOKUP(B119, Rate_Master!$A:$A, Rate_Master!$C:$C, "")</f>
        <v>46000</v>
      </c>
      <c r="I119" s="142">
        <f>_xlfn.XLOOKUP(B119, Rate_Master!$A:$A, Rate_Master!$D:$D, "")</f>
        <v>19550</v>
      </c>
      <c r="J119" s="32">
        <f t="shared" si="25"/>
        <v>65550</v>
      </c>
      <c r="K119" s="32">
        <f t="shared" si="26"/>
        <v>751754472.14999998</v>
      </c>
      <c r="L119" s="32">
        <f t="shared" si="27"/>
        <v>792385443</v>
      </c>
      <c r="M119" s="32"/>
      <c r="N119" s="9"/>
      <c r="O119" s="202"/>
      <c r="P119" s="178"/>
    </row>
    <row r="120" spans="1:17" s="4" customFormat="1" ht="25.5" customHeight="1" outlineLevel="1">
      <c r="A120" s="27" t="str">
        <f t="shared" si="24"/>
        <v>4A.F1.16</v>
      </c>
      <c r="B120" s="34" t="s">
        <v>110</v>
      </c>
      <c r="C120" s="28" t="s">
        <v>515</v>
      </c>
      <c r="D120" s="29" t="s">
        <v>520</v>
      </c>
      <c r="E120" s="31">
        <v>206.86600000000001</v>
      </c>
      <c r="F120" s="31">
        <v>268.3</v>
      </c>
      <c r="G120" s="36">
        <v>268.3</v>
      </c>
      <c r="H120" s="142">
        <f>_xlfn.XLOOKUP(B120, Rate_Master!$A:$A, Rate_Master!$C:$C, "")</f>
        <v>51749.999999999993</v>
      </c>
      <c r="I120" s="142">
        <f>_xlfn.XLOOKUP(B120, Rate_Master!$A:$A, Rate_Master!$D:$D, "")</f>
        <v>17250</v>
      </c>
      <c r="J120" s="32">
        <f t="shared" si="25"/>
        <v>69000</v>
      </c>
      <c r="K120" s="32">
        <f t="shared" si="26"/>
        <v>14273754.000000002</v>
      </c>
      <c r="L120" s="32">
        <f t="shared" si="27"/>
        <v>18512700</v>
      </c>
      <c r="M120" s="32"/>
      <c r="N120" s="9"/>
      <c r="O120" s="202"/>
      <c r="P120" s="178"/>
    </row>
    <row r="121" spans="1:17" s="4" customFormat="1" ht="25.5" customHeight="1" outlineLevel="1">
      <c r="A121" s="27" t="str">
        <f t="shared" si="24"/>
        <v>4A.F1.17</v>
      </c>
      <c r="B121" s="34" t="s">
        <v>111</v>
      </c>
      <c r="C121" s="28" t="s">
        <v>515</v>
      </c>
      <c r="D121" s="29" t="s">
        <v>520</v>
      </c>
      <c r="E121" s="31">
        <v>221.32499999999999</v>
      </c>
      <c r="F121" s="31">
        <v>232.2</v>
      </c>
      <c r="G121" s="36">
        <v>232.2</v>
      </c>
      <c r="H121" s="142">
        <f>_xlfn.XLOOKUP(B121, Rate_Master!$A:$A, Rate_Master!$C:$C, "")</f>
        <v>172500</v>
      </c>
      <c r="I121" s="142">
        <f>_xlfn.XLOOKUP(B121, Rate_Master!$A:$A, Rate_Master!$D:$D, "")</f>
        <v>28749.999999999996</v>
      </c>
      <c r="J121" s="32">
        <f t="shared" si="25"/>
        <v>201250</v>
      </c>
      <c r="K121" s="32">
        <f t="shared" si="26"/>
        <v>44541656.25</v>
      </c>
      <c r="L121" s="32">
        <f t="shared" si="27"/>
        <v>46730250</v>
      </c>
      <c r="M121" s="32"/>
      <c r="N121" s="9"/>
      <c r="O121" s="202"/>
      <c r="P121" s="178"/>
    </row>
    <row r="122" spans="1:17" s="4" customFormat="1" ht="38.25" customHeight="1" outlineLevel="1">
      <c r="A122" s="27" t="str">
        <f t="shared" si="24"/>
        <v>4A.F1.18</v>
      </c>
      <c r="B122" s="34" t="s">
        <v>112</v>
      </c>
      <c r="C122" s="34" t="s">
        <v>557</v>
      </c>
      <c r="D122" s="29" t="s">
        <v>517</v>
      </c>
      <c r="E122" s="31">
        <v>517.6</v>
      </c>
      <c r="F122" s="31">
        <v>628.5</v>
      </c>
      <c r="G122" s="36">
        <v>628.5</v>
      </c>
      <c r="H122" s="142">
        <f>_xlfn.XLOOKUP(B122, Rate_Master!$A:$A, Rate_Master!$C:$C, "")</f>
        <v>163300</v>
      </c>
      <c r="I122" s="142">
        <f>_xlfn.XLOOKUP(B122, Rate_Master!$A:$A, Rate_Master!$D:$D, "")</f>
        <v>51749.999999999993</v>
      </c>
      <c r="J122" s="32">
        <f t="shared" si="25"/>
        <v>215050</v>
      </c>
      <c r="K122" s="32">
        <f t="shared" si="26"/>
        <v>111309880</v>
      </c>
      <c r="L122" s="32">
        <f t="shared" si="27"/>
        <v>135158925</v>
      </c>
      <c r="M122" s="32"/>
      <c r="N122" s="9"/>
      <c r="O122" s="202"/>
      <c r="P122" s="178"/>
    </row>
    <row r="123" spans="1:17" s="3" customFormat="1" ht="25.5" customHeight="1">
      <c r="A123" s="22" t="str">
        <f>$A$103&amp;2</f>
        <v>4A.F2</v>
      </c>
      <c r="B123" s="23" t="s">
        <v>113</v>
      </c>
      <c r="C123" s="23" t="s">
        <v>515</v>
      </c>
      <c r="D123" s="22"/>
      <c r="E123" s="25"/>
      <c r="F123" s="25"/>
      <c r="G123" s="87"/>
      <c r="H123" s="158">
        <f>_xlfn.XLOOKUP(B123, Rate_Master!$A:$A, Rate_Master!$C:$C, "")</f>
        <v>0</v>
      </c>
      <c r="I123" s="158">
        <f>_xlfn.XLOOKUP(B123, Rate_Master!$A:$A, Rate_Master!$D:$D, "")</f>
        <v>0</v>
      </c>
      <c r="J123" s="26"/>
      <c r="K123" s="26">
        <f>SUBTOTAL(9,K124:K128)</f>
        <v>1655998564.7999997</v>
      </c>
      <c r="L123" s="26">
        <f>SUBTOTAL(9,L124:L128)</f>
        <v>1745604227.9999998</v>
      </c>
      <c r="M123" s="26"/>
      <c r="N123" s="166"/>
      <c r="O123" s="201"/>
      <c r="P123" s="175"/>
      <c r="Q123" s="2"/>
    </row>
    <row r="124" spans="1:17" s="4" customFormat="1" ht="51" customHeight="1" outlineLevel="1">
      <c r="A124" s="27" t="str">
        <f>$A$123&amp;"."&amp;ROW()-ROW($A$123)</f>
        <v>4A.F2.1</v>
      </c>
      <c r="B124" s="34" t="s">
        <v>114</v>
      </c>
      <c r="C124" s="28" t="s">
        <v>515</v>
      </c>
      <c r="D124" s="29" t="s">
        <v>520</v>
      </c>
      <c r="E124" s="31">
        <v>158.184</v>
      </c>
      <c r="F124" s="31">
        <v>162.5</v>
      </c>
      <c r="G124" s="36">
        <v>162.5</v>
      </c>
      <c r="H124" s="142">
        <f>_xlfn.XLOOKUP(B124, Rate_Master!$A:$A, Rate_Master!$C:$C, "")</f>
        <v>206999.99999999997</v>
      </c>
      <c r="I124" s="142">
        <f>_xlfn.XLOOKUP(B124, Rate_Master!$A:$A, Rate_Master!$D:$D, "")</f>
        <v>126499.99999999999</v>
      </c>
      <c r="J124" s="32">
        <f>+I124+H124</f>
        <v>333499.99999999994</v>
      </c>
      <c r="K124" s="32">
        <f>J124*E124</f>
        <v>52754363.999999993</v>
      </c>
      <c r="L124" s="32">
        <f>+G124*J124</f>
        <v>54193749.999999993</v>
      </c>
      <c r="M124" s="32"/>
      <c r="N124" s="9"/>
      <c r="O124" s="202"/>
      <c r="P124" s="178"/>
    </row>
    <row r="125" spans="1:17" s="4" customFormat="1" ht="38.25" customHeight="1" outlineLevel="1">
      <c r="A125" s="27" t="str">
        <f>$A$123&amp;"."&amp;ROW()-ROW($A$123)</f>
        <v>4A.F2.2</v>
      </c>
      <c r="B125" s="28" t="s">
        <v>115</v>
      </c>
      <c r="C125" s="28" t="s">
        <v>515</v>
      </c>
      <c r="D125" s="29" t="s">
        <v>520</v>
      </c>
      <c r="E125" s="31">
        <v>20501.844000000001</v>
      </c>
      <c r="F125" s="31">
        <v>21629.29</v>
      </c>
      <c r="G125" s="36">
        <v>21629.29</v>
      </c>
      <c r="H125" s="142">
        <f>_xlfn.XLOOKUP(B125, Rate_Master!$A:$A, Rate_Master!$C:$C, "")</f>
        <v>28749.999999999996</v>
      </c>
      <c r="I125" s="142">
        <f>_xlfn.XLOOKUP(B125, Rate_Master!$A:$A, Rate_Master!$D:$D, "")</f>
        <v>49449.999999999993</v>
      </c>
      <c r="J125" s="32">
        <f>+I125+H125</f>
        <v>78199.999999999985</v>
      </c>
      <c r="K125" s="32">
        <f>J125*E125</f>
        <v>1603244200.7999997</v>
      </c>
      <c r="L125" s="32">
        <f>+G125*J125</f>
        <v>1691410477.9999998</v>
      </c>
      <c r="M125" s="32"/>
      <c r="N125" s="9"/>
      <c r="O125" s="202"/>
      <c r="P125" s="178"/>
    </row>
    <row r="126" spans="1:17" s="4" customFormat="1" ht="51" customHeight="1" outlineLevel="1">
      <c r="A126" s="27" t="str">
        <f>$A$123&amp;"."&amp;ROW()-ROW($A$123)</f>
        <v>4A.F2.3</v>
      </c>
      <c r="B126" s="34" t="s">
        <v>116</v>
      </c>
      <c r="C126" s="28" t="s">
        <v>515</v>
      </c>
      <c r="D126" s="29" t="s">
        <v>520</v>
      </c>
      <c r="E126" s="31">
        <v>0</v>
      </c>
      <c r="F126" s="31"/>
      <c r="G126" s="36"/>
      <c r="H126" s="142">
        <f>_xlfn.XLOOKUP(B126, Rate_Master!$A:$A, Rate_Master!$C:$C, "")</f>
        <v>0</v>
      </c>
      <c r="I126" s="142">
        <f>_xlfn.XLOOKUP(B126, Rate_Master!$A:$A, Rate_Master!$D:$D, "")</f>
        <v>0</v>
      </c>
      <c r="J126" s="32">
        <f>H126+I126</f>
        <v>0</v>
      </c>
      <c r="K126" s="32">
        <f>J126*E126</f>
        <v>0</v>
      </c>
      <c r="L126" s="32">
        <f>+G126*J126</f>
        <v>0</v>
      </c>
      <c r="M126" s="32"/>
      <c r="N126" s="9"/>
      <c r="O126" s="202"/>
      <c r="P126" s="178"/>
    </row>
    <row r="127" spans="1:17" s="4" customFormat="1" ht="51" customHeight="1" outlineLevel="1">
      <c r="A127" s="27" t="str">
        <f>$A$123&amp;"."&amp;ROW()-ROW($A$123)</f>
        <v>4A.F2.4</v>
      </c>
      <c r="B127" s="34" t="s">
        <v>117</v>
      </c>
      <c r="C127" s="28" t="s">
        <v>515</v>
      </c>
      <c r="D127" s="29" t="s">
        <v>520</v>
      </c>
      <c r="E127" s="31">
        <v>0</v>
      </c>
      <c r="F127" s="31"/>
      <c r="G127" s="36"/>
      <c r="H127" s="142">
        <f>_xlfn.XLOOKUP(B127, Rate_Master!$A:$A, Rate_Master!$C:$C, "")</f>
        <v>0</v>
      </c>
      <c r="I127" s="142">
        <f>_xlfn.XLOOKUP(B127, Rate_Master!$A:$A, Rate_Master!$D:$D, "")</f>
        <v>0</v>
      </c>
      <c r="J127" s="32">
        <f>H127+I127</f>
        <v>0</v>
      </c>
      <c r="K127" s="32">
        <f>J127*E127</f>
        <v>0</v>
      </c>
      <c r="L127" s="32">
        <f>+G127*J127</f>
        <v>0</v>
      </c>
      <c r="M127" s="32"/>
      <c r="N127" s="9"/>
      <c r="O127" s="202"/>
      <c r="P127" s="178"/>
    </row>
    <row r="128" spans="1:17" s="4" customFormat="1" ht="38.25" customHeight="1" outlineLevel="1">
      <c r="A128" s="27" t="str">
        <f>$A$123&amp;"."&amp;ROW()-ROW($A$123)</f>
        <v>4A.F2.5</v>
      </c>
      <c r="B128" s="34" t="s">
        <v>118</v>
      </c>
      <c r="C128" s="28" t="s">
        <v>515</v>
      </c>
      <c r="D128" s="29" t="s">
        <v>520</v>
      </c>
      <c r="E128" s="31">
        <v>0</v>
      </c>
      <c r="F128" s="31"/>
      <c r="G128" s="36"/>
      <c r="H128" s="142">
        <f>_xlfn.XLOOKUP(B128, Rate_Master!$A:$A, Rate_Master!$C:$C, "")</f>
        <v>0</v>
      </c>
      <c r="I128" s="142">
        <f>_xlfn.XLOOKUP(B128, Rate_Master!$A:$A, Rate_Master!$D:$D, "")</f>
        <v>0</v>
      </c>
      <c r="J128" s="32">
        <f>H128+I128</f>
        <v>0</v>
      </c>
      <c r="K128" s="32">
        <f>J128*E128</f>
        <v>0</v>
      </c>
      <c r="L128" s="32">
        <f>+G128*J128</f>
        <v>0</v>
      </c>
      <c r="M128" s="32"/>
      <c r="N128" s="9"/>
      <c r="O128" s="202"/>
      <c r="P128" s="178"/>
    </row>
    <row r="129" spans="1:17" s="3" customFormat="1" ht="25.5" customHeight="1">
      <c r="A129" s="22" t="str">
        <f>$A$103&amp;3</f>
        <v>4A.F3</v>
      </c>
      <c r="B129" s="23" t="s">
        <v>119</v>
      </c>
      <c r="C129" s="23" t="s">
        <v>515</v>
      </c>
      <c r="D129" s="22"/>
      <c r="E129" s="25"/>
      <c r="F129" s="25"/>
      <c r="G129" s="87"/>
      <c r="H129" s="158">
        <f>_xlfn.XLOOKUP(B129, Rate_Master!$A:$A, Rate_Master!$C:$C, "")</f>
        <v>0</v>
      </c>
      <c r="I129" s="158">
        <f>_xlfn.XLOOKUP(B129, Rate_Master!$A:$A, Rate_Master!$D:$D, "")</f>
        <v>0</v>
      </c>
      <c r="J129" s="26">
        <f>H129+I129</f>
        <v>0</v>
      </c>
      <c r="K129" s="26">
        <f>SUBTOTAL(9,K130:K137)</f>
        <v>773051263.5</v>
      </c>
      <c r="L129" s="26">
        <f>SUBTOTAL(9,L130:L137)</f>
        <v>1004901567.5</v>
      </c>
      <c r="M129" s="26"/>
      <c r="N129" s="166"/>
      <c r="O129" s="201"/>
      <c r="P129" s="175"/>
      <c r="Q129" s="2"/>
    </row>
    <row r="130" spans="1:17" s="4" customFormat="1" ht="25.5" customHeight="1" outlineLevel="1">
      <c r="A130" s="27" t="str">
        <f t="shared" ref="A130:A137" si="28">$A$129&amp;"."&amp;ROW()-ROW($A$129)</f>
        <v>4A.F3.1</v>
      </c>
      <c r="B130" s="34" t="s">
        <v>120</v>
      </c>
      <c r="C130" s="28" t="s">
        <v>515</v>
      </c>
      <c r="D130" s="29" t="s">
        <v>520</v>
      </c>
      <c r="E130" s="31">
        <v>236.34800000000001</v>
      </c>
      <c r="F130" s="31">
        <v>307.25</v>
      </c>
      <c r="G130" s="36">
        <v>307.25</v>
      </c>
      <c r="H130" s="142">
        <f>_xlfn.XLOOKUP(B130, Rate_Master!$A:$A, Rate_Master!$C:$C, "")</f>
        <v>28749.999999999996</v>
      </c>
      <c r="I130" s="142">
        <f>_xlfn.XLOOKUP(B130, Rate_Master!$A:$A, Rate_Master!$D:$D, "")</f>
        <v>0</v>
      </c>
      <c r="J130" s="32">
        <f t="shared" ref="J130:J135" si="29">+I130+H130</f>
        <v>28749.999999999996</v>
      </c>
      <c r="K130" s="32">
        <f t="shared" ref="K130:K137" si="30">J130*E130</f>
        <v>6795004.9999999991</v>
      </c>
      <c r="L130" s="32">
        <f t="shared" ref="L130:L137" si="31">+G130*J130</f>
        <v>8833437.4999999981</v>
      </c>
      <c r="M130" s="32"/>
      <c r="N130" s="9"/>
      <c r="O130" s="202"/>
      <c r="P130" s="178"/>
    </row>
    <row r="131" spans="1:17" s="4" customFormat="1" ht="25.5" customHeight="1" outlineLevel="1">
      <c r="A131" s="27" t="str">
        <f t="shared" si="28"/>
        <v>4A.F3.2</v>
      </c>
      <c r="B131" s="34" t="s">
        <v>121</v>
      </c>
      <c r="C131" s="28" t="s">
        <v>515</v>
      </c>
      <c r="D131" s="29" t="s">
        <v>520</v>
      </c>
      <c r="E131" s="31">
        <v>0</v>
      </c>
      <c r="F131" s="31"/>
      <c r="G131" s="36"/>
      <c r="H131" s="142">
        <f>_xlfn.XLOOKUP(B131, Rate_Master!$A:$A, Rate_Master!$C:$C, "")</f>
        <v>0</v>
      </c>
      <c r="I131" s="142">
        <f>_xlfn.XLOOKUP(B131, Rate_Master!$A:$A, Rate_Master!$D:$D, "")</f>
        <v>0</v>
      </c>
      <c r="J131" s="32">
        <f t="shared" si="29"/>
        <v>0</v>
      </c>
      <c r="K131" s="32">
        <f t="shared" si="30"/>
        <v>0</v>
      </c>
      <c r="L131" s="32">
        <f t="shared" si="31"/>
        <v>0</v>
      </c>
      <c r="M131" s="32"/>
      <c r="N131" s="9"/>
      <c r="O131" s="202"/>
      <c r="P131" s="178"/>
    </row>
    <row r="132" spans="1:17" s="4" customFormat="1" ht="25.5" customHeight="1" outlineLevel="1">
      <c r="A132" s="27" t="str">
        <f t="shared" si="28"/>
        <v>4A.F3.3</v>
      </c>
      <c r="B132" s="34" t="s">
        <v>122</v>
      </c>
      <c r="C132" s="28" t="s">
        <v>515</v>
      </c>
      <c r="D132" s="29" t="s">
        <v>520</v>
      </c>
      <c r="E132" s="31">
        <v>156.06200000000001</v>
      </c>
      <c r="F132" s="31">
        <v>202.8</v>
      </c>
      <c r="G132" s="36">
        <v>202.8</v>
      </c>
      <c r="H132" s="142">
        <f>_xlfn.XLOOKUP(B132, Rate_Master!$A:$A, Rate_Master!$C:$C, "")</f>
        <v>51749.999999999993</v>
      </c>
      <c r="I132" s="142">
        <f>_xlfn.XLOOKUP(B132, Rate_Master!$A:$A, Rate_Master!$D:$D, "")</f>
        <v>23000</v>
      </c>
      <c r="J132" s="32">
        <f t="shared" si="29"/>
        <v>74750</v>
      </c>
      <c r="K132" s="32">
        <f t="shared" si="30"/>
        <v>11665634.5</v>
      </c>
      <c r="L132" s="32">
        <f t="shared" si="31"/>
        <v>15159300</v>
      </c>
      <c r="M132" s="32"/>
      <c r="N132" s="9"/>
      <c r="O132" s="202"/>
      <c r="P132" s="178"/>
    </row>
    <row r="133" spans="1:17" s="4" customFormat="1" ht="25.5" customHeight="1" outlineLevel="1">
      <c r="A133" s="27" t="str">
        <f t="shared" si="28"/>
        <v>4A.F3.4</v>
      </c>
      <c r="B133" s="34" t="s">
        <v>123</v>
      </c>
      <c r="C133" s="28" t="s">
        <v>515</v>
      </c>
      <c r="D133" s="29" t="s">
        <v>520</v>
      </c>
      <c r="E133" s="31">
        <v>80.286000000000001</v>
      </c>
      <c r="F133" s="31">
        <v>104.37</v>
      </c>
      <c r="G133" s="36">
        <v>104.37</v>
      </c>
      <c r="H133" s="142">
        <f>_xlfn.XLOOKUP(B133, Rate_Master!$A:$A, Rate_Master!$C:$C, "")</f>
        <v>172500</v>
      </c>
      <c r="I133" s="142">
        <f>_xlfn.XLOOKUP(B133, Rate_Master!$A:$A, Rate_Master!$D:$D, "")</f>
        <v>34500</v>
      </c>
      <c r="J133" s="32">
        <f t="shared" si="29"/>
        <v>207000</v>
      </c>
      <c r="K133" s="32">
        <f t="shared" si="30"/>
        <v>16619202</v>
      </c>
      <c r="L133" s="32">
        <f t="shared" si="31"/>
        <v>21604590</v>
      </c>
      <c r="M133" s="32"/>
      <c r="N133" s="9"/>
      <c r="O133" s="202"/>
      <c r="P133" s="178"/>
    </row>
    <row r="134" spans="1:17" s="4" customFormat="1" ht="51" customHeight="1" outlineLevel="1">
      <c r="A134" s="27" t="str">
        <f t="shared" si="28"/>
        <v>4A.F3.5</v>
      </c>
      <c r="B134" s="28" t="s">
        <v>124</v>
      </c>
      <c r="C134" s="34" t="s">
        <v>553</v>
      </c>
      <c r="D134" s="29" t="s">
        <v>520</v>
      </c>
      <c r="E134" s="31">
        <v>308.18700000000001</v>
      </c>
      <c r="F134" s="31">
        <v>400.6</v>
      </c>
      <c r="G134" s="36">
        <v>400.6</v>
      </c>
      <c r="H134" s="142">
        <f>_xlfn.XLOOKUP(B134, Rate_Master!$A:$A, Rate_Master!$C:$C, "")</f>
        <v>1069500</v>
      </c>
      <c r="I134" s="142">
        <f>_xlfn.XLOOKUP(B134, Rate_Master!$A:$A, Rate_Master!$D:$D, "")</f>
        <v>172500</v>
      </c>
      <c r="J134" s="32">
        <f t="shared" si="29"/>
        <v>1242000</v>
      </c>
      <c r="K134" s="32">
        <f t="shared" si="30"/>
        <v>382768254</v>
      </c>
      <c r="L134" s="32">
        <f t="shared" si="31"/>
        <v>497545200</v>
      </c>
      <c r="M134" s="32"/>
      <c r="N134" s="9"/>
      <c r="O134" s="202"/>
      <c r="P134" s="178"/>
    </row>
    <row r="135" spans="1:17" s="4" customFormat="1" ht="51" customHeight="1" outlineLevel="1">
      <c r="A135" s="27" t="str">
        <f t="shared" si="28"/>
        <v>4A.F3.6</v>
      </c>
      <c r="B135" s="34" t="s">
        <v>125</v>
      </c>
      <c r="C135" s="28" t="s">
        <v>515</v>
      </c>
      <c r="D135" s="29" t="s">
        <v>520</v>
      </c>
      <c r="E135" s="31">
        <v>321.74200000000002</v>
      </c>
      <c r="F135" s="31">
        <v>418.26</v>
      </c>
      <c r="G135" s="36">
        <v>418.26</v>
      </c>
      <c r="H135" s="142">
        <f>_xlfn.XLOOKUP(B135, Rate_Master!$A:$A, Rate_Master!$C:$C, "")</f>
        <v>965999.99999999988</v>
      </c>
      <c r="I135" s="142">
        <f>_xlfn.XLOOKUP(B135, Rate_Master!$A:$A, Rate_Master!$D:$D, "")</f>
        <v>138000</v>
      </c>
      <c r="J135" s="32">
        <f t="shared" si="29"/>
        <v>1104000</v>
      </c>
      <c r="K135" s="32">
        <f t="shared" si="30"/>
        <v>355203168</v>
      </c>
      <c r="L135" s="32">
        <f t="shared" si="31"/>
        <v>461759040</v>
      </c>
      <c r="M135" s="32"/>
      <c r="N135" s="9"/>
      <c r="O135" s="202"/>
      <c r="P135" s="178"/>
    </row>
    <row r="136" spans="1:17" s="4" customFormat="1" ht="25.5" customHeight="1" outlineLevel="1">
      <c r="A136" s="27" t="str">
        <f t="shared" si="28"/>
        <v>4A.F3.7</v>
      </c>
      <c r="B136" s="28" t="s">
        <v>126</v>
      </c>
      <c r="C136" s="28" t="s">
        <v>515</v>
      </c>
      <c r="D136" s="29" t="s">
        <v>520</v>
      </c>
      <c r="E136" s="31">
        <v>0</v>
      </c>
      <c r="F136" s="31"/>
      <c r="G136" s="36"/>
      <c r="H136" s="142">
        <f>_xlfn.XLOOKUP(B136, Rate_Master!$A:$A, Rate_Master!$C:$C, "")</f>
        <v>0</v>
      </c>
      <c r="I136" s="142">
        <f>_xlfn.XLOOKUP(B136, Rate_Master!$A:$A, Rate_Master!$D:$D, "")</f>
        <v>0</v>
      </c>
      <c r="J136" s="32">
        <f>H136+I136</f>
        <v>0</v>
      </c>
      <c r="K136" s="32">
        <f t="shared" si="30"/>
        <v>0</v>
      </c>
      <c r="L136" s="32">
        <f t="shared" si="31"/>
        <v>0</v>
      </c>
      <c r="M136" s="32"/>
      <c r="N136" s="9"/>
      <c r="O136" s="202"/>
      <c r="P136" s="178"/>
    </row>
    <row r="137" spans="1:17" s="4" customFormat="1" ht="25.5" customHeight="1" outlineLevel="1">
      <c r="A137" s="27" t="str">
        <f t="shared" si="28"/>
        <v>4A.F3.8</v>
      </c>
      <c r="B137" s="34" t="s">
        <v>127</v>
      </c>
      <c r="C137" s="28" t="s">
        <v>515</v>
      </c>
      <c r="D137" s="29" t="s">
        <v>520</v>
      </c>
      <c r="E137" s="31">
        <v>0</v>
      </c>
      <c r="F137" s="31"/>
      <c r="G137" s="36"/>
      <c r="H137" s="142">
        <f>_xlfn.XLOOKUP(B137, Rate_Master!$A:$A, Rate_Master!$C:$C, "")</f>
        <v>0</v>
      </c>
      <c r="I137" s="142">
        <f>_xlfn.XLOOKUP(B137, Rate_Master!$A:$A, Rate_Master!$D:$D, "")</f>
        <v>0</v>
      </c>
      <c r="J137" s="32">
        <f>H137+I137</f>
        <v>0</v>
      </c>
      <c r="K137" s="32">
        <f t="shared" si="30"/>
        <v>0</v>
      </c>
      <c r="L137" s="32">
        <f t="shared" si="31"/>
        <v>0</v>
      </c>
      <c r="M137" s="32"/>
      <c r="N137" s="9"/>
      <c r="O137" s="202"/>
      <c r="P137" s="178"/>
    </row>
    <row r="138" spans="1:17" s="3" customFormat="1" ht="25.5" customHeight="1">
      <c r="A138" s="22" t="str">
        <f>$A$103&amp;4</f>
        <v>4A.F4</v>
      </c>
      <c r="B138" s="23" t="s">
        <v>128</v>
      </c>
      <c r="C138" s="23" t="s">
        <v>515</v>
      </c>
      <c r="D138" s="22"/>
      <c r="E138" s="25"/>
      <c r="F138" s="25"/>
      <c r="G138" s="87"/>
      <c r="H138" s="158">
        <f>_xlfn.XLOOKUP(B138, Rate_Master!$A:$A, Rate_Master!$C:$C, "")</f>
        <v>0</v>
      </c>
      <c r="I138" s="158">
        <f>_xlfn.XLOOKUP(B138, Rate_Master!$A:$A, Rate_Master!$D:$D, "")</f>
        <v>0</v>
      </c>
      <c r="J138" s="26">
        <f>H138+I138</f>
        <v>0</v>
      </c>
      <c r="K138" s="26">
        <f>SUBTOTAL(9,K139:K153)</f>
        <v>2279329095</v>
      </c>
      <c r="L138" s="26">
        <f>SUBTOTAL(9,L139:L153)</f>
        <v>2375722095</v>
      </c>
      <c r="M138" s="26"/>
      <c r="N138" s="166"/>
      <c r="O138" s="201"/>
      <c r="Q138" s="2"/>
    </row>
    <row r="139" spans="1:17" s="4" customFormat="1" ht="63.75" customHeight="1" outlineLevel="1">
      <c r="A139" s="27" t="str">
        <f t="shared" ref="A139:A153" si="32">$A$138&amp;"."&amp;ROW()-ROW($A$138)</f>
        <v>4A.F4.1</v>
      </c>
      <c r="B139" s="28" t="s">
        <v>164</v>
      </c>
      <c r="C139" s="28" t="s">
        <v>515</v>
      </c>
      <c r="D139" s="29" t="s">
        <v>516</v>
      </c>
      <c r="E139" s="31">
        <v>4</v>
      </c>
      <c r="F139" s="31">
        <v>4</v>
      </c>
      <c r="G139" s="36">
        <v>4</v>
      </c>
      <c r="H139" s="142">
        <f>_xlfn.XLOOKUP(B139, Rate_Master!$A:$A, Rate_Master!$C:$C, "")</f>
        <v>6209999.9999999991</v>
      </c>
      <c r="I139" s="142">
        <f>_xlfn.XLOOKUP(B139, Rate_Master!$A:$A, Rate_Master!$D:$D, "")</f>
        <v>413999.99999999994</v>
      </c>
      <c r="J139" s="32">
        <f t="shared" ref="J139:J153" si="33">+I139+H139</f>
        <v>6623999.9999999991</v>
      </c>
      <c r="K139" s="32">
        <f t="shared" ref="K139:K153" si="34">J139*E139</f>
        <v>26495999.999999996</v>
      </c>
      <c r="L139" s="32">
        <f t="shared" ref="L139:L153" si="35">+G139*J139</f>
        <v>26495999.999999996</v>
      </c>
      <c r="M139" s="139" t="s">
        <v>566</v>
      </c>
      <c r="N139" s="170"/>
      <c r="O139" s="202"/>
      <c r="P139" s="178"/>
    </row>
    <row r="140" spans="1:17" s="4" customFormat="1" ht="51" customHeight="1" outlineLevel="1">
      <c r="A140" s="27" t="str">
        <f t="shared" si="32"/>
        <v>4A.F4.2</v>
      </c>
      <c r="B140" s="28" t="s">
        <v>188</v>
      </c>
      <c r="C140" s="28" t="s">
        <v>515</v>
      </c>
      <c r="D140" s="29" t="s">
        <v>516</v>
      </c>
      <c r="E140" s="31">
        <v>25</v>
      </c>
      <c r="F140" s="31">
        <v>25</v>
      </c>
      <c r="G140" s="36">
        <v>25</v>
      </c>
      <c r="H140" s="142">
        <f>_xlfn.XLOOKUP(B140, Rate_Master!$A:$A, Rate_Master!$C:$C, "")</f>
        <v>5123250</v>
      </c>
      <c r="I140" s="142">
        <f>_xlfn.XLOOKUP(B140, Rate_Master!$A:$A, Rate_Master!$D:$D, "")</f>
        <v>341550.00000000006</v>
      </c>
      <c r="J140" s="32">
        <f t="shared" si="33"/>
        <v>5464800</v>
      </c>
      <c r="K140" s="32">
        <f t="shared" si="34"/>
        <v>136620000</v>
      </c>
      <c r="L140" s="32">
        <f t="shared" si="35"/>
        <v>136620000</v>
      </c>
      <c r="M140" s="139" t="s">
        <v>566</v>
      </c>
      <c r="N140" s="170"/>
      <c r="O140" s="202"/>
      <c r="P140" s="178"/>
    </row>
    <row r="141" spans="1:17" s="4" customFormat="1" ht="63.75" customHeight="1" outlineLevel="1">
      <c r="A141" s="27" t="str">
        <f t="shared" si="32"/>
        <v>4A.F4.3</v>
      </c>
      <c r="B141" s="28" t="s">
        <v>130</v>
      </c>
      <c r="C141" s="28" t="s">
        <v>515</v>
      </c>
      <c r="D141" s="29" t="s">
        <v>516</v>
      </c>
      <c r="E141" s="31">
        <v>16</v>
      </c>
      <c r="F141" s="31">
        <v>16</v>
      </c>
      <c r="G141" s="36">
        <v>16</v>
      </c>
      <c r="H141" s="142">
        <f>_xlfn.XLOOKUP(B141, Rate_Master!$A:$A, Rate_Master!$C:$C, "")</f>
        <v>3104999.9999999995</v>
      </c>
      <c r="I141" s="142">
        <f>_xlfn.XLOOKUP(B141, Rate_Master!$A:$A, Rate_Master!$D:$D, "")</f>
        <v>206999.99999999997</v>
      </c>
      <c r="J141" s="32">
        <f t="shared" si="33"/>
        <v>3311999.9999999995</v>
      </c>
      <c r="K141" s="32">
        <f t="shared" si="34"/>
        <v>52991999.999999993</v>
      </c>
      <c r="L141" s="32">
        <f t="shared" si="35"/>
        <v>52991999.999999993</v>
      </c>
      <c r="M141" s="139" t="s">
        <v>566</v>
      </c>
      <c r="N141" s="170"/>
      <c r="O141" s="202"/>
      <c r="P141" s="178"/>
    </row>
    <row r="142" spans="1:17" s="4" customFormat="1" ht="63.75" customHeight="1" outlineLevel="1">
      <c r="A142" s="27" t="str">
        <f t="shared" si="32"/>
        <v>4A.F4.4</v>
      </c>
      <c r="B142" s="28" t="s">
        <v>131</v>
      </c>
      <c r="C142" s="28" t="s">
        <v>515</v>
      </c>
      <c r="D142" s="29" t="s">
        <v>516</v>
      </c>
      <c r="E142" s="31">
        <v>102</v>
      </c>
      <c r="F142" s="31">
        <v>114</v>
      </c>
      <c r="G142" s="36">
        <v>114</v>
      </c>
      <c r="H142" s="142">
        <f>_xlfn.XLOOKUP(B142, Rate_Master!$A:$A, Rate_Master!$C:$C, "")</f>
        <v>5037000</v>
      </c>
      <c r="I142" s="142">
        <f>_xlfn.XLOOKUP(B142, Rate_Master!$A:$A, Rate_Master!$D:$D, "")</f>
        <v>206999.99999999997</v>
      </c>
      <c r="J142" s="32">
        <f t="shared" si="33"/>
        <v>5244000</v>
      </c>
      <c r="K142" s="32">
        <f t="shared" si="34"/>
        <v>534888000</v>
      </c>
      <c r="L142" s="32">
        <f t="shared" si="35"/>
        <v>597816000</v>
      </c>
      <c r="M142" s="139" t="s">
        <v>566</v>
      </c>
      <c r="N142" s="170"/>
      <c r="O142" s="202"/>
      <c r="P142" s="178"/>
    </row>
    <row r="143" spans="1:17" s="4" customFormat="1" ht="76.5" customHeight="1" outlineLevel="1">
      <c r="A143" s="27" t="str">
        <f t="shared" si="32"/>
        <v>4A.F4.5</v>
      </c>
      <c r="B143" s="56" t="s">
        <v>135</v>
      </c>
      <c r="C143" s="28" t="s">
        <v>558</v>
      </c>
      <c r="D143" s="29" t="s">
        <v>516</v>
      </c>
      <c r="E143" s="31">
        <v>12</v>
      </c>
      <c r="F143" s="31">
        <v>13</v>
      </c>
      <c r="G143" s="36">
        <v>13</v>
      </c>
      <c r="H143" s="142">
        <f>_xlfn.XLOOKUP(B143, Rate_Master!$A:$A, Rate_Master!$C:$C, "")</f>
        <v>33119999.999999996</v>
      </c>
      <c r="I143" s="142">
        <f>_xlfn.XLOOKUP(B143, Rate_Master!$A:$A, Rate_Master!$D:$D, "")</f>
        <v>345000</v>
      </c>
      <c r="J143" s="32">
        <f t="shared" si="33"/>
        <v>33464999.999999996</v>
      </c>
      <c r="K143" s="32">
        <f t="shared" si="34"/>
        <v>401579999.99999994</v>
      </c>
      <c r="L143" s="32">
        <f t="shared" si="35"/>
        <v>435044999.99999994</v>
      </c>
      <c r="M143" s="140" t="s">
        <v>567</v>
      </c>
      <c r="N143" s="171"/>
      <c r="O143" s="202"/>
      <c r="P143" s="178"/>
    </row>
    <row r="144" spans="1:17" s="4" customFormat="1" ht="63.75" customHeight="1" outlineLevel="1">
      <c r="A144" s="27" t="str">
        <f t="shared" si="32"/>
        <v>4A.F4.6</v>
      </c>
      <c r="B144" s="28" t="s">
        <v>189</v>
      </c>
      <c r="C144" s="28" t="s">
        <v>515</v>
      </c>
      <c r="D144" s="29" t="s">
        <v>516</v>
      </c>
      <c r="E144" s="31">
        <v>1</v>
      </c>
      <c r="F144" s="31">
        <v>1</v>
      </c>
      <c r="G144" s="36">
        <v>1</v>
      </c>
      <c r="H144" s="142">
        <f>_xlfn.XLOOKUP(B144, Rate_Master!$A:$A, Rate_Master!$C:$C, "")</f>
        <v>4174500</v>
      </c>
      <c r="I144" s="142">
        <f>_xlfn.XLOOKUP(B144, Rate_Master!$A:$A, Rate_Master!$D:$D, "")</f>
        <v>417450.00000000006</v>
      </c>
      <c r="J144" s="32">
        <f t="shared" si="33"/>
        <v>4591950</v>
      </c>
      <c r="K144" s="32">
        <f t="shared" si="34"/>
        <v>4591950</v>
      </c>
      <c r="L144" s="32">
        <f t="shared" si="35"/>
        <v>4591950</v>
      </c>
      <c r="M144" s="71" t="s">
        <v>559</v>
      </c>
      <c r="N144" s="172"/>
      <c r="O144" s="202"/>
      <c r="P144" s="178"/>
    </row>
    <row r="145" spans="1:17" s="4" customFormat="1" ht="38.25" customHeight="1" outlineLevel="1">
      <c r="A145" s="27" t="str">
        <f t="shared" si="32"/>
        <v>4A.F4.7</v>
      </c>
      <c r="B145" s="28" t="s">
        <v>166</v>
      </c>
      <c r="C145" s="28" t="s">
        <v>515</v>
      </c>
      <c r="D145" s="29" t="s">
        <v>516</v>
      </c>
      <c r="E145" s="31">
        <v>3</v>
      </c>
      <c r="F145" s="31">
        <v>3</v>
      </c>
      <c r="G145" s="36">
        <v>3</v>
      </c>
      <c r="H145" s="142">
        <f>_xlfn.XLOOKUP(B145, Rate_Master!$A:$A, Rate_Master!$C:$C, "")</f>
        <v>5692500</v>
      </c>
      <c r="I145" s="142">
        <f>_xlfn.XLOOKUP(B145, Rate_Master!$A:$A, Rate_Master!$D:$D, "")</f>
        <v>569250</v>
      </c>
      <c r="J145" s="70">
        <f t="shared" si="33"/>
        <v>6261750</v>
      </c>
      <c r="K145" s="32">
        <f t="shared" si="34"/>
        <v>18785250</v>
      </c>
      <c r="L145" s="32">
        <f t="shared" si="35"/>
        <v>18785250</v>
      </c>
      <c r="M145" s="71" t="s">
        <v>559</v>
      </c>
      <c r="N145" s="172"/>
      <c r="O145" s="202"/>
      <c r="P145" s="178"/>
    </row>
    <row r="146" spans="1:17" s="4" customFormat="1" ht="63.75" customHeight="1" outlineLevel="1">
      <c r="A146" s="27" t="str">
        <f t="shared" si="32"/>
        <v>4A.F4.8</v>
      </c>
      <c r="B146" s="28" t="s">
        <v>190</v>
      </c>
      <c r="C146" s="28" t="s">
        <v>515</v>
      </c>
      <c r="D146" s="29" t="s">
        <v>516</v>
      </c>
      <c r="E146" s="31">
        <v>12</v>
      </c>
      <c r="F146" s="31">
        <v>12</v>
      </c>
      <c r="G146" s="36">
        <v>12</v>
      </c>
      <c r="H146" s="142">
        <f>_xlfn.XLOOKUP(B146, Rate_Master!$A:$A, Rate_Master!$C:$C, "")</f>
        <v>20286000</v>
      </c>
      <c r="I146" s="142">
        <f>_xlfn.XLOOKUP(B146, Rate_Master!$A:$A, Rate_Master!$D:$D, "")</f>
        <v>1217160</v>
      </c>
      <c r="J146" s="70">
        <f t="shared" si="33"/>
        <v>21503160</v>
      </c>
      <c r="K146" s="32">
        <f t="shared" si="34"/>
        <v>258037920</v>
      </c>
      <c r="L146" s="32">
        <f t="shared" si="35"/>
        <v>258037920</v>
      </c>
      <c r="M146" s="139"/>
      <c r="N146" s="170"/>
      <c r="O146" s="202"/>
      <c r="P146" s="178"/>
    </row>
    <row r="147" spans="1:17" s="4" customFormat="1" ht="51" customHeight="1" outlineLevel="1">
      <c r="A147" s="27" t="str">
        <f t="shared" si="32"/>
        <v>4A.F4.9</v>
      </c>
      <c r="B147" s="28" t="s">
        <v>139</v>
      </c>
      <c r="C147" s="28" t="s">
        <v>515</v>
      </c>
      <c r="D147" s="29" t="s">
        <v>516</v>
      </c>
      <c r="E147" s="31">
        <v>5</v>
      </c>
      <c r="F147" s="31">
        <v>5</v>
      </c>
      <c r="G147" s="36">
        <v>5</v>
      </c>
      <c r="H147" s="142">
        <f>_xlfn.XLOOKUP(B147, Rate_Master!$A:$A, Rate_Master!$C:$C, "")</f>
        <v>19923750</v>
      </c>
      <c r="I147" s="142">
        <f>_xlfn.XLOOKUP(B147, Rate_Master!$A:$A, Rate_Master!$D:$D, "")</f>
        <v>2716875</v>
      </c>
      <c r="J147" s="32">
        <f t="shared" si="33"/>
        <v>22640625</v>
      </c>
      <c r="K147" s="32">
        <f t="shared" si="34"/>
        <v>113203125</v>
      </c>
      <c r="L147" s="32">
        <f t="shared" si="35"/>
        <v>113203125</v>
      </c>
      <c r="M147" s="32"/>
      <c r="N147" s="9"/>
      <c r="O147" s="202"/>
      <c r="P147" s="178"/>
    </row>
    <row r="148" spans="1:17" s="4" customFormat="1" ht="63.75" customHeight="1" outlineLevel="1">
      <c r="A148" s="27" t="str">
        <f t="shared" si="32"/>
        <v>4A.F4.10</v>
      </c>
      <c r="B148" s="28" t="s">
        <v>191</v>
      </c>
      <c r="C148" s="28" t="s">
        <v>515</v>
      </c>
      <c r="D148" s="29" t="s">
        <v>516</v>
      </c>
      <c r="E148" s="31">
        <v>6</v>
      </c>
      <c r="F148" s="31">
        <v>6</v>
      </c>
      <c r="G148" s="36">
        <v>6</v>
      </c>
      <c r="H148" s="142">
        <f>_xlfn.XLOOKUP(B148, Rate_Master!$A:$A, Rate_Master!$C:$C, "")</f>
        <v>7762499.9999999991</v>
      </c>
      <c r="I148" s="142">
        <f>_xlfn.XLOOKUP(B148, Rate_Master!$A:$A, Rate_Master!$D:$D, "")</f>
        <v>776249.99999999988</v>
      </c>
      <c r="J148" s="32">
        <f t="shared" si="33"/>
        <v>8538749.9999999981</v>
      </c>
      <c r="K148" s="32">
        <f t="shared" si="34"/>
        <v>51232499.999999985</v>
      </c>
      <c r="L148" s="32">
        <f t="shared" si="35"/>
        <v>51232499.999999985</v>
      </c>
      <c r="M148" s="32"/>
      <c r="N148" s="9"/>
      <c r="O148" s="202"/>
      <c r="P148" s="178"/>
    </row>
    <row r="149" spans="1:17" s="4" customFormat="1" ht="63.75" customHeight="1" outlineLevel="1">
      <c r="A149" s="27" t="str">
        <f t="shared" si="32"/>
        <v>4A.F4.11</v>
      </c>
      <c r="B149" s="28" t="s">
        <v>192</v>
      </c>
      <c r="C149" s="28" t="s">
        <v>515</v>
      </c>
      <c r="D149" s="29" t="s">
        <v>516</v>
      </c>
      <c r="E149" s="31">
        <v>6</v>
      </c>
      <c r="F149" s="31">
        <v>6</v>
      </c>
      <c r="G149" s="36">
        <v>6</v>
      </c>
      <c r="H149" s="142">
        <f>_xlfn.XLOOKUP(B149, Rate_Master!$A:$A, Rate_Master!$C:$C, "")</f>
        <v>10350000</v>
      </c>
      <c r="I149" s="142">
        <f>_xlfn.XLOOKUP(B149, Rate_Master!$A:$A, Rate_Master!$D:$D, "")</f>
        <v>1034999.9999999999</v>
      </c>
      <c r="J149" s="32">
        <f t="shared" si="33"/>
        <v>11385000</v>
      </c>
      <c r="K149" s="32">
        <f t="shared" si="34"/>
        <v>68310000</v>
      </c>
      <c r="L149" s="32">
        <f t="shared" si="35"/>
        <v>68310000</v>
      </c>
      <c r="M149" s="32"/>
      <c r="N149" s="9"/>
      <c r="O149" s="202"/>
      <c r="P149" s="178"/>
    </row>
    <row r="150" spans="1:17" s="4" customFormat="1" ht="63.75" customHeight="1" outlineLevel="1">
      <c r="A150" s="27" t="str">
        <f t="shared" si="32"/>
        <v>4A.F4.12</v>
      </c>
      <c r="B150" s="28" t="s">
        <v>193</v>
      </c>
      <c r="C150" s="28" t="s">
        <v>515</v>
      </c>
      <c r="D150" s="29" t="s">
        <v>516</v>
      </c>
      <c r="E150" s="31">
        <v>2</v>
      </c>
      <c r="F150" s="31">
        <v>2</v>
      </c>
      <c r="G150" s="36">
        <v>2</v>
      </c>
      <c r="H150" s="142">
        <f>_xlfn.XLOOKUP(B150, Rate_Master!$A:$A, Rate_Master!$C:$C, "")</f>
        <v>13972500.000000002</v>
      </c>
      <c r="I150" s="142">
        <f>_xlfn.XLOOKUP(B150, Rate_Master!$A:$A, Rate_Master!$D:$D, "")</f>
        <v>1397250</v>
      </c>
      <c r="J150" s="32">
        <f t="shared" si="33"/>
        <v>15369750.000000002</v>
      </c>
      <c r="K150" s="32">
        <f t="shared" si="34"/>
        <v>30739500.000000004</v>
      </c>
      <c r="L150" s="32">
        <f t="shared" si="35"/>
        <v>30739500.000000004</v>
      </c>
      <c r="M150" s="32"/>
      <c r="N150" s="9"/>
      <c r="O150" s="202"/>
      <c r="P150" s="178"/>
    </row>
    <row r="151" spans="1:17" s="4" customFormat="1" ht="51" customHeight="1" outlineLevel="1">
      <c r="A151" s="27" t="str">
        <f t="shared" si="32"/>
        <v>4A.F4.13</v>
      </c>
      <c r="B151" s="28" t="s">
        <v>140</v>
      </c>
      <c r="C151" s="28" t="s">
        <v>515</v>
      </c>
      <c r="D151" s="29" t="s">
        <v>516</v>
      </c>
      <c r="E151" s="31">
        <v>17</v>
      </c>
      <c r="F151" s="31">
        <v>17</v>
      </c>
      <c r="G151" s="36">
        <v>17</v>
      </c>
      <c r="H151" s="142">
        <f>_xlfn.XLOOKUP(B151, Rate_Master!$A:$A, Rate_Master!$C:$C, "")</f>
        <v>27168749.999999996</v>
      </c>
      <c r="I151" s="142">
        <f>_xlfn.XLOOKUP(B151, Rate_Master!$A:$A, Rate_Master!$D:$D, "")</f>
        <v>2716875</v>
      </c>
      <c r="J151" s="32">
        <f t="shared" si="33"/>
        <v>29885624.999999996</v>
      </c>
      <c r="K151" s="32">
        <f t="shared" si="34"/>
        <v>508055624.99999994</v>
      </c>
      <c r="L151" s="32">
        <f t="shared" si="35"/>
        <v>508055624.99999994</v>
      </c>
      <c r="M151" s="32"/>
      <c r="N151" s="9"/>
      <c r="O151" s="202"/>
      <c r="P151" s="178"/>
    </row>
    <row r="152" spans="1:17" s="4" customFormat="1" ht="81" customHeight="1" outlineLevel="1">
      <c r="A152" s="27" t="str">
        <f t="shared" si="32"/>
        <v>4A.F4.14</v>
      </c>
      <c r="B152" s="28" t="s">
        <v>194</v>
      </c>
      <c r="C152" s="28" t="s">
        <v>515</v>
      </c>
      <c r="D152" s="29" t="s">
        <v>516</v>
      </c>
      <c r="E152" s="31">
        <v>1</v>
      </c>
      <c r="F152" s="31">
        <v>1</v>
      </c>
      <c r="G152" s="36">
        <v>1</v>
      </c>
      <c r="H152" s="142">
        <f>_xlfn.XLOOKUP(B152, Rate_Master!$A:$A, Rate_Master!$C:$C, "")</f>
        <v>27168749.999999996</v>
      </c>
      <c r="I152" s="142">
        <f>_xlfn.XLOOKUP(B152, Rate_Master!$A:$A, Rate_Master!$D:$D, "")</f>
        <v>2716875</v>
      </c>
      <c r="J152" s="32">
        <f t="shared" si="33"/>
        <v>29885624.999999996</v>
      </c>
      <c r="K152" s="32">
        <f t="shared" si="34"/>
        <v>29885624.999999996</v>
      </c>
      <c r="L152" s="32">
        <f t="shared" si="35"/>
        <v>29885624.999999996</v>
      </c>
      <c r="M152" s="32"/>
      <c r="N152" s="9"/>
      <c r="O152" s="202"/>
      <c r="P152" s="178"/>
    </row>
    <row r="153" spans="1:17" s="4" customFormat="1" ht="65.25" customHeight="1" outlineLevel="1">
      <c r="A153" s="27" t="str">
        <f t="shared" si="32"/>
        <v>4A.F4.15</v>
      </c>
      <c r="B153" s="28" t="s">
        <v>195</v>
      </c>
      <c r="C153" s="28" t="s">
        <v>515</v>
      </c>
      <c r="D153" s="29" t="s">
        <v>516</v>
      </c>
      <c r="E153" s="31">
        <v>1</v>
      </c>
      <c r="F153" s="31">
        <v>1</v>
      </c>
      <c r="G153" s="36">
        <v>1</v>
      </c>
      <c r="H153" s="142">
        <f>_xlfn.XLOOKUP(B153, Rate_Master!$A:$A, Rate_Master!$C:$C, "")</f>
        <v>40848000.000000007</v>
      </c>
      <c r="I153" s="142">
        <f>_xlfn.XLOOKUP(B153, Rate_Master!$A:$A, Rate_Master!$D:$D, "")</f>
        <v>3063599.9999999995</v>
      </c>
      <c r="J153" s="32">
        <f t="shared" si="33"/>
        <v>43911600.000000007</v>
      </c>
      <c r="K153" s="32">
        <f t="shared" si="34"/>
        <v>43911600.000000007</v>
      </c>
      <c r="L153" s="32">
        <f t="shared" si="35"/>
        <v>43911600.000000007</v>
      </c>
      <c r="M153" s="32"/>
      <c r="N153" s="9"/>
      <c r="O153" s="202"/>
      <c r="P153" s="178"/>
    </row>
    <row r="154" spans="1:17" s="3" customFormat="1" ht="25.5" customHeight="1">
      <c r="A154" s="22" t="str">
        <f>$A$103&amp;5</f>
        <v>4A.F5</v>
      </c>
      <c r="B154" s="23" t="s">
        <v>143</v>
      </c>
      <c r="C154" s="23" t="s">
        <v>515</v>
      </c>
      <c r="D154" s="22"/>
      <c r="E154" s="25"/>
      <c r="F154" s="25"/>
      <c r="G154" s="87"/>
      <c r="H154" s="158">
        <f>_xlfn.XLOOKUP(B154, Rate_Master!$A:$A, Rate_Master!$C:$C, "")</f>
        <v>0</v>
      </c>
      <c r="I154" s="158">
        <f>_xlfn.XLOOKUP(B154, Rate_Master!$A:$A, Rate_Master!$D:$D, "")</f>
        <v>0</v>
      </c>
      <c r="J154" s="26">
        <f>H154+I154</f>
        <v>0</v>
      </c>
      <c r="K154" s="26">
        <f>SUBTOTAL(9,K155:K157)</f>
        <v>320857130</v>
      </c>
      <c r="L154" s="26">
        <f>SUBTOTAL(9,L155:L157)</f>
        <v>385015745</v>
      </c>
      <c r="M154" s="26"/>
      <c r="N154" s="166"/>
      <c r="O154" s="201"/>
      <c r="Q154" s="2"/>
    </row>
    <row r="155" spans="1:17" s="4" customFormat="1" ht="63.75" customHeight="1" outlineLevel="1">
      <c r="A155" s="27" t="str">
        <f>$A$154&amp;"."&amp;ROW()-ROW($A$154)</f>
        <v>4A.F5.1</v>
      </c>
      <c r="B155" s="34" t="s">
        <v>144</v>
      </c>
      <c r="C155" s="28" t="s">
        <v>515</v>
      </c>
      <c r="D155" s="29" t="s">
        <v>517</v>
      </c>
      <c r="E155" s="31">
        <v>1224.08</v>
      </c>
      <c r="F155" s="31">
        <v>1468.89</v>
      </c>
      <c r="G155" s="36">
        <v>1468.89</v>
      </c>
      <c r="H155" s="142">
        <f>_xlfn.XLOOKUP(B155, Rate_Master!$A:$A, Rate_Master!$C:$C, "")</f>
        <v>161000</v>
      </c>
      <c r="I155" s="142">
        <f>_xlfn.XLOOKUP(B155, Rate_Master!$A:$A, Rate_Master!$D:$D, "")</f>
        <v>34500</v>
      </c>
      <c r="J155" s="32">
        <f>+I155+H155</f>
        <v>195500</v>
      </c>
      <c r="K155" s="32">
        <f>J155*E155</f>
        <v>239307640</v>
      </c>
      <c r="L155" s="32">
        <f>+G155*J155</f>
        <v>287167995</v>
      </c>
      <c r="M155" s="32"/>
      <c r="N155" s="9"/>
      <c r="O155" s="202"/>
      <c r="P155" s="178"/>
      <c r="Q155" s="182"/>
    </row>
    <row r="156" spans="1:17" s="4" customFormat="1" ht="38.25" customHeight="1" outlineLevel="1">
      <c r="A156" s="27" t="str">
        <f>$A$154&amp;"."&amp;ROW()-ROW($A$154)</f>
        <v>4A.F5.2</v>
      </c>
      <c r="B156" s="34" t="s">
        <v>145</v>
      </c>
      <c r="C156" s="28" t="s">
        <v>515</v>
      </c>
      <c r="D156" s="29" t="s">
        <v>517</v>
      </c>
      <c r="E156" s="31">
        <v>64.465999999999994</v>
      </c>
      <c r="F156" s="31">
        <v>77.349999999999994</v>
      </c>
      <c r="G156" s="36">
        <v>77.349999999999994</v>
      </c>
      <c r="H156" s="142">
        <f>_xlfn.XLOOKUP(B156, Rate_Master!$A:$A, Rate_Master!$C:$C, "")</f>
        <v>517499.99999999994</v>
      </c>
      <c r="I156" s="142">
        <f>_xlfn.XLOOKUP(B156, Rate_Master!$A:$A, Rate_Master!$D:$D, "")</f>
        <v>57499.999999999993</v>
      </c>
      <c r="J156" s="32">
        <f>+I156+H156</f>
        <v>574999.99999999988</v>
      </c>
      <c r="K156" s="32">
        <f>J156*E156</f>
        <v>37067949.999999993</v>
      </c>
      <c r="L156" s="32">
        <f>+G156*J156</f>
        <v>44476249.999999985</v>
      </c>
      <c r="M156" s="32"/>
      <c r="N156" s="9"/>
      <c r="O156" s="202"/>
      <c r="P156" s="178"/>
    </row>
    <row r="157" spans="1:17" s="4" customFormat="1" ht="38.25" customHeight="1" outlineLevel="1">
      <c r="A157" s="27" t="str">
        <f>$A$154&amp;"."&amp;ROW()-ROW($A$154)</f>
        <v>4A.F5.3</v>
      </c>
      <c r="B157" s="34" t="s">
        <v>146</v>
      </c>
      <c r="C157" s="28" t="s">
        <v>515</v>
      </c>
      <c r="D157" s="29" t="s">
        <v>517</v>
      </c>
      <c r="E157" s="31">
        <v>64.465999999999994</v>
      </c>
      <c r="F157" s="31">
        <v>77.349999999999994</v>
      </c>
      <c r="G157" s="36">
        <v>77.349999999999994</v>
      </c>
      <c r="H157" s="142">
        <f>_xlfn.XLOOKUP(B157, Rate_Master!$A:$A, Rate_Master!$C:$C, "")</f>
        <v>632500</v>
      </c>
      <c r="I157" s="142">
        <f>_xlfn.XLOOKUP(B157, Rate_Master!$A:$A, Rate_Master!$D:$D, "")</f>
        <v>57499.999999999993</v>
      </c>
      <c r="J157" s="32">
        <f>+I157+H157</f>
        <v>690000</v>
      </c>
      <c r="K157" s="32">
        <f>J157*E157</f>
        <v>44481539.999999993</v>
      </c>
      <c r="L157" s="32">
        <f>+G157*J157</f>
        <v>53371499.999999993</v>
      </c>
      <c r="M157" s="32"/>
      <c r="N157" s="9"/>
      <c r="O157" s="202"/>
      <c r="P157" s="178"/>
    </row>
    <row r="158" spans="1:17" s="3" customFormat="1" ht="25.5" customHeight="1">
      <c r="A158" s="22" t="str">
        <f>$A$103&amp;6</f>
        <v>4A.F6</v>
      </c>
      <c r="B158" s="23" t="s">
        <v>147</v>
      </c>
      <c r="C158" s="23" t="s">
        <v>515</v>
      </c>
      <c r="D158" s="22"/>
      <c r="E158" s="25"/>
      <c r="F158" s="25"/>
      <c r="G158" s="87"/>
      <c r="H158" s="158">
        <f>_xlfn.XLOOKUP(B158, Rate_Master!$A:$A, Rate_Master!$C:$C, "")</f>
        <v>0</v>
      </c>
      <c r="I158" s="158">
        <f>_xlfn.XLOOKUP(B158, Rate_Master!$A:$A, Rate_Master!$D:$D, "")</f>
        <v>0</v>
      </c>
      <c r="J158" s="26">
        <f>H158+I158</f>
        <v>0</v>
      </c>
      <c r="K158" s="26">
        <f>SUBTOTAL(9,K159:K163)</f>
        <v>322033921</v>
      </c>
      <c r="L158" s="26">
        <f>SUBTOTAL(9,L159:L163)</f>
        <v>386435720</v>
      </c>
      <c r="M158" s="26"/>
      <c r="N158" s="166"/>
      <c r="O158" s="201"/>
      <c r="Q158" s="2"/>
    </row>
    <row r="159" spans="1:17" s="4" customFormat="1" ht="51" customHeight="1" outlineLevel="1">
      <c r="A159" s="27" t="str">
        <f>$A$158&amp;"."&amp;ROW()-ROW($A$158)</f>
        <v>4A.F6.1</v>
      </c>
      <c r="B159" s="34" t="s">
        <v>148</v>
      </c>
      <c r="C159" s="34" t="s">
        <v>515</v>
      </c>
      <c r="D159" s="29" t="s">
        <v>520</v>
      </c>
      <c r="E159" s="31">
        <v>377.19400000000002</v>
      </c>
      <c r="F159" s="31">
        <v>452.63</v>
      </c>
      <c r="G159" s="36">
        <v>452.63</v>
      </c>
      <c r="H159" s="142">
        <f>_xlfn.XLOOKUP(B159, Rate_Master!$A:$A, Rate_Master!$C:$C, "")</f>
        <v>155000</v>
      </c>
      <c r="I159" s="142">
        <f>_xlfn.XLOOKUP(B159, Rate_Master!$A:$A, Rate_Master!$D:$D, "")</f>
        <v>45000</v>
      </c>
      <c r="J159" s="32">
        <f>+I159+H159</f>
        <v>200000</v>
      </c>
      <c r="K159" s="32">
        <f>J159*E159</f>
        <v>75438800</v>
      </c>
      <c r="L159" s="32">
        <f>+G159*J159</f>
        <v>90526000</v>
      </c>
      <c r="M159" s="32"/>
      <c r="N159" s="9"/>
      <c r="O159" s="202"/>
      <c r="P159" s="178"/>
    </row>
    <row r="160" spans="1:17" s="4" customFormat="1" ht="25.5" customHeight="1" outlineLevel="1">
      <c r="A160" s="27" t="str">
        <f>$A$158&amp;"."&amp;ROW()-ROW($A$158)</f>
        <v>4A.F6.2</v>
      </c>
      <c r="B160" s="34" t="s">
        <v>149</v>
      </c>
      <c r="C160" s="34" t="s">
        <v>515</v>
      </c>
      <c r="D160" s="29" t="s">
        <v>520</v>
      </c>
      <c r="E160" s="31">
        <v>260.52</v>
      </c>
      <c r="F160" s="31">
        <v>312.62</v>
      </c>
      <c r="G160" s="36">
        <v>312.62</v>
      </c>
      <c r="H160" s="142">
        <f>_xlfn.XLOOKUP(B160, Rate_Master!$A:$A, Rate_Master!$C:$C, "")</f>
        <v>310500</v>
      </c>
      <c r="I160" s="142">
        <f>_xlfn.XLOOKUP(B160, Rate_Master!$A:$A, Rate_Master!$D:$D, "")</f>
        <v>34500</v>
      </c>
      <c r="J160" s="32">
        <f>+I160+H160</f>
        <v>345000</v>
      </c>
      <c r="K160" s="32">
        <f>J160*E160</f>
        <v>89879400</v>
      </c>
      <c r="L160" s="32">
        <f>+G160*J160</f>
        <v>107853900</v>
      </c>
      <c r="M160" s="32"/>
      <c r="N160" s="9"/>
      <c r="O160" s="202"/>
      <c r="P160" s="178"/>
    </row>
    <row r="161" spans="1:17" s="4" customFormat="1" ht="51" customHeight="1" outlineLevel="1">
      <c r="A161" s="27" t="str">
        <f>$A$158&amp;"."&amp;ROW()-ROW($A$158)</f>
        <v>4A.F6.3</v>
      </c>
      <c r="B161" s="34" t="s">
        <v>150</v>
      </c>
      <c r="C161" s="34" t="s">
        <v>515</v>
      </c>
      <c r="D161" s="29" t="s">
        <v>520</v>
      </c>
      <c r="E161" s="31">
        <v>260.52</v>
      </c>
      <c r="F161" s="31">
        <v>312.62</v>
      </c>
      <c r="G161" s="36">
        <v>312.62</v>
      </c>
      <c r="H161" s="142">
        <f>_xlfn.XLOOKUP(B161, Rate_Master!$A:$A, Rate_Master!$C:$C, "")</f>
        <v>287500</v>
      </c>
      <c r="I161" s="142">
        <f>_xlfn.XLOOKUP(B161, Rate_Master!$A:$A, Rate_Master!$D:$D, "")</f>
        <v>69000</v>
      </c>
      <c r="J161" s="32">
        <f>+I161+H161</f>
        <v>356500</v>
      </c>
      <c r="K161" s="32">
        <f>J161*E161</f>
        <v>92875380</v>
      </c>
      <c r="L161" s="32">
        <f>+G161*J161</f>
        <v>111449030</v>
      </c>
      <c r="M161" s="32"/>
      <c r="N161" s="9"/>
      <c r="O161" s="202"/>
      <c r="P161" s="178"/>
    </row>
    <row r="162" spans="1:17" s="4" customFormat="1" ht="51" customHeight="1" outlineLevel="1">
      <c r="A162" s="27" t="str">
        <f>$A$158&amp;"."&amp;ROW()-ROW($A$158)</f>
        <v>4A.F6.4</v>
      </c>
      <c r="B162" s="34" t="s">
        <v>151</v>
      </c>
      <c r="C162" s="34" t="s">
        <v>515</v>
      </c>
      <c r="D162" s="29" t="s">
        <v>520</v>
      </c>
      <c r="E162" s="31">
        <v>260.52</v>
      </c>
      <c r="F162" s="31">
        <v>312.62</v>
      </c>
      <c r="G162" s="36">
        <v>312.62</v>
      </c>
      <c r="H162" s="142">
        <f>_xlfn.XLOOKUP(B162, Rate_Master!$A:$A, Rate_Master!$C:$C, "")</f>
        <v>23000</v>
      </c>
      <c r="I162" s="142">
        <f>_xlfn.XLOOKUP(B162, Rate_Master!$A:$A, Rate_Master!$D:$D, "")</f>
        <v>126499.99999999999</v>
      </c>
      <c r="J162" s="32">
        <f>+I162+H162</f>
        <v>149500</v>
      </c>
      <c r="K162" s="32">
        <f>J162*E162</f>
        <v>38947740</v>
      </c>
      <c r="L162" s="32">
        <f>+G162*J162</f>
        <v>46736690</v>
      </c>
      <c r="M162" s="32"/>
      <c r="N162" s="9"/>
      <c r="O162" s="202"/>
      <c r="P162" s="178"/>
    </row>
    <row r="163" spans="1:17" s="4" customFormat="1" ht="57.75" customHeight="1" outlineLevel="1">
      <c r="A163" s="27" t="str">
        <f>$A$158&amp;"."&amp;ROW()-ROW($A$158)</f>
        <v>4A.F6.5</v>
      </c>
      <c r="B163" s="34" t="s">
        <v>152</v>
      </c>
      <c r="C163" s="34" t="s">
        <v>560</v>
      </c>
      <c r="D163" s="29" t="s">
        <v>517</v>
      </c>
      <c r="E163" s="31">
        <v>117.004</v>
      </c>
      <c r="F163" s="31">
        <v>140.4</v>
      </c>
      <c r="G163" s="36">
        <v>140.4</v>
      </c>
      <c r="H163" s="142">
        <f>_xlfn.XLOOKUP(B163, Rate_Master!$A:$A, Rate_Master!$C:$C, "")</f>
        <v>155250</v>
      </c>
      <c r="I163" s="142">
        <f>_xlfn.XLOOKUP(B163, Rate_Master!$A:$A, Rate_Master!$D:$D, "")</f>
        <v>57499.999999999993</v>
      </c>
      <c r="J163" s="32">
        <f>+I163+H163</f>
        <v>212750</v>
      </c>
      <c r="K163" s="32">
        <f>J163*E163</f>
        <v>24892601</v>
      </c>
      <c r="L163" s="32">
        <f>+G163*J163</f>
        <v>29870100</v>
      </c>
      <c r="M163" s="32"/>
      <c r="N163" s="9"/>
      <c r="O163" s="202"/>
      <c r="P163" s="178"/>
    </row>
    <row r="164" spans="1:17" s="3" customFormat="1" ht="25.5" customHeight="1">
      <c r="A164" s="22" t="str">
        <f>$A$103&amp;7</f>
        <v>4A.F7</v>
      </c>
      <c r="B164" s="23" t="s">
        <v>84</v>
      </c>
      <c r="C164" s="23" t="s">
        <v>515</v>
      </c>
      <c r="D164" s="22"/>
      <c r="E164" s="25"/>
      <c r="F164" s="25"/>
      <c r="G164" s="87"/>
      <c r="H164" s="158">
        <f>_xlfn.XLOOKUP(B164, Rate_Master!$A:$A, Rate_Master!$C:$C, "")</f>
        <v>0</v>
      </c>
      <c r="I164" s="158">
        <f>_xlfn.XLOOKUP(B164, Rate_Master!$A:$A, Rate_Master!$D:$D, "")</f>
        <v>0</v>
      </c>
      <c r="J164" s="26">
        <f>H164+I164</f>
        <v>0</v>
      </c>
      <c r="K164" s="26">
        <f>SUBTOTAL(9,K165:K176)</f>
        <v>135182499.99999997</v>
      </c>
      <c r="L164" s="26">
        <f>SUBTOTAL(9,L165:L176)</f>
        <v>162219000</v>
      </c>
      <c r="M164" s="26"/>
      <c r="N164" s="166"/>
      <c r="O164" s="201"/>
      <c r="Q164" s="2"/>
    </row>
    <row r="165" spans="1:17" s="4" customFormat="1" ht="38.25" hidden="1" customHeight="1" outlineLevel="1">
      <c r="A165" s="27" t="str">
        <f t="shared" ref="A165:A176" si="36">$A$164&amp;"."&amp;ROW()-ROW($A$164)</f>
        <v>4A.F7.1</v>
      </c>
      <c r="B165" s="48" t="s">
        <v>153</v>
      </c>
      <c r="C165" s="34" t="s">
        <v>561</v>
      </c>
      <c r="D165" s="29" t="s">
        <v>517</v>
      </c>
      <c r="E165" s="31">
        <v>8.9499999999999993</v>
      </c>
      <c r="F165" s="31">
        <v>10.74</v>
      </c>
      <c r="G165" s="36">
        <v>10.74</v>
      </c>
      <c r="H165" s="142">
        <f>_xlfn.XLOOKUP(B165, Rate_Master!$A:$A, Rate_Master!$C:$C, "")</f>
        <v>4024999.9999999995</v>
      </c>
      <c r="I165" s="142">
        <f>_xlfn.XLOOKUP(B165, Rate_Master!$A:$A, Rate_Master!$D:$D, "")</f>
        <v>1380000</v>
      </c>
      <c r="J165" s="32">
        <f t="shared" ref="J165:J176" si="37">+I165+H165</f>
        <v>5405000</v>
      </c>
      <c r="K165" s="32">
        <f t="shared" ref="K165:K176" si="38">J165*E165</f>
        <v>48374749.999999993</v>
      </c>
      <c r="L165" s="32">
        <f t="shared" ref="L165:L176" si="39">+G165*J165</f>
        <v>58049700</v>
      </c>
      <c r="M165" s="32"/>
      <c r="N165" s="9"/>
      <c r="O165" s="202"/>
      <c r="P165" s="179"/>
    </row>
    <row r="166" spans="1:17" s="4" customFormat="1" ht="38.25" hidden="1" customHeight="1" outlineLevel="1">
      <c r="A166" s="27" t="str">
        <f t="shared" si="36"/>
        <v>4A.F7.2</v>
      </c>
      <c r="B166" s="48" t="s">
        <v>167</v>
      </c>
      <c r="C166" s="34"/>
      <c r="D166" s="29" t="s">
        <v>517</v>
      </c>
      <c r="E166" s="31">
        <v>0</v>
      </c>
      <c r="F166" s="31"/>
      <c r="G166" s="36"/>
      <c r="H166" s="142">
        <f>_xlfn.XLOOKUP(B166, Rate_Master!$A:$A, Rate_Master!$C:$C, "")</f>
        <v>0</v>
      </c>
      <c r="I166" s="142">
        <f>_xlfn.XLOOKUP(B166, Rate_Master!$A:$A, Rate_Master!$D:$D, "")</f>
        <v>0</v>
      </c>
      <c r="J166" s="32">
        <f t="shared" si="37"/>
        <v>0</v>
      </c>
      <c r="K166" s="32">
        <f t="shared" si="38"/>
        <v>0</v>
      </c>
      <c r="L166" s="32">
        <f t="shared" si="39"/>
        <v>0</v>
      </c>
      <c r="M166" s="32"/>
      <c r="N166" s="9"/>
      <c r="O166" s="202"/>
      <c r="P166" s="179"/>
    </row>
    <row r="167" spans="1:17" s="4" customFormat="1" ht="25.5" hidden="1" customHeight="1" outlineLevel="1">
      <c r="A167" s="27" t="str">
        <f t="shared" si="36"/>
        <v>4A.F7.3</v>
      </c>
      <c r="B167" s="48" t="s">
        <v>154</v>
      </c>
      <c r="C167" s="28" t="s">
        <v>515</v>
      </c>
      <c r="D167" s="50" t="s">
        <v>517</v>
      </c>
      <c r="E167" s="31">
        <v>9</v>
      </c>
      <c r="F167" s="31">
        <v>10.8</v>
      </c>
      <c r="G167" s="36">
        <v>10.8</v>
      </c>
      <c r="H167" s="142">
        <f>_xlfn.XLOOKUP(B167, Rate_Master!$A:$A, Rate_Master!$C:$C, "")</f>
        <v>359375</v>
      </c>
      <c r="I167" s="142">
        <f>_xlfn.XLOOKUP(B167, Rate_Master!$A:$A, Rate_Master!$D:$D, "")</f>
        <v>71875</v>
      </c>
      <c r="J167" s="32">
        <f t="shared" si="37"/>
        <v>431250</v>
      </c>
      <c r="K167" s="32">
        <f t="shared" si="38"/>
        <v>3881250</v>
      </c>
      <c r="L167" s="32">
        <f t="shared" si="39"/>
        <v>4657500</v>
      </c>
      <c r="M167" s="32"/>
      <c r="N167" s="9"/>
      <c r="O167" s="202"/>
      <c r="P167" s="179"/>
    </row>
    <row r="168" spans="1:17" s="4" customFormat="1" ht="25.5" hidden="1" customHeight="1" outlineLevel="1">
      <c r="A168" s="27" t="str">
        <f t="shared" si="36"/>
        <v>4A.F7.4</v>
      </c>
      <c r="B168" s="51" t="s">
        <v>155</v>
      </c>
      <c r="C168" s="28" t="s">
        <v>515</v>
      </c>
      <c r="D168" s="50" t="s">
        <v>517</v>
      </c>
      <c r="E168" s="31">
        <v>8.9499999999999993</v>
      </c>
      <c r="F168" s="31">
        <v>10.74</v>
      </c>
      <c r="G168" s="36">
        <v>10.74</v>
      </c>
      <c r="H168" s="142">
        <f>_xlfn.XLOOKUP(B168, Rate_Master!$A:$A, Rate_Master!$C:$C, "")</f>
        <v>1954999.9999999998</v>
      </c>
      <c r="I168" s="142">
        <f>_xlfn.XLOOKUP(B168, Rate_Master!$A:$A, Rate_Master!$D:$D, "")</f>
        <v>114999.99999999999</v>
      </c>
      <c r="J168" s="32">
        <f t="shared" si="37"/>
        <v>2069999.9999999998</v>
      </c>
      <c r="K168" s="32">
        <f t="shared" si="38"/>
        <v>18526499.999999996</v>
      </c>
      <c r="L168" s="32">
        <f t="shared" si="39"/>
        <v>22231799.999999996</v>
      </c>
      <c r="M168" s="32"/>
      <c r="N168" s="9"/>
      <c r="O168" s="202"/>
      <c r="P168" s="179"/>
    </row>
    <row r="169" spans="1:17" s="4" customFormat="1" ht="51" hidden="1" customHeight="1" outlineLevel="1">
      <c r="A169" s="27" t="str">
        <f t="shared" si="36"/>
        <v>4A.F7.5</v>
      </c>
      <c r="B169" s="51" t="s">
        <v>168</v>
      </c>
      <c r="C169" s="28"/>
      <c r="D169" s="50" t="s">
        <v>517</v>
      </c>
      <c r="E169" s="31">
        <v>0</v>
      </c>
      <c r="F169" s="31"/>
      <c r="G169" s="36"/>
      <c r="H169" s="142">
        <f>_xlfn.XLOOKUP(B169, Rate_Master!$A:$A, Rate_Master!$C:$C, "")</f>
        <v>0</v>
      </c>
      <c r="I169" s="142">
        <f>_xlfn.XLOOKUP(B169, Rate_Master!$A:$A, Rate_Master!$D:$D, "")</f>
        <v>0</v>
      </c>
      <c r="J169" s="32">
        <f t="shared" si="37"/>
        <v>0</v>
      </c>
      <c r="K169" s="32">
        <f t="shared" si="38"/>
        <v>0</v>
      </c>
      <c r="L169" s="32">
        <f t="shared" si="39"/>
        <v>0</v>
      </c>
      <c r="M169" s="32"/>
      <c r="N169" s="9"/>
      <c r="O169" s="202"/>
      <c r="P169" s="179"/>
    </row>
    <row r="170" spans="1:17" s="4" customFormat="1" ht="38.25" hidden="1" customHeight="1" outlineLevel="1">
      <c r="A170" s="27" t="str">
        <f t="shared" si="36"/>
        <v>4A.F7.6</v>
      </c>
      <c r="B170" s="48" t="s">
        <v>156</v>
      </c>
      <c r="C170" s="28" t="s">
        <v>515</v>
      </c>
      <c r="D170" s="54" t="s">
        <v>518</v>
      </c>
      <c r="E170" s="31">
        <v>32</v>
      </c>
      <c r="F170" s="31">
        <v>38.4</v>
      </c>
      <c r="G170" s="36">
        <v>38.4</v>
      </c>
      <c r="H170" s="142">
        <f>_xlfn.XLOOKUP(B170, Rate_Master!$A:$A, Rate_Master!$C:$C, "")</f>
        <v>1724999.9999999998</v>
      </c>
      <c r="I170" s="142">
        <f>_xlfn.XLOOKUP(B170, Rate_Master!$A:$A, Rate_Master!$D:$D, "")</f>
        <v>287500</v>
      </c>
      <c r="J170" s="32">
        <f t="shared" si="37"/>
        <v>2012499.9999999998</v>
      </c>
      <c r="K170" s="32">
        <f t="shared" si="38"/>
        <v>64399999.999999993</v>
      </c>
      <c r="L170" s="32">
        <f t="shared" si="39"/>
        <v>77279999.999999985</v>
      </c>
      <c r="M170" s="32"/>
      <c r="N170" s="9"/>
      <c r="O170" s="202"/>
      <c r="P170" s="179"/>
    </row>
    <row r="171" spans="1:17" s="4" customFormat="1" ht="25.5" hidden="1" customHeight="1" outlineLevel="1">
      <c r="A171" s="27" t="str">
        <f t="shared" si="36"/>
        <v>4A.F7.7</v>
      </c>
      <c r="B171" s="48" t="s">
        <v>157</v>
      </c>
      <c r="C171" s="28" t="s">
        <v>515</v>
      </c>
      <c r="D171" s="29" t="s">
        <v>517</v>
      </c>
      <c r="E171" s="31">
        <v>0</v>
      </c>
      <c r="F171" s="31"/>
      <c r="G171" s="36"/>
      <c r="H171" s="142">
        <f>_xlfn.XLOOKUP(B171, Rate_Master!$A:$A, Rate_Master!$C:$C, "")</f>
        <v>632500</v>
      </c>
      <c r="I171" s="142">
        <f>_xlfn.XLOOKUP(B171, Rate_Master!$A:$A, Rate_Master!$D:$D, "")</f>
        <v>57499.999999999993</v>
      </c>
      <c r="J171" s="32">
        <f t="shared" si="37"/>
        <v>690000</v>
      </c>
      <c r="K171" s="32">
        <f t="shared" si="38"/>
        <v>0</v>
      </c>
      <c r="L171" s="32">
        <f t="shared" si="39"/>
        <v>0</v>
      </c>
      <c r="M171" s="32"/>
      <c r="N171" s="9"/>
      <c r="O171" s="202"/>
      <c r="P171" s="179"/>
    </row>
    <row r="172" spans="1:17" s="4" customFormat="1" ht="25.5" hidden="1" customHeight="1" outlineLevel="1">
      <c r="A172" s="27" t="str">
        <f t="shared" si="36"/>
        <v>4A.F7.8</v>
      </c>
      <c r="B172" s="34" t="s">
        <v>158</v>
      </c>
      <c r="C172" s="56" t="s">
        <v>562</v>
      </c>
      <c r="D172" s="29" t="s">
        <v>516</v>
      </c>
      <c r="E172" s="31">
        <v>0</v>
      </c>
      <c r="F172" s="31"/>
      <c r="G172" s="36"/>
      <c r="H172" s="142">
        <f>_xlfn.XLOOKUP(B172, Rate_Master!$A:$A, Rate_Master!$C:$C, "")</f>
        <v>68400000</v>
      </c>
      <c r="I172" s="142">
        <f>_xlfn.XLOOKUP(B172, Rate_Master!$A:$A, Rate_Master!$D:$D, "")</f>
        <v>26600000</v>
      </c>
      <c r="J172" s="32">
        <f t="shared" si="37"/>
        <v>95000000</v>
      </c>
      <c r="K172" s="32">
        <f t="shared" si="38"/>
        <v>0</v>
      </c>
      <c r="L172" s="32">
        <f t="shared" si="39"/>
        <v>0</v>
      </c>
      <c r="M172" s="32"/>
      <c r="N172" s="9"/>
      <c r="O172" s="202"/>
      <c r="P172" s="179"/>
    </row>
    <row r="173" spans="1:17" s="4" customFormat="1" ht="25.5" hidden="1" customHeight="1" outlineLevel="1">
      <c r="A173" s="27" t="str">
        <f t="shared" si="36"/>
        <v>4A.F7.9</v>
      </c>
      <c r="B173" s="34" t="s">
        <v>159</v>
      </c>
      <c r="C173" s="28" t="s">
        <v>515</v>
      </c>
      <c r="D173" s="29" t="s">
        <v>516</v>
      </c>
      <c r="E173" s="31">
        <v>0</v>
      </c>
      <c r="F173" s="31"/>
      <c r="G173" s="36"/>
      <c r="H173" s="142">
        <f>_xlfn.XLOOKUP(B173, Rate_Master!$A:$A, Rate_Master!$C:$C, "")</f>
        <v>25200000</v>
      </c>
      <c r="I173" s="142">
        <f>_xlfn.XLOOKUP(B173, Rate_Master!$A:$A, Rate_Master!$D:$D, "")</f>
        <v>9800000.0000000019</v>
      </c>
      <c r="J173" s="32">
        <f t="shared" si="37"/>
        <v>35000000</v>
      </c>
      <c r="K173" s="32">
        <f t="shared" si="38"/>
        <v>0</v>
      </c>
      <c r="L173" s="32">
        <f t="shared" si="39"/>
        <v>0</v>
      </c>
      <c r="M173" s="32"/>
      <c r="N173" s="9"/>
      <c r="O173" s="202"/>
      <c r="P173" s="179"/>
    </row>
    <row r="174" spans="1:17" s="4" customFormat="1" ht="25.5" hidden="1" customHeight="1" outlineLevel="1">
      <c r="A174" s="27" t="str">
        <f t="shared" si="36"/>
        <v>4A.F7.10</v>
      </c>
      <c r="B174" s="34" t="s">
        <v>160</v>
      </c>
      <c r="C174" s="28" t="s">
        <v>515</v>
      </c>
      <c r="D174" s="29" t="s">
        <v>518</v>
      </c>
      <c r="E174" s="31">
        <v>0</v>
      </c>
      <c r="F174" s="31"/>
      <c r="G174" s="36"/>
      <c r="H174" s="142">
        <f>_xlfn.XLOOKUP(B174, Rate_Master!$A:$A, Rate_Master!$C:$C, "")</f>
        <v>1440000</v>
      </c>
      <c r="I174" s="142">
        <f>_xlfn.XLOOKUP(B174, Rate_Master!$A:$A, Rate_Master!$D:$D, "")</f>
        <v>560000</v>
      </c>
      <c r="J174" s="32">
        <f t="shared" si="37"/>
        <v>2000000</v>
      </c>
      <c r="K174" s="32">
        <f t="shared" si="38"/>
        <v>0</v>
      </c>
      <c r="L174" s="32">
        <f t="shared" si="39"/>
        <v>0</v>
      </c>
      <c r="M174" s="32"/>
      <c r="N174" s="9"/>
      <c r="O174" s="202"/>
      <c r="P174" s="179"/>
    </row>
    <row r="175" spans="1:17" s="4" customFormat="1" ht="25.5" hidden="1" customHeight="1" outlineLevel="1">
      <c r="A175" s="27" t="str">
        <f t="shared" si="36"/>
        <v>4A.F7.11</v>
      </c>
      <c r="B175" s="48" t="s">
        <v>161</v>
      </c>
      <c r="C175" s="28" t="s">
        <v>515</v>
      </c>
      <c r="D175" s="29" t="s">
        <v>517</v>
      </c>
      <c r="E175" s="31">
        <v>0</v>
      </c>
      <c r="F175" s="31"/>
      <c r="G175" s="36"/>
      <c r="H175" s="142">
        <f>_xlfn.XLOOKUP(B175, Rate_Master!$A:$A, Rate_Master!$C:$C, "")</f>
        <v>149500</v>
      </c>
      <c r="I175" s="142">
        <f>_xlfn.XLOOKUP(B175, Rate_Master!$A:$A, Rate_Master!$D:$D, "")</f>
        <v>34500</v>
      </c>
      <c r="J175" s="32">
        <f t="shared" si="37"/>
        <v>184000</v>
      </c>
      <c r="K175" s="32">
        <f t="shared" si="38"/>
        <v>0</v>
      </c>
      <c r="L175" s="32">
        <f t="shared" si="39"/>
        <v>0</v>
      </c>
      <c r="M175" s="32"/>
      <c r="N175" s="9"/>
      <c r="O175" s="202"/>
      <c r="P175" s="179"/>
    </row>
    <row r="176" spans="1:17" s="4" customFormat="1" ht="25.5" hidden="1" customHeight="1" outlineLevel="1">
      <c r="A176" s="27" t="str">
        <f t="shared" si="36"/>
        <v>4A.F7.12</v>
      </c>
      <c r="B176" s="34" t="s">
        <v>162</v>
      </c>
      <c r="C176" s="28" t="s">
        <v>515</v>
      </c>
      <c r="D176" s="29" t="s">
        <v>517</v>
      </c>
      <c r="E176" s="31">
        <v>0</v>
      </c>
      <c r="F176" s="31"/>
      <c r="G176" s="36"/>
      <c r="H176" s="142">
        <f>_xlfn.XLOOKUP(B176, Rate_Master!$A:$A, Rate_Master!$C:$C, "")</f>
        <v>252000</v>
      </c>
      <c r="I176" s="142">
        <f>_xlfn.XLOOKUP(B176, Rate_Master!$A:$A, Rate_Master!$D:$D, "")</f>
        <v>98000</v>
      </c>
      <c r="J176" s="32">
        <f t="shared" si="37"/>
        <v>350000</v>
      </c>
      <c r="K176" s="32">
        <f t="shared" si="38"/>
        <v>0</v>
      </c>
      <c r="L176" s="32">
        <f t="shared" si="39"/>
        <v>0</v>
      </c>
      <c r="M176" s="32"/>
      <c r="N176" s="9"/>
      <c r="O176" s="202"/>
      <c r="P176" s="179"/>
    </row>
    <row r="177" spans="1:18" ht="15.75" customHeight="1" collapsed="1">
      <c r="A177" s="133" t="s">
        <v>568</v>
      </c>
      <c r="B177" s="196" t="s">
        <v>196</v>
      </c>
      <c r="C177" s="133"/>
      <c r="D177" s="133"/>
      <c r="E177" s="133"/>
      <c r="F177" s="133"/>
      <c r="G177" s="87"/>
      <c r="H177" s="163">
        <f>_xlfn.XLOOKUP(B177, Rate_Master!$A:$A, Rate_Master!$C:$C, "")</f>
        <v>0</v>
      </c>
      <c r="I177" s="163">
        <f>_xlfn.XLOOKUP(B177, Rate_Master!$A:$A, Rate_Master!$D:$D, "")</f>
        <v>0</v>
      </c>
      <c r="J177" s="87"/>
      <c r="K177" s="87"/>
      <c r="L177" s="87">
        <f>SUBTOTAL(9,L178:L180)</f>
        <v>662844697.28999996</v>
      </c>
      <c r="M177" s="87"/>
      <c r="N177" s="173"/>
    </row>
    <row r="178" spans="1:18" ht="25.5" customHeight="1">
      <c r="A178" s="55" t="s">
        <v>569</v>
      </c>
      <c r="B178" s="56" t="s">
        <v>197</v>
      </c>
      <c r="C178" s="138"/>
      <c r="D178" s="55" t="s">
        <v>523</v>
      </c>
      <c r="E178" s="138"/>
      <c r="F178" s="138"/>
      <c r="G178" s="132">
        <v>13574.07</v>
      </c>
      <c r="H178" s="164">
        <f>_xlfn.XLOOKUP(B178, Rate_Master!$A:$A, Rate_Master!$C:$C, "")</f>
        <v>25874.999999999996</v>
      </c>
      <c r="I178" s="164">
        <f>_xlfn.XLOOKUP(B178, Rate_Master!$A:$A, Rate_Master!$D:$D, "")</f>
        <v>11500</v>
      </c>
      <c r="J178" s="55">
        <f>H178+I178</f>
        <v>37375</v>
      </c>
      <c r="K178" s="55"/>
      <c r="L178" s="122">
        <f>+G178*J178</f>
        <v>507330866.25</v>
      </c>
      <c r="M178" s="55"/>
      <c r="N178" s="174"/>
    </row>
    <row r="179" spans="1:18">
      <c r="A179" s="55" t="s">
        <v>570</v>
      </c>
      <c r="B179" s="197" t="s">
        <v>56</v>
      </c>
      <c r="C179" s="138"/>
      <c r="D179" s="55" t="s">
        <v>518</v>
      </c>
      <c r="E179" s="138"/>
      <c r="F179" s="138"/>
      <c r="G179" s="132">
        <v>96</v>
      </c>
      <c r="H179" s="164">
        <f>_xlfn.XLOOKUP(B179, Rate_Master!$A:$A, Rate_Master!$C:$C, "")</f>
        <v>52500</v>
      </c>
      <c r="I179" s="164">
        <f>_xlfn.XLOOKUP(B179, Rate_Master!$A:$A, Rate_Master!$D:$D, "")</f>
        <v>0</v>
      </c>
      <c r="J179" s="55">
        <f>H179+I179</f>
        <v>52500</v>
      </c>
      <c r="K179" s="55"/>
      <c r="L179" s="122">
        <f>+G179*J179</f>
        <v>5040000</v>
      </c>
      <c r="M179" s="55"/>
      <c r="N179" s="174"/>
    </row>
    <row r="180" spans="1:18" ht="89.25" customHeight="1">
      <c r="A180" s="134">
        <v>1</v>
      </c>
      <c r="B180" s="135" t="s">
        <v>170</v>
      </c>
      <c r="C180" s="135" t="s">
        <v>564</v>
      </c>
      <c r="D180" s="136" t="s">
        <v>520</v>
      </c>
      <c r="E180" s="137">
        <v>0</v>
      </c>
      <c r="F180" s="137"/>
      <c r="G180" s="36">
        <v>177.29920000000001</v>
      </c>
      <c r="H180" s="165">
        <f>_xlfn.XLOOKUP(B180, Rate_Master!$A:$A, Rate_Master!$C:$C, "")</f>
        <v>626750</v>
      </c>
      <c r="I180" s="165">
        <f>_xlfn.XLOOKUP(B180, Rate_Master!$A:$A, Rate_Master!$D:$D, "")</f>
        <v>221949.99999999997</v>
      </c>
      <c r="J180" s="58">
        <f>H180+I180</f>
        <v>848700</v>
      </c>
      <c r="K180" s="58">
        <f>J180*E180</f>
        <v>0</v>
      </c>
      <c r="L180" s="122">
        <f>+G180*J180</f>
        <v>150473831.04000002</v>
      </c>
      <c r="M180" s="58"/>
      <c r="N180" s="90"/>
      <c r="P180" s="180"/>
      <c r="Q180" s="104"/>
      <c r="R180" s="104"/>
    </row>
  </sheetData>
  <mergeCells count="5">
    <mergeCell ref="C4:M4"/>
    <mergeCell ref="C3:M3"/>
    <mergeCell ref="C6:M6"/>
    <mergeCell ref="C7:M7"/>
    <mergeCell ref="C5:M5"/>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Q170"/>
  <sheetViews>
    <sheetView topLeftCell="A8" zoomScale="85" zoomScaleNormal="85" workbookViewId="0">
      <pane ySplit="1" topLeftCell="A139" activePane="bottomLeft" state="frozen"/>
      <selection activeCell="C54" sqref="C54"/>
      <selection pane="bottomLeft" activeCell="H12" sqref="H12"/>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6" width="9" style="85" bestFit="1" customWidth="1"/>
    <col min="7" max="7" width="9" style="85" customWidth="1"/>
    <col min="8" max="9" width="14" style="8" customWidth="1" outlineLevel="1"/>
    <col min="10" max="10" width="14" style="9" customWidth="1"/>
    <col min="11" max="11" width="17.5" style="9" bestFit="1" customWidth="1"/>
    <col min="12" max="12" width="19.625" style="9" customWidth="1"/>
    <col min="13" max="13" width="14" style="9" customWidth="1"/>
    <col min="14" max="14" width="13.375" style="6" bestFit="1" customWidth="1"/>
    <col min="15" max="15" width="10.75" style="6" bestFit="1" customWidth="1"/>
    <col min="16" max="232" width="9.125" style="6" customWidth="1"/>
    <col min="233" max="233" width="6.375" style="6" customWidth="1"/>
    <col min="234" max="234" width="34.25" style="6" customWidth="1"/>
    <col min="235" max="235" width="7.375" style="6" customWidth="1"/>
    <col min="236" max="236" width="6.375" style="6" customWidth="1"/>
    <col min="237" max="237" width="13.125" style="6" customWidth="1"/>
    <col min="238" max="238" width="15.375" style="6" customWidth="1"/>
    <col min="239" max="239" width="21.25" style="6" customWidth="1"/>
    <col min="240" max="488" width="9.125" style="6" customWidth="1"/>
    <col min="489" max="489" width="6.375" style="6" customWidth="1"/>
    <col min="490" max="490" width="34.25" style="6" customWidth="1"/>
    <col min="491" max="491" width="7.375" style="6" customWidth="1"/>
    <col min="492" max="492" width="6.375" style="6" customWidth="1"/>
    <col min="493" max="493" width="13.125" style="6" customWidth="1"/>
    <col min="494" max="494" width="15.375" style="6" customWidth="1"/>
    <col min="495" max="495" width="21.25" style="6" customWidth="1"/>
    <col min="496" max="744" width="9.125" style="6" customWidth="1"/>
    <col min="745" max="745" width="6.375" style="6" customWidth="1"/>
    <col min="746" max="746" width="34.25" style="6" customWidth="1"/>
    <col min="747" max="747" width="7.375" style="6" customWidth="1"/>
    <col min="748" max="748" width="6.375" style="6" customWidth="1"/>
    <col min="749" max="749" width="13.125" style="6" customWidth="1"/>
    <col min="750" max="750" width="15.375" style="6" customWidth="1"/>
    <col min="751" max="751" width="21.25" style="6" customWidth="1"/>
    <col min="752" max="1000" width="9.125" style="6" customWidth="1"/>
    <col min="1001" max="1001" width="6.375" style="6" customWidth="1"/>
    <col min="1002" max="1002" width="34.25" style="6" customWidth="1"/>
    <col min="1003" max="1003" width="7.375" style="6" customWidth="1"/>
    <col min="1004" max="1004" width="6.375" style="6" customWidth="1"/>
    <col min="1005" max="1005" width="13.125" style="6" customWidth="1"/>
    <col min="1006" max="1006" width="15.375" style="6" customWidth="1"/>
    <col min="1007" max="1007" width="21.25" style="6" customWidth="1"/>
    <col min="1008" max="1256" width="9.125" style="6" customWidth="1"/>
    <col min="1257" max="1257" width="6.375" style="6" customWidth="1"/>
    <col min="1258" max="1258" width="34.25" style="6" customWidth="1"/>
    <col min="1259" max="1259" width="7.375" style="6" customWidth="1"/>
    <col min="1260" max="1260" width="6.375" style="6" customWidth="1"/>
    <col min="1261" max="1261" width="13.125" style="6" customWidth="1"/>
    <col min="1262" max="1262" width="15.375" style="6" customWidth="1"/>
    <col min="1263" max="1263" width="21.25" style="6" customWidth="1"/>
    <col min="1264" max="1512" width="9.125" style="6" customWidth="1"/>
    <col min="1513" max="1513" width="6.375" style="6" customWidth="1"/>
    <col min="1514" max="1514" width="34.25" style="6" customWidth="1"/>
    <col min="1515" max="1515" width="7.375" style="6" customWidth="1"/>
    <col min="1516" max="1516" width="6.375" style="6" customWidth="1"/>
    <col min="1517" max="1517" width="13.125" style="6" customWidth="1"/>
    <col min="1518" max="1518" width="15.375" style="6" customWidth="1"/>
    <col min="1519" max="1519" width="21.25" style="6" customWidth="1"/>
    <col min="1520" max="1768" width="9.125" style="6" customWidth="1"/>
    <col min="1769" max="1769" width="6.375" style="6" customWidth="1"/>
    <col min="1770" max="1770" width="34.25" style="6" customWidth="1"/>
    <col min="1771" max="1771" width="7.375" style="6" customWidth="1"/>
    <col min="1772" max="1772" width="6.375" style="6" customWidth="1"/>
    <col min="1773" max="1773" width="13.125" style="6" customWidth="1"/>
    <col min="1774" max="1774" width="15.375" style="6" customWidth="1"/>
    <col min="1775" max="1775" width="21.25" style="6" customWidth="1"/>
    <col min="1776" max="2024" width="9.125" style="6" customWidth="1"/>
    <col min="2025" max="2025" width="6.375" style="6" customWidth="1"/>
    <col min="2026" max="2026" width="34.25" style="6" customWidth="1"/>
    <col min="2027" max="2027" width="7.375" style="6" customWidth="1"/>
    <col min="2028" max="2028" width="6.375" style="6" customWidth="1"/>
    <col min="2029" max="2029" width="13.125" style="6" customWidth="1"/>
    <col min="2030" max="2030" width="15.375" style="6" customWidth="1"/>
    <col min="2031" max="2031" width="21.25" style="6" customWidth="1"/>
    <col min="2032" max="2280" width="9.125" style="6" customWidth="1"/>
    <col min="2281" max="2281" width="6.375" style="6" customWidth="1"/>
    <col min="2282" max="2282" width="34.25" style="6" customWidth="1"/>
    <col min="2283" max="2283" width="7.375" style="6" customWidth="1"/>
    <col min="2284" max="2284" width="6.375" style="6" customWidth="1"/>
    <col min="2285" max="2285" width="13.125" style="6" customWidth="1"/>
    <col min="2286" max="2286" width="15.375" style="6" customWidth="1"/>
    <col min="2287" max="2287" width="21.25" style="6" customWidth="1"/>
    <col min="2288" max="2536" width="9.125" style="6" customWidth="1"/>
    <col min="2537" max="2537" width="6.375" style="6" customWidth="1"/>
    <col min="2538" max="2538" width="34.25" style="6" customWidth="1"/>
    <col min="2539" max="2539" width="7.375" style="6" customWidth="1"/>
    <col min="2540" max="2540" width="6.375" style="6" customWidth="1"/>
    <col min="2541" max="2541" width="13.125" style="6" customWidth="1"/>
    <col min="2542" max="2542" width="15.375" style="6" customWidth="1"/>
    <col min="2543" max="2543" width="21.25" style="6" customWidth="1"/>
    <col min="2544" max="2792" width="9.125" style="6" customWidth="1"/>
    <col min="2793" max="2793" width="6.375" style="6" customWidth="1"/>
    <col min="2794" max="2794" width="34.25" style="6" customWidth="1"/>
    <col min="2795" max="2795" width="7.375" style="6" customWidth="1"/>
    <col min="2796" max="2796" width="6.375" style="6" customWidth="1"/>
    <col min="2797" max="2797" width="13.125" style="6" customWidth="1"/>
    <col min="2798" max="2798" width="15.375" style="6" customWidth="1"/>
    <col min="2799" max="2799" width="21.25" style="6" customWidth="1"/>
    <col min="2800" max="3048" width="9.125" style="6" customWidth="1"/>
    <col min="3049" max="3049" width="6.375" style="6" customWidth="1"/>
    <col min="3050" max="3050" width="34.25" style="6" customWidth="1"/>
    <col min="3051" max="3051" width="7.375" style="6" customWidth="1"/>
    <col min="3052" max="3052" width="6.375" style="6" customWidth="1"/>
    <col min="3053" max="3053" width="13.125" style="6" customWidth="1"/>
    <col min="3054" max="3054" width="15.375" style="6" customWidth="1"/>
    <col min="3055" max="3055" width="21.25" style="6" customWidth="1"/>
    <col min="3056" max="3304" width="9.125" style="6" customWidth="1"/>
    <col min="3305" max="3305" width="6.375" style="6" customWidth="1"/>
    <col min="3306" max="3306" width="34.25" style="6" customWidth="1"/>
    <col min="3307" max="3307" width="7.375" style="6" customWidth="1"/>
    <col min="3308" max="3308" width="6.375" style="6" customWidth="1"/>
    <col min="3309" max="3309" width="13.125" style="6" customWidth="1"/>
    <col min="3310" max="3310" width="15.375" style="6" customWidth="1"/>
    <col min="3311" max="3311" width="21.25" style="6" customWidth="1"/>
    <col min="3312" max="3560" width="9.125" style="6" customWidth="1"/>
    <col min="3561" max="3561" width="6.375" style="6" customWidth="1"/>
    <col min="3562" max="3562" width="34.25" style="6" customWidth="1"/>
    <col min="3563" max="3563" width="7.375" style="6" customWidth="1"/>
    <col min="3564" max="3564" width="6.375" style="6" customWidth="1"/>
    <col min="3565" max="3565" width="13.125" style="6" customWidth="1"/>
    <col min="3566" max="3566" width="15.375" style="6" customWidth="1"/>
    <col min="3567" max="3567" width="21.25" style="6" customWidth="1"/>
    <col min="3568" max="3816" width="9.125" style="6" customWidth="1"/>
    <col min="3817" max="3817" width="6.375" style="6" customWidth="1"/>
    <col min="3818" max="3818" width="34.25" style="6" customWidth="1"/>
    <col min="3819" max="3819" width="7.375" style="6" customWidth="1"/>
    <col min="3820" max="3820" width="6.375" style="6" customWidth="1"/>
    <col min="3821" max="3821" width="13.125" style="6" customWidth="1"/>
    <col min="3822" max="3822" width="15.375" style="6" customWidth="1"/>
    <col min="3823" max="3823" width="21.25" style="6" customWidth="1"/>
    <col min="3824" max="4072" width="9.125" style="6" customWidth="1"/>
    <col min="4073" max="4073" width="6.375" style="6" customWidth="1"/>
    <col min="4074" max="4074" width="34.25" style="6" customWidth="1"/>
    <col min="4075" max="4075" width="7.375" style="6" customWidth="1"/>
    <col min="4076" max="4076" width="6.375" style="6" customWidth="1"/>
    <col min="4077" max="4077" width="13.125" style="6" customWidth="1"/>
    <col min="4078" max="4078" width="15.375" style="6" customWidth="1"/>
    <col min="4079" max="4079" width="21.25" style="6" customWidth="1"/>
    <col min="4080" max="4328" width="9.125" style="6" customWidth="1"/>
    <col min="4329" max="4329" width="6.375" style="6" customWidth="1"/>
    <col min="4330" max="4330" width="34.25" style="6" customWidth="1"/>
    <col min="4331" max="4331" width="7.375" style="6" customWidth="1"/>
    <col min="4332" max="4332" width="6.375" style="6" customWidth="1"/>
    <col min="4333" max="4333" width="13.125" style="6" customWidth="1"/>
    <col min="4334" max="4334" width="15.375" style="6" customWidth="1"/>
    <col min="4335" max="4335" width="21.25" style="6" customWidth="1"/>
    <col min="4336" max="4584" width="9.125" style="6" customWidth="1"/>
    <col min="4585" max="4585" width="6.375" style="6" customWidth="1"/>
    <col min="4586" max="4586" width="34.25" style="6" customWidth="1"/>
    <col min="4587" max="4587" width="7.375" style="6" customWidth="1"/>
    <col min="4588" max="4588" width="6.375" style="6" customWidth="1"/>
    <col min="4589" max="4589" width="13.125" style="6" customWidth="1"/>
    <col min="4590" max="4590" width="15.375" style="6" customWidth="1"/>
    <col min="4591" max="4591" width="21.25" style="6" customWidth="1"/>
    <col min="4592" max="4840" width="9.125" style="6" customWidth="1"/>
    <col min="4841" max="4841" width="6.375" style="6" customWidth="1"/>
    <col min="4842" max="4842" width="34.25" style="6" customWidth="1"/>
    <col min="4843" max="4843" width="7.375" style="6" customWidth="1"/>
    <col min="4844" max="4844" width="6.375" style="6" customWidth="1"/>
    <col min="4845" max="4845" width="13.125" style="6" customWidth="1"/>
    <col min="4846" max="4846" width="15.375" style="6" customWidth="1"/>
    <col min="4847" max="4847" width="21.25" style="6" customWidth="1"/>
    <col min="4848" max="5096" width="9.125" style="6" customWidth="1"/>
    <col min="5097" max="5097" width="6.375" style="6" customWidth="1"/>
    <col min="5098" max="5098" width="34.25" style="6" customWidth="1"/>
    <col min="5099" max="5099" width="7.375" style="6" customWidth="1"/>
    <col min="5100" max="5100" width="6.375" style="6" customWidth="1"/>
    <col min="5101" max="5101" width="13.125" style="6" customWidth="1"/>
    <col min="5102" max="5102" width="15.375" style="6" customWidth="1"/>
    <col min="5103" max="5103" width="21.25" style="6" customWidth="1"/>
    <col min="5104" max="5352" width="9.125" style="6" customWidth="1"/>
    <col min="5353" max="5353" width="6.375" style="6" customWidth="1"/>
    <col min="5354" max="5354" width="34.25" style="6" customWidth="1"/>
    <col min="5355" max="5355" width="7.375" style="6" customWidth="1"/>
    <col min="5356" max="5356" width="6.375" style="6" customWidth="1"/>
    <col min="5357" max="5357" width="13.125" style="6" customWidth="1"/>
    <col min="5358" max="5358" width="15.375" style="6" customWidth="1"/>
    <col min="5359" max="5359" width="21.25" style="6" customWidth="1"/>
    <col min="5360" max="5608" width="9.125" style="6" customWidth="1"/>
    <col min="5609" max="5609" width="6.375" style="6" customWidth="1"/>
    <col min="5610" max="5610" width="34.25" style="6" customWidth="1"/>
    <col min="5611" max="5611" width="7.375" style="6" customWidth="1"/>
    <col min="5612" max="5612" width="6.375" style="6" customWidth="1"/>
    <col min="5613" max="5613" width="13.125" style="6" customWidth="1"/>
    <col min="5614" max="5614" width="15.375" style="6" customWidth="1"/>
    <col min="5615" max="5615" width="21.25" style="6" customWidth="1"/>
    <col min="5616" max="5864" width="9.125" style="6" customWidth="1"/>
    <col min="5865" max="5865" width="6.375" style="6" customWidth="1"/>
    <col min="5866" max="5866" width="34.25" style="6" customWidth="1"/>
    <col min="5867" max="5867" width="7.375" style="6" customWidth="1"/>
    <col min="5868" max="5868" width="6.375" style="6" customWidth="1"/>
    <col min="5869" max="5869" width="13.125" style="6" customWidth="1"/>
    <col min="5870" max="5870" width="15.375" style="6" customWidth="1"/>
    <col min="5871" max="5871" width="21.25" style="6" customWidth="1"/>
    <col min="5872" max="6120" width="9.125" style="6" customWidth="1"/>
    <col min="6121" max="6121" width="6.375" style="6" customWidth="1"/>
    <col min="6122" max="6122" width="34.25" style="6" customWidth="1"/>
    <col min="6123" max="6123" width="7.375" style="6" customWidth="1"/>
    <col min="6124" max="6124" width="6.375" style="6" customWidth="1"/>
    <col min="6125" max="6125" width="13.125" style="6" customWidth="1"/>
    <col min="6126" max="6126" width="15.375" style="6" customWidth="1"/>
    <col min="6127" max="6127" width="21.25" style="6" customWidth="1"/>
    <col min="6128" max="6376" width="9.125" style="6" customWidth="1"/>
    <col min="6377" max="6377" width="6.375" style="6" customWidth="1"/>
    <col min="6378" max="6378" width="34.25" style="6" customWidth="1"/>
    <col min="6379" max="6379" width="7.375" style="6" customWidth="1"/>
    <col min="6380" max="6380" width="6.375" style="6" customWidth="1"/>
    <col min="6381" max="6381" width="13.125" style="6" customWidth="1"/>
    <col min="6382" max="6382" width="15.375" style="6" customWidth="1"/>
    <col min="6383" max="6383" width="21.25" style="6" customWidth="1"/>
    <col min="6384" max="6632" width="9.125" style="6" customWidth="1"/>
    <col min="6633" max="6633" width="6.375" style="6" customWidth="1"/>
    <col min="6634" max="6634" width="34.25" style="6" customWidth="1"/>
    <col min="6635" max="6635" width="7.375" style="6" customWidth="1"/>
    <col min="6636" max="6636" width="6.375" style="6" customWidth="1"/>
    <col min="6637" max="6637" width="13.125" style="6" customWidth="1"/>
    <col min="6638" max="6638" width="15.375" style="6" customWidth="1"/>
    <col min="6639" max="6639" width="21.25" style="6" customWidth="1"/>
    <col min="6640" max="6888" width="9.125" style="6" customWidth="1"/>
    <col min="6889" max="6889" width="6.375" style="6" customWidth="1"/>
    <col min="6890" max="6890" width="34.25" style="6" customWidth="1"/>
    <col min="6891" max="6891" width="7.375" style="6" customWidth="1"/>
    <col min="6892" max="6892" width="6.375" style="6" customWidth="1"/>
    <col min="6893" max="6893" width="13.125" style="6" customWidth="1"/>
    <col min="6894" max="6894" width="15.375" style="6" customWidth="1"/>
    <col min="6895" max="6895" width="21.25" style="6" customWidth="1"/>
    <col min="6896" max="7144" width="9.125" style="6" customWidth="1"/>
    <col min="7145" max="7145" width="6.375" style="6" customWidth="1"/>
    <col min="7146" max="7146" width="34.25" style="6" customWidth="1"/>
    <col min="7147" max="7147" width="7.375" style="6" customWidth="1"/>
    <col min="7148" max="7148" width="6.375" style="6" customWidth="1"/>
    <col min="7149" max="7149" width="13.125" style="6" customWidth="1"/>
    <col min="7150" max="7150" width="15.375" style="6" customWidth="1"/>
    <col min="7151" max="7151" width="21.25" style="6" customWidth="1"/>
    <col min="7152" max="7400" width="9.125" style="6" customWidth="1"/>
    <col min="7401" max="7401" width="6.375" style="6" customWidth="1"/>
    <col min="7402" max="7402" width="34.25" style="6" customWidth="1"/>
    <col min="7403" max="7403" width="7.375" style="6" customWidth="1"/>
    <col min="7404" max="7404" width="6.375" style="6" customWidth="1"/>
    <col min="7405" max="7405" width="13.125" style="6" customWidth="1"/>
    <col min="7406" max="7406" width="15.375" style="6" customWidth="1"/>
    <col min="7407" max="7407" width="21.25" style="6" customWidth="1"/>
    <col min="7408" max="7656" width="9.125" style="6" customWidth="1"/>
    <col min="7657" max="7657" width="6.375" style="6" customWidth="1"/>
    <col min="7658" max="7658" width="34.25" style="6" customWidth="1"/>
    <col min="7659" max="7659" width="7.375" style="6" customWidth="1"/>
    <col min="7660" max="7660" width="6.375" style="6" customWidth="1"/>
    <col min="7661" max="7661" width="13.125" style="6" customWidth="1"/>
    <col min="7662" max="7662" width="15.375" style="6" customWidth="1"/>
    <col min="7663" max="7663" width="21.25" style="6" customWidth="1"/>
    <col min="7664" max="7912" width="9.125" style="6" customWidth="1"/>
    <col min="7913" max="7913" width="6.375" style="6" customWidth="1"/>
    <col min="7914" max="7914" width="34.25" style="6" customWidth="1"/>
    <col min="7915" max="7915" width="7.375" style="6" customWidth="1"/>
    <col min="7916" max="7916" width="6.375" style="6" customWidth="1"/>
    <col min="7917" max="7917" width="13.125" style="6" customWidth="1"/>
    <col min="7918" max="7918" width="15.375" style="6" customWidth="1"/>
    <col min="7919" max="7919" width="21.25" style="6" customWidth="1"/>
    <col min="7920" max="8168" width="9.125" style="6" customWidth="1"/>
    <col min="8169" max="8169" width="6.375" style="6" customWidth="1"/>
    <col min="8170" max="8170" width="34.25" style="6" customWidth="1"/>
    <col min="8171" max="8171" width="7.375" style="6" customWidth="1"/>
    <col min="8172" max="8172" width="6.375" style="6" customWidth="1"/>
    <col min="8173" max="8173" width="13.125" style="6" customWidth="1"/>
    <col min="8174" max="8174" width="15.375" style="6" customWidth="1"/>
    <col min="8175" max="8175" width="21.25" style="6" customWidth="1"/>
    <col min="8176" max="8424" width="9.125" style="6" customWidth="1"/>
    <col min="8425" max="8425" width="6.375" style="6" customWidth="1"/>
    <col min="8426" max="8426" width="34.25" style="6" customWidth="1"/>
    <col min="8427" max="8427" width="7.375" style="6" customWidth="1"/>
    <col min="8428" max="8428" width="6.375" style="6" customWidth="1"/>
    <col min="8429" max="8429" width="13.125" style="6" customWidth="1"/>
    <col min="8430" max="8430" width="15.375" style="6" customWidth="1"/>
    <col min="8431" max="8431" width="21.25" style="6" customWidth="1"/>
    <col min="8432" max="8680" width="9.125" style="6" customWidth="1"/>
    <col min="8681" max="8681" width="6.375" style="6" customWidth="1"/>
    <col min="8682" max="8682" width="34.25" style="6" customWidth="1"/>
    <col min="8683" max="8683" width="7.375" style="6" customWidth="1"/>
    <col min="8684" max="8684" width="6.375" style="6" customWidth="1"/>
    <col min="8685" max="8685" width="13.125" style="6" customWidth="1"/>
    <col min="8686" max="8686" width="15.375" style="6" customWidth="1"/>
    <col min="8687" max="8687" width="21.25" style="6" customWidth="1"/>
    <col min="8688" max="8936" width="9.125" style="6" customWidth="1"/>
    <col min="8937" max="8937" width="6.375" style="6" customWidth="1"/>
    <col min="8938" max="8938" width="34.25" style="6" customWidth="1"/>
    <col min="8939" max="8939" width="7.375" style="6" customWidth="1"/>
    <col min="8940" max="8940" width="6.375" style="6" customWidth="1"/>
    <col min="8941" max="8941" width="13.125" style="6" customWidth="1"/>
    <col min="8942" max="8942" width="15.375" style="6" customWidth="1"/>
    <col min="8943" max="8943" width="21.25" style="6" customWidth="1"/>
    <col min="8944" max="9192" width="9.125" style="6" customWidth="1"/>
    <col min="9193" max="9193" width="6.375" style="6" customWidth="1"/>
    <col min="9194" max="9194" width="34.25" style="6" customWidth="1"/>
    <col min="9195" max="9195" width="7.375" style="6" customWidth="1"/>
    <col min="9196" max="9196" width="6.375" style="6" customWidth="1"/>
    <col min="9197" max="9197" width="13.125" style="6" customWidth="1"/>
    <col min="9198" max="9198" width="15.375" style="6" customWidth="1"/>
    <col min="9199" max="9199" width="21.25" style="6" customWidth="1"/>
    <col min="9200" max="9448" width="9.125" style="6" customWidth="1"/>
    <col min="9449" max="9449" width="6.375" style="6" customWidth="1"/>
    <col min="9450" max="9450" width="34.25" style="6" customWidth="1"/>
    <col min="9451" max="9451" width="7.375" style="6" customWidth="1"/>
    <col min="9452" max="9452" width="6.375" style="6" customWidth="1"/>
    <col min="9453" max="9453" width="13.125" style="6" customWidth="1"/>
    <col min="9454" max="9454" width="15.375" style="6" customWidth="1"/>
    <col min="9455" max="9455" width="21.25" style="6" customWidth="1"/>
    <col min="9456" max="9704" width="9.125" style="6" customWidth="1"/>
    <col min="9705" max="9705" width="6.375" style="6" customWidth="1"/>
    <col min="9706" max="9706" width="34.25" style="6" customWidth="1"/>
    <col min="9707" max="9707" width="7.375" style="6" customWidth="1"/>
    <col min="9708" max="9708" width="6.375" style="6" customWidth="1"/>
    <col min="9709" max="9709" width="13.125" style="6" customWidth="1"/>
    <col min="9710" max="9710" width="15.375" style="6" customWidth="1"/>
    <col min="9711" max="9711" width="21.25" style="6" customWidth="1"/>
    <col min="9712" max="9960" width="9.125" style="6" customWidth="1"/>
    <col min="9961" max="9961" width="6.375" style="6" customWidth="1"/>
    <col min="9962" max="9962" width="34.25" style="6" customWidth="1"/>
    <col min="9963" max="9963" width="7.375" style="6" customWidth="1"/>
    <col min="9964" max="9964" width="6.375" style="6" customWidth="1"/>
    <col min="9965" max="9965" width="13.125" style="6" customWidth="1"/>
    <col min="9966" max="9966" width="15.375" style="6" customWidth="1"/>
    <col min="9967" max="9967" width="21.25" style="6" customWidth="1"/>
    <col min="9968" max="10216" width="9.125" style="6" customWidth="1"/>
    <col min="10217" max="10217" width="6.375" style="6" customWidth="1"/>
    <col min="10218" max="10218" width="34.25" style="6" customWidth="1"/>
    <col min="10219" max="10219" width="7.375" style="6" customWidth="1"/>
    <col min="10220" max="10220" width="6.375" style="6" customWidth="1"/>
    <col min="10221" max="10221" width="13.125" style="6" customWidth="1"/>
    <col min="10222" max="10222" width="15.375" style="6" customWidth="1"/>
    <col min="10223" max="10223" width="21.25" style="6" customWidth="1"/>
    <col min="10224" max="10472" width="9.125" style="6" customWidth="1"/>
    <col min="10473" max="10473" width="6.375" style="6" customWidth="1"/>
    <col min="10474" max="10474" width="34.25" style="6" customWidth="1"/>
    <col min="10475" max="10475" width="7.375" style="6" customWidth="1"/>
    <col min="10476" max="10476" width="6.375" style="6" customWidth="1"/>
    <col min="10477" max="10477" width="13.125" style="6" customWidth="1"/>
    <col min="10478" max="10478" width="15.375" style="6" customWidth="1"/>
    <col min="10479" max="10479" width="21.25" style="6" customWidth="1"/>
    <col min="10480" max="10728" width="9.125" style="6" customWidth="1"/>
    <col min="10729" max="10729" width="6.375" style="6" customWidth="1"/>
    <col min="10730" max="10730" width="34.25" style="6" customWidth="1"/>
    <col min="10731" max="10731" width="7.375" style="6" customWidth="1"/>
    <col min="10732" max="10732" width="6.375" style="6" customWidth="1"/>
    <col min="10733" max="10733" width="13.125" style="6" customWidth="1"/>
    <col min="10734" max="10734" width="15.375" style="6" customWidth="1"/>
    <col min="10735" max="10735" width="21.25" style="6" customWidth="1"/>
    <col min="10736" max="10984" width="9.125" style="6" customWidth="1"/>
    <col min="10985" max="10985" width="6.375" style="6" customWidth="1"/>
    <col min="10986" max="10986" width="34.25" style="6" customWidth="1"/>
    <col min="10987" max="10987" width="7.375" style="6" customWidth="1"/>
    <col min="10988" max="10988" width="6.375" style="6" customWidth="1"/>
    <col min="10989" max="10989" width="13.125" style="6" customWidth="1"/>
    <col min="10990" max="10990" width="15.375" style="6" customWidth="1"/>
    <col min="10991" max="10991" width="21.25" style="6" customWidth="1"/>
    <col min="10992" max="11240" width="9.125" style="6" customWidth="1"/>
    <col min="11241" max="11241" width="6.375" style="6" customWidth="1"/>
    <col min="11242" max="11242" width="34.25" style="6" customWidth="1"/>
    <col min="11243" max="11243" width="7.375" style="6" customWidth="1"/>
    <col min="11244" max="11244" width="6.375" style="6" customWidth="1"/>
    <col min="11245" max="11245" width="13.125" style="6" customWidth="1"/>
    <col min="11246" max="11246" width="15.375" style="6" customWidth="1"/>
    <col min="11247" max="11247" width="21.25" style="6" customWidth="1"/>
    <col min="11248" max="11496" width="9.125" style="6" customWidth="1"/>
    <col min="11497" max="11497" width="6.375" style="6" customWidth="1"/>
    <col min="11498" max="11498" width="34.25" style="6" customWidth="1"/>
    <col min="11499" max="11499" width="7.375" style="6" customWidth="1"/>
    <col min="11500" max="11500" width="6.375" style="6" customWidth="1"/>
    <col min="11501" max="11501" width="13.125" style="6" customWidth="1"/>
    <col min="11502" max="11502" width="15.375" style="6" customWidth="1"/>
    <col min="11503" max="11503" width="21.25" style="6" customWidth="1"/>
    <col min="11504" max="11752" width="9.125" style="6" customWidth="1"/>
    <col min="11753" max="11753" width="6.375" style="6" customWidth="1"/>
    <col min="11754" max="11754" width="34.25" style="6" customWidth="1"/>
    <col min="11755" max="11755" width="7.375" style="6" customWidth="1"/>
    <col min="11756" max="11756" width="6.375" style="6" customWidth="1"/>
    <col min="11757" max="11757" width="13.125" style="6" customWidth="1"/>
    <col min="11758" max="11758" width="15.375" style="6" customWidth="1"/>
    <col min="11759" max="11759" width="21.25" style="6" customWidth="1"/>
    <col min="11760" max="12008" width="9.125" style="6" customWidth="1"/>
    <col min="12009" max="12009" width="6.375" style="6" customWidth="1"/>
    <col min="12010" max="12010" width="34.25" style="6" customWidth="1"/>
    <col min="12011" max="12011" width="7.375" style="6" customWidth="1"/>
    <col min="12012" max="12012" width="6.375" style="6" customWidth="1"/>
    <col min="12013" max="12013" width="13.125" style="6" customWidth="1"/>
    <col min="12014" max="12014" width="15.375" style="6" customWidth="1"/>
    <col min="12015" max="12015" width="21.25" style="6" customWidth="1"/>
    <col min="12016" max="12264" width="9.125" style="6" customWidth="1"/>
    <col min="12265" max="12265" width="6.375" style="6" customWidth="1"/>
    <col min="12266" max="12266" width="34.25" style="6" customWidth="1"/>
    <col min="12267" max="12267" width="7.375" style="6" customWidth="1"/>
    <col min="12268" max="12268" width="6.375" style="6" customWidth="1"/>
    <col min="12269" max="12269" width="13.125" style="6" customWidth="1"/>
    <col min="12270" max="12270" width="15.375" style="6" customWidth="1"/>
    <col min="12271" max="12271" width="21.25" style="6" customWidth="1"/>
    <col min="12272" max="12520" width="9.125" style="6" customWidth="1"/>
    <col min="12521" max="12521" width="6.375" style="6" customWidth="1"/>
    <col min="12522" max="12522" width="34.25" style="6" customWidth="1"/>
    <col min="12523" max="12523" width="7.375" style="6" customWidth="1"/>
    <col min="12524" max="12524" width="6.375" style="6" customWidth="1"/>
    <col min="12525" max="12525" width="13.125" style="6" customWidth="1"/>
    <col min="12526" max="12526" width="15.375" style="6" customWidth="1"/>
    <col min="12527" max="12527" width="21.25" style="6" customWidth="1"/>
    <col min="12528" max="12776" width="9.125" style="6" customWidth="1"/>
    <col min="12777" max="12777" width="6.375" style="6" customWidth="1"/>
    <col min="12778" max="12778" width="34.25" style="6" customWidth="1"/>
    <col min="12779" max="12779" width="7.375" style="6" customWidth="1"/>
    <col min="12780" max="12780" width="6.375" style="6" customWidth="1"/>
    <col min="12781" max="12781" width="13.125" style="6" customWidth="1"/>
    <col min="12782" max="12782" width="15.375" style="6" customWidth="1"/>
    <col min="12783" max="12783" width="21.25" style="6" customWidth="1"/>
    <col min="12784" max="13032" width="9.125" style="6" customWidth="1"/>
    <col min="13033" max="13033" width="6.375" style="6" customWidth="1"/>
    <col min="13034" max="13034" width="34.25" style="6" customWidth="1"/>
    <col min="13035" max="13035" width="7.375" style="6" customWidth="1"/>
    <col min="13036" max="13036" width="6.375" style="6" customWidth="1"/>
    <col min="13037" max="13037" width="13.125" style="6" customWidth="1"/>
    <col min="13038" max="13038" width="15.375" style="6" customWidth="1"/>
    <col min="13039" max="13039" width="21.25" style="6" customWidth="1"/>
    <col min="13040" max="13288" width="9.125" style="6" customWidth="1"/>
    <col min="13289" max="13289" width="6.375" style="6" customWidth="1"/>
    <col min="13290" max="13290" width="34.25" style="6" customWidth="1"/>
    <col min="13291" max="13291" width="7.375" style="6" customWidth="1"/>
    <col min="13292" max="13292" width="6.375" style="6" customWidth="1"/>
    <col min="13293" max="13293" width="13.125" style="6" customWidth="1"/>
    <col min="13294" max="13294" width="15.375" style="6" customWidth="1"/>
    <col min="13295" max="13295" width="21.25" style="6" customWidth="1"/>
    <col min="13296" max="13544" width="9.125" style="6" customWidth="1"/>
    <col min="13545" max="13545" width="6.375" style="6" customWidth="1"/>
    <col min="13546" max="13546" width="34.25" style="6" customWidth="1"/>
    <col min="13547" max="13547" width="7.375" style="6" customWidth="1"/>
    <col min="13548" max="13548" width="6.375" style="6" customWidth="1"/>
    <col min="13549" max="13549" width="13.125" style="6" customWidth="1"/>
    <col min="13550" max="13550" width="15.375" style="6" customWidth="1"/>
    <col min="13551" max="13551" width="21.25" style="6" customWidth="1"/>
    <col min="13552" max="13800" width="9.125" style="6" customWidth="1"/>
    <col min="13801" max="13801" width="6.375" style="6" customWidth="1"/>
    <col min="13802" max="13802" width="34.25" style="6" customWidth="1"/>
    <col min="13803" max="13803" width="7.375" style="6" customWidth="1"/>
    <col min="13804" max="13804" width="6.375" style="6" customWidth="1"/>
    <col min="13805" max="13805" width="13.125" style="6" customWidth="1"/>
    <col min="13806" max="13806" width="15.375" style="6" customWidth="1"/>
    <col min="13807" max="13807" width="21.25" style="6" customWidth="1"/>
    <col min="13808" max="14056" width="9.125" style="6" customWidth="1"/>
    <col min="14057" max="14057" width="6.375" style="6" customWidth="1"/>
    <col min="14058" max="14058" width="34.25" style="6" customWidth="1"/>
    <col min="14059" max="14059" width="7.375" style="6" customWidth="1"/>
    <col min="14060" max="14060" width="6.375" style="6" customWidth="1"/>
    <col min="14061" max="14061" width="13.125" style="6" customWidth="1"/>
    <col min="14062" max="14062" width="15.375" style="6" customWidth="1"/>
    <col min="14063" max="14063" width="21.25" style="6" customWidth="1"/>
    <col min="14064" max="14312" width="9.125" style="6" customWidth="1"/>
    <col min="14313" max="14313" width="6.375" style="6" customWidth="1"/>
    <col min="14314" max="14314" width="34.25" style="6" customWidth="1"/>
    <col min="14315" max="14315" width="7.375" style="6" customWidth="1"/>
    <col min="14316" max="14316" width="6.375" style="6" customWidth="1"/>
    <col min="14317" max="14317" width="13.125" style="6" customWidth="1"/>
    <col min="14318" max="14318" width="15.375" style="6" customWidth="1"/>
    <col min="14319" max="14319" width="21.25" style="6" customWidth="1"/>
    <col min="14320" max="14568" width="9.125" style="6" customWidth="1"/>
    <col min="14569" max="14569" width="6.375" style="6" customWidth="1"/>
    <col min="14570" max="14570" width="34.25" style="6" customWidth="1"/>
    <col min="14571" max="14571" width="7.375" style="6" customWidth="1"/>
    <col min="14572" max="14572" width="6.375" style="6" customWidth="1"/>
    <col min="14573" max="14573" width="13.125" style="6" customWidth="1"/>
    <col min="14574" max="14574" width="15.375" style="6" customWidth="1"/>
    <col min="14575" max="14575" width="21.25" style="6" customWidth="1"/>
    <col min="14576" max="14824" width="9.125" style="6" customWidth="1"/>
    <col min="14825" max="14825" width="6.375" style="6" customWidth="1"/>
    <col min="14826" max="14826" width="34.25" style="6" customWidth="1"/>
    <col min="14827" max="14827" width="7.375" style="6" customWidth="1"/>
    <col min="14828" max="14828" width="6.375" style="6" customWidth="1"/>
    <col min="14829" max="14829" width="13.125" style="6" customWidth="1"/>
    <col min="14830" max="14830" width="15.375" style="6" customWidth="1"/>
    <col min="14831" max="14831" width="21.25" style="6" customWidth="1"/>
    <col min="14832" max="15080" width="9.125" style="6" customWidth="1"/>
    <col min="15081" max="15081" width="6.375" style="6" customWidth="1"/>
    <col min="15082" max="15082" width="34.25" style="6" customWidth="1"/>
    <col min="15083" max="15083" width="7.375" style="6" customWidth="1"/>
    <col min="15084" max="15084" width="6.375" style="6" customWidth="1"/>
    <col min="15085" max="15085" width="13.125" style="6" customWidth="1"/>
    <col min="15086" max="15086" width="15.375" style="6" customWidth="1"/>
    <col min="15087" max="15087" width="21.25" style="6" customWidth="1"/>
    <col min="15088" max="15336" width="9.125" style="6" customWidth="1"/>
    <col min="15337" max="15337" width="6.375" style="6" customWidth="1"/>
    <col min="15338" max="15338" width="34.25" style="6" customWidth="1"/>
    <col min="15339" max="15339" width="7.375" style="6" customWidth="1"/>
    <col min="15340" max="15340" width="6.375" style="6" customWidth="1"/>
    <col min="15341" max="15341" width="13.125" style="6" customWidth="1"/>
    <col min="15342" max="15342" width="15.375" style="6" customWidth="1"/>
    <col min="15343" max="15343" width="21.25" style="6" customWidth="1"/>
    <col min="15344" max="15592" width="9.125" style="6" customWidth="1"/>
    <col min="15593" max="15593" width="6.375" style="6" customWidth="1"/>
    <col min="15594" max="15594" width="34.25" style="6" customWidth="1"/>
    <col min="15595" max="15595" width="7.375" style="6" customWidth="1"/>
    <col min="15596" max="15596" width="6.375" style="6" customWidth="1"/>
    <col min="15597" max="15597" width="13.125" style="6" customWidth="1"/>
    <col min="15598" max="15598" width="15.375" style="6" customWidth="1"/>
    <col min="15599" max="15599" width="21.25" style="6" customWidth="1"/>
    <col min="15600" max="15848" width="9.125" style="6" customWidth="1"/>
    <col min="15849" max="15849" width="6.375" style="6" customWidth="1"/>
    <col min="15850" max="15850" width="34.25" style="6" customWidth="1"/>
    <col min="15851" max="15851" width="7.375" style="6" customWidth="1"/>
    <col min="15852" max="15852" width="6.375" style="6" customWidth="1"/>
    <col min="15853" max="15853" width="13.125" style="6" customWidth="1"/>
    <col min="15854" max="15854" width="15.375" style="6" customWidth="1"/>
    <col min="15855" max="15855" width="21.25" style="6" customWidth="1"/>
    <col min="15856" max="16104" width="9.125" style="6" customWidth="1"/>
    <col min="16105" max="16105" width="6.375" style="6" customWidth="1"/>
    <col min="16106" max="16106" width="34.25" style="6" customWidth="1"/>
    <col min="16107" max="16107" width="7.375" style="6" customWidth="1"/>
    <col min="16108" max="16108" width="6.375" style="6" customWidth="1"/>
    <col min="16109" max="16109" width="13.125" style="6" customWidth="1"/>
    <col min="16110" max="16110" width="15.375" style="6" customWidth="1"/>
    <col min="16111" max="16111" width="21.25" style="6" customWidth="1"/>
    <col min="16112" max="16384" width="9.125" style="6" customWidth="1"/>
  </cols>
  <sheetData>
    <row r="1" spans="1:14" ht="48" customHeight="1"/>
    <row r="2" spans="1:14" s="1" customFormat="1" ht="51" customHeight="1">
      <c r="A2" s="10" t="s">
        <v>507</v>
      </c>
      <c r="B2" s="11"/>
      <c r="C2" s="12"/>
      <c r="D2" s="11"/>
      <c r="E2" s="14"/>
      <c r="F2" s="86"/>
      <c r="G2" s="86"/>
      <c r="H2" s="14"/>
      <c r="I2" s="14"/>
      <c r="J2" s="15"/>
      <c r="K2" s="15"/>
      <c r="L2" s="15"/>
      <c r="M2" s="15"/>
    </row>
    <row r="3" spans="1:14" ht="26.25" customHeight="1">
      <c r="A3" s="16"/>
      <c r="B3" s="17" t="s">
        <v>440</v>
      </c>
      <c r="C3" s="213"/>
      <c r="D3" s="217"/>
      <c r="E3" s="214"/>
      <c r="F3" s="218"/>
      <c r="G3" s="218"/>
      <c r="H3" s="214"/>
      <c r="I3" s="214"/>
      <c r="J3" s="220"/>
      <c r="K3" s="220"/>
      <c r="L3" s="220"/>
      <c r="M3" s="220"/>
    </row>
    <row r="4" spans="1:14" ht="26.25" customHeight="1">
      <c r="A4" s="18"/>
      <c r="B4" s="5" t="s">
        <v>441</v>
      </c>
      <c r="C4" s="222"/>
      <c r="D4" s="217"/>
      <c r="E4" s="214"/>
      <c r="F4" s="218"/>
      <c r="G4" s="218"/>
      <c r="H4" s="214"/>
      <c r="I4" s="214"/>
      <c r="J4" s="220"/>
      <c r="K4" s="220"/>
      <c r="L4" s="220"/>
      <c r="M4" s="220"/>
    </row>
    <row r="5" spans="1:14" ht="26.25" customHeight="1">
      <c r="A5" s="18"/>
      <c r="B5" s="5" t="s">
        <v>442</v>
      </c>
      <c r="C5" s="216"/>
      <c r="D5" s="217"/>
      <c r="E5" s="214"/>
      <c r="F5" s="218"/>
      <c r="G5" s="218"/>
      <c r="H5" s="214"/>
      <c r="I5" s="214"/>
      <c r="J5" s="220"/>
      <c r="K5" s="220"/>
      <c r="L5" s="220"/>
      <c r="M5" s="220"/>
    </row>
    <row r="6" spans="1:14" ht="26.25" customHeight="1">
      <c r="A6" s="18"/>
      <c r="B6" s="5" t="s">
        <v>443</v>
      </c>
      <c r="C6" s="213" t="str">
        <f>INDEX(總表!$B$9:$B$47,MATCH('5A'!A9,總表!$A$9:$A$48,0))</f>
        <v>Nhà xưởng sản xuất 4
四號生產廠房</v>
      </c>
      <c r="D6" s="217"/>
      <c r="E6" s="214"/>
      <c r="F6" s="218"/>
      <c r="G6" s="218"/>
      <c r="H6" s="214"/>
      <c r="I6" s="214"/>
      <c r="J6" s="220"/>
      <c r="K6" s="220"/>
      <c r="L6" s="220"/>
      <c r="M6" s="220"/>
    </row>
    <row r="7" spans="1:14" ht="26.25" customHeight="1">
      <c r="A7" s="18"/>
      <c r="B7" s="5" t="s">
        <v>444</v>
      </c>
      <c r="C7" s="223" t="s">
        <v>445</v>
      </c>
      <c r="D7" s="224"/>
      <c r="E7" s="224"/>
      <c r="F7" s="224"/>
      <c r="G7" s="224"/>
      <c r="H7" s="224"/>
      <c r="I7" s="224"/>
      <c r="J7" s="224"/>
      <c r="K7" s="224"/>
      <c r="L7" s="224"/>
      <c r="M7" s="224"/>
    </row>
    <row r="8" spans="1:14" s="2" customFormat="1" ht="41.25" customHeight="1">
      <c r="A8" s="19" t="s">
        <v>446</v>
      </c>
      <c r="B8" s="19" t="s">
        <v>508</v>
      </c>
      <c r="C8" s="19" t="s">
        <v>509</v>
      </c>
      <c r="D8" s="19" t="s">
        <v>448</v>
      </c>
      <c r="E8" s="19" t="s">
        <v>449</v>
      </c>
      <c r="F8" s="84" t="s">
        <v>510</v>
      </c>
      <c r="G8" s="84"/>
      <c r="H8" s="19" t="s">
        <v>511</v>
      </c>
      <c r="I8" s="19" t="s">
        <v>512</v>
      </c>
      <c r="J8" s="21" t="s">
        <v>450</v>
      </c>
      <c r="K8" s="21" t="s">
        <v>452</v>
      </c>
      <c r="L8" s="84" t="s">
        <v>513</v>
      </c>
      <c r="M8" s="21" t="s">
        <v>514</v>
      </c>
    </row>
    <row r="9" spans="1:14" s="3" customFormat="1" ht="25.5" customHeight="1">
      <c r="A9" s="22" t="s">
        <v>462</v>
      </c>
      <c r="B9" s="23" t="str">
        <f>C6</f>
        <v>Nhà xưởng sản xuất 4
四號生產廠房</v>
      </c>
      <c r="C9" s="23" t="s">
        <v>515</v>
      </c>
      <c r="D9" s="22"/>
      <c r="E9" s="25"/>
      <c r="F9" s="87"/>
      <c r="G9" s="87"/>
      <c r="H9" s="25">
        <f>_xlfn.XLOOKUP(B9, Rate_Master!$A:$A, Rate_Master!$C:$C, "")</f>
        <v>0</v>
      </c>
      <c r="I9" s="145">
        <f>_xlfn.XLOOKUP(B9, Rate_Master!$A:$A, Rate_Master!$D:$D, "")</f>
        <v>0</v>
      </c>
      <c r="J9" s="26"/>
      <c r="K9" s="26">
        <f>SUBTOTAL(9,K10:K170)</f>
        <v>94570531605.521805</v>
      </c>
      <c r="L9" s="26">
        <f>SUBTOTAL(9,L10:L170)</f>
        <v>87712753373.474426</v>
      </c>
      <c r="M9" s="26"/>
      <c r="N9" s="103"/>
    </row>
    <row r="10" spans="1:14" s="3" customFormat="1" ht="25.5" customHeight="1">
      <c r="A10" s="22" t="str">
        <f>$A$9&amp;".C"</f>
        <v>5A.C</v>
      </c>
      <c r="B10" s="23" t="s">
        <v>1</v>
      </c>
      <c r="C10" s="23" t="s">
        <v>515</v>
      </c>
      <c r="D10" s="22"/>
      <c r="E10" s="25"/>
      <c r="F10" s="87"/>
      <c r="G10" s="87"/>
      <c r="H10" s="25">
        <f>_xlfn.XLOOKUP(B10, Rate_Master!$A:$A, Rate_Master!$C:$C, "")</f>
        <v>0</v>
      </c>
      <c r="I10" s="145">
        <f>_xlfn.XLOOKUP(B10, Rate_Master!$A:$A, Rate_Master!$D:$D, "")</f>
        <v>0</v>
      </c>
      <c r="J10" s="26"/>
      <c r="K10" s="26"/>
      <c r="L10" s="26"/>
      <c r="M10" s="26"/>
    </row>
    <row r="11" spans="1:14" s="3" customFormat="1" ht="25.5" customHeight="1">
      <c r="A11" s="22" t="str">
        <f>$A$10&amp;1</f>
        <v>5A.C1</v>
      </c>
      <c r="B11" s="23" t="s">
        <v>2</v>
      </c>
      <c r="C11" s="23" t="s">
        <v>515</v>
      </c>
      <c r="D11" s="22"/>
      <c r="E11" s="25"/>
      <c r="F11" s="87"/>
      <c r="G11" s="87"/>
      <c r="H11" s="25">
        <f>_xlfn.XLOOKUP(B11, Rate_Master!$A:$A, Rate_Master!$C:$C, "")</f>
        <v>0</v>
      </c>
      <c r="I11" s="145">
        <f>_xlfn.XLOOKUP(B11, Rate_Master!$A:$A, Rate_Master!$D:$D, "")</f>
        <v>0</v>
      </c>
      <c r="J11" s="26"/>
      <c r="K11" s="26">
        <f>SUBTOTAL(9,K12:K22)</f>
        <v>16847142349.999998</v>
      </c>
      <c r="L11" s="26">
        <f>SUBTOTAL(9,L12:L22)</f>
        <v>12901216349.999998</v>
      </c>
      <c r="M11" s="26"/>
    </row>
    <row r="12" spans="1:14" s="4" customFormat="1" ht="25.5" customHeight="1" outlineLevel="1">
      <c r="A12" s="27" t="str">
        <f t="shared" ref="A12:A22" si="0">$A$11&amp;"."&amp;ROW()-ROW($A$11)</f>
        <v>5A.C1.1</v>
      </c>
      <c r="B12" s="28" t="s">
        <v>3</v>
      </c>
      <c r="C12" s="28" t="s">
        <v>515</v>
      </c>
      <c r="D12" s="29" t="s">
        <v>516</v>
      </c>
      <c r="E12" s="31">
        <v>1</v>
      </c>
      <c r="F12" s="36">
        <v>1</v>
      </c>
      <c r="G12" s="36"/>
      <c r="H12" s="31">
        <f>_xlfn.XLOOKUP(B12, Rate_Master!$A:$A, Rate_Master!$C:$C, "")</f>
        <v>0</v>
      </c>
      <c r="I12" s="144">
        <f>_xlfn.XLOOKUP(B12, Rate_Master!$A:$A, Rate_Master!$D:$D, "")</f>
        <v>114999999.99999999</v>
      </c>
      <c r="J12" s="66">
        <f t="shared" ref="J12:J22" si="1">+I12+H12</f>
        <v>114999999.99999999</v>
      </c>
      <c r="K12" s="32">
        <f t="shared" ref="K12:K22" si="2">J12*E12</f>
        <v>114999999.99999999</v>
      </c>
      <c r="L12" s="32">
        <f t="shared" ref="L12:L22" si="3">+F12*J12</f>
        <v>114999999.99999999</v>
      </c>
      <c r="M12" s="32"/>
    </row>
    <row r="13" spans="1:14" s="4" customFormat="1" ht="25.5" customHeight="1" outlineLevel="1">
      <c r="A13" s="27" t="str">
        <f t="shared" si="0"/>
        <v>5A.C1.2</v>
      </c>
      <c r="B13" s="28" t="s">
        <v>4</v>
      </c>
      <c r="C13" s="28" t="s">
        <v>515</v>
      </c>
      <c r="D13" s="29" t="s">
        <v>517</v>
      </c>
      <c r="E13" s="31">
        <v>336</v>
      </c>
      <c r="F13" s="36">
        <v>264</v>
      </c>
      <c r="G13" s="36"/>
      <c r="H13" s="31">
        <f>_xlfn.XLOOKUP(B13, Rate_Master!$A:$A, Rate_Master!$C:$C, "")</f>
        <v>425499.99999999994</v>
      </c>
      <c r="I13" s="144">
        <f>_xlfn.XLOOKUP(B13, Rate_Master!$A:$A, Rate_Master!$D:$D, "")</f>
        <v>0</v>
      </c>
      <c r="J13" s="66">
        <f t="shared" si="1"/>
        <v>425499.99999999994</v>
      </c>
      <c r="K13" s="32">
        <f t="shared" si="2"/>
        <v>142967999.99999997</v>
      </c>
      <c r="L13" s="32">
        <f t="shared" si="3"/>
        <v>112331999.99999999</v>
      </c>
      <c r="M13" s="32"/>
    </row>
    <row r="14" spans="1:14" s="4" customFormat="1" ht="25.5" customHeight="1" outlineLevel="1">
      <c r="A14" s="27" t="str">
        <f t="shared" si="0"/>
        <v>5A.C1.3</v>
      </c>
      <c r="B14" s="28" t="s">
        <v>5</v>
      </c>
      <c r="C14" s="28" t="s">
        <v>515</v>
      </c>
      <c r="D14" s="29" t="s">
        <v>517</v>
      </c>
      <c r="E14" s="31">
        <v>308</v>
      </c>
      <c r="F14" s="36">
        <v>264</v>
      </c>
      <c r="G14" s="36"/>
      <c r="H14" s="31">
        <f>_xlfn.XLOOKUP(B14, Rate_Master!$A:$A, Rate_Master!$C:$C, "")</f>
        <v>0</v>
      </c>
      <c r="I14" s="144">
        <f>_xlfn.XLOOKUP(B14, Rate_Master!$A:$A, Rate_Master!$D:$D, "")</f>
        <v>69000</v>
      </c>
      <c r="J14" s="66">
        <f t="shared" si="1"/>
        <v>69000</v>
      </c>
      <c r="K14" s="32">
        <f t="shared" si="2"/>
        <v>21252000</v>
      </c>
      <c r="L14" s="32">
        <f t="shared" si="3"/>
        <v>18216000</v>
      </c>
      <c r="M14" s="32"/>
    </row>
    <row r="15" spans="1:14" s="4" customFormat="1" ht="25.5" customHeight="1" outlineLevel="1">
      <c r="A15" s="27" t="str">
        <f t="shared" si="0"/>
        <v>5A.C1.4</v>
      </c>
      <c r="B15" s="28" t="s">
        <v>6</v>
      </c>
      <c r="C15" s="28" t="s">
        <v>515</v>
      </c>
      <c r="D15" s="29" t="s">
        <v>517</v>
      </c>
      <c r="E15" s="31">
        <v>322</v>
      </c>
      <c r="F15" s="36">
        <v>264</v>
      </c>
      <c r="G15" s="36"/>
      <c r="H15" s="31">
        <f>_xlfn.XLOOKUP(B15, Rate_Master!$A:$A, Rate_Master!$C:$C, "")</f>
        <v>0</v>
      </c>
      <c r="I15" s="144">
        <f>_xlfn.XLOOKUP(B15, Rate_Master!$A:$A, Rate_Master!$D:$D, "")</f>
        <v>57499.999999999993</v>
      </c>
      <c r="J15" s="66">
        <f t="shared" si="1"/>
        <v>57499.999999999993</v>
      </c>
      <c r="K15" s="32">
        <f t="shared" si="2"/>
        <v>18514999.999999996</v>
      </c>
      <c r="L15" s="32">
        <f t="shared" si="3"/>
        <v>15179999.999999998</v>
      </c>
      <c r="M15" s="32"/>
    </row>
    <row r="16" spans="1:14" s="4" customFormat="1" ht="102" customHeight="1" outlineLevel="1">
      <c r="A16" s="27" t="str">
        <f t="shared" si="0"/>
        <v>5A.C1.5</v>
      </c>
      <c r="B16" s="28" t="s">
        <v>7</v>
      </c>
      <c r="C16" s="28" t="s">
        <v>515</v>
      </c>
      <c r="D16" s="29" t="s">
        <v>518</v>
      </c>
      <c r="E16" s="31">
        <v>14</v>
      </c>
      <c r="F16" s="36">
        <v>11</v>
      </c>
      <c r="G16" s="36"/>
      <c r="H16" s="31">
        <f>_xlfn.XLOOKUP(B16, Rate_Master!$A:$A, Rate_Master!$C:$C, "")</f>
        <v>0</v>
      </c>
      <c r="I16" s="144">
        <f>_xlfn.XLOOKUP(B16, Rate_Master!$A:$A, Rate_Master!$D:$D, "")</f>
        <v>13799999.999999998</v>
      </c>
      <c r="J16" s="66">
        <f t="shared" si="1"/>
        <v>13799999.999999998</v>
      </c>
      <c r="K16" s="32">
        <f t="shared" si="2"/>
        <v>193199999.99999997</v>
      </c>
      <c r="L16" s="32">
        <f t="shared" si="3"/>
        <v>151799999.99999997</v>
      </c>
      <c r="M16" s="32"/>
    </row>
    <row r="17" spans="1:15" s="4" customFormat="1" ht="25.5" customHeight="1" outlineLevel="1">
      <c r="A17" s="27" t="str">
        <f t="shared" si="0"/>
        <v>5A.C1.6</v>
      </c>
      <c r="B17" s="28" t="s">
        <v>8</v>
      </c>
      <c r="C17" s="28" t="s">
        <v>515</v>
      </c>
      <c r="D17" s="29" t="s">
        <v>518</v>
      </c>
      <c r="E17" s="31">
        <v>267</v>
      </c>
      <c r="F17" s="36">
        <v>264</v>
      </c>
      <c r="G17" s="36"/>
      <c r="H17" s="31">
        <f>_xlfn.XLOOKUP(B17, Rate_Master!$A:$A, Rate_Master!$C:$C, "")</f>
        <v>0</v>
      </c>
      <c r="I17" s="144">
        <f>_xlfn.XLOOKUP(B17, Rate_Master!$A:$A, Rate_Master!$D:$D, "")</f>
        <v>252999.99999999997</v>
      </c>
      <c r="J17" s="66">
        <f t="shared" si="1"/>
        <v>252999.99999999997</v>
      </c>
      <c r="K17" s="32">
        <f t="shared" si="2"/>
        <v>67550999.999999985</v>
      </c>
      <c r="L17" s="32">
        <f t="shared" si="3"/>
        <v>66791999.999999993</v>
      </c>
      <c r="M17" s="32"/>
    </row>
    <row r="18" spans="1:15" s="4" customFormat="1" ht="25.5" customHeight="1" outlineLevel="1">
      <c r="A18" s="27" t="str">
        <f t="shared" si="0"/>
        <v>5A.C1.7</v>
      </c>
      <c r="B18" s="28" t="s">
        <v>9</v>
      </c>
      <c r="C18" s="28" t="s">
        <v>515</v>
      </c>
      <c r="D18" s="29" t="s">
        <v>517</v>
      </c>
      <c r="E18" s="31">
        <v>29040</v>
      </c>
      <c r="F18" s="36">
        <v>21868</v>
      </c>
      <c r="G18" s="36"/>
      <c r="H18" s="31">
        <f>_xlfn.XLOOKUP(B18, Rate_Master!$A:$A, Rate_Master!$C:$C, "")</f>
        <v>402499.99999999994</v>
      </c>
      <c r="I18" s="144">
        <f>_xlfn.XLOOKUP(B18, Rate_Master!$A:$A, Rate_Master!$D:$D, "")</f>
        <v>0</v>
      </c>
      <c r="J18" s="66">
        <f t="shared" si="1"/>
        <v>402499.99999999994</v>
      </c>
      <c r="K18" s="32">
        <f t="shared" si="2"/>
        <v>11688599999.999998</v>
      </c>
      <c r="L18" s="32">
        <f t="shared" si="3"/>
        <v>8801869999.9999981</v>
      </c>
      <c r="M18" s="32"/>
    </row>
    <row r="19" spans="1:15" s="4" customFormat="1" ht="25.5" customHeight="1" outlineLevel="1">
      <c r="A19" s="27" t="str">
        <f t="shared" si="0"/>
        <v>5A.C1.8</v>
      </c>
      <c r="B19" s="28" t="s">
        <v>10</v>
      </c>
      <c r="C19" s="28" t="s">
        <v>515</v>
      </c>
      <c r="D19" s="29" t="s">
        <v>518</v>
      </c>
      <c r="E19" s="31">
        <v>1334</v>
      </c>
      <c r="F19" s="36">
        <v>1005</v>
      </c>
      <c r="G19" s="36"/>
      <c r="H19" s="31">
        <f>_xlfn.XLOOKUP(B19, Rate_Master!$A:$A, Rate_Master!$C:$C, "")</f>
        <v>80500</v>
      </c>
      <c r="I19" s="144">
        <f>_xlfn.XLOOKUP(B19, Rate_Master!$A:$A, Rate_Master!$D:$D, "")</f>
        <v>0</v>
      </c>
      <c r="J19" s="66">
        <f t="shared" si="1"/>
        <v>80500</v>
      </c>
      <c r="K19" s="32">
        <f t="shared" si="2"/>
        <v>107387000</v>
      </c>
      <c r="L19" s="32">
        <f t="shared" si="3"/>
        <v>80902500</v>
      </c>
      <c r="M19" s="32"/>
    </row>
    <row r="20" spans="1:15" s="4" customFormat="1" ht="25.5" customHeight="1" outlineLevel="1">
      <c r="A20" s="27" t="str">
        <f t="shared" si="0"/>
        <v>5A.C1.9</v>
      </c>
      <c r="B20" s="28" t="s">
        <v>11</v>
      </c>
      <c r="C20" s="28" t="s">
        <v>515</v>
      </c>
      <c r="D20" s="29" t="s">
        <v>517</v>
      </c>
      <c r="E20" s="31">
        <v>28123.9</v>
      </c>
      <c r="F20" s="36">
        <v>22860.9</v>
      </c>
      <c r="G20" s="36"/>
      <c r="H20" s="31">
        <f>_xlfn.XLOOKUP(B20, Rate_Master!$A:$A, Rate_Master!$C:$C, "")</f>
        <v>0</v>
      </c>
      <c r="I20" s="144">
        <f>_xlfn.XLOOKUP(B20, Rate_Master!$A:$A, Rate_Master!$D:$D, "")</f>
        <v>69000</v>
      </c>
      <c r="J20" s="66">
        <f t="shared" si="1"/>
        <v>69000</v>
      </c>
      <c r="K20" s="32">
        <f t="shared" si="2"/>
        <v>1940549100</v>
      </c>
      <c r="L20" s="32">
        <f t="shared" si="3"/>
        <v>1577402100</v>
      </c>
      <c r="M20" s="32"/>
    </row>
    <row r="21" spans="1:15" s="4" customFormat="1" ht="25.5" customHeight="1" outlineLevel="1">
      <c r="A21" s="27" t="str">
        <f t="shared" si="0"/>
        <v>5A.C1.10</v>
      </c>
      <c r="B21" s="28" t="s">
        <v>12</v>
      </c>
      <c r="C21" s="28" t="s">
        <v>515</v>
      </c>
      <c r="D21" s="29" t="s">
        <v>517</v>
      </c>
      <c r="E21" s="31">
        <v>29443.9</v>
      </c>
      <c r="F21" s="36">
        <v>22860.9</v>
      </c>
      <c r="G21" s="36"/>
      <c r="H21" s="31">
        <f>_xlfn.XLOOKUP(B21, Rate_Master!$A:$A, Rate_Master!$C:$C, "")</f>
        <v>0</v>
      </c>
      <c r="I21" s="144">
        <f>_xlfn.XLOOKUP(B21, Rate_Master!$A:$A, Rate_Master!$D:$D, "")</f>
        <v>57499.999999999993</v>
      </c>
      <c r="J21" s="66">
        <f t="shared" si="1"/>
        <v>57499.999999999993</v>
      </c>
      <c r="K21" s="32">
        <f t="shared" si="2"/>
        <v>1693024249.9999998</v>
      </c>
      <c r="L21" s="32">
        <f t="shared" si="3"/>
        <v>1314501750</v>
      </c>
      <c r="M21" s="32"/>
    </row>
    <row r="22" spans="1:15" s="4" customFormat="1" ht="63.75" customHeight="1" outlineLevel="1">
      <c r="A22" s="27" t="str">
        <f t="shared" si="0"/>
        <v>5A.C1.11</v>
      </c>
      <c r="B22" s="28" t="s">
        <v>13</v>
      </c>
      <c r="C22" s="28" t="s">
        <v>515</v>
      </c>
      <c r="D22" s="29" t="s">
        <v>518</v>
      </c>
      <c r="E22" s="31">
        <v>1334</v>
      </c>
      <c r="F22" s="36">
        <v>1005</v>
      </c>
      <c r="G22" s="36"/>
      <c r="H22" s="31">
        <f>_xlfn.XLOOKUP(B22, Rate_Master!$A:$A, Rate_Master!$C:$C, "")</f>
        <v>482999.99999999994</v>
      </c>
      <c r="I22" s="144">
        <f>_xlfn.XLOOKUP(B22, Rate_Master!$A:$A, Rate_Master!$D:$D, "")</f>
        <v>161000</v>
      </c>
      <c r="J22" s="66">
        <f t="shared" si="1"/>
        <v>644000</v>
      </c>
      <c r="K22" s="32">
        <f t="shared" si="2"/>
        <v>859096000</v>
      </c>
      <c r="L22" s="32">
        <f t="shared" si="3"/>
        <v>647220000</v>
      </c>
      <c r="M22" s="32"/>
    </row>
    <row r="23" spans="1:15" s="3" customFormat="1" ht="25.5" customHeight="1">
      <c r="A23" s="22" t="str">
        <f>$A$10&amp;2</f>
        <v>5A.C2</v>
      </c>
      <c r="B23" s="23" t="s">
        <v>14</v>
      </c>
      <c r="C23" s="23" t="s">
        <v>515</v>
      </c>
      <c r="D23" s="22"/>
      <c r="E23" s="25"/>
      <c r="F23" s="87"/>
      <c r="G23" s="87"/>
      <c r="H23" s="25">
        <f>_xlfn.XLOOKUP(B23, Rate_Master!$A:$A, Rate_Master!$C:$C, "")</f>
        <v>0</v>
      </c>
      <c r="I23" s="145">
        <f>_xlfn.XLOOKUP(B23, Rate_Master!$A:$A, Rate_Master!$D:$D, "")</f>
        <v>0</v>
      </c>
      <c r="J23" s="26"/>
      <c r="K23" s="26">
        <f>SUBTOTAL(9,K24:K31)</f>
        <v>4203012237.5</v>
      </c>
      <c r="L23" s="26">
        <f>SUBTOTAL(9,L24:L31)</f>
        <v>3975062473.0249996</v>
      </c>
      <c r="M23" s="26"/>
      <c r="O23" s="103"/>
    </row>
    <row r="24" spans="1:15" s="4" customFormat="1" ht="25.5" customHeight="1" outlineLevel="1">
      <c r="A24" s="27" t="str">
        <f t="shared" ref="A24:A31" si="4">$A$23&amp;"."&amp;ROW()-ROW($A$23)</f>
        <v>5A.C2.1</v>
      </c>
      <c r="B24" s="28" t="s">
        <v>15</v>
      </c>
      <c r="C24" s="28" t="s">
        <v>515</v>
      </c>
      <c r="D24" s="29" t="s">
        <v>519</v>
      </c>
      <c r="E24" s="31">
        <v>4429.7669999999998</v>
      </c>
      <c r="F24" s="36">
        <v>5237.4489999999996</v>
      </c>
      <c r="G24" s="36"/>
      <c r="H24" s="31">
        <f>_xlfn.XLOOKUP(B24, Rate_Master!$A:$A, Rate_Master!$C:$C, "")</f>
        <v>0</v>
      </c>
      <c r="I24" s="144">
        <f>_xlfn.XLOOKUP(B24, Rate_Master!$A:$A, Rate_Master!$D:$D, "")</f>
        <v>32199.999999999996</v>
      </c>
      <c r="J24" s="66">
        <f t="shared" ref="J24:J31" si="5">+I24+H24</f>
        <v>32199.999999999996</v>
      </c>
      <c r="K24" s="32">
        <f t="shared" ref="K24:K31" si="6">J24*E24</f>
        <v>142638497.39999998</v>
      </c>
      <c r="L24" s="32">
        <f t="shared" ref="L24:L31" si="7">+F24*J24</f>
        <v>168645857.79999998</v>
      </c>
      <c r="M24" s="32"/>
      <c r="O24" s="103"/>
    </row>
    <row r="25" spans="1:15" s="4" customFormat="1" ht="25.5" customHeight="1" outlineLevel="1">
      <c r="A25" s="27" t="str">
        <f t="shared" si="4"/>
        <v>5A.C2.2</v>
      </c>
      <c r="B25" s="28" t="s">
        <v>16</v>
      </c>
      <c r="C25" s="28" t="s">
        <v>515</v>
      </c>
      <c r="D25" s="29" t="s">
        <v>520</v>
      </c>
      <c r="E25" s="31">
        <v>4557.7250000000004</v>
      </c>
      <c r="F25" s="36">
        <v>3882.7040000000002</v>
      </c>
      <c r="G25" s="36"/>
      <c r="H25" s="31">
        <f>_xlfn.XLOOKUP(B25, Rate_Master!$A:$A, Rate_Master!$C:$C, "")</f>
        <v>0</v>
      </c>
      <c r="I25" s="144">
        <f>_xlfn.XLOOKUP(B25, Rate_Master!$A:$A, Rate_Master!$D:$D, "")</f>
        <v>17250</v>
      </c>
      <c r="J25" s="66">
        <f t="shared" si="5"/>
        <v>17250</v>
      </c>
      <c r="K25" s="32">
        <f t="shared" si="6"/>
        <v>78620756.25</v>
      </c>
      <c r="L25" s="32">
        <f t="shared" si="7"/>
        <v>66976644</v>
      </c>
      <c r="M25" s="32"/>
      <c r="O25" s="103"/>
    </row>
    <row r="26" spans="1:15" s="4" customFormat="1" ht="25.5" customHeight="1" outlineLevel="1">
      <c r="A26" s="27" t="str">
        <f t="shared" si="4"/>
        <v>5A.C2.3</v>
      </c>
      <c r="B26" s="28" t="s">
        <v>17</v>
      </c>
      <c r="C26" s="28" t="s">
        <v>515</v>
      </c>
      <c r="D26" s="29" t="s">
        <v>519</v>
      </c>
      <c r="E26" s="31">
        <v>2899.7260000000001</v>
      </c>
      <c r="F26" s="36">
        <v>1583.7360000000001</v>
      </c>
      <c r="G26" s="36"/>
      <c r="H26" s="31">
        <f>_xlfn.XLOOKUP(B26, Rate_Master!$A:$A, Rate_Master!$C:$C, "")</f>
        <v>0</v>
      </c>
      <c r="I26" s="144">
        <f>_xlfn.XLOOKUP(B26, Rate_Master!$A:$A, Rate_Master!$D:$D, "")</f>
        <v>37950</v>
      </c>
      <c r="J26" s="66">
        <f t="shared" si="5"/>
        <v>37950</v>
      </c>
      <c r="K26" s="32">
        <f t="shared" si="6"/>
        <v>110044601.7</v>
      </c>
      <c r="L26" s="32">
        <f t="shared" si="7"/>
        <v>60102781.200000003</v>
      </c>
      <c r="M26" s="32"/>
      <c r="O26" s="103"/>
    </row>
    <row r="27" spans="1:15" s="4" customFormat="1" ht="25.5" customHeight="1" outlineLevel="1">
      <c r="A27" s="27" t="str">
        <f t="shared" si="4"/>
        <v>5A.C2.4</v>
      </c>
      <c r="B27" s="34" t="s">
        <v>18</v>
      </c>
      <c r="C27" s="34" t="s">
        <v>521</v>
      </c>
      <c r="D27" s="29" t="s">
        <v>519</v>
      </c>
      <c r="E27" s="31">
        <v>1530.04</v>
      </c>
      <c r="F27" s="36">
        <v>2557.5970000000002</v>
      </c>
      <c r="G27" s="36"/>
      <c r="H27" s="31">
        <f>_xlfn.XLOOKUP(B27, Rate_Master!$A:$A, Rate_Master!$C:$C, "")</f>
        <v>0</v>
      </c>
      <c r="I27" s="144">
        <f>_xlfn.XLOOKUP(B27, Rate_Master!$A:$A, Rate_Master!$D:$D, "")</f>
        <v>32199.999999999996</v>
      </c>
      <c r="J27" s="66">
        <f t="shared" si="5"/>
        <v>32199.999999999996</v>
      </c>
      <c r="K27" s="32">
        <f t="shared" si="6"/>
        <v>49267287.999999993</v>
      </c>
      <c r="L27" s="32">
        <f t="shared" si="7"/>
        <v>82354623.399999991</v>
      </c>
      <c r="M27" s="32"/>
      <c r="O27" s="103"/>
    </row>
    <row r="28" spans="1:15" s="4" customFormat="1" ht="25.5" customHeight="1" outlineLevel="1">
      <c r="A28" s="27" t="str">
        <f t="shared" si="4"/>
        <v>5A.C2.5</v>
      </c>
      <c r="B28" s="28" t="s">
        <v>19</v>
      </c>
      <c r="C28" s="28" t="s">
        <v>515</v>
      </c>
      <c r="D28" s="29" t="s">
        <v>520</v>
      </c>
      <c r="E28" s="31">
        <v>4557.7250000000004</v>
      </c>
      <c r="F28" s="36">
        <v>3882.7040000000002</v>
      </c>
      <c r="G28" s="36"/>
      <c r="H28" s="31">
        <f>_xlfn.XLOOKUP(B28, Rate_Master!$A:$A, Rate_Master!$C:$C, "")</f>
        <v>6899.9999999999991</v>
      </c>
      <c r="I28" s="144">
        <f>_xlfn.XLOOKUP(B28, Rate_Master!$A:$A, Rate_Master!$D:$D, "")</f>
        <v>1724.9999999999998</v>
      </c>
      <c r="J28" s="66">
        <f t="shared" si="5"/>
        <v>8624.9999999999982</v>
      </c>
      <c r="K28" s="32">
        <f t="shared" si="6"/>
        <v>39310378.124999993</v>
      </c>
      <c r="L28" s="32">
        <f t="shared" si="7"/>
        <v>33488321.999999996</v>
      </c>
      <c r="M28" s="32"/>
      <c r="O28" s="103"/>
    </row>
    <row r="29" spans="1:15" s="4" customFormat="1" ht="38.25" customHeight="1" outlineLevel="1">
      <c r="A29" s="27" t="str">
        <f t="shared" si="4"/>
        <v>5A.C2.6</v>
      </c>
      <c r="B29" s="28" t="s">
        <v>20</v>
      </c>
      <c r="C29" s="28" t="s">
        <v>515</v>
      </c>
      <c r="D29" s="29" t="s">
        <v>520</v>
      </c>
      <c r="E29" s="31">
        <v>13975.823</v>
      </c>
      <c r="F29" s="36">
        <v>13218.261</v>
      </c>
      <c r="G29" s="36"/>
      <c r="H29" s="31">
        <f>_xlfn.XLOOKUP(B29, Rate_Master!$A:$A, Rate_Master!$C:$C, "")</f>
        <v>34500</v>
      </c>
      <c r="I29" s="144">
        <f>_xlfn.XLOOKUP(B29, Rate_Master!$A:$A, Rate_Master!$D:$D, "")</f>
        <v>5750</v>
      </c>
      <c r="J29" s="66">
        <f t="shared" si="5"/>
        <v>40250</v>
      </c>
      <c r="K29" s="32">
        <f t="shared" si="6"/>
        <v>562526875.75</v>
      </c>
      <c r="L29" s="32">
        <f t="shared" si="7"/>
        <v>532035005.25</v>
      </c>
      <c r="M29" s="32"/>
      <c r="O29" s="103"/>
    </row>
    <row r="30" spans="1:15" s="4" customFormat="1" ht="25.5" customHeight="1" outlineLevel="1">
      <c r="A30" s="27" t="str">
        <f t="shared" si="4"/>
        <v>5A.C2.7</v>
      </c>
      <c r="B30" s="34" t="s">
        <v>21</v>
      </c>
      <c r="C30" s="28" t="s">
        <v>515</v>
      </c>
      <c r="D30" s="29" t="s">
        <v>520</v>
      </c>
      <c r="E30" s="31">
        <v>13975.823</v>
      </c>
      <c r="F30" s="36">
        <v>13218.261</v>
      </c>
      <c r="G30" s="36"/>
      <c r="H30" s="31">
        <f>_xlfn.XLOOKUP(B30, Rate_Master!$A:$A, Rate_Master!$C:$C, "")</f>
        <v>0</v>
      </c>
      <c r="I30" s="144">
        <f>_xlfn.XLOOKUP(B30, Rate_Master!$A:$A, Rate_Master!$D:$D, "")</f>
        <v>13799.999999999998</v>
      </c>
      <c r="J30" s="32">
        <f t="shared" si="5"/>
        <v>13799.999999999998</v>
      </c>
      <c r="K30" s="32">
        <f t="shared" si="6"/>
        <v>192866357.39999998</v>
      </c>
      <c r="L30" s="32">
        <f t="shared" si="7"/>
        <v>182412001.79999998</v>
      </c>
      <c r="M30" s="32"/>
      <c r="O30" s="103"/>
    </row>
    <row r="31" spans="1:15" s="4" customFormat="1" ht="25.5" customHeight="1" outlineLevel="1">
      <c r="A31" s="27" t="str">
        <f t="shared" si="4"/>
        <v>5A.C2.8</v>
      </c>
      <c r="B31" s="28" t="s">
        <v>22</v>
      </c>
      <c r="C31" s="28" t="s">
        <v>515</v>
      </c>
      <c r="D31" s="29" t="s">
        <v>519</v>
      </c>
      <c r="E31" s="31">
        <v>4916.5550000000003</v>
      </c>
      <c r="F31" s="36">
        <v>4626.3909999999996</v>
      </c>
      <c r="G31" s="36"/>
      <c r="H31" s="31">
        <f>_xlfn.XLOOKUP(B31, Rate_Master!$A:$A, Rate_Master!$C:$C, "")</f>
        <v>512325</v>
      </c>
      <c r="I31" s="144">
        <f>_xlfn.XLOOKUP(B31, Rate_Master!$A:$A, Rate_Master!$D:$D, "")</f>
        <v>103499.99999999999</v>
      </c>
      <c r="J31" s="66">
        <f t="shared" si="5"/>
        <v>615825</v>
      </c>
      <c r="K31" s="32">
        <f t="shared" si="6"/>
        <v>3027737482.875</v>
      </c>
      <c r="L31" s="32">
        <f t="shared" si="7"/>
        <v>2849047237.5749998</v>
      </c>
      <c r="M31" s="32"/>
      <c r="O31" s="103"/>
    </row>
    <row r="32" spans="1:15" s="3" customFormat="1" ht="25.5" customHeight="1">
      <c r="A32" s="22" t="str">
        <f>$A$10&amp;3</f>
        <v>5A.C3</v>
      </c>
      <c r="B32" s="23" t="s">
        <v>23</v>
      </c>
      <c r="C32" s="23" t="s">
        <v>515</v>
      </c>
      <c r="D32" s="22"/>
      <c r="E32" s="25"/>
      <c r="F32" s="87"/>
      <c r="G32" s="87"/>
      <c r="H32" s="25">
        <f>_xlfn.XLOOKUP(B32, Rate_Master!$A:$A, Rate_Master!$C:$C, "")</f>
        <v>0</v>
      </c>
      <c r="I32" s="145">
        <f>_xlfn.XLOOKUP(B32, Rate_Master!$A:$A, Rate_Master!$D:$D, "")</f>
        <v>0</v>
      </c>
      <c r="J32" s="26"/>
      <c r="K32" s="26">
        <f>SUBTOTAL(9,K33:K39)</f>
        <v>13197502370.987497</v>
      </c>
      <c r="L32" s="26">
        <f>SUBTOTAL(9,L33:L39)</f>
        <v>11803095516.945831</v>
      </c>
      <c r="M32" s="26"/>
      <c r="O32" s="103"/>
    </row>
    <row r="33" spans="1:15" s="4" customFormat="1" ht="25.5" customHeight="1" outlineLevel="1">
      <c r="A33" s="27" t="str">
        <f t="shared" ref="A33:A39" si="8">$A$32&amp;"."&amp;ROW()-ROW($A$32)</f>
        <v>5A.C3.1</v>
      </c>
      <c r="B33" s="28" t="s">
        <v>24</v>
      </c>
      <c r="C33" s="28" t="s">
        <v>515</v>
      </c>
      <c r="D33" s="29" t="s">
        <v>519</v>
      </c>
      <c r="E33" s="31">
        <v>459.07900000000001</v>
      </c>
      <c r="F33" s="36">
        <v>388.26899999999989</v>
      </c>
      <c r="G33" s="36"/>
      <c r="H33" s="30">
        <f>_xlfn.XLOOKUP(B33, Rate_Master!$A:$A, Rate_Master!$C:$C, "")</f>
        <v>1249762.5</v>
      </c>
      <c r="I33" s="142">
        <f>_xlfn.XLOOKUP(B33, Rate_Master!$A:$A, Rate_Master!$D:$D, "")</f>
        <v>206999.99999999997</v>
      </c>
      <c r="J33" s="66">
        <f t="shared" ref="J33:J39" si="9">+I33+H33</f>
        <v>1456762.5</v>
      </c>
      <c r="K33" s="32">
        <f t="shared" ref="K33:K39" si="10">J33*E33</f>
        <v>668769071.73749995</v>
      </c>
      <c r="L33" s="32">
        <f t="shared" ref="L33:L39" si="11">+F33*J33</f>
        <v>565615719.11249983</v>
      </c>
      <c r="M33" s="32"/>
      <c r="O33" s="103"/>
    </row>
    <row r="34" spans="1:15" s="4" customFormat="1" ht="51" customHeight="1" outlineLevel="1">
      <c r="A34" s="27" t="str">
        <f t="shared" si="8"/>
        <v>5A.C3.2</v>
      </c>
      <c r="B34" s="28" t="s">
        <v>25</v>
      </c>
      <c r="C34" s="28" t="s">
        <v>515</v>
      </c>
      <c r="D34" s="29" t="s">
        <v>519</v>
      </c>
      <c r="E34" s="31">
        <v>6894.4380000000001</v>
      </c>
      <c r="F34" s="36">
        <v>5945.2960000000003</v>
      </c>
      <c r="G34" s="36"/>
      <c r="H34" s="30">
        <f>_xlfn.XLOOKUP(B34, Rate_Master!$A:$A, Rate_Master!$C:$C, "")</f>
        <v>1607444.4444444443</v>
      </c>
      <c r="I34" s="142">
        <f>_xlfn.XLOOKUP(B34, Rate_Master!$A:$A, Rate_Master!$D:$D, "")</f>
        <v>149500</v>
      </c>
      <c r="J34" s="66">
        <f t="shared" si="9"/>
        <v>1756944.4444444443</v>
      </c>
      <c r="K34" s="32">
        <f t="shared" si="10"/>
        <v>12113144541.666666</v>
      </c>
      <c r="L34" s="32">
        <f t="shared" si="11"/>
        <v>10445554777.777777</v>
      </c>
      <c r="M34" s="32"/>
      <c r="O34" s="103"/>
    </row>
    <row r="35" spans="1:15" s="4" customFormat="1" ht="25.5" customHeight="1" outlineLevel="1">
      <c r="A35" s="27" t="str">
        <f t="shared" si="8"/>
        <v>5A.C3.3</v>
      </c>
      <c r="B35" s="28" t="s">
        <v>26</v>
      </c>
      <c r="C35" s="28" t="s">
        <v>515</v>
      </c>
      <c r="D35" s="29" t="s">
        <v>519</v>
      </c>
      <c r="E35" s="31">
        <v>81.069999999999993</v>
      </c>
      <c r="F35" s="36">
        <v>136.542</v>
      </c>
      <c r="G35" s="36"/>
      <c r="H35" s="30">
        <f>_xlfn.XLOOKUP(B35, Rate_Master!$A:$A, Rate_Master!$C:$C, "")</f>
        <v>1520555.5555555553</v>
      </c>
      <c r="I35" s="142">
        <f>_xlfn.XLOOKUP(B35, Rate_Master!$A:$A, Rate_Master!$D:$D, "")</f>
        <v>252999.99999999997</v>
      </c>
      <c r="J35" s="66">
        <f t="shared" si="9"/>
        <v>1773555.5555555553</v>
      </c>
      <c r="K35" s="32">
        <f t="shared" si="10"/>
        <v>143782148.88888887</v>
      </c>
      <c r="L35" s="32">
        <f t="shared" si="11"/>
        <v>242164822.66666663</v>
      </c>
      <c r="M35" s="32"/>
      <c r="O35" s="103"/>
    </row>
    <row r="36" spans="1:15" s="4" customFormat="1" ht="25.5" customHeight="1" outlineLevel="1">
      <c r="A36" s="27" t="str">
        <f t="shared" si="8"/>
        <v>5A.C3.4</v>
      </c>
      <c r="B36" s="28" t="s">
        <v>27</v>
      </c>
      <c r="C36" s="28" t="s">
        <v>515</v>
      </c>
      <c r="D36" s="29" t="s">
        <v>519</v>
      </c>
      <c r="E36" s="31">
        <v>58.972000000000001</v>
      </c>
      <c r="F36" s="36">
        <v>237.01300000000001</v>
      </c>
      <c r="G36" s="36"/>
      <c r="H36" s="30">
        <f>_xlfn.XLOOKUP(B36, Rate_Master!$A:$A, Rate_Master!$C:$C, "")</f>
        <v>1520555.5555555553</v>
      </c>
      <c r="I36" s="142">
        <f>_xlfn.XLOOKUP(B36, Rate_Master!$A:$A, Rate_Master!$D:$D, "")</f>
        <v>149500</v>
      </c>
      <c r="J36" s="66">
        <f t="shared" si="9"/>
        <v>1670055.5555555553</v>
      </c>
      <c r="K36" s="32">
        <f t="shared" si="10"/>
        <v>98486516.222222209</v>
      </c>
      <c r="L36" s="32">
        <f t="shared" si="11"/>
        <v>395824877.38888884</v>
      </c>
      <c r="M36" s="32"/>
      <c r="O36" s="103"/>
    </row>
    <row r="37" spans="1:15" s="4" customFormat="1" ht="25.5" customHeight="1" outlineLevel="1">
      <c r="A37" s="27" t="str">
        <f t="shared" si="8"/>
        <v>5A.C3.5</v>
      </c>
      <c r="B37" s="28" t="s">
        <v>28</v>
      </c>
      <c r="C37" s="28" t="s">
        <v>515</v>
      </c>
      <c r="D37" s="29" t="s">
        <v>519</v>
      </c>
      <c r="E37" s="31">
        <v>9.5706000000000007</v>
      </c>
      <c r="F37" s="36">
        <v>10.808</v>
      </c>
      <c r="G37" s="36"/>
      <c r="H37" s="30">
        <f>_xlfn.XLOOKUP(B37, Rate_Master!$A:$A, Rate_Master!$C:$C, "")</f>
        <v>1390222.2222222222</v>
      </c>
      <c r="I37" s="142">
        <f>_xlfn.XLOOKUP(B37, Rate_Master!$A:$A, Rate_Master!$D:$D, "")</f>
        <v>149500</v>
      </c>
      <c r="J37" s="66">
        <f t="shared" si="9"/>
        <v>1539722.2222222222</v>
      </c>
      <c r="K37" s="32">
        <f t="shared" si="10"/>
        <v>14736065.500000002</v>
      </c>
      <c r="L37" s="32">
        <f t="shared" si="11"/>
        <v>16641317.777777778</v>
      </c>
      <c r="M37" s="32"/>
      <c r="O37" s="103"/>
    </row>
    <row r="38" spans="1:15" s="4" customFormat="1" ht="25.5" customHeight="1" outlineLevel="1">
      <c r="A38" s="27" t="str">
        <f t="shared" si="8"/>
        <v>5A.C3.6</v>
      </c>
      <c r="B38" s="28" t="s">
        <v>29</v>
      </c>
      <c r="C38" s="28" t="s">
        <v>515</v>
      </c>
      <c r="D38" s="29" t="s">
        <v>519</v>
      </c>
      <c r="E38" s="31">
        <v>51.805</v>
      </c>
      <c r="F38" s="36">
        <v>53.2</v>
      </c>
      <c r="G38" s="36"/>
      <c r="H38" s="30">
        <f>_xlfn.XLOOKUP(B38, Rate_Master!$A:$A, Rate_Master!$C:$C, "")</f>
        <v>1390222.2222222222</v>
      </c>
      <c r="I38" s="142">
        <f>_xlfn.XLOOKUP(B38, Rate_Master!$A:$A, Rate_Master!$D:$D, "")</f>
        <v>149500</v>
      </c>
      <c r="J38" s="66">
        <f t="shared" si="9"/>
        <v>1539722.2222222222</v>
      </c>
      <c r="K38" s="32">
        <f t="shared" si="10"/>
        <v>79765309.722222224</v>
      </c>
      <c r="L38" s="32">
        <f t="shared" si="11"/>
        <v>81913222.222222224</v>
      </c>
      <c r="M38" s="32"/>
      <c r="O38" s="103"/>
    </row>
    <row r="39" spans="1:15" s="4" customFormat="1" ht="38.25" customHeight="1" outlineLevel="1">
      <c r="A39" s="27" t="str">
        <f t="shared" si="8"/>
        <v>5A.C3.7</v>
      </c>
      <c r="B39" s="28" t="s">
        <v>30</v>
      </c>
      <c r="C39" s="28" t="s">
        <v>515</v>
      </c>
      <c r="D39" s="29" t="s">
        <v>519</v>
      </c>
      <c r="E39" s="31">
        <v>2.5902500000000002</v>
      </c>
      <c r="F39" s="36">
        <v>1.82</v>
      </c>
      <c r="G39" s="36"/>
      <c r="H39" s="30">
        <f>_xlfn.XLOOKUP(B39, Rate_Master!$A:$A, Rate_Master!$C:$C, "")</f>
        <v>22425000</v>
      </c>
      <c r="I39" s="142">
        <f>_xlfn.XLOOKUP(B39, Rate_Master!$A:$A, Rate_Master!$D:$D, "")</f>
        <v>8003999.9999999991</v>
      </c>
      <c r="J39" s="66">
        <f t="shared" si="9"/>
        <v>30429000</v>
      </c>
      <c r="K39" s="32">
        <f t="shared" si="10"/>
        <v>78818717.25</v>
      </c>
      <c r="L39" s="32">
        <f t="shared" si="11"/>
        <v>55380780</v>
      </c>
      <c r="M39" s="32"/>
      <c r="O39" s="103"/>
    </row>
    <row r="40" spans="1:15" s="3" customFormat="1" ht="25.5" customHeight="1">
      <c r="A40" s="22" t="str">
        <f>$A$10&amp;4</f>
        <v>5A.C4</v>
      </c>
      <c r="B40" s="23" t="s">
        <v>31</v>
      </c>
      <c r="C40" s="23" t="s">
        <v>515</v>
      </c>
      <c r="D40" s="22"/>
      <c r="E40" s="25"/>
      <c r="F40" s="87"/>
      <c r="G40" s="87"/>
      <c r="H40" s="25">
        <f>_xlfn.XLOOKUP(B40, Rate_Master!$A:$A, Rate_Master!$C:$C, "")</f>
        <v>0</v>
      </c>
      <c r="I40" s="145">
        <f>_xlfn.XLOOKUP(B40, Rate_Master!$A:$A, Rate_Master!$D:$D, "")</f>
        <v>0</v>
      </c>
      <c r="J40" s="26"/>
      <c r="K40" s="26">
        <f>SUBTOTAL(9,K41:K45)</f>
        <v>2826292980.5</v>
      </c>
      <c r="L40" s="26">
        <f>SUBTOTAL(9,L41:L45)</f>
        <v>3002889568</v>
      </c>
      <c r="M40" s="26"/>
      <c r="O40" s="103"/>
    </row>
    <row r="41" spans="1:15" s="4" customFormat="1" ht="25.5" customHeight="1" outlineLevel="1">
      <c r="A41" s="27" t="str">
        <f>$A$40&amp;"."&amp;ROW()-ROW($A$40)</f>
        <v>5A.C4.1</v>
      </c>
      <c r="B41" s="28" t="s">
        <v>32</v>
      </c>
      <c r="C41" s="28" t="s">
        <v>515</v>
      </c>
      <c r="D41" s="29" t="s">
        <v>520</v>
      </c>
      <c r="E41" s="31">
        <v>1204.3140000000001</v>
      </c>
      <c r="F41" s="36">
        <v>1087.24</v>
      </c>
      <c r="G41" s="36"/>
      <c r="H41" s="30">
        <f>_xlfn.XLOOKUP(B41, Rate_Master!$A:$A, Rate_Master!$C:$C, "")</f>
        <v>80500</v>
      </c>
      <c r="I41" s="142">
        <f>_xlfn.XLOOKUP(B41, Rate_Master!$A:$A, Rate_Master!$D:$D, "")</f>
        <v>92000</v>
      </c>
      <c r="J41" s="66">
        <f>+I41+H41</f>
        <v>172500</v>
      </c>
      <c r="K41" s="32">
        <f>J41*E41</f>
        <v>207744165</v>
      </c>
      <c r="L41" s="32">
        <f>+F41*J41</f>
        <v>187548900</v>
      </c>
      <c r="M41" s="32"/>
      <c r="O41" s="103"/>
    </row>
    <row r="42" spans="1:15" s="4" customFormat="1" ht="38.25" customHeight="1" outlineLevel="1">
      <c r="A42" s="27" t="str">
        <f>$A$40&amp;"."&amp;ROW()-ROW($A$40)</f>
        <v>5A.C4.2</v>
      </c>
      <c r="B42" s="28" t="s">
        <v>33</v>
      </c>
      <c r="C42" s="28" t="s">
        <v>515</v>
      </c>
      <c r="D42" s="29" t="s">
        <v>520</v>
      </c>
      <c r="E42" s="31">
        <v>9251.3109999999997</v>
      </c>
      <c r="F42" s="36">
        <v>7289.6390000000001</v>
      </c>
      <c r="G42" s="36"/>
      <c r="H42" s="30">
        <f>_xlfn.XLOOKUP(B42, Rate_Master!$A:$A, Rate_Master!$C:$C, "")</f>
        <v>126499.99999999999</v>
      </c>
      <c r="I42" s="142">
        <f>_xlfn.XLOOKUP(B42, Rate_Master!$A:$A, Rate_Master!$D:$D, "")</f>
        <v>103499.99999999999</v>
      </c>
      <c r="J42" s="66">
        <f>+I42+H42</f>
        <v>229999.99999999997</v>
      </c>
      <c r="K42" s="32">
        <f>J42*E42</f>
        <v>2127801529.9999998</v>
      </c>
      <c r="L42" s="32">
        <f>+F42*J42</f>
        <v>1676616969.9999998</v>
      </c>
      <c r="M42" s="32"/>
      <c r="O42" s="103"/>
    </row>
    <row r="43" spans="1:15" s="4" customFormat="1" ht="25.5" customHeight="1" outlineLevel="1">
      <c r="A43" s="27" t="str">
        <f>$A$40&amp;"."&amp;ROW()-ROW($A$40)</f>
        <v>5A.C4.3</v>
      </c>
      <c r="B43" s="28" t="s">
        <v>34</v>
      </c>
      <c r="C43" s="28" t="s">
        <v>515</v>
      </c>
      <c r="D43" s="29" t="s">
        <v>520</v>
      </c>
      <c r="E43" s="31">
        <v>1080.104</v>
      </c>
      <c r="F43" s="36">
        <v>2054.5630000000001</v>
      </c>
      <c r="G43" s="36"/>
      <c r="H43" s="30">
        <f>_xlfn.XLOOKUP(B43, Rate_Master!$A:$A, Rate_Master!$C:$C, "")</f>
        <v>126499.99999999999</v>
      </c>
      <c r="I43" s="142">
        <f>_xlfn.XLOOKUP(B43, Rate_Master!$A:$A, Rate_Master!$D:$D, "")</f>
        <v>149500</v>
      </c>
      <c r="J43" s="66">
        <f>+I43+H43</f>
        <v>276000</v>
      </c>
      <c r="K43" s="32">
        <f>J43*E43</f>
        <v>298108704</v>
      </c>
      <c r="L43" s="32">
        <f>+F43*J43</f>
        <v>567059388</v>
      </c>
      <c r="M43" s="32"/>
      <c r="O43" s="103"/>
    </row>
    <row r="44" spans="1:15" s="4" customFormat="1" ht="25.5" customHeight="1" outlineLevel="1">
      <c r="A44" s="27" t="str">
        <f>$A$40&amp;"."&amp;ROW()-ROW($A$40)</f>
        <v>5A.C4.4</v>
      </c>
      <c r="B44" s="28" t="s">
        <v>35</v>
      </c>
      <c r="C44" s="28" t="s">
        <v>515</v>
      </c>
      <c r="D44" s="29" t="s">
        <v>520</v>
      </c>
      <c r="E44" s="31">
        <v>486.40699999999998</v>
      </c>
      <c r="F44" s="36">
        <v>2070.7399999999998</v>
      </c>
      <c r="G44" s="36"/>
      <c r="H44" s="30">
        <f>_xlfn.XLOOKUP(B44, Rate_Master!$A:$A, Rate_Master!$C:$C, "")</f>
        <v>126499.99999999999</v>
      </c>
      <c r="I44" s="142">
        <f>_xlfn.XLOOKUP(B44, Rate_Master!$A:$A, Rate_Master!$D:$D, "")</f>
        <v>114999.99999999999</v>
      </c>
      <c r="J44" s="66">
        <f>+I44+H44</f>
        <v>241499.99999999997</v>
      </c>
      <c r="K44" s="32">
        <f>J44*E44</f>
        <v>117467290.49999999</v>
      </c>
      <c r="L44" s="32">
        <f>+F44*J44</f>
        <v>500083709.99999988</v>
      </c>
      <c r="M44" s="32"/>
      <c r="O44" s="103"/>
    </row>
    <row r="45" spans="1:15" s="4" customFormat="1" ht="25.5" customHeight="1" outlineLevel="1">
      <c r="A45" s="27" t="str">
        <f>$A$40&amp;"."&amp;ROW()-ROW($A$40)</f>
        <v>5A.C4.5</v>
      </c>
      <c r="B45" s="28" t="s">
        <v>36</v>
      </c>
      <c r="C45" s="28" t="s">
        <v>515</v>
      </c>
      <c r="D45" s="29" t="s">
        <v>520</v>
      </c>
      <c r="E45" s="31">
        <v>335.21199999999999</v>
      </c>
      <c r="F45" s="36">
        <v>319.2</v>
      </c>
      <c r="G45" s="36"/>
      <c r="H45" s="30">
        <f>_xlfn.XLOOKUP(B45, Rate_Master!$A:$A, Rate_Master!$C:$C, "")</f>
        <v>126499.99999999999</v>
      </c>
      <c r="I45" s="142">
        <f>_xlfn.XLOOKUP(B45, Rate_Master!$A:$A, Rate_Master!$D:$D, "")</f>
        <v>97749.999999999985</v>
      </c>
      <c r="J45" s="66">
        <f>+I45+H45</f>
        <v>224249.99999999997</v>
      </c>
      <c r="K45" s="32">
        <f>J45*E45</f>
        <v>75171290.999999985</v>
      </c>
      <c r="L45" s="32">
        <f>+F45*J45</f>
        <v>71580599.999999985</v>
      </c>
      <c r="M45" s="32"/>
      <c r="O45" s="103"/>
    </row>
    <row r="46" spans="1:15" s="3" customFormat="1" ht="25.5" customHeight="1">
      <c r="A46" s="22" t="str">
        <f>$A$10&amp;5</f>
        <v>5A.C5</v>
      </c>
      <c r="B46" s="23" t="s">
        <v>37</v>
      </c>
      <c r="C46" s="23" t="s">
        <v>515</v>
      </c>
      <c r="D46" s="22"/>
      <c r="E46" s="25"/>
      <c r="F46" s="87"/>
      <c r="G46" s="87"/>
      <c r="H46" s="25">
        <f>_xlfn.XLOOKUP(B46, Rate_Master!$A:$A, Rate_Master!$C:$C, "")</f>
        <v>0</v>
      </c>
      <c r="I46" s="145">
        <f>_xlfn.XLOOKUP(B46, Rate_Master!$A:$A, Rate_Master!$D:$D, "")</f>
        <v>0</v>
      </c>
      <c r="J46" s="26"/>
      <c r="K46" s="26">
        <f>SUBTOTAL(9,K47:K51)</f>
        <v>18221409864.184872</v>
      </c>
      <c r="L46" s="26">
        <f>SUBTOTAL(9,L47:L51)</f>
        <v>19499777595.497532</v>
      </c>
      <c r="M46" s="26"/>
      <c r="O46" s="103"/>
    </row>
    <row r="47" spans="1:15" s="4" customFormat="1" ht="38.25" customHeight="1" outlineLevel="1">
      <c r="A47" s="27" t="str">
        <f>$A$46&amp;"."&amp;ROW()-ROW($A$46)</f>
        <v>5A.C5.1</v>
      </c>
      <c r="B47" s="28" t="s">
        <v>38</v>
      </c>
      <c r="C47" s="28" t="s">
        <v>522</v>
      </c>
      <c r="D47" s="29" t="s">
        <v>523</v>
      </c>
      <c r="E47" s="31">
        <v>862960.57469924598</v>
      </c>
      <c r="F47" s="36">
        <v>862245.25799999991</v>
      </c>
      <c r="G47" s="36"/>
      <c r="H47" s="30">
        <f>_xlfn.XLOOKUP(B47, Rate_Master!$A:$A, Rate_Master!$C:$C, "")</f>
        <v>16770.564999999999</v>
      </c>
      <c r="I47" s="142">
        <f>_xlfn.XLOOKUP(B47, Rate_Master!$A:$A, Rate_Master!$D:$D, "")</f>
        <v>2875</v>
      </c>
      <c r="J47" s="66">
        <f>+I47+H47</f>
        <v>19645.564999999999</v>
      </c>
      <c r="K47" s="32">
        <f>J47*E47</f>
        <v>16953348062.691391</v>
      </c>
      <c r="L47" s="32">
        <f>+F47*J47</f>
        <v>16939295261.980766</v>
      </c>
      <c r="M47" s="32"/>
      <c r="O47" s="103"/>
    </row>
    <row r="48" spans="1:15" s="4" customFormat="1" ht="25.5" customHeight="1" outlineLevel="1">
      <c r="A48" s="27" t="str">
        <f>$A$46&amp;"."&amp;ROW()-ROW($A$46)</f>
        <v>5A.C5.2</v>
      </c>
      <c r="B48" s="28" t="s">
        <v>39</v>
      </c>
      <c r="C48" s="28" t="s">
        <v>522</v>
      </c>
      <c r="D48" s="29" t="s">
        <v>523</v>
      </c>
      <c r="E48" s="31">
        <v>22502.250840189499</v>
      </c>
      <c r="F48" s="36">
        <v>37249.743999999999</v>
      </c>
      <c r="G48" s="36"/>
      <c r="H48" s="30">
        <f>_xlfn.XLOOKUP(B48, Rate_Master!$A:$A, Rate_Master!$C:$C, "")</f>
        <v>16770.564999999999</v>
      </c>
      <c r="I48" s="142">
        <f>_xlfn.XLOOKUP(B48, Rate_Master!$A:$A, Rate_Master!$D:$D, "")</f>
        <v>3679.9999999999995</v>
      </c>
      <c r="J48" s="66">
        <f>+I48+H48</f>
        <v>20450.564999999999</v>
      </c>
      <c r="K48" s="32">
        <f>J48*E48</f>
        <v>460183743.45359993</v>
      </c>
      <c r="L48" s="32">
        <f>+F48*J48</f>
        <v>761778310.90535998</v>
      </c>
      <c r="M48" s="32"/>
      <c r="O48" s="103"/>
    </row>
    <row r="49" spans="1:17" s="4" customFormat="1" ht="25.5" customHeight="1" outlineLevel="1">
      <c r="A49" s="27" t="str">
        <f>$A$46&amp;"."&amp;ROW()-ROW($A$46)</f>
        <v>5A.C5.3</v>
      </c>
      <c r="B49" s="28" t="s">
        <v>40</v>
      </c>
      <c r="C49" s="28" t="s">
        <v>522</v>
      </c>
      <c r="D49" s="29" t="s">
        <v>523</v>
      </c>
      <c r="E49" s="31">
        <v>8755.2108451937202</v>
      </c>
      <c r="F49" s="36">
        <v>13535.788</v>
      </c>
      <c r="G49" s="36"/>
      <c r="H49" s="30">
        <f>_xlfn.XLOOKUP(B49, Rate_Master!$A:$A, Rate_Master!$C:$C, "")</f>
        <v>16770.564999999999</v>
      </c>
      <c r="I49" s="142">
        <f>_xlfn.XLOOKUP(B49, Rate_Master!$A:$A, Rate_Master!$D:$D, "")</f>
        <v>3449.9999999999995</v>
      </c>
      <c r="J49" s="66">
        <f>+I49+H49</f>
        <v>20220.564999999999</v>
      </c>
      <c r="K49" s="32">
        <f>J49*E49</f>
        <v>177035309.98394454</v>
      </c>
      <c r="L49" s="32">
        <f>+F49*J49</f>
        <v>273701281.08021998</v>
      </c>
      <c r="M49" s="32"/>
      <c r="O49" s="103"/>
    </row>
    <row r="50" spans="1:17" s="4" customFormat="1" ht="25.5" customHeight="1" outlineLevel="1">
      <c r="A50" s="27" t="str">
        <f>$A$46&amp;"."&amp;ROW()-ROW($A$46)</f>
        <v>5A.C5.4</v>
      </c>
      <c r="B50" s="28" t="s">
        <v>41</v>
      </c>
      <c r="C50" s="28" t="s">
        <v>522</v>
      </c>
      <c r="D50" s="29" t="s">
        <v>523</v>
      </c>
      <c r="E50" s="31">
        <v>30628.063077085098</v>
      </c>
      <c r="F50" s="36">
        <v>74294.604999999996</v>
      </c>
      <c r="G50" s="36"/>
      <c r="H50" s="30">
        <f>_xlfn.XLOOKUP(B50, Rate_Master!$A:$A, Rate_Master!$C:$C, "")</f>
        <v>16770.564999999999</v>
      </c>
      <c r="I50" s="142">
        <f>_xlfn.XLOOKUP(B50, Rate_Master!$A:$A, Rate_Master!$D:$D, "")</f>
        <v>3679.9999999999995</v>
      </c>
      <c r="J50" s="66">
        <f>+I50+H50</f>
        <v>20450.564999999999</v>
      </c>
      <c r="K50" s="32">
        <f>J50*E50</f>
        <v>626361194.78202879</v>
      </c>
      <c r="L50" s="32">
        <f>+F50*J50</f>
        <v>1519366648.7018249</v>
      </c>
      <c r="M50" s="32"/>
      <c r="O50" s="103"/>
    </row>
    <row r="51" spans="1:17" s="4" customFormat="1" ht="25.5" customHeight="1" outlineLevel="1">
      <c r="A51" s="27" t="str">
        <f>$A$46&amp;"."&amp;ROW()-ROW($A$46)</f>
        <v>5A.C5.5</v>
      </c>
      <c r="B51" s="28" t="s">
        <v>42</v>
      </c>
      <c r="C51" s="28" t="s">
        <v>524</v>
      </c>
      <c r="D51" s="29" t="s">
        <v>523</v>
      </c>
      <c r="E51" s="31">
        <v>210.5532</v>
      </c>
      <c r="F51" s="36">
        <v>264.79599999999999</v>
      </c>
      <c r="G51" s="36"/>
      <c r="H51" s="30">
        <f>_xlfn.XLOOKUP(B51, Rate_Master!$A:$A, Rate_Master!$C:$C, "")</f>
        <v>17834.66</v>
      </c>
      <c r="I51" s="142">
        <f>_xlfn.XLOOKUP(B51, Rate_Master!$A:$A, Rate_Master!$D:$D, "")</f>
        <v>3449.9999999999995</v>
      </c>
      <c r="J51" s="66">
        <f>+I51+H51</f>
        <v>21284.66</v>
      </c>
      <c r="K51" s="32">
        <f>J51*E51</f>
        <v>4481553.2739120005</v>
      </c>
      <c r="L51" s="32">
        <f>+F51*J51</f>
        <v>5636092.8293599999</v>
      </c>
      <c r="M51" s="32"/>
      <c r="O51" s="103"/>
    </row>
    <row r="52" spans="1:17" s="3" customFormat="1" ht="25.5" customHeight="1">
      <c r="A52" s="22" t="str">
        <f>$A$10&amp;6</f>
        <v>5A.C6</v>
      </c>
      <c r="B52" s="23" t="s">
        <v>43</v>
      </c>
      <c r="C52" s="23" t="s">
        <v>515</v>
      </c>
      <c r="D52" s="22"/>
      <c r="E52" s="25"/>
      <c r="F52" s="87"/>
      <c r="G52" s="87"/>
      <c r="H52" s="25">
        <f>_xlfn.XLOOKUP(B52, Rate_Master!$A:$A, Rate_Master!$C:$C, "")</f>
        <v>0</v>
      </c>
      <c r="I52" s="145">
        <f>_xlfn.XLOOKUP(B52, Rate_Master!$A:$A, Rate_Master!$D:$D, "")</f>
        <v>0</v>
      </c>
      <c r="J52" s="26">
        <f>H52+I52</f>
        <v>0</v>
      </c>
      <c r="K52" s="26">
        <f>SUBTOTAL(9,K53:K55)</f>
        <v>938335273.4000001</v>
      </c>
      <c r="L52" s="26">
        <f>SUBTOTAL(9,L53:L55)</f>
        <v>783490899.10000002</v>
      </c>
      <c r="M52" s="26"/>
      <c r="O52" s="103"/>
    </row>
    <row r="53" spans="1:17" s="4" customFormat="1" ht="25.5" customHeight="1" outlineLevel="1">
      <c r="A53" s="27" t="str">
        <f>$A$52&amp;"."&amp;ROW()-ROW($A$52)</f>
        <v>5A.C6.1</v>
      </c>
      <c r="B53" s="28" t="s">
        <v>44</v>
      </c>
      <c r="C53" s="28" t="s">
        <v>515</v>
      </c>
      <c r="D53" s="29" t="s">
        <v>520</v>
      </c>
      <c r="E53" s="31">
        <v>17323.972000000002</v>
      </c>
      <c r="F53" s="36">
        <v>15140.503000000001</v>
      </c>
      <c r="G53" s="36"/>
      <c r="H53" s="30">
        <f>_xlfn.XLOOKUP(B53, Rate_Master!$A:$A, Rate_Master!$C:$C, "")</f>
        <v>14949.999999999998</v>
      </c>
      <c r="I53" s="142">
        <f>_xlfn.XLOOKUP(B53, Rate_Master!$A:$A, Rate_Master!$D:$D, "")</f>
        <v>17250</v>
      </c>
      <c r="J53" s="32">
        <f>+I53+H53</f>
        <v>32200</v>
      </c>
      <c r="K53" s="32">
        <f>J53*E53</f>
        <v>557831898.4000001</v>
      </c>
      <c r="L53" s="32">
        <f>+F53*J53</f>
        <v>487524196.60000002</v>
      </c>
      <c r="M53" s="32"/>
      <c r="O53" s="103"/>
    </row>
    <row r="54" spans="1:17" s="4" customFormat="1" ht="51" customHeight="1" outlineLevel="1">
      <c r="A54" s="27" t="str">
        <f>$A$52&amp;"."&amp;ROW()-ROW($A$52)</f>
        <v>5A.C6.2</v>
      </c>
      <c r="B54" s="34" t="s">
        <v>45</v>
      </c>
      <c r="C54" s="28" t="s">
        <v>515</v>
      </c>
      <c r="D54" s="29" t="s">
        <v>517</v>
      </c>
      <c r="E54" s="31">
        <v>13163.7</v>
      </c>
      <c r="F54" s="36">
        <v>10229.701999999999</v>
      </c>
      <c r="G54" s="36"/>
      <c r="H54" s="30">
        <f>_xlfn.XLOOKUP(B54, Rate_Master!$A:$A, Rate_Master!$C:$C, "")</f>
        <v>5750</v>
      </c>
      <c r="I54" s="142">
        <f>_xlfn.XLOOKUP(B54, Rate_Master!$A:$A, Rate_Master!$D:$D, "")</f>
        <v>23000</v>
      </c>
      <c r="J54" s="32">
        <f>+I54+H54</f>
        <v>28750</v>
      </c>
      <c r="K54" s="32">
        <f>J54*E54</f>
        <v>378456375</v>
      </c>
      <c r="L54" s="32">
        <f>+F54*J54</f>
        <v>294103932.5</v>
      </c>
      <c r="M54" s="32"/>
      <c r="O54" s="103"/>
    </row>
    <row r="55" spans="1:17" s="4" customFormat="1" ht="38.25" customHeight="1" outlineLevel="1">
      <c r="A55" s="27" t="str">
        <f>$A$52&amp;"."&amp;ROW()-ROW($A$52)</f>
        <v>5A.C6.3</v>
      </c>
      <c r="B55" s="28" t="s">
        <v>46</v>
      </c>
      <c r="C55" s="28" t="s">
        <v>515</v>
      </c>
      <c r="D55" s="29" t="s">
        <v>517</v>
      </c>
      <c r="E55" s="31">
        <v>8.9</v>
      </c>
      <c r="F55" s="36">
        <v>8.0990000000000002</v>
      </c>
      <c r="G55" s="36"/>
      <c r="H55" s="30">
        <f>_xlfn.XLOOKUP(B55, Rate_Master!$A:$A, Rate_Master!$C:$C, "")</f>
        <v>172500</v>
      </c>
      <c r="I55" s="142">
        <f>_xlfn.XLOOKUP(B55, Rate_Master!$A:$A, Rate_Master!$D:$D, "")</f>
        <v>57499.999999999993</v>
      </c>
      <c r="J55" s="32">
        <f>+I55+H55</f>
        <v>230000</v>
      </c>
      <c r="K55" s="32">
        <f>J55*E55</f>
        <v>2047000</v>
      </c>
      <c r="L55" s="32">
        <f>+F55*J55</f>
        <v>1862770</v>
      </c>
      <c r="M55" s="32"/>
      <c r="O55" s="103"/>
    </row>
    <row r="56" spans="1:17" s="3" customFormat="1" ht="25.5" customHeight="1">
      <c r="A56" s="22" t="str">
        <f>$A$9&amp;".S"</f>
        <v>5A.S</v>
      </c>
      <c r="B56" s="23" t="s">
        <v>47</v>
      </c>
      <c r="C56" s="23" t="s">
        <v>515</v>
      </c>
      <c r="D56" s="22"/>
      <c r="E56" s="25"/>
      <c r="F56" s="87"/>
      <c r="G56" s="87"/>
      <c r="H56" s="25">
        <f>_xlfn.XLOOKUP(B56, Rate_Master!$A:$A, Rate_Master!$C:$C, "")</f>
        <v>0</v>
      </c>
      <c r="I56" s="145">
        <f>_xlfn.XLOOKUP(B56, Rate_Master!$A:$A, Rate_Master!$D:$D, "")</f>
        <v>0</v>
      </c>
      <c r="J56" s="68"/>
      <c r="K56" s="68"/>
      <c r="L56" s="68"/>
      <c r="M56" s="26"/>
    </row>
    <row r="57" spans="1:17" s="3" customFormat="1" ht="25.5" customHeight="1">
      <c r="A57" s="22" t="str">
        <f>$A$56&amp;1</f>
        <v>5A.S1</v>
      </c>
      <c r="B57" s="23" t="s">
        <v>48</v>
      </c>
      <c r="C57" s="23" t="s">
        <v>515</v>
      </c>
      <c r="D57" s="22"/>
      <c r="E57" s="25"/>
      <c r="F57" s="87"/>
      <c r="G57" s="87"/>
      <c r="H57" s="25">
        <f>_xlfn.XLOOKUP(B57, Rate_Master!$A:$A, Rate_Master!$C:$C, "")</f>
        <v>0</v>
      </c>
      <c r="I57" s="145">
        <f>_xlfn.XLOOKUP(B57, Rate_Master!$A:$A, Rate_Master!$D:$D, "")</f>
        <v>0</v>
      </c>
      <c r="J57" s="68"/>
      <c r="K57" s="68">
        <f>SUBTOTAL(9,K58:K72)</f>
        <v>17628013175.340603</v>
      </c>
      <c r="L57" s="68">
        <f>SUBTOTAL(9,L58:L72)</f>
        <v>14195894333.838333</v>
      </c>
      <c r="M57" s="26"/>
    </row>
    <row r="58" spans="1:17" s="4" customFormat="1" ht="51" customHeight="1" outlineLevel="1">
      <c r="A58" s="27" t="str">
        <f t="shared" ref="A58:A72" si="12">$A$57&amp;"."&amp;ROW()-ROW($A$57)</f>
        <v>5A.S1.1</v>
      </c>
      <c r="B58" s="28" t="s">
        <v>49</v>
      </c>
      <c r="C58" s="28" t="s">
        <v>525</v>
      </c>
      <c r="D58" s="29" t="s">
        <v>523</v>
      </c>
      <c r="E58" s="31">
        <v>425386.22108694998</v>
      </c>
      <c r="F58" s="36">
        <v>332381.52325239987</v>
      </c>
      <c r="G58" s="36"/>
      <c r="H58" s="101">
        <f>_xlfn.XLOOKUP(B58, Rate_Master!$A:$A, Rate_Master!$C:$C, "")</f>
        <v>20475</v>
      </c>
      <c r="I58" s="101">
        <f>_xlfn.XLOOKUP(B58, Rate_Master!$A:$A, Rate_Master!$D:$D, "")</f>
        <v>0</v>
      </c>
      <c r="J58" s="67">
        <f t="shared" ref="J58:J72" si="13">+SUM(H58:I58)</f>
        <v>20475</v>
      </c>
      <c r="K58" s="32">
        <f t="shared" ref="K58:K72" si="14">J58*E58</f>
        <v>8709782876.7553005</v>
      </c>
      <c r="L58" s="58">
        <f t="shared" ref="L58:L72" si="15">+F58*J58</f>
        <v>6805511688.5928869</v>
      </c>
      <c r="M58" s="32"/>
      <c r="O58" s="115"/>
      <c r="P58" s="115"/>
      <c r="Q58" s="115"/>
    </row>
    <row r="59" spans="1:17" s="4" customFormat="1" ht="76.5" customHeight="1" outlineLevel="1">
      <c r="A59" s="27" t="str">
        <f t="shared" si="12"/>
        <v>5A.S1.2</v>
      </c>
      <c r="B59" s="28" t="s">
        <v>50</v>
      </c>
      <c r="C59" s="28" t="s">
        <v>526</v>
      </c>
      <c r="D59" s="29" t="s">
        <v>523</v>
      </c>
      <c r="E59" s="31">
        <v>73517.272945000004</v>
      </c>
      <c r="F59" s="36">
        <v>58745.749375999992</v>
      </c>
      <c r="G59" s="36"/>
      <c r="H59" s="101">
        <f>_xlfn.XLOOKUP(B59, Rate_Master!$A:$A, Rate_Master!$C:$C, "")</f>
        <v>26775</v>
      </c>
      <c r="I59" s="101">
        <f>_xlfn.XLOOKUP(B59, Rate_Master!$A:$A, Rate_Master!$D:$D, "")</f>
        <v>0</v>
      </c>
      <c r="J59" s="67">
        <f t="shared" si="13"/>
        <v>26775</v>
      </c>
      <c r="K59" s="32">
        <f t="shared" si="14"/>
        <v>1968424983.102375</v>
      </c>
      <c r="L59" s="58">
        <f t="shared" si="15"/>
        <v>1572917439.5423999</v>
      </c>
      <c r="M59" s="32"/>
      <c r="O59" s="115"/>
      <c r="P59" s="115"/>
      <c r="Q59" s="115"/>
    </row>
    <row r="60" spans="1:17" s="4" customFormat="1" ht="76.5" customHeight="1" outlineLevel="1">
      <c r="A60" s="27" t="str">
        <f t="shared" si="12"/>
        <v>5A.S1.3</v>
      </c>
      <c r="B60" s="28" t="s">
        <v>51</v>
      </c>
      <c r="C60" s="28" t="s">
        <v>527</v>
      </c>
      <c r="D60" s="29" t="s">
        <v>523</v>
      </c>
      <c r="E60" s="31">
        <v>4184.1518683808399</v>
      </c>
      <c r="F60" s="36">
        <v>3493.2436000000012</v>
      </c>
      <c r="G60" s="36"/>
      <c r="H60" s="101">
        <f>_xlfn.XLOOKUP(B60, Rate_Master!$A:$A, Rate_Master!$C:$C, "")</f>
        <v>36750</v>
      </c>
      <c r="I60" s="101">
        <f>_xlfn.XLOOKUP(B60, Rate_Master!$A:$A, Rate_Master!$D:$D, "")</f>
        <v>0</v>
      </c>
      <c r="J60" s="67">
        <f t="shared" si="13"/>
        <v>36750</v>
      </c>
      <c r="K60" s="32">
        <f t="shared" si="14"/>
        <v>153767581.16299587</v>
      </c>
      <c r="L60" s="58">
        <f t="shared" si="15"/>
        <v>128376702.30000004</v>
      </c>
      <c r="M60" s="32"/>
      <c r="O60" s="115"/>
      <c r="P60" s="115"/>
      <c r="Q60" s="115"/>
    </row>
    <row r="61" spans="1:17" s="4" customFormat="1" ht="76.5" customHeight="1" outlineLevel="1">
      <c r="A61" s="27" t="str">
        <f t="shared" si="12"/>
        <v>5A.S1.4</v>
      </c>
      <c r="B61" s="28" t="s">
        <v>52</v>
      </c>
      <c r="C61" s="28" t="s">
        <v>527</v>
      </c>
      <c r="D61" s="29" t="s">
        <v>523</v>
      </c>
      <c r="E61" s="31">
        <v>11558.34</v>
      </c>
      <c r="F61" s="36">
        <v>7960.1183999999994</v>
      </c>
      <c r="G61" s="36"/>
      <c r="H61" s="101">
        <f>_xlfn.XLOOKUP(B61, Rate_Master!$A:$A, Rate_Master!$C:$C, "")</f>
        <v>26775</v>
      </c>
      <c r="I61" s="101">
        <f>_xlfn.XLOOKUP(B61, Rate_Master!$A:$A, Rate_Master!$D:$D, "")</f>
        <v>0</v>
      </c>
      <c r="J61" s="67">
        <f t="shared" si="13"/>
        <v>26775</v>
      </c>
      <c r="K61" s="32">
        <f t="shared" si="14"/>
        <v>309474553.5</v>
      </c>
      <c r="L61" s="58">
        <f t="shared" si="15"/>
        <v>213132170.16</v>
      </c>
      <c r="M61" s="32"/>
      <c r="O61" s="115"/>
      <c r="P61" s="115"/>
      <c r="Q61" s="115"/>
    </row>
    <row r="62" spans="1:17" s="4" customFormat="1" ht="25.5" customHeight="1" outlineLevel="1">
      <c r="A62" s="27" t="str">
        <f t="shared" si="12"/>
        <v>5A.S1.5</v>
      </c>
      <c r="B62" s="28" t="s">
        <v>53</v>
      </c>
      <c r="C62" s="28" t="s">
        <v>528</v>
      </c>
      <c r="D62" s="29" t="s">
        <v>523</v>
      </c>
      <c r="E62" s="31">
        <v>97387.304099999994</v>
      </c>
      <c r="F62" s="36">
        <v>90183.120459999991</v>
      </c>
      <c r="G62" s="36"/>
      <c r="H62" s="101">
        <f>_xlfn.XLOOKUP(B62, Rate_Master!$A:$A, Rate_Master!$C:$C, "")</f>
        <v>22365</v>
      </c>
      <c r="I62" s="101">
        <f>_xlfn.XLOOKUP(B62, Rate_Master!$A:$A, Rate_Master!$D:$D, "")</f>
        <v>0</v>
      </c>
      <c r="J62" s="67">
        <f t="shared" si="13"/>
        <v>22365</v>
      </c>
      <c r="K62" s="32">
        <f t="shared" si="14"/>
        <v>2178067056.1964998</v>
      </c>
      <c r="L62" s="58">
        <f t="shared" si="15"/>
        <v>2016945489.0878997</v>
      </c>
      <c r="M62" s="32"/>
      <c r="O62" s="115"/>
      <c r="P62" s="115"/>
      <c r="Q62" s="115"/>
    </row>
    <row r="63" spans="1:17" s="4" customFormat="1" ht="38.25" customHeight="1" outlineLevel="1">
      <c r="A63" s="27" t="str">
        <f t="shared" si="12"/>
        <v>5A.S1.6</v>
      </c>
      <c r="B63" s="28" t="s">
        <v>54</v>
      </c>
      <c r="C63" s="28" t="s">
        <v>529</v>
      </c>
      <c r="D63" s="29" t="s">
        <v>523</v>
      </c>
      <c r="E63" s="31">
        <v>10105.959626047799</v>
      </c>
      <c r="F63" s="36">
        <v>6859.9680000000017</v>
      </c>
      <c r="G63" s="36"/>
      <c r="H63" s="101">
        <f>_xlfn.XLOOKUP(B63, Rate_Master!$A:$A, Rate_Master!$C:$C, "")</f>
        <v>36750</v>
      </c>
      <c r="I63" s="101">
        <f>_xlfn.XLOOKUP(B63, Rate_Master!$A:$A, Rate_Master!$D:$D, "")</f>
        <v>0</v>
      </c>
      <c r="J63" s="67">
        <f t="shared" si="13"/>
        <v>36750</v>
      </c>
      <c r="K63" s="32">
        <f t="shared" si="14"/>
        <v>371394016.25725663</v>
      </c>
      <c r="L63" s="58">
        <f t="shared" si="15"/>
        <v>252103824.00000006</v>
      </c>
      <c r="M63" s="32"/>
      <c r="O63" s="115"/>
      <c r="P63" s="115"/>
      <c r="Q63" s="115"/>
    </row>
    <row r="64" spans="1:17" s="4" customFormat="1" ht="25.5" customHeight="1" outlineLevel="1">
      <c r="A64" s="27" t="str">
        <f t="shared" si="12"/>
        <v>5A.S1.7</v>
      </c>
      <c r="B64" s="28" t="s">
        <v>55</v>
      </c>
      <c r="C64" s="28" t="s">
        <v>530</v>
      </c>
      <c r="D64" s="29" t="s">
        <v>523</v>
      </c>
      <c r="E64" s="31">
        <v>7200.3968000000004</v>
      </c>
      <c r="F64" s="36">
        <v>7394.2588174462871</v>
      </c>
      <c r="G64" s="36"/>
      <c r="H64" s="101">
        <f>_xlfn.XLOOKUP(B64, Rate_Master!$A:$A, Rate_Master!$C:$C, "")</f>
        <v>27930</v>
      </c>
      <c r="I64" s="101">
        <f>_xlfn.XLOOKUP(B64, Rate_Master!$A:$A, Rate_Master!$D:$D, "")</f>
        <v>0</v>
      </c>
      <c r="J64" s="67">
        <f t="shared" si="13"/>
        <v>27930</v>
      </c>
      <c r="K64" s="32">
        <f t="shared" si="14"/>
        <v>201107082.62400001</v>
      </c>
      <c r="L64" s="58">
        <f t="shared" si="15"/>
        <v>206521648.77127481</v>
      </c>
      <c r="M64" s="32"/>
      <c r="O64" s="115"/>
      <c r="P64" s="115"/>
      <c r="Q64" s="115"/>
    </row>
    <row r="65" spans="1:17" s="4" customFormat="1" ht="25.5" customHeight="1" outlineLevel="1">
      <c r="A65" s="27" t="str">
        <f t="shared" si="12"/>
        <v>5A.S1.8</v>
      </c>
      <c r="B65" s="28" t="s">
        <v>56</v>
      </c>
      <c r="C65" s="28" t="s">
        <v>531</v>
      </c>
      <c r="D65" s="29" t="s">
        <v>523</v>
      </c>
      <c r="E65" s="31">
        <v>11404.2</v>
      </c>
      <c r="F65" s="36">
        <v>8557.1999999999989</v>
      </c>
      <c r="G65" s="36"/>
      <c r="H65" s="101">
        <f>_xlfn.XLOOKUP(B65, Rate_Master!$A:$A, Rate_Master!$C:$C, "")</f>
        <v>52500</v>
      </c>
      <c r="I65" s="101">
        <f>_xlfn.XLOOKUP(B65, Rate_Master!$A:$A, Rate_Master!$D:$D, "")</f>
        <v>0</v>
      </c>
      <c r="J65" s="67">
        <f t="shared" si="13"/>
        <v>52500</v>
      </c>
      <c r="K65" s="32">
        <f t="shared" si="14"/>
        <v>598720500</v>
      </c>
      <c r="L65" s="58">
        <f t="shared" si="15"/>
        <v>449252999.99999994</v>
      </c>
      <c r="M65" s="32"/>
      <c r="O65" s="115"/>
      <c r="P65" s="115"/>
      <c r="Q65" s="115"/>
    </row>
    <row r="66" spans="1:17" s="4" customFormat="1" ht="25.5" customHeight="1" outlineLevel="1">
      <c r="A66" s="27" t="str">
        <f t="shared" si="12"/>
        <v>5A.S1.9</v>
      </c>
      <c r="B66" s="28" t="s">
        <v>57</v>
      </c>
      <c r="C66" s="28" t="s">
        <v>532</v>
      </c>
      <c r="D66" s="29" t="s">
        <v>523</v>
      </c>
      <c r="E66" s="31">
        <v>4656.66</v>
      </c>
      <c r="F66" s="36">
        <v>3840.9560000000001</v>
      </c>
      <c r="G66" s="36"/>
      <c r="H66" s="101">
        <f>_xlfn.XLOOKUP(B66, Rate_Master!$A:$A, Rate_Master!$C:$C, "")</f>
        <v>60900</v>
      </c>
      <c r="I66" s="101">
        <f>_xlfn.XLOOKUP(B66, Rate_Master!$A:$A, Rate_Master!$D:$D, "")</f>
        <v>0</v>
      </c>
      <c r="J66" s="67">
        <f t="shared" si="13"/>
        <v>60900</v>
      </c>
      <c r="K66" s="32">
        <f t="shared" si="14"/>
        <v>283590594</v>
      </c>
      <c r="L66" s="58">
        <f t="shared" si="15"/>
        <v>233914220.40000001</v>
      </c>
      <c r="M66" s="32"/>
      <c r="O66" s="115"/>
      <c r="P66" s="115"/>
      <c r="Q66" s="115"/>
    </row>
    <row r="67" spans="1:17" s="4" customFormat="1" ht="25.5" customHeight="1" outlineLevel="1">
      <c r="A67" s="27" t="str">
        <f t="shared" si="12"/>
        <v>5A.S1.10</v>
      </c>
      <c r="B67" s="28" t="s">
        <v>58</v>
      </c>
      <c r="C67" s="28" t="s">
        <v>533</v>
      </c>
      <c r="D67" s="29" t="s">
        <v>523</v>
      </c>
      <c r="E67" s="31">
        <v>1621.72</v>
      </c>
      <c r="F67" s="36">
        <v>887.47799999999995</v>
      </c>
      <c r="G67" s="36"/>
      <c r="H67" s="101">
        <f>_xlfn.XLOOKUP(B67, Rate_Master!$A:$A, Rate_Master!$C:$C, "")</f>
        <v>60900</v>
      </c>
      <c r="I67" s="101">
        <f>_xlfn.XLOOKUP(B67, Rate_Master!$A:$A, Rate_Master!$D:$D, "")</f>
        <v>0</v>
      </c>
      <c r="J67" s="67">
        <f t="shared" si="13"/>
        <v>60900</v>
      </c>
      <c r="K67" s="32">
        <f t="shared" si="14"/>
        <v>98762748</v>
      </c>
      <c r="L67" s="58">
        <f t="shared" si="15"/>
        <v>54047410.199999996</v>
      </c>
      <c r="M67" s="32"/>
      <c r="O67" s="115"/>
      <c r="P67" s="115"/>
      <c r="Q67" s="115"/>
    </row>
    <row r="68" spans="1:17" s="4" customFormat="1" ht="25.5" customHeight="1" outlineLevel="1">
      <c r="A68" s="27" t="str">
        <f t="shared" si="12"/>
        <v>5A.S1.11</v>
      </c>
      <c r="B68" s="28" t="s">
        <v>59</v>
      </c>
      <c r="C68" s="28" t="s">
        <v>534</v>
      </c>
      <c r="D68" s="29" t="s">
        <v>518</v>
      </c>
      <c r="E68" s="31">
        <v>6551</v>
      </c>
      <c r="F68" s="36">
        <v>5780</v>
      </c>
      <c r="G68" s="36"/>
      <c r="H68" s="101">
        <f>_xlfn.XLOOKUP(B68, Rate_Master!$A:$A, Rate_Master!$C:$C, "")</f>
        <v>21000</v>
      </c>
      <c r="I68" s="101">
        <f>_xlfn.XLOOKUP(B68, Rate_Master!$A:$A, Rate_Master!$D:$D, "")</f>
        <v>0</v>
      </c>
      <c r="J68" s="67">
        <f t="shared" si="13"/>
        <v>21000</v>
      </c>
      <c r="K68" s="32">
        <f t="shared" si="14"/>
        <v>137571000</v>
      </c>
      <c r="L68" s="58">
        <f t="shared" si="15"/>
        <v>121380000</v>
      </c>
      <c r="M68" s="32"/>
      <c r="O68" s="115"/>
      <c r="P68" s="115"/>
      <c r="Q68" s="115"/>
    </row>
    <row r="69" spans="1:17" s="4" customFormat="1" ht="25.5" customHeight="1" outlineLevel="1">
      <c r="A69" s="27" t="str">
        <f t="shared" si="12"/>
        <v>5A.S1.12</v>
      </c>
      <c r="B69" s="28" t="s">
        <v>60</v>
      </c>
      <c r="C69" s="28" t="s">
        <v>515</v>
      </c>
      <c r="D69" s="29" t="s">
        <v>523</v>
      </c>
      <c r="E69" s="31">
        <v>11404.2</v>
      </c>
      <c r="F69" s="36">
        <v>8557.1999999999989</v>
      </c>
      <c r="G69" s="36"/>
      <c r="H69" s="101">
        <f>_xlfn.XLOOKUP(B69, Rate_Master!$A:$A, Rate_Master!$C:$C, "")</f>
        <v>630</v>
      </c>
      <c r="I69" s="101">
        <f>_xlfn.XLOOKUP(B69, Rate_Master!$A:$A, Rate_Master!$D:$D, "")</f>
        <v>0</v>
      </c>
      <c r="J69" s="67">
        <f t="shared" si="13"/>
        <v>630</v>
      </c>
      <c r="K69" s="32">
        <f t="shared" si="14"/>
        <v>7184646</v>
      </c>
      <c r="L69" s="58">
        <f t="shared" si="15"/>
        <v>5391035.9999999991</v>
      </c>
      <c r="M69" s="32"/>
      <c r="O69" s="115"/>
      <c r="P69" s="115"/>
      <c r="Q69" s="115"/>
    </row>
    <row r="70" spans="1:17" s="4" customFormat="1" ht="25.5" customHeight="1" outlineLevel="1">
      <c r="A70" s="27" t="str">
        <f t="shared" si="12"/>
        <v>5A.S1.13</v>
      </c>
      <c r="B70" s="28" t="s">
        <v>61</v>
      </c>
      <c r="C70" s="28" t="s">
        <v>515</v>
      </c>
      <c r="D70" s="29" t="s">
        <v>523</v>
      </c>
      <c r="E70" s="31">
        <v>629339.64642637898</v>
      </c>
      <c r="F70" s="36">
        <v>511746.41590584622</v>
      </c>
      <c r="G70" s="36"/>
      <c r="H70" s="101">
        <f>_xlfn.XLOOKUP(B70, Rate_Master!$A:$A, Rate_Master!$C:$C, "")</f>
        <v>630</v>
      </c>
      <c r="I70" s="101">
        <f>_xlfn.XLOOKUP(B70, Rate_Master!$A:$A, Rate_Master!$D:$D, "")</f>
        <v>0</v>
      </c>
      <c r="J70" s="67">
        <f t="shared" si="13"/>
        <v>630</v>
      </c>
      <c r="K70" s="32">
        <f t="shared" si="14"/>
        <v>396483977.24861878</v>
      </c>
      <c r="L70" s="58">
        <f t="shared" si="15"/>
        <v>322400242.02068311</v>
      </c>
      <c r="M70" s="32"/>
      <c r="O70" s="115"/>
      <c r="P70" s="115"/>
      <c r="Q70" s="115"/>
    </row>
    <row r="71" spans="1:17" s="4" customFormat="1" ht="25.5" customHeight="1" outlineLevel="1">
      <c r="A71" s="27" t="str">
        <f t="shared" si="12"/>
        <v>5A.S1.14</v>
      </c>
      <c r="B71" s="28" t="s">
        <v>62</v>
      </c>
      <c r="C71" s="28" t="s">
        <v>515</v>
      </c>
      <c r="D71" s="29" t="s">
        <v>518</v>
      </c>
      <c r="E71" s="31">
        <v>1374</v>
      </c>
      <c r="F71" s="36">
        <v>1170</v>
      </c>
      <c r="G71" s="36"/>
      <c r="H71" s="101">
        <f>_xlfn.XLOOKUP(B71, Rate_Master!$A:$A, Rate_Master!$C:$C, "")</f>
        <v>0</v>
      </c>
      <c r="I71" s="101">
        <f>_xlfn.XLOOKUP(B71, Rate_Master!$A:$A, Rate_Master!$D:$D, "")</f>
        <v>264500</v>
      </c>
      <c r="J71" s="67">
        <f t="shared" si="13"/>
        <v>264500</v>
      </c>
      <c r="K71" s="32">
        <f t="shared" si="14"/>
        <v>363423000</v>
      </c>
      <c r="L71" s="58">
        <f t="shared" si="15"/>
        <v>309465000</v>
      </c>
      <c r="M71" s="32"/>
      <c r="O71" s="115"/>
      <c r="P71" s="115"/>
      <c r="Q71" s="115"/>
    </row>
    <row r="72" spans="1:17" s="4" customFormat="1" ht="25.5" customHeight="1" outlineLevel="1">
      <c r="A72" s="27" t="str">
        <f t="shared" si="12"/>
        <v>5A.S1.15</v>
      </c>
      <c r="B72" s="28" t="s">
        <v>63</v>
      </c>
      <c r="C72" s="28" t="s">
        <v>515</v>
      </c>
      <c r="D72" s="29" t="s">
        <v>523</v>
      </c>
      <c r="E72" s="31">
        <v>629339.64642637898</v>
      </c>
      <c r="F72" s="36">
        <v>511746.41590584622</v>
      </c>
      <c r="G72" s="36"/>
      <c r="H72" s="101">
        <f>_xlfn.XLOOKUP(B72, Rate_Master!$A:$A, Rate_Master!$C:$C, "")</f>
        <v>2940</v>
      </c>
      <c r="I72" s="101">
        <f>_xlfn.XLOOKUP(B72, Rate_Master!$A:$A, Rate_Master!$D:$D, "")</f>
        <v>0</v>
      </c>
      <c r="J72" s="67">
        <f t="shared" si="13"/>
        <v>2940</v>
      </c>
      <c r="K72" s="32">
        <f t="shared" si="14"/>
        <v>1850258560.4935541</v>
      </c>
      <c r="L72" s="58">
        <f t="shared" si="15"/>
        <v>1504534462.7631879</v>
      </c>
      <c r="M72" s="32"/>
      <c r="O72" s="115"/>
      <c r="P72" s="115"/>
      <c r="Q72" s="115"/>
    </row>
    <row r="73" spans="1:17" s="3" customFormat="1" ht="25.5" customHeight="1">
      <c r="A73" s="22" t="str">
        <f>$A$56&amp;2</f>
        <v>5A.S2</v>
      </c>
      <c r="B73" s="23" t="s">
        <v>64</v>
      </c>
      <c r="C73" s="23" t="s">
        <v>515</v>
      </c>
      <c r="D73" s="22"/>
      <c r="E73" s="25"/>
      <c r="F73" s="87"/>
      <c r="G73" s="87"/>
      <c r="H73" s="25">
        <f>_xlfn.XLOOKUP(B73, Rate_Master!$A:$A, Rate_Master!$C:$C, "")</f>
        <v>0</v>
      </c>
      <c r="I73" s="145">
        <f>_xlfn.XLOOKUP(B73, Rate_Master!$A:$A, Rate_Master!$D:$D, "")</f>
        <v>0</v>
      </c>
      <c r="J73" s="68"/>
      <c r="K73" s="68">
        <f>SUBTOTAL(9,K74:K78)</f>
        <v>0</v>
      </c>
      <c r="L73" s="68">
        <f>SUBTOTAL(9,L74:L78)</f>
        <v>0</v>
      </c>
      <c r="M73" s="26"/>
      <c r="O73" s="115"/>
      <c r="P73" s="115"/>
      <c r="Q73" s="115"/>
    </row>
    <row r="74" spans="1:17" s="4" customFormat="1" ht="25.5" customHeight="1" outlineLevel="1">
      <c r="A74" s="37" t="str">
        <f>$A$73&amp;"."&amp;ROW()-ROW($A$73)</f>
        <v>5A.S2.1</v>
      </c>
      <c r="B74" s="38" t="s">
        <v>65</v>
      </c>
      <c r="C74" s="38" t="s">
        <v>535</v>
      </c>
      <c r="D74" s="39" t="s">
        <v>520</v>
      </c>
      <c r="E74" s="40">
        <v>0</v>
      </c>
      <c r="F74" s="88"/>
      <c r="G74" s="88"/>
      <c r="H74" s="42">
        <f>_xlfn.XLOOKUP(B74, Rate_Master!$A:$A, Rate_Master!$C:$C, "")</f>
        <v>0</v>
      </c>
      <c r="I74" s="161">
        <f>_xlfn.XLOOKUP(B74, Rate_Master!$A:$A, Rate_Master!$D:$D, "")</f>
        <v>0</v>
      </c>
      <c r="J74" s="67">
        <f>+SUM(H74:I74)</f>
        <v>0</v>
      </c>
      <c r="K74" s="68">
        <f>J74*E74</f>
        <v>0</v>
      </c>
      <c r="L74" s="68"/>
      <c r="M74" s="41"/>
      <c r="O74" s="115"/>
      <c r="P74" s="115"/>
      <c r="Q74" s="115"/>
    </row>
    <row r="75" spans="1:17" s="4" customFormat="1" ht="25.5" customHeight="1" outlineLevel="1">
      <c r="A75" s="37" t="str">
        <f>$A$73&amp;"."&amp;ROW()-ROW($A$73)</f>
        <v>5A.S2.2</v>
      </c>
      <c r="B75" s="38" t="s">
        <v>66</v>
      </c>
      <c r="C75" s="38" t="s">
        <v>536</v>
      </c>
      <c r="D75" s="39" t="s">
        <v>518</v>
      </c>
      <c r="E75" s="40">
        <v>0</v>
      </c>
      <c r="F75" s="88"/>
      <c r="G75" s="88"/>
      <c r="H75" s="42">
        <f>_xlfn.XLOOKUP(B75, Rate_Master!$A:$A, Rate_Master!$C:$C, "")</f>
        <v>0</v>
      </c>
      <c r="I75" s="161">
        <f>_xlfn.XLOOKUP(B75, Rate_Master!$A:$A, Rate_Master!$D:$D, "")</f>
        <v>0</v>
      </c>
      <c r="J75" s="67">
        <f>+SUM(H75:I75)</f>
        <v>0</v>
      </c>
      <c r="K75" s="68">
        <f>J75*E75</f>
        <v>0</v>
      </c>
      <c r="L75" s="68"/>
      <c r="M75" s="41"/>
      <c r="O75" s="115"/>
      <c r="P75" s="115"/>
      <c r="Q75" s="115"/>
    </row>
    <row r="76" spans="1:17" s="4" customFormat="1" ht="25.5" customHeight="1" outlineLevel="1">
      <c r="A76" s="37" t="str">
        <f>$A$73&amp;"."&amp;ROW()-ROW($A$73)</f>
        <v>5A.S2.3</v>
      </c>
      <c r="B76" s="38" t="s">
        <v>67</v>
      </c>
      <c r="C76" s="38" t="s">
        <v>515</v>
      </c>
      <c r="D76" s="39" t="s">
        <v>520</v>
      </c>
      <c r="E76" s="40">
        <v>0</v>
      </c>
      <c r="F76" s="88"/>
      <c r="G76" s="88"/>
      <c r="H76" s="42">
        <f>_xlfn.XLOOKUP(B76, Rate_Master!$A:$A, Rate_Master!$C:$C, "")</f>
        <v>0</v>
      </c>
      <c r="I76" s="161">
        <f>_xlfn.XLOOKUP(B76, Rate_Master!$A:$A, Rate_Master!$D:$D, "")</f>
        <v>0</v>
      </c>
      <c r="J76" s="67">
        <f>+SUM(H76:I76)</f>
        <v>0</v>
      </c>
      <c r="K76" s="68">
        <f>J76*E76</f>
        <v>0</v>
      </c>
      <c r="L76" s="68"/>
      <c r="M76" s="41"/>
      <c r="O76" s="115"/>
      <c r="P76" s="115"/>
      <c r="Q76" s="115"/>
    </row>
    <row r="77" spans="1:17" s="4" customFormat="1" ht="25.5" customHeight="1" outlineLevel="1">
      <c r="A77" s="37" t="str">
        <f>$A$73&amp;"."&amp;ROW()-ROW($A$73)</f>
        <v>5A.S2.4</v>
      </c>
      <c r="B77" s="38" t="s">
        <v>68</v>
      </c>
      <c r="C77" s="38" t="s">
        <v>515</v>
      </c>
      <c r="D77" s="39" t="s">
        <v>457</v>
      </c>
      <c r="E77" s="40">
        <v>0</v>
      </c>
      <c r="F77" s="88"/>
      <c r="G77" s="88"/>
      <c r="H77" s="42">
        <f>_xlfn.XLOOKUP(B77, Rate_Master!$A:$A, Rate_Master!$C:$C, "")</f>
        <v>0</v>
      </c>
      <c r="I77" s="161">
        <f>_xlfn.XLOOKUP(B77, Rate_Master!$A:$A, Rate_Master!$D:$D, "")</f>
        <v>0</v>
      </c>
      <c r="J77" s="67">
        <f>+SUM(H77:I77)</f>
        <v>0</v>
      </c>
      <c r="K77" s="68">
        <f>J77*E77</f>
        <v>0</v>
      </c>
      <c r="L77" s="68"/>
      <c r="M77" s="41"/>
      <c r="O77" s="115"/>
      <c r="P77" s="115"/>
      <c r="Q77" s="115"/>
    </row>
    <row r="78" spans="1:17" s="4" customFormat="1" ht="25.5" customHeight="1" outlineLevel="1">
      <c r="A78" s="37" t="str">
        <f>$A$73&amp;"."&amp;ROW()-ROW($A$73)</f>
        <v>5A.S2.5</v>
      </c>
      <c r="B78" s="38" t="s">
        <v>69</v>
      </c>
      <c r="C78" s="38" t="s">
        <v>515</v>
      </c>
      <c r="D78" s="39" t="s">
        <v>520</v>
      </c>
      <c r="E78" s="40">
        <v>0</v>
      </c>
      <c r="F78" s="88"/>
      <c r="G78" s="88"/>
      <c r="H78" s="42">
        <f>_xlfn.XLOOKUP(B78, Rate_Master!$A:$A, Rate_Master!$C:$C, "")</f>
        <v>0</v>
      </c>
      <c r="I78" s="161">
        <f>_xlfn.XLOOKUP(B78, Rate_Master!$A:$A, Rate_Master!$D:$D, "")</f>
        <v>0</v>
      </c>
      <c r="J78" s="67">
        <f>+SUM(H78:I78)</f>
        <v>0</v>
      </c>
      <c r="K78" s="68">
        <f>J78*E78</f>
        <v>0</v>
      </c>
      <c r="L78" s="68"/>
      <c r="M78" s="41"/>
      <c r="O78" s="115"/>
      <c r="P78" s="115"/>
      <c r="Q78" s="115"/>
    </row>
    <row r="79" spans="1:17" s="3" customFormat="1" ht="25.5" customHeight="1">
      <c r="A79" s="22" t="str">
        <f>$A$56&amp;3</f>
        <v>5A.S3</v>
      </c>
      <c r="B79" s="23" t="s">
        <v>70</v>
      </c>
      <c r="C79" s="23" t="s">
        <v>515</v>
      </c>
      <c r="D79" s="22"/>
      <c r="E79" s="25"/>
      <c r="F79" s="87"/>
      <c r="G79" s="87"/>
      <c r="H79" s="25">
        <f>_xlfn.XLOOKUP(B79, Rate_Master!$A:$A, Rate_Master!$C:$C, "")</f>
        <v>0</v>
      </c>
      <c r="I79" s="145">
        <f>_xlfn.XLOOKUP(B79, Rate_Master!$A:$A, Rate_Master!$D:$D, "")</f>
        <v>0</v>
      </c>
      <c r="J79" s="68"/>
      <c r="K79" s="68">
        <f>SUBTOTAL(9,K80:K93)</f>
        <v>8994680781.9725266</v>
      </c>
      <c r="L79" s="68">
        <f>SUBTOTAL(9,L80:L93)</f>
        <v>6771165867.5442877</v>
      </c>
      <c r="M79" s="26"/>
      <c r="O79" s="115"/>
      <c r="P79" s="115"/>
      <c r="Q79" s="115"/>
    </row>
    <row r="80" spans="1:17" s="4" customFormat="1" ht="51" customHeight="1" outlineLevel="1">
      <c r="A80" s="27" t="str">
        <f t="shared" ref="A80:A93" si="16">$A$79&amp;"."&amp;ROW()-ROW($A$79)</f>
        <v>5A.S3.1</v>
      </c>
      <c r="B80" s="28" t="s">
        <v>71</v>
      </c>
      <c r="C80" s="28" t="str">
        <f>+'4A'!C80</f>
        <v xml:space="preserve">Tôn liên doanh Việt hàn, AZ170
</v>
      </c>
      <c r="D80" s="29" t="s">
        <v>520</v>
      </c>
      <c r="E80" s="31">
        <v>18143.240000000002</v>
      </c>
      <c r="F80" s="36">
        <v>13633.5352</v>
      </c>
      <c r="G80" s="36"/>
      <c r="H80" s="101">
        <f>_xlfn.XLOOKUP(B80, Rate_Master!$A:$A, Rate_Master!$C:$C, "")</f>
        <v>248399.99999999997</v>
      </c>
      <c r="I80" s="101">
        <f>_xlfn.XLOOKUP(B80, Rate_Master!$A:$A, Rate_Master!$D:$D, "")</f>
        <v>34500</v>
      </c>
      <c r="J80" s="67">
        <f t="shared" ref="J80:J93" si="17">+SUM(H80:I80)</f>
        <v>282900</v>
      </c>
      <c r="K80" s="68">
        <f t="shared" ref="K80:K93" si="18">J80*E80</f>
        <v>5132722596</v>
      </c>
      <c r="L80" s="68">
        <f t="shared" ref="L80:L93" si="19">+F80*J80</f>
        <v>3856927108.0799999</v>
      </c>
      <c r="M80" s="32"/>
      <c r="O80" s="115"/>
      <c r="P80" s="115"/>
      <c r="Q80" s="115"/>
    </row>
    <row r="81" spans="1:17" s="4" customFormat="1" ht="51" customHeight="1" outlineLevel="1">
      <c r="A81" s="27" t="str">
        <f t="shared" si="16"/>
        <v>5A.S3.2</v>
      </c>
      <c r="B81" s="28" t="s">
        <v>72</v>
      </c>
      <c r="C81" s="28" t="str">
        <f>+'4A'!C81</f>
        <v xml:space="preserve">Tôn liên doanh Việt hàn, AZ170
</v>
      </c>
      <c r="D81" s="29" t="s">
        <v>520</v>
      </c>
      <c r="E81" s="31">
        <v>896.52800000000002</v>
      </c>
      <c r="F81" s="36">
        <v>525.15599999999995</v>
      </c>
      <c r="G81" s="36"/>
      <c r="H81" s="101">
        <f>_xlfn.XLOOKUP(B81, Rate_Master!$A:$A, Rate_Master!$C:$C, "")</f>
        <v>206999.99999999997</v>
      </c>
      <c r="I81" s="101">
        <f>_xlfn.XLOOKUP(B81, Rate_Master!$A:$A, Rate_Master!$D:$D, "")</f>
        <v>34500</v>
      </c>
      <c r="J81" s="67">
        <f t="shared" si="17"/>
        <v>241499.99999999997</v>
      </c>
      <c r="K81" s="68">
        <f t="shared" si="18"/>
        <v>216511511.99999997</v>
      </c>
      <c r="L81" s="68">
        <f t="shared" si="19"/>
        <v>126825173.99999997</v>
      </c>
      <c r="M81" s="32"/>
      <c r="O81" s="115"/>
      <c r="P81" s="115"/>
      <c r="Q81" s="115"/>
    </row>
    <row r="82" spans="1:17" s="4" customFormat="1" ht="63.75" customHeight="1" outlineLevel="1">
      <c r="A82" s="27" t="str">
        <f t="shared" si="16"/>
        <v>5A.S3.3</v>
      </c>
      <c r="B82" s="28" t="s">
        <v>73</v>
      </c>
      <c r="C82" s="28" t="str">
        <f>+'4A'!C82</f>
        <v xml:space="preserve">Tôn liên doanh Việt hàn, AZ170
</v>
      </c>
      <c r="D82" s="29" t="s">
        <v>520</v>
      </c>
      <c r="E82" s="31">
        <v>340.93799999999999</v>
      </c>
      <c r="F82" s="36">
        <v>305.00799999999998</v>
      </c>
      <c r="G82" s="36"/>
      <c r="H82" s="101">
        <f>_xlfn.XLOOKUP(B82, Rate_Master!$A:$A, Rate_Master!$C:$C, "")</f>
        <v>195499.99999999997</v>
      </c>
      <c r="I82" s="101">
        <f>_xlfn.XLOOKUP(B82, Rate_Master!$A:$A, Rate_Master!$D:$D, "")</f>
        <v>34500</v>
      </c>
      <c r="J82" s="67">
        <f t="shared" si="17"/>
        <v>229999.99999999997</v>
      </c>
      <c r="K82" s="68">
        <f t="shared" si="18"/>
        <v>78415739.999999985</v>
      </c>
      <c r="L82" s="68">
        <f t="shared" si="19"/>
        <v>70151839.999999985</v>
      </c>
      <c r="M82" s="32"/>
      <c r="O82" s="115"/>
      <c r="P82" s="115"/>
      <c r="Q82" s="115"/>
    </row>
    <row r="83" spans="1:17" s="4" customFormat="1" ht="25.5" customHeight="1" outlineLevel="1">
      <c r="A83" s="27" t="str">
        <f t="shared" si="16"/>
        <v>5A.S3.4</v>
      </c>
      <c r="B83" s="28" t="s">
        <v>74</v>
      </c>
      <c r="C83" s="28" t="s">
        <v>515</v>
      </c>
      <c r="D83" s="29" t="s">
        <v>520</v>
      </c>
      <c r="E83" s="31">
        <v>18143.240000000002</v>
      </c>
      <c r="F83" s="36">
        <v>13633.5352</v>
      </c>
      <c r="G83" s="36"/>
      <c r="H83" s="101">
        <f>_xlfn.XLOOKUP(B83, Rate_Master!$A:$A, Rate_Master!$C:$C, "")</f>
        <v>23000</v>
      </c>
      <c r="I83" s="101">
        <f>_xlfn.XLOOKUP(B83, Rate_Master!$A:$A, Rate_Master!$D:$D, "")</f>
        <v>11500</v>
      </c>
      <c r="J83" s="67">
        <f t="shared" si="17"/>
        <v>34500</v>
      </c>
      <c r="K83" s="68">
        <f t="shared" si="18"/>
        <v>625941780</v>
      </c>
      <c r="L83" s="68">
        <f t="shared" si="19"/>
        <v>470356964.40000004</v>
      </c>
      <c r="M83" s="32"/>
      <c r="O83" s="115"/>
      <c r="P83" s="115"/>
      <c r="Q83" s="115"/>
    </row>
    <row r="84" spans="1:17" s="4" customFormat="1" ht="25.5" customHeight="1" outlineLevel="1">
      <c r="A84" s="27" t="str">
        <f t="shared" si="16"/>
        <v>5A.S3.5</v>
      </c>
      <c r="B84" s="28" t="s">
        <v>75</v>
      </c>
      <c r="C84" s="28" t="s">
        <v>538</v>
      </c>
      <c r="D84" s="29" t="s">
        <v>517</v>
      </c>
      <c r="E84" s="31">
        <v>1098</v>
      </c>
      <c r="F84" s="36">
        <v>910.78</v>
      </c>
      <c r="G84" s="36"/>
      <c r="H84" s="101">
        <f>_xlfn.XLOOKUP(B84, Rate_Master!$A:$A, Rate_Master!$C:$C, "")</f>
        <v>110399.99999999999</v>
      </c>
      <c r="I84" s="101">
        <f>_xlfn.XLOOKUP(B84, Rate_Master!$A:$A, Rate_Master!$D:$D, "")</f>
        <v>17250</v>
      </c>
      <c r="J84" s="67">
        <f t="shared" si="17"/>
        <v>127649.99999999999</v>
      </c>
      <c r="K84" s="68">
        <f t="shared" si="18"/>
        <v>140159699.99999997</v>
      </c>
      <c r="L84" s="68">
        <f t="shared" si="19"/>
        <v>116261066.99999999</v>
      </c>
      <c r="M84" s="32"/>
      <c r="O84" s="115"/>
      <c r="P84" s="115"/>
      <c r="Q84" s="115"/>
    </row>
    <row r="85" spans="1:17" s="4" customFormat="1" ht="25.5" customHeight="1" outlineLevel="1">
      <c r="A85" s="27" t="str">
        <f t="shared" si="16"/>
        <v>5A.S3.6</v>
      </c>
      <c r="B85" s="28" t="s">
        <v>75</v>
      </c>
      <c r="C85" s="28" t="s">
        <v>539</v>
      </c>
      <c r="D85" s="29" t="s">
        <v>517</v>
      </c>
      <c r="E85" s="31">
        <v>3095.6</v>
      </c>
      <c r="F85" s="36">
        <v>2442</v>
      </c>
      <c r="G85" s="36"/>
      <c r="H85" s="101">
        <f>_xlfn.XLOOKUP(B85, Rate_Master!$A:$A, Rate_Master!$C:$C, "")</f>
        <v>110399.99999999999</v>
      </c>
      <c r="I85" s="101">
        <f>_xlfn.XLOOKUP(B85, Rate_Master!$A:$A, Rate_Master!$D:$D, "")</f>
        <v>17250</v>
      </c>
      <c r="J85" s="67">
        <f t="shared" si="17"/>
        <v>127649.99999999999</v>
      </c>
      <c r="K85" s="68">
        <f t="shared" si="18"/>
        <v>395153339.99999994</v>
      </c>
      <c r="L85" s="68">
        <f t="shared" si="19"/>
        <v>311721299.99999994</v>
      </c>
      <c r="M85" s="32"/>
      <c r="O85" s="115"/>
      <c r="P85" s="115"/>
      <c r="Q85" s="115"/>
    </row>
    <row r="86" spans="1:17" s="4" customFormat="1" ht="25.5" customHeight="1" outlineLevel="1">
      <c r="A86" s="27" t="str">
        <f t="shared" si="16"/>
        <v>5A.S3.7</v>
      </c>
      <c r="B86" s="28" t="s">
        <v>76</v>
      </c>
      <c r="C86" s="28" t="s">
        <v>540</v>
      </c>
      <c r="D86" s="29" t="s">
        <v>517</v>
      </c>
      <c r="E86" s="31">
        <v>490.8</v>
      </c>
      <c r="F86" s="36">
        <v>327.2</v>
      </c>
      <c r="G86" s="36"/>
      <c r="H86" s="101">
        <f>_xlfn.XLOOKUP(B86, Rate_Master!$A:$A, Rate_Master!$C:$C, "")</f>
        <v>1976115.3983999996</v>
      </c>
      <c r="I86" s="101">
        <f>_xlfn.XLOOKUP(B86, Rate_Master!$A:$A, Rate_Master!$D:$D, "")</f>
        <v>28749.999999999996</v>
      </c>
      <c r="J86" s="67">
        <f t="shared" si="17"/>
        <v>2004865.3983999996</v>
      </c>
      <c r="K86" s="68">
        <f t="shared" si="18"/>
        <v>983987937.53471982</v>
      </c>
      <c r="L86" s="68">
        <f t="shared" si="19"/>
        <v>655991958.35647988</v>
      </c>
      <c r="M86" s="32"/>
      <c r="O86" s="115"/>
      <c r="P86" s="115"/>
      <c r="Q86" s="115"/>
    </row>
    <row r="87" spans="1:17" s="4" customFormat="1" ht="25.5" customHeight="1" outlineLevel="1">
      <c r="A87" s="27" t="str">
        <f t="shared" si="16"/>
        <v>5A.S3.8</v>
      </c>
      <c r="B87" s="28" t="s">
        <v>77</v>
      </c>
      <c r="C87" s="28" t="s">
        <v>541</v>
      </c>
      <c r="D87" s="29" t="s">
        <v>517</v>
      </c>
      <c r="E87" s="31">
        <v>163.6</v>
      </c>
      <c r="F87" s="36">
        <v>163.6</v>
      </c>
      <c r="G87" s="36"/>
      <c r="H87" s="101">
        <f>_xlfn.XLOOKUP(B87, Rate_Master!$A:$A, Rate_Master!$C:$C, "")</f>
        <v>1077881.1263999997</v>
      </c>
      <c r="I87" s="101">
        <f>_xlfn.XLOOKUP(B87, Rate_Master!$A:$A, Rate_Master!$D:$D, "")</f>
        <v>23000</v>
      </c>
      <c r="J87" s="67">
        <f t="shared" si="17"/>
        <v>1100881.1263999997</v>
      </c>
      <c r="K87" s="68">
        <f t="shared" si="18"/>
        <v>180104152.27903995</v>
      </c>
      <c r="L87" s="68">
        <f t="shared" si="19"/>
        <v>180104152.27903995</v>
      </c>
      <c r="M87" s="32"/>
      <c r="O87" s="115"/>
      <c r="P87" s="115"/>
      <c r="Q87" s="115"/>
    </row>
    <row r="88" spans="1:17" s="4" customFormat="1" ht="25.5" customHeight="1" outlineLevel="1">
      <c r="A88" s="27" t="str">
        <f t="shared" si="16"/>
        <v>5A.S3.9</v>
      </c>
      <c r="B88" s="28" t="s">
        <v>78</v>
      </c>
      <c r="C88" s="28" t="s">
        <v>515</v>
      </c>
      <c r="D88" s="29" t="s">
        <v>518</v>
      </c>
      <c r="E88" s="31">
        <v>30</v>
      </c>
      <c r="F88" s="36">
        <v>32</v>
      </c>
      <c r="G88" s="36"/>
      <c r="H88" s="101">
        <f>_xlfn.XLOOKUP(B88, Rate_Master!$A:$A, Rate_Master!$C:$C, "")</f>
        <v>92000</v>
      </c>
      <c r="I88" s="101">
        <f>_xlfn.XLOOKUP(B88, Rate_Master!$A:$A, Rate_Master!$D:$D, "")</f>
        <v>11500</v>
      </c>
      <c r="J88" s="67">
        <f t="shared" si="17"/>
        <v>103500</v>
      </c>
      <c r="K88" s="68">
        <f t="shared" si="18"/>
        <v>3105000</v>
      </c>
      <c r="L88" s="68">
        <f t="shared" si="19"/>
        <v>3312000</v>
      </c>
      <c r="M88" s="32"/>
      <c r="O88" s="115"/>
      <c r="P88" s="115"/>
      <c r="Q88" s="115"/>
    </row>
    <row r="89" spans="1:17" s="4" customFormat="1" ht="63.75" customHeight="1" outlineLevel="1">
      <c r="A89" s="27" t="str">
        <f t="shared" si="16"/>
        <v>5A.S3.10</v>
      </c>
      <c r="B89" s="28" t="s">
        <v>79</v>
      </c>
      <c r="C89" s="28" t="s">
        <v>542</v>
      </c>
      <c r="D89" s="29" t="s">
        <v>517</v>
      </c>
      <c r="E89" s="31">
        <v>418</v>
      </c>
      <c r="F89" s="36">
        <v>307.2</v>
      </c>
      <c r="G89" s="36"/>
      <c r="H89" s="101">
        <f>_xlfn.XLOOKUP(B89, Rate_Master!$A:$A, Rate_Master!$C:$C, "")</f>
        <v>297443.47499999998</v>
      </c>
      <c r="I89" s="101">
        <f>_xlfn.XLOOKUP(B89, Rate_Master!$A:$A, Rate_Master!$D:$D, "")</f>
        <v>23000</v>
      </c>
      <c r="J89" s="67">
        <f t="shared" si="17"/>
        <v>320443.47499999998</v>
      </c>
      <c r="K89" s="68">
        <f t="shared" si="18"/>
        <v>133945372.55</v>
      </c>
      <c r="L89" s="68">
        <f t="shared" si="19"/>
        <v>98440235.519999996</v>
      </c>
      <c r="M89" s="32"/>
      <c r="O89" s="115"/>
      <c r="P89" s="115"/>
      <c r="Q89" s="115"/>
    </row>
    <row r="90" spans="1:17" s="4" customFormat="1" ht="25.5" customHeight="1" outlineLevel="1">
      <c r="A90" s="27" t="str">
        <f t="shared" si="16"/>
        <v>5A.S3.11</v>
      </c>
      <c r="B90" s="28" t="s">
        <v>80</v>
      </c>
      <c r="C90" s="28" t="s">
        <v>515</v>
      </c>
      <c r="D90" s="29" t="s">
        <v>457</v>
      </c>
      <c r="E90" s="31">
        <v>1</v>
      </c>
      <c r="F90" s="36">
        <v>1</v>
      </c>
      <c r="G90" s="36"/>
      <c r="H90" s="101">
        <f>_xlfn.XLOOKUP(B90, Rate_Master!$A:$A, Rate_Master!$C:$C, "")</f>
        <v>0</v>
      </c>
      <c r="I90" s="101">
        <f>_xlfn.XLOOKUP(B90, Rate_Master!$A:$A, Rate_Master!$D:$D, "")</f>
        <v>57499999.999999993</v>
      </c>
      <c r="J90" s="67">
        <f t="shared" si="17"/>
        <v>57499999.999999993</v>
      </c>
      <c r="K90" s="68">
        <f t="shared" si="18"/>
        <v>57499999.999999993</v>
      </c>
      <c r="L90" s="68">
        <f t="shared" si="19"/>
        <v>57499999.999999993</v>
      </c>
      <c r="M90" s="32"/>
      <c r="O90" s="115"/>
      <c r="P90" s="115"/>
      <c r="Q90" s="115"/>
    </row>
    <row r="91" spans="1:17" s="4" customFormat="1" ht="25.5" customHeight="1" outlineLevel="1">
      <c r="A91" s="27" t="str">
        <f t="shared" si="16"/>
        <v>5A.S3.12</v>
      </c>
      <c r="B91" s="28" t="s">
        <v>81</v>
      </c>
      <c r="C91" s="28" t="s">
        <v>515</v>
      </c>
      <c r="D91" s="29" t="s">
        <v>520</v>
      </c>
      <c r="E91" s="31">
        <v>19380.705999999998</v>
      </c>
      <c r="F91" s="36">
        <v>14463.699199999999</v>
      </c>
      <c r="G91" s="36"/>
      <c r="H91" s="101">
        <f>_xlfn.XLOOKUP(B91, Rate_Master!$A:$A, Rate_Master!$C:$C, "")</f>
        <v>0</v>
      </c>
      <c r="I91" s="101">
        <f>_xlfn.XLOOKUP(B91, Rate_Master!$A:$A, Rate_Master!$D:$D, "")</f>
        <v>40250</v>
      </c>
      <c r="J91" s="67">
        <f t="shared" si="17"/>
        <v>40250</v>
      </c>
      <c r="K91" s="68">
        <f t="shared" si="18"/>
        <v>780073416.49999988</v>
      </c>
      <c r="L91" s="68">
        <f t="shared" si="19"/>
        <v>582163892.79999995</v>
      </c>
      <c r="M91" s="32"/>
      <c r="O91" s="115"/>
      <c r="P91" s="115"/>
      <c r="Q91" s="115"/>
    </row>
    <row r="92" spans="1:17" s="4" customFormat="1" ht="38.25" customHeight="1" outlineLevel="1">
      <c r="A92" s="27" t="str">
        <f t="shared" si="16"/>
        <v>5A.S3.13</v>
      </c>
      <c r="B92" s="28" t="s">
        <v>82</v>
      </c>
      <c r="C92" s="28" t="s">
        <v>515</v>
      </c>
      <c r="D92" s="29" t="s">
        <v>517</v>
      </c>
      <c r="E92" s="31">
        <v>5266</v>
      </c>
      <c r="F92" s="36">
        <v>4150.78</v>
      </c>
      <c r="G92" s="36"/>
      <c r="H92" s="101">
        <f>_xlfn.XLOOKUP(B92, Rate_Master!$A:$A, Rate_Master!$C:$C, "")</f>
        <v>0</v>
      </c>
      <c r="I92" s="101">
        <f>_xlfn.XLOOKUP(B92, Rate_Master!$A:$A, Rate_Master!$D:$D, "")</f>
        <v>23000</v>
      </c>
      <c r="J92" s="67">
        <f t="shared" si="17"/>
        <v>23000</v>
      </c>
      <c r="K92" s="68">
        <f t="shared" si="18"/>
        <v>121118000</v>
      </c>
      <c r="L92" s="68">
        <f t="shared" si="19"/>
        <v>95467940</v>
      </c>
      <c r="M92" s="32"/>
      <c r="O92" s="115"/>
      <c r="P92" s="115"/>
      <c r="Q92" s="115"/>
    </row>
    <row r="93" spans="1:17" s="4" customFormat="1" ht="25.5" customHeight="1" outlineLevel="1">
      <c r="A93" s="27" t="str">
        <f t="shared" si="16"/>
        <v>5A.S3.14</v>
      </c>
      <c r="B93" s="28" t="s">
        <v>83</v>
      </c>
      <c r="C93" s="28" t="s">
        <v>543</v>
      </c>
      <c r="D93" s="29" t="s">
        <v>457</v>
      </c>
      <c r="E93" s="31">
        <v>1</v>
      </c>
      <c r="F93" s="36">
        <v>1</v>
      </c>
      <c r="G93" s="36"/>
      <c r="H93" s="101">
        <f>_xlfn.XLOOKUP(B93, Rate_Master!$A:$A, Rate_Master!$C:$C, "")</f>
        <v>145942235.10876715</v>
      </c>
      <c r="I93" s="101">
        <f>_xlfn.XLOOKUP(B93, Rate_Master!$A:$A, Rate_Master!$D:$D, "")</f>
        <v>0</v>
      </c>
      <c r="J93" s="67">
        <f t="shared" si="17"/>
        <v>145942235.10876715</v>
      </c>
      <c r="K93" s="68">
        <f t="shared" si="18"/>
        <v>145942235.10876715</v>
      </c>
      <c r="L93" s="68">
        <f t="shared" si="19"/>
        <v>145942235.10876715</v>
      </c>
      <c r="M93" s="32"/>
      <c r="O93" s="115"/>
      <c r="P93" s="115"/>
      <c r="Q93" s="115"/>
    </row>
    <row r="94" spans="1:17" s="3" customFormat="1" ht="25.5" customHeight="1">
      <c r="A94" s="22" t="str">
        <f>$A$56&amp;4</f>
        <v>5A.S4</v>
      </c>
      <c r="B94" s="23" t="s">
        <v>84</v>
      </c>
      <c r="C94" s="23" t="s">
        <v>515</v>
      </c>
      <c r="D94" s="22"/>
      <c r="E94" s="25"/>
      <c r="F94" s="87"/>
      <c r="G94" s="87"/>
      <c r="H94" s="25">
        <f>_xlfn.XLOOKUP(B94, Rate_Master!$A:$A, Rate_Master!$C:$C, "")</f>
        <v>0</v>
      </c>
      <c r="I94" s="145">
        <f>_xlfn.XLOOKUP(B94, Rate_Master!$A:$A, Rate_Master!$D:$D, "")</f>
        <v>0</v>
      </c>
      <c r="J94" s="68"/>
      <c r="K94" s="68">
        <f>SUBTOTAL(9,K95:K102)</f>
        <v>699088109.70464993</v>
      </c>
      <c r="L94" s="68">
        <f>SUBTOTAL(9,L95:L102)</f>
        <v>361242600</v>
      </c>
      <c r="M94" s="26"/>
      <c r="O94" s="115"/>
      <c r="P94" s="115"/>
      <c r="Q94" s="115"/>
    </row>
    <row r="95" spans="1:17" s="4" customFormat="1" ht="38.25" hidden="1" customHeight="1" outlineLevel="1">
      <c r="A95" s="27" t="str">
        <f t="shared" ref="A95:A102" si="20">$A$94&amp;"."&amp;ROW()-ROW($A$94)</f>
        <v>5A.S4.1</v>
      </c>
      <c r="B95" s="28" t="s">
        <v>85</v>
      </c>
      <c r="C95" s="28" t="s">
        <v>544</v>
      </c>
      <c r="D95" s="29" t="s">
        <v>517</v>
      </c>
      <c r="E95" s="31">
        <v>21.355</v>
      </c>
      <c r="F95" s="36">
        <v>12</v>
      </c>
      <c r="G95" s="36"/>
      <c r="H95" s="101">
        <f>_xlfn.XLOOKUP(B95, Rate_Master!$A:$A, Rate_Master!$C:$C, "")</f>
        <v>5175000</v>
      </c>
      <c r="I95" s="101">
        <f>_xlfn.XLOOKUP(B95, Rate_Master!$A:$A, Rate_Master!$D:$D, "")</f>
        <v>0</v>
      </c>
      <c r="J95" s="67">
        <f t="shared" ref="J95:J102" si="21">+SUM(H95:I95)</f>
        <v>5175000</v>
      </c>
      <c r="K95" s="32">
        <f t="shared" ref="K95:K102" si="22">J95*E95</f>
        <v>110512125</v>
      </c>
      <c r="L95" s="58">
        <f t="shared" ref="L95:L102" si="23">+F95*J95</f>
        <v>62100000</v>
      </c>
      <c r="M95" s="32"/>
      <c r="O95" s="115"/>
      <c r="P95" s="115"/>
      <c r="Q95" s="115"/>
    </row>
    <row r="96" spans="1:17" s="4" customFormat="1" ht="38.25" hidden="1" customHeight="1" outlineLevel="1">
      <c r="A96" s="27" t="str">
        <f t="shared" si="20"/>
        <v>5A.S4.2</v>
      </c>
      <c r="B96" s="28" t="s">
        <v>86</v>
      </c>
      <c r="C96" s="28" t="s">
        <v>545</v>
      </c>
      <c r="D96" s="29" t="s">
        <v>517</v>
      </c>
      <c r="E96" s="31">
        <v>0</v>
      </c>
      <c r="F96" s="36"/>
      <c r="G96" s="36"/>
      <c r="H96" s="101">
        <f>_xlfn.XLOOKUP(B96, Rate_Master!$A:$A, Rate_Master!$C:$C, "")</f>
        <v>0</v>
      </c>
      <c r="I96" s="101">
        <f>_xlfn.XLOOKUP(B96, Rate_Master!$A:$A, Rate_Master!$D:$D, "")</f>
        <v>0</v>
      </c>
      <c r="J96" s="67">
        <f t="shared" si="21"/>
        <v>0</v>
      </c>
      <c r="K96" s="32">
        <f t="shared" si="22"/>
        <v>0</v>
      </c>
      <c r="L96" s="58">
        <f t="shared" si="23"/>
        <v>0</v>
      </c>
      <c r="M96" s="32"/>
      <c r="O96" s="115"/>
      <c r="P96" s="115"/>
      <c r="Q96" s="115"/>
    </row>
    <row r="97" spans="1:17" s="4" customFormat="1" ht="38.25" hidden="1" customHeight="1" outlineLevel="1">
      <c r="A97" s="27" t="str">
        <f t="shared" si="20"/>
        <v>5A.S4.3</v>
      </c>
      <c r="B97" s="28" t="s">
        <v>87</v>
      </c>
      <c r="C97" s="28" t="s">
        <v>546</v>
      </c>
      <c r="D97" s="29" t="s">
        <v>517</v>
      </c>
      <c r="E97" s="31">
        <v>0</v>
      </c>
      <c r="F97" s="36"/>
      <c r="G97" s="36"/>
      <c r="H97" s="101">
        <f>_xlfn.XLOOKUP(B97, Rate_Master!$A:$A, Rate_Master!$C:$C, "")</f>
        <v>0</v>
      </c>
      <c r="I97" s="101">
        <f>_xlfn.XLOOKUP(B97, Rate_Master!$A:$A, Rate_Master!$D:$D, "")</f>
        <v>0</v>
      </c>
      <c r="J97" s="67">
        <f t="shared" si="21"/>
        <v>0</v>
      </c>
      <c r="K97" s="32">
        <f t="shared" si="22"/>
        <v>0</v>
      </c>
      <c r="L97" s="58">
        <f t="shared" si="23"/>
        <v>0</v>
      </c>
      <c r="M97" s="32"/>
      <c r="O97" s="115"/>
      <c r="P97" s="115"/>
      <c r="Q97" s="115"/>
    </row>
    <row r="98" spans="1:17" s="4" customFormat="1" ht="25.5" hidden="1" customHeight="1" outlineLevel="1">
      <c r="A98" s="27" t="str">
        <f t="shared" si="20"/>
        <v>5A.S4.4</v>
      </c>
      <c r="B98" s="28" t="s">
        <v>88</v>
      </c>
      <c r="C98" s="28" t="s">
        <v>546</v>
      </c>
      <c r="D98" s="29" t="s">
        <v>517</v>
      </c>
      <c r="E98" s="31">
        <v>0</v>
      </c>
      <c r="F98" s="36"/>
      <c r="G98" s="36"/>
      <c r="H98" s="101">
        <f>_xlfn.XLOOKUP(B98, Rate_Master!$A:$A, Rate_Master!$C:$C, "")</f>
        <v>0</v>
      </c>
      <c r="I98" s="101">
        <f>_xlfn.XLOOKUP(B98, Rate_Master!$A:$A, Rate_Master!$D:$D, "")</f>
        <v>0</v>
      </c>
      <c r="J98" s="67">
        <f t="shared" si="21"/>
        <v>0</v>
      </c>
      <c r="K98" s="32">
        <f t="shared" si="22"/>
        <v>0</v>
      </c>
      <c r="L98" s="58">
        <f t="shared" si="23"/>
        <v>0</v>
      </c>
      <c r="M98" s="32"/>
      <c r="O98" s="115"/>
      <c r="P98" s="115"/>
      <c r="Q98" s="115"/>
    </row>
    <row r="99" spans="1:17" s="4" customFormat="1" ht="51" hidden="1" customHeight="1" outlineLevel="1">
      <c r="A99" s="27" t="str">
        <f t="shared" si="20"/>
        <v>5A.S4.5</v>
      </c>
      <c r="B99" s="28" t="s">
        <v>89</v>
      </c>
      <c r="C99" s="28" t="s">
        <v>547</v>
      </c>
      <c r="D99" s="29" t="s">
        <v>520</v>
      </c>
      <c r="E99" s="31">
        <v>17341.599999999999</v>
      </c>
      <c r="F99" s="36">
        <v>13006.2</v>
      </c>
      <c r="G99" s="36"/>
      <c r="H99" s="101">
        <f>_xlfn.XLOOKUP(B99, Rate_Master!$A:$A, Rate_Master!$C:$C, "")</f>
        <v>17250</v>
      </c>
      <c r="I99" s="101">
        <f>_xlfn.XLOOKUP(B99, Rate_Master!$A:$A, Rate_Master!$D:$D, "")</f>
        <v>5750</v>
      </c>
      <c r="J99" s="67">
        <f t="shared" si="21"/>
        <v>23000</v>
      </c>
      <c r="K99" s="32">
        <f t="shared" si="22"/>
        <v>398856799.99999994</v>
      </c>
      <c r="L99" s="58">
        <f t="shared" si="23"/>
        <v>299142600</v>
      </c>
      <c r="M99" s="32"/>
      <c r="O99" s="115"/>
      <c r="P99" s="115"/>
      <c r="Q99" s="115"/>
    </row>
    <row r="100" spans="1:17" s="4" customFormat="1" ht="38.25" hidden="1" customHeight="1" outlineLevel="1">
      <c r="A100" s="27" t="str">
        <f t="shared" si="20"/>
        <v>5A.S4.6</v>
      </c>
      <c r="B100" s="28" t="s">
        <v>90</v>
      </c>
      <c r="C100" s="28" t="s">
        <v>548</v>
      </c>
      <c r="D100" s="29" t="s">
        <v>520</v>
      </c>
      <c r="E100" s="31">
        <v>9704.3061230000003</v>
      </c>
      <c r="F100" s="36"/>
      <c r="G100" s="36"/>
      <c r="H100" s="101">
        <f>_xlfn.XLOOKUP(B100, Rate_Master!$A:$A, Rate_Master!$C:$C, "")</f>
        <v>0</v>
      </c>
      <c r="I100" s="101">
        <f>_xlfn.XLOOKUP(B100, Rate_Master!$A:$A, Rate_Master!$D:$D, "")</f>
        <v>0</v>
      </c>
      <c r="J100" s="67">
        <f t="shared" si="21"/>
        <v>0</v>
      </c>
      <c r="K100" s="32">
        <f t="shared" si="22"/>
        <v>0</v>
      </c>
      <c r="L100" s="58">
        <f t="shared" si="23"/>
        <v>0</v>
      </c>
      <c r="M100" s="75" t="s">
        <v>549</v>
      </c>
      <c r="O100" s="115"/>
      <c r="P100" s="115"/>
      <c r="Q100" s="115"/>
    </row>
    <row r="101" spans="1:17" s="4" customFormat="1" ht="25.5" hidden="1" customHeight="1" outlineLevel="1">
      <c r="A101" s="27" t="str">
        <f t="shared" si="20"/>
        <v>5A.S4.7</v>
      </c>
      <c r="B101" s="28" t="s">
        <v>91</v>
      </c>
      <c r="C101" s="28" t="s">
        <v>515</v>
      </c>
      <c r="D101" s="29" t="s">
        <v>457</v>
      </c>
      <c r="E101" s="31">
        <v>1</v>
      </c>
      <c r="F101" s="36"/>
      <c r="G101" s="36"/>
      <c r="H101" s="101">
        <f>_xlfn.XLOOKUP(B101, Rate_Master!$A:$A, Rate_Master!$C:$C, "")</f>
        <v>0</v>
      </c>
      <c r="I101" s="101">
        <f>_xlfn.XLOOKUP(B101, Rate_Master!$A:$A, Rate_Master!$D:$D, "")</f>
        <v>0</v>
      </c>
      <c r="J101" s="67">
        <f t="shared" si="21"/>
        <v>0</v>
      </c>
      <c r="K101" s="32">
        <f t="shared" si="22"/>
        <v>0</v>
      </c>
      <c r="L101" s="58">
        <f t="shared" si="23"/>
        <v>0</v>
      </c>
      <c r="M101" s="75" t="s">
        <v>549</v>
      </c>
      <c r="O101" s="115"/>
      <c r="P101" s="115"/>
      <c r="Q101" s="115"/>
    </row>
    <row r="102" spans="1:17" s="4" customFormat="1" ht="51" hidden="1" customHeight="1" outlineLevel="1">
      <c r="A102" s="27" t="str">
        <f t="shared" si="20"/>
        <v>5A.S4.8</v>
      </c>
      <c r="B102" s="28" t="s">
        <v>92</v>
      </c>
      <c r="C102" s="28" t="s">
        <v>550</v>
      </c>
      <c r="D102" s="29" t="s">
        <v>520</v>
      </c>
      <c r="E102" s="31">
        <v>9704.3061230000003</v>
      </c>
      <c r="F102" s="36"/>
      <c r="G102" s="36"/>
      <c r="H102" s="101">
        <f>_xlfn.XLOOKUP(B102, Rate_Master!$A:$A, Rate_Master!$C:$C, "")</f>
        <v>16099.999999999998</v>
      </c>
      <c r="I102" s="101">
        <f>_xlfn.XLOOKUP(B102, Rate_Master!$A:$A, Rate_Master!$D:$D, "")</f>
        <v>3449.9999999999995</v>
      </c>
      <c r="J102" s="67">
        <f t="shared" si="21"/>
        <v>19549.999999999996</v>
      </c>
      <c r="K102" s="32">
        <f t="shared" si="22"/>
        <v>189719184.70464998</v>
      </c>
      <c r="L102" s="58">
        <f t="shared" si="23"/>
        <v>0</v>
      </c>
      <c r="M102" s="75" t="s">
        <v>549</v>
      </c>
      <c r="O102" s="115"/>
      <c r="P102" s="115"/>
      <c r="Q102" s="115"/>
    </row>
    <row r="103" spans="1:17" s="3" customFormat="1" ht="25.5" customHeight="1" collapsed="1">
      <c r="A103" s="22" t="str">
        <f>$A$9&amp;".F"</f>
        <v>5A.F</v>
      </c>
      <c r="B103" s="23" t="s">
        <v>93</v>
      </c>
      <c r="C103" s="23" t="s">
        <v>515</v>
      </c>
      <c r="D103" s="22"/>
      <c r="E103" s="25"/>
      <c r="F103" s="87"/>
      <c r="G103" s="87"/>
      <c r="H103" s="25">
        <f>_xlfn.XLOOKUP(B103, Rate_Master!$A:$A, Rate_Master!$C:$C, "")</f>
        <v>0</v>
      </c>
      <c r="I103" s="145">
        <f>_xlfn.XLOOKUP(B103, Rate_Master!$A:$A, Rate_Master!$D:$D, "")</f>
        <v>0</v>
      </c>
      <c r="J103" s="26">
        <f>H103+I103</f>
        <v>0</v>
      </c>
      <c r="K103" s="26"/>
      <c r="L103" s="26"/>
      <c r="M103" s="26"/>
      <c r="O103" s="115"/>
      <c r="P103" s="115"/>
      <c r="Q103" s="115"/>
    </row>
    <row r="104" spans="1:17" s="3" customFormat="1" ht="25.5" customHeight="1">
      <c r="A104" s="22" t="str">
        <f>$A$103&amp;1</f>
        <v>5A.F1</v>
      </c>
      <c r="B104" s="23" t="s">
        <v>94</v>
      </c>
      <c r="C104" s="23" t="s">
        <v>515</v>
      </c>
      <c r="D104" s="22"/>
      <c r="E104" s="25"/>
      <c r="F104" s="87"/>
      <c r="G104" s="87"/>
      <c r="H104" s="25">
        <f>_xlfn.XLOOKUP(B104, Rate_Master!$A:$A, Rate_Master!$C:$C, "")</f>
        <v>0</v>
      </c>
      <c r="I104" s="145">
        <f>_xlfn.XLOOKUP(B104, Rate_Master!$A:$A, Rate_Master!$D:$D, "")</f>
        <v>0</v>
      </c>
      <c r="J104" s="26">
        <f>H104+I104</f>
        <v>0</v>
      </c>
      <c r="K104" s="26">
        <f>SUBTOTAL(9,K105:K122)</f>
        <v>8143255631.7816725</v>
      </c>
      <c r="L104" s="26">
        <f>SUBTOTAL(9,L105:L122)</f>
        <v>11532814789.333439</v>
      </c>
      <c r="M104" s="26"/>
      <c r="O104" s="115"/>
      <c r="P104" s="115"/>
      <c r="Q104" s="115"/>
    </row>
    <row r="105" spans="1:17" s="4" customFormat="1" ht="25.5" customHeight="1" outlineLevel="1">
      <c r="A105" s="27" t="str">
        <f t="shared" ref="A105:A122" si="24">$A$104&amp;"."&amp;ROW()-ROW($A$104)</f>
        <v>5A.F1.1</v>
      </c>
      <c r="B105" s="35" t="s">
        <v>95</v>
      </c>
      <c r="C105" s="34" t="s">
        <v>551</v>
      </c>
      <c r="D105" s="29" t="s">
        <v>519</v>
      </c>
      <c r="E105" s="31">
        <v>1039.6600000000001</v>
      </c>
      <c r="F105" s="36">
        <v>1861.5940000000001</v>
      </c>
      <c r="G105" s="36"/>
      <c r="H105" s="30">
        <f>_xlfn.XLOOKUP(B105, Rate_Master!$A:$A, Rate_Master!$C:$C, "")</f>
        <v>1587600.0077618286</v>
      </c>
      <c r="I105" s="142">
        <f>_xlfn.XLOOKUP(B105, Rate_Master!$A:$A, Rate_Master!$D:$D, "")</f>
        <v>1086539.80861244</v>
      </c>
      <c r="J105" s="32">
        <f t="shared" ref="J105:J122" si="25">+I105+H105</f>
        <v>2674139.8163742684</v>
      </c>
      <c r="K105" s="32">
        <f t="shared" ref="K105:K122" si="26">J105*E105</f>
        <v>2780196201.491672</v>
      </c>
      <c r="L105" s="32">
        <f t="shared" ref="L105:L122" si="27">+F105*J105</f>
        <v>4978162637.3234396</v>
      </c>
      <c r="M105" s="32"/>
      <c r="O105" s="115"/>
      <c r="P105" s="115"/>
      <c r="Q105" s="115"/>
    </row>
    <row r="106" spans="1:17" s="4" customFormat="1" ht="25.5" customHeight="1" outlineLevel="1">
      <c r="A106" s="27" t="str">
        <f t="shared" si="24"/>
        <v>5A.F1.2</v>
      </c>
      <c r="B106" s="35" t="s">
        <v>96</v>
      </c>
      <c r="C106" s="34" t="s">
        <v>551</v>
      </c>
      <c r="D106" s="29" t="s">
        <v>519</v>
      </c>
      <c r="E106" s="31">
        <v>9.9819999999999993</v>
      </c>
      <c r="F106" s="36">
        <v>7.7489999999999997</v>
      </c>
      <c r="G106" s="36"/>
      <c r="H106" s="30">
        <f>_xlfn.XLOOKUP(B106, Rate_Master!$A:$A, Rate_Master!$C:$C, "")</f>
        <v>1368500</v>
      </c>
      <c r="I106" s="142">
        <f>_xlfn.XLOOKUP(B106, Rate_Master!$A:$A, Rate_Master!$D:$D, "")</f>
        <v>948749.99999999988</v>
      </c>
      <c r="J106" s="32">
        <f t="shared" si="25"/>
        <v>2317250</v>
      </c>
      <c r="K106" s="32">
        <f t="shared" si="26"/>
        <v>23130789.5</v>
      </c>
      <c r="L106" s="32">
        <f t="shared" si="27"/>
        <v>17956370.25</v>
      </c>
      <c r="M106" s="32"/>
      <c r="O106" s="115"/>
      <c r="P106" s="115"/>
      <c r="Q106" s="115"/>
    </row>
    <row r="107" spans="1:17" s="4" customFormat="1" ht="63.75" customHeight="1" outlineLevel="1">
      <c r="A107" s="27" t="str">
        <f t="shared" si="24"/>
        <v>5A.F1.3</v>
      </c>
      <c r="B107" s="28" t="s">
        <v>97</v>
      </c>
      <c r="C107" s="34" t="s">
        <v>552</v>
      </c>
      <c r="D107" s="29" t="s">
        <v>520</v>
      </c>
      <c r="E107" s="31">
        <v>0</v>
      </c>
      <c r="F107" s="36"/>
      <c r="G107" s="36"/>
      <c r="H107" s="31">
        <f>_xlfn.XLOOKUP(B107, Rate_Master!$A:$A, Rate_Master!$C:$C, "")</f>
        <v>229999.99999999997</v>
      </c>
      <c r="I107" s="144">
        <f>_xlfn.XLOOKUP(B107, Rate_Master!$A:$A, Rate_Master!$D:$D, "")</f>
        <v>46000</v>
      </c>
      <c r="J107" s="32">
        <f t="shared" si="25"/>
        <v>276000</v>
      </c>
      <c r="K107" s="32">
        <f t="shared" si="26"/>
        <v>0</v>
      </c>
      <c r="L107" s="32">
        <f t="shared" si="27"/>
        <v>0</v>
      </c>
      <c r="M107" s="32"/>
      <c r="O107" s="115"/>
      <c r="P107" s="115"/>
      <c r="Q107" s="115"/>
    </row>
    <row r="108" spans="1:17" s="4" customFormat="1" ht="51" customHeight="1" outlineLevel="1">
      <c r="A108" s="27" t="str">
        <f t="shared" si="24"/>
        <v>5A.F1.4</v>
      </c>
      <c r="B108" s="28" t="s">
        <v>98</v>
      </c>
      <c r="C108" s="34" t="s">
        <v>553</v>
      </c>
      <c r="D108" s="29" t="s">
        <v>520</v>
      </c>
      <c r="E108" s="31">
        <v>0</v>
      </c>
      <c r="F108" s="36"/>
      <c r="G108" s="36"/>
      <c r="H108" s="31">
        <f>_xlfn.XLOOKUP(B108, Rate_Master!$A:$A, Rate_Master!$C:$C, "")</f>
        <v>0</v>
      </c>
      <c r="I108" s="144">
        <f>_xlfn.XLOOKUP(B108, Rate_Master!$A:$A, Rate_Master!$D:$D, "")</f>
        <v>0</v>
      </c>
      <c r="J108" s="32">
        <f t="shared" si="25"/>
        <v>0</v>
      </c>
      <c r="K108" s="32">
        <f t="shared" si="26"/>
        <v>0</v>
      </c>
      <c r="L108" s="32">
        <f t="shared" si="27"/>
        <v>0</v>
      </c>
      <c r="M108" s="32"/>
      <c r="O108" s="115"/>
      <c r="P108" s="115"/>
      <c r="Q108" s="115"/>
    </row>
    <row r="109" spans="1:17" s="4" customFormat="1" ht="51" customHeight="1" outlineLevel="1">
      <c r="A109" s="27" t="str">
        <f t="shared" si="24"/>
        <v>5A.F1.5</v>
      </c>
      <c r="B109" s="28" t="s">
        <v>99</v>
      </c>
      <c r="C109" s="34" t="s">
        <v>553</v>
      </c>
      <c r="D109" s="29" t="s">
        <v>520</v>
      </c>
      <c r="E109" s="31">
        <v>0</v>
      </c>
      <c r="F109" s="36"/>
      <c r="G109" s="36"/>
      <c r="H109" s="31">
        <f>_xlfn.XLOOKUP(B109, Rate_Master!$A:$A, Rate_Master!$C:$C, "")</f>
        <v>931499.99999999988</v>
      </c>
      <c r="I109" s="144">
        <f>_xlfn.XLOOKUP(B109, Rate_Master!$A:$A, Rate_Master!$D:$D, "")</f>
        <v>114999.99999999999</v>
      </c>
      <c r="J109" s="32">
        <f t="shared" si="25"/>
        <v>1046499.9999999999</v>
      </c>
      <c r="K109" s="32">
        <f t="shared" si="26"/>
        <v>0</v>
      </c>
      <c r="L109" s="32">
        <f t="shared" si="27"/>
        <v>0</v>
      </c>
      <c r="M109" s="32"/>
      <c r="O109" s="115"/>
      <c r="P109" s="115"/>
      <c r="Q109" s="115"/>
    </row>
    <row r="110" spans="1:17" s="4" customFormat="1" ht="25.5" customHeight="1" outlineLevel="1">
      <c r="A110" s="27" t="str">
        <f t="shared" si="24"/>
        <v>5A.F1.6</v>
      </c>
      <c r="B110" s="28" t="s">
        <v>100</v>
      </c>
      <c r="C110" s="34" t="s">
        <v>554</v>
      </c>
      <c r="D110" s="29" t="s">
        <v>520</v>
      </c>
      <c r="E110" s="31">
        <v>1027.213</v>
      </c>
      <c r="F110" s="36">
        <v>945.43399999999986</v>
      </c>
      <c r="G110" s="36"/>
      <c r="H110" s="31">
        <f>_xlfn.XLOOKUP(B110, Rate_Master!$A:$A, Rate_Master!$C:$C, "")</f>
        <v>1586790</v>
      </c>
      <c r="I110" s="144">
        <f>_xlfn.XLOOKUP(B110, Rate_Master!$A:$A, Rate_Master!$D:$D, "")</f>
        <v>372210</v>
      </c>
      <c r="J110" s="32">
        <f t="shared" si="25"/>
        <v>1959000</v>
      </c>
      <c r="K110" s="32">
        <f t="shared" si="26"/>
        <v>2012310267</v>
      </c>
      <c r="L110" s="32">
        <f t="shared" si="27"/>
        <v>1852105205.9999998</v>
      </c>
      <c r="M110" s="32"/>
      <c r="O110" s="115"/>
      <c r="P110" s="115"/>
      <c r="Q110" s="115"/>
    </row>
    <row r="111" spans="1:17" s="4" customFormat="1" ht="51" customHeight="1" outlineLevel="1">
      <c r="A111" s="27" t="str">
        <f t="shared" si="24"/>
        <v>5A.F1.7</v>
      </c>
      <c r="B111" s="28" t="s">
        <v>101</v>
      </c>
      <c r="C111" s="28" t="s">
        <v>515</v>
      </c>
      <c r="D111" s="29" t="s">
        <v>520</v>
      </c>
      <c r="E111" s="31">
        <v>96.042000000000002</v>
      </c>
      <c r="F111" s="36">
        <v>106.274</v>
      </c>
      <c r="G111" s="36"/>
      <c r="H111" s="31">
        <f>_xlfn.XLOOKUP(B111, Rate_Master!$A:$A, Rate_Master!$C:$C, "")</f>
        <v>1121250</v>
      </c>
      <c r="I111" s="144">
        <f>_xlfn.XLOOKUP(B111, Rate_Master!$A:$A, Rate_Master!$D:$D, "")</f>
        <v>114999.99999999999</v>
      </c>
      <c r="J111" s="32">
        <f t="shared" si="25"/>
        <v>1236250</v>
      </c>
      <c r="K111" s="32">
        <f t="shared" si="26"/>
        <v>118731922.5</v>
      </c>
      <c r="L111" s="32">
        <f t="shared" si="27"/>
        <v>131381232.5</v>
      </c>
      <c r="M111" s="32"/>
      <c r="O111" s="115"/>
      <c r="P111" s="115"/>
      <c r="Q111" s="115"/>
    </row>
    <row r="112" spans="1:17" s="4" customFormat="1" ht="51" customHeight="1" outlineLevel="1">
      <c r="A112" s="27" t="str">
        <f t="shared" si="24"/>
        <v>5A.F1.8</v>
      </c>
      <c r="B112" s="28" t="s">
        <v>102</v>
      </c>
      <c r="C112" s="34" t="s">
        <v>555</v>
      </c>
      <c r="D112" s="29" t="s">
        <v>520</v>
      </c>
      <c r="E112" s="31">
        <v>0</v>
      </c>
      <c r="F112" s="36"/>
      <c r="G112" s="36"/>
      <c r="H112" s="31">
        <f>_xlfn.XLOOKUP(B112, Rate_Master!$A:$A, Rate_Master!$C:$C, "")</f>
        <v>0</v>
      </c>
      <c r="I112" s="144">
        <f>_xlfn.XLOOKUP(B112, Rate_Master!$A:$A, Rate_Master!$D:$D, "")</f>
        <v>0</v>
      </c>
      <c r="J112" s="32">
        <f t="shared" si="25"/>
        <v>0</v>
      </c>
      <c r="K112" s="32">
        <f t="shared" si="26"/>
        <v>0</v>
      </c>
      <c r="L112" s="32">
        <f t="shared" si="27"/>
        <v>0</v>
      </c>
      <c r="M112" s="32"/>
      <c r="O112" s="115"/>
      <c r="P112" s="115"/>
      <c r="Q112" s="115"/>
    </row>
    <row r="113" spans="1:17" s="4" customFormat="1" ht="51" customHeight="1" outlineLevel="1">
      <c r="A113" s="27" t="str">
        <f t="shared" si="24"/>
        <v>5A.F1.9</v>
      </c>
      <c r="B113" s="28" t="s">
        <v>103</v>
      </c>
      <c r="C113" s="34" t="s">
        <v>555</v>
      </c>
      <c r="D113" s="29" t="s">
        <v>520</v>
      </c>
      <c r="E113" s="31">
        <v>0</v>
      </c>
      <c r="F113" s="36"/>
      <c r="G113" s="36"/>
      <c r="H113" s="31">
        <f>_xlfn.XLOOKUP(B113, Rate_Master!$A:$A, Rate_Master!$C:$C, "")</f>
        <v>0</v>
      </c>
      <c r="I113" s="144">
        <f>_xlfn.XLOOKUP(B113, Rate_Master!$A:$A, Rate_Master!$D:$D, "")</f>
        <v>0</v>
      </c>
      <c r="J113" s="32">
        <f t="shared" si="25"/>
        <v>0</v>
      </c>
      <c r="K113" s="32">
        <f t="shared" si="26"/>
        <v>0</v>
      </c>
      <c r="L113" s="32">
        <f t="shared" si="27"/>
        <v>0</v>
      </c>
      <c r="M113" s="32"/>
      <c r="O113" s="115"/>
      <c r="P113" s="115"/>
      <c r="Q113" s="115"/>
    </row>
    <row r="114" spans="1:17" s="4" customFormat="1" ht="25.5" customHeight="1" outlineLevel="1">
      <c r="A114" s="27" t="str">
        <f t="shared" si="24"/>
        <v>5A.F1.10</v>
      </c>
      <c r="B114" s="28" t="s">
        <v>104</v>
      </c>
      <c r="C114" s="28" t="s">
        <v>515</v>
      </c>
      <c r="D114" s="29" t="s">
        <v>520</v>
      </c>
      <c r="E114" s="31">
        <v>6402.2</v>
      </c>
      <c r="F114" s="36">
        <v>5214.8879999999999</v>
      </c>
      <c r="G114" s="36"/>
      <c r="H114" s="30">
        <f>_xlfn.XLOOKUP(B114, Rate_Master!$A:$A, Rate_Master!$C:$C, "")</f>
        <v>46000</v>
      </c>
      <c r="I114" s="142">
        <f>_xlfn.XLOOKUP(B114, Rate_Master!$A:$A, Rate_Master!$D:$D, "")</f>
        <v>34500</v>
      </c>
      <c r="J114" s="32">
        <f t="shared" si="25"/>
        <v>80500</v>
      </c>
      <c r="K114" s="32">
        <f t="shared" si="26"/>
        <v>515377100</v>
      </c>
      <c r="L114" s="32">
        <f t="shared" si="27"/>
        <v>419798484</v>
      </c>
      <c r="M114" s="32"/>
      <c r="O114" s="115"/>
      <c r="P114" s="115"/>
      <c r="Q114" s="115"/>
    </row>
    <row r="115" spans="1:17" s="4" customFormat="1" ht="25.5" customHeight="1" outlineLevel="1">
      <c r="A115" s="27" t="str">
        <f t="shared" si="24"/>
        <v>5A.F1.11</v>
      </c>
      <c r="B115" s="28" t="s">
        <v>105</v>
      </c>
      <c r="C115" s="34" t="s">
        <v>556</v>
      </c>
      <c r="D115" s="29" t="s">
        <v>520</v>
      </c>
      <c r="E115" s="31">
        <v>5044.2939999999999</v>
      </c>
      <c r="F115" s="36">
        <v>8461.7819999999992</v>
      </c>
      <c r="G115" s="36"/>
      <c r="H115" s="30">
        <f>_xlfn.XLOOKUP(B115, Rate_Master!$A:$A, Rate_Master!$C:$C, "")</f>
        <v>26565.000000000004</v>
      </c>
      <c r="I115" s="142">
        <f>_xlfn.XLOOKUP(B115, Rate_Master!$A:$A, Rate_Master!$D:$D, "")</f>
        <v>132250</v>
      </c>
      <c r="J115" s="32">
        <f t="shared" si="25"/>
        <v>158815</v>
      </c>
      <c r="K115" s="32">
        <f t="shared" si="26"/>
        <v>801109551.61000001</v>
      </c>
      <c r="L115" s="32">
        <f t="shared" si="27"/>
        <v>1343857908.3299999</v>
      </c>
      <c r="M115" s="32"/>
      <c r="O115" s="115"/>
      <c r="P115" s="115"/>
      <c r="Q115" s="115"/>
    </row>
    <row r="116" spans="1:17" s="4" customFormat="1" ht="25.5" customHeight="1" outlineLevel="1">
      <c r="A116" s="27" t="str">
        <f t="shared" si="24"/>
        <v>5A.F1.12</v>
      </c>
      <c r="B116" s="28" t="s">
        <v>106</v>
      </c>
      <c r="C116" s="34" t="s">
        <v>556</v>
      </c>
      <c r="D116" s="29" t="s">
        <v>520</v>
      </c>
      <c r="E116" s="31">
        <v>5961.8320000000003</v>
      </c>
      <c r="F116" s="36">
        <v>8461.7819999999992</v>
      </c>
      <c r="G116" s="36"/>
      <c r="H116" s="30">
        <f>_xlfn.XLOOKUP(B116, Rate_Master!$A:$A, Rate_Master!$C:$C, "")</f>
        <v>26565.000000000004</v>
      </c>
      <c r="I116" s="142">
        <f>_xlfn.XLOOKUP(B116, Rate_Master!$A:$A, Rate_Master!$D:$D, "")</f>
        <v>117299.99999999999</v>
      </c>
      <c r="J116" s="32">
        <f t="shared" si="25"/>
        <v>143865</v>
      </c>
      <c r="K116" s="32">
        <f t="shared" si="26"/>
        <v>857698960.68000007</v>
      </c>
      <c r="L116" s="32">
        <f t="shared" si="27"/>
        <v>1217354267.4299998</v>
      </c>
      <c r="M116" s="32"/>
      <c r="O116" s="115"/>
      <c r="P116" s="115"/>
      <c r="Q116" s="115"/>
    </row>
    <row r="117" spans="1:17" s="4" customFormat="1" ht="38.25" customHeight="1" outlineLevel="1">
      <c r="A117" s="27" t="str">
        <f t="shared" si="24"/>
        <v>5A.F1.13</v>
      </c>
      <c r="B117" s="28" t="s">
        <v>107</v>
      </c>
      <c r="C117" s="28" t="s">
        <v>515</v>
      </c>
      <c r="D117" s="29" t="s">
        <v>520</v>
      </c>
      <c r="E117" s="31">
        <v>326.54500000000002</v>
      </c>
      <c r="F117" s="36">
        <v>413.51799999999997</v>
      </c>
      <c r="G117" s="36"/>
      <c r="H117" s="31">
        <f>_xlfn.XLOOKUP(B117, Rate_Master!$A:$A, Rate_Master!$C:$C, "")</f>
        <v>218499.99999999997</v>
      </c>
      <c r="I117" s="144">
        <f>_xlfn.XLOOKUP(B117, Rate_Master!$A:$A, Rate_Master!$D:$D, "")</f>
        <v>138000</v>
      </c>
      <c r="J117" s="32">
        <f t="shared" si="25"/>
        <v>356500</v>
      </c>
      <c r="K117" s="32">
        <f t="shared" si="26"/>
        <v>116413292.5</v>
      </c>
      <c r="L117" s="32">
        <f t="shared" si="27"/>
        <v>147419167</v>
      </c>
      <c r="M117" s="32"/>
      <c r="O117" s="115"/>
      <c r="P117" s="115"/>
      <c r="Q117" s="115"/>
    </row>
    <row r="118" spans="1:17" s="4" customFormat="1" ht="25.5" customHeight="1" outlineLevel="1">
      <c r="A118" s="27" t="str">
        <f t="shared" si="24"/>
        <v>5A.F1.14</v>
      </c>
      <c r="B118" s="34" t="s">
        <v>108</v>
      </c>
      <c r="C118" s="28" t="s">
        <v>515</v>
      </c>
      <c r="D118" s="29" t="s">
        <v>520</v>
      </c>
      <c r="E118" s="31">
        <v>5044.2939999999999</v>
      </c>
      <c r="F118" s="36">
        <v>8461.7800000000007</v>
      </c>
      <c r="G118" s="36"/>
      <c r="H118" s="30">
        <f>_xlfn.XLOOKUP(B118, Rate_Master!$A:$A, Rate_Master!$C:$C, "")</f>
        <v>51749.999999999993</v>
      </c>
      <c r="I118" s="142">
        <f>_xlfn.XLOOKUP(B118, Rate_Master!$A:$A, Rate_Master!$D:$D, "")</f>
        <v>34500</v>
      </c>
      <c r="J118" s="32">
        <f t="shared" si="25"/>
        <v>86250</v>
      </c>
      <c r="K118" s="32">
        <f t="shared" si="26"/>
        <v>435070357.5</v>
      </c>
      <c r="L118" s="32">
        <f t="shared" si="27"/>
        <v>729828525</v>
      </c>
      <c r="M118" s="32"/>
      <c r="O118" s="115"/>
      <c r="P118" s="115"/>
      <c r="Q118" s="115"/>
    </row>
    <row r="119" spans="1:17" s="4" customFormat="1" ht="25.5" customHeight="1" outlineLevel="1">
      <c r="A119" s="27" t="str">
        <f t="shared" si="24"/>
        <v>5A.F1.15</v>
      </c>
      <c r="B119" s="34" t="s">
        <v>109</v>
      </c>
      <c r="C119" s="28" t="s">
        <v>515</v>
      </c>
      <c r="D119" s="29" t="s">
        <v>520</v>
      </c>
      <c r="E119" s="31">
        <v>5407.58</v>
      </c>
      <c r="F119" s="36">
        <v>8461.7800000000007</v>
      </c>
      <c r="G119" s="36"/>
      <c r="H119" s="31">
        <f>_xlfn.XLOOKUP(B119, Rate_Master!$A:$A, Rate_Master!$C:$C, "")</f>
        <v>46000</v>
      </c>
      <c r="I119" s="144">
        <f>_xlfn.XLOOKUP(B119, Rate_Master!$A:$A, Rate_Master!$D:$D, "")</f>
        <v>19550</v>
      </c>
      <c r="J119" s="32">
        <f t="shared" si="25"/>
        <v>65550</v>
      </c>
      <c r="K119" s="32">
        <f t="shared" si="26"/>
        <v>354466869</v>
      </c>
      <c r="L119" s="32">
        <f t="shared" si="27"/>
        <v>554669679</v>
      </c>
      <c r="M119" s="32"/>
      <c r="O119" s="115"/>
      <c r="P119" s="115"/>
      <c r="Q119" s="115"/>
    </row>
    <row r="120" spans="1:17" s="4" customFormat="1" ht="38.25" customHeight="1" outlineLevel="1">
      <c r="A120" s="27" t="str">
        <f t="shared" si="24"/>
        <v>5A.F1.16</v>
      </c>
      <c r="B120" s="34" t="s">
        <v>110</v>
      </c>
      <c r="C120" s="28" t="s">
        <v>515</v>
      </c>
      <c r="D120" s="29" t="s">
        <v>520</v>
      </c>
      <c r="E120" s="31">
        <v>138.535</v>
      </c>
      <c r="F120" s="36">
        <v>187.81</v>
      </c>
      <c r="G120" s="36"/>
      <c r="H120" s="31">
        <f>_xlfn.XLOOKUP(B120, Rate_Master!$A:$A, Rate_Master!$C:$C, "")</f>
        <v>51749.999999999993</v>
      </c>
      <c r="I120" s="144">
        <f>_xlfn.XLOOKUP(B120, Rate_Master!$A:$A, Rate_Master!$D:$D, "")</f>
        <v>17250</v>
      </c>
      <c r="J120" s="32">
        <f t="shared" si="25"/>
        <v>69000</v>
      </c>
      <c r="K120" s="32">
        <f t="shared" si="26"/>
        <v>9558915</v>
      </c>
      <c r="L120" s="32">
        <f t="shared" si="27"/>
        <v>12958890</v>
      </c>
      <c r="M120" s="32"/>
      <c r="O120" s="115"/>
      <c r="P120" s="115"/>
      <c r="Q120" s="115"/>
    </row>
    <row r="121" spans="1:17" s="4" customFormat="1" ht="25.5" customHeight="1" outlineLevel="1">
      <c r="A121" s="27" t="str">
        <f t="shared" si="24"/>
        <v>5A.F1.17</v>
      </c>
      <c r="B121" s="34" t="s">
        <v>111</v>
      </c>
      <c r="C121" s="28" t="s">
        <v>515</v>
      </c>
      <c r="D121" s="29" t="s">
        <v>520</v>
      </c>
      <c r="E121" s="31">
        <v>89.171999999999997</v>
      </c>
      <c r="F121" s="36">
        <v>162.54</v>
      </c>
      <c r="G121" s="36"/>
      <c r="H121" s="31">
        <f>_xlfn.XLOOKUP(B121, Rate_Master!$A:$A, Rate_Master!$C:$C, "")</f>
        <v>172500</v>
      </c>
      <c r="I121" s="144">
        <f>_xlfn.XLOOKUP(B121, Rate_Master!$A:$A, Rate_Master!$D:$D, "")</f>
        <v>28749.999999999996</v>
      </c>
      <c r="J121" s="32">
        <f t="shared" si="25"/>
        <v>201250</v>
      </c>
      <c r="K121" s="32">
        <f t="shared" si="26"/>
        <v>17945865</v>
      </c>
      <c r="L121" s="32">
        <f t="shared" si="27"/>
        <v>32711175</v>
      </c>
      <c r="M121" s="32"/>
      <c r="O121" s="115"/>
      <c r="P121" s="115"/>
      <c r="Q121" s="115"/>
    </row>
    <row r="122" spans="1:17" s="4" customFormat="1" ht="38.25" customHeight="1" outlineLevel="1">
      <c r="A122" s="27" t="str">
        <f t="shared" si="24"/>
        <v>5A.F1.18</v>
      </c>
      <c r="B122" s="34" t="s">
        <v>112</v>
      </c>
      <c r="C122" s="34" t="s">
        <v>557</v>
      </c>
      <c r="D122" s="29" t="s">
        <v>517</v>
      </c>
      <c r="E122" s="31">
        <v>470.8</v>
      </c>
      <c r="F122" s="36">
        <v>439.95</v>
      </c>
      <c r="G122" s="36"/>
      <c r="H122" s="31">
        <f>_xlfn.XLOOKUP(B122, Rate_Master!$A:$A, Rate_Master!$C:$C, "")</f>
        <v>163300</v>
      </c>
      <c r="I122" s="144">
        <f>_xlfn.XLOOKUP(B122, Rate_Master!$A:$A, Rate_Master!$D:$D, "")</f>
        <v>51749.999999999993</v>
      </c>
      <c r="J122" s="32">
        <f t="shared" si="25"/>
        <v>215050</v>
      </c>
      <c r="K122" s="32">
        <f t="shared" si="26"/>
        <v>101245540</v>
      </c>
      <c r="L122" s="32">
        <f t="shared" si="27"/>
        <v>94611247.5</v>
      </c>
      <c r="M122" s="32"/>
      <c r="O122" s="115"/>
      <c r="P122" s="115"/>
      <c r="Q122" s="115"/>
    </row>
    <row r="123" spans="1:17" s="3" customFormat="1" ht="25.5" customHeight="1">
      <c r="A123" s="22" t="str">
        <f>$A$103&amp;2</f>
        <v>5A.F2</v>
      </c>
      <c r="B123" s="23" t="s">
        <v>113</v>
      </c>
      <c r="C123" s="23" t="s">
        <v>515</v>
      </c>
      <c r="D123" s="22"/>
      <c r="E123" s="25"/>
      <c r="F123" s="87"/>
      <c r="G123" s="87"/>
      <c r="H123" s="25">
        <f>_xlfn.XLOOKUP(B123, Rate_Master!$A:$A, Rate_Master!$C:$C, "")</f>
        <v>0</v>
      </c>
      <c r="I123" s="145">
        <f>_xlfn.XLOOKUP(B123, Rate_Master!$A:$A, Rate_Master!$D:$D, "")</f>
        <v>0</v>
      </c>
      <c r="J123" s="26">
        <f>H123+I123</f>
        <v>0</v>
      </c>
      <c r="K123" s="26">
        <f>SUBTOTAL(9,K124:K128)</f>
        <v>1377063320.8999996</v>
      </c>
      <c r="L123" s="26">
        <f>SUBTOTAL(9,L124:L128)</f>
        <v>1221922959.5999999</v>
      </c>
      <c r="M123" s="26"/>
      <c r="O123" s="115"/>
      <c r="P123" s="115"/>
      <c r="Q123" s="115"/>
    </row>
    <row r="124" spans="1:17" s="4" customFormat="1" ht="51" customHeight="1" outlineLevel="1">
      <c r="A124" s="27" t="str">
        <f>$A$123&amp;"."&amp;ROW()-ROW($A$123)</f>
        <v>5A.F2.1</v>
      </c>
      <c r="B124" s="34" t="s">
        <v>114</v>
      </c>
      <c r="C124" s="28" t="s">
        <v>515</v>
      </c>
      <c r="D124" s="29" t="s">
        <v>520</v>
      </c>
      <c r="E124" s="31">
        <v>104.355</v>
      </c>
      <c r="F124" s="36">
        <v>113.75</v>
      </c>
      <c r="G124" s="36"/>
      <c r="H124" s="30">
        <f>_xlfn.XLOOKUP(B124, Rate_Master!$A:$A, Rate_Master!$C:$C, "")</f>
        <v>206999.99999999997</v>
      </c>
      <c r="I124" s="142">
        <f>_xlfn.XLOOKUP(B124, Rate_Master!$A:$A, Rate_Master!$D:$D, "")</f>
        <v>126499.99999999999</v>
      </c>
      <c r="J124" s="32">
        <f>+I124+H124</f>
        <v>333499.99999999994</v>
      </c>
      <c r="K124" s="32">
        <f>J124*E124</f>
        <v>34802392.499999993</v>
      </c>
      <c r="L124" s="32">
        <f>+F124*J124</f>
        <v>37935624.999999993</v>
      </c>
      <c r="M124" s="32"/>
      <c r="O124" s="115"/>
      <c r="P124" s="115"/>
      <c r="Q124" s="115"/>
    </row>
    <row r="125" spans="1:17" s="4" customFormat="1" ht="51" customHeight="1" outlineLevel="1">
      <c r="A125" s="27" t="str">
        <f>$A$123&amp;"."&amp;ROW()-ROW($A$123)</f>
        <v>5A.F2.2</v>
      </c>
      <c r="B125" s="28" t="s">
        <v>115</v>
      </c>
      <c r="C125" s="28" t="s">
        <v>515</v>
      </c>
      <c r="D125" s="29" t="s">
        <v>520</v>
      </c>
      <c r="E125" s="31">
        <v>17164.462</v>
      </c>
      <c r="F125" s="36">
        <v>15140.503000000001</v>
      </c>
      <c r="G125" s="36"/>
      <c r="H125" s="30">
        <f>_xlfn.XLOOKUP(B125, Rate_Master!$A:$A, Rate_Master!$C:$C, "")</f>
        <v>28749.999999999996</v>
      </c>
      <c r="I125" s="142">
        <f>_xlfn.XLOOKUP(B125, Rate_Master!$A:$A, Rate_Master!$D:$D, "")</f>
        <v>49449.999999999993</v>
      </c>
      <c r="J125" s="32">
        <f>+I125+H125</f>
        <v>78199.999999999985</v>
      </c>
      <c r="K125" s="32">
        <f>J125*E125</f>
        <v>1342260928.3999996</v>
      </c>
      <c r="L125" s="32">
        <f>+F125*J125</f>
        <v>1183987334.5999999</v>
      </c>
      <c r="M125" s="32"/>
      <c r="O125" s="115"/>
      <c r="P125" s="115"/>
      <c r="Q125" s="115"/>
    </row>
    <row r="126" spans="1:17" s="4" customFormat="1" ht="51" customHeight="1" outlineLevel="1">
      <c r="A126" s="27" t="str">
        <f>$A$123&amp;"."&amp;ROW()-ROW($A$123)</f>
        <v>5A.F2.3</v>
      </c>
      <c r="B126" s="34" t="s">
        <v>116</v>
      </c>
      <c r="C126" s="28" t="s">
        <v>515</v>
      </c>
      <c r="D126" s="29" t="s">
        <v>520</v>
      </c>
      <c r="E126" s="31">
        <v>0</v>
      </c>
      <c r="F126" s="36"/>
      <c r="G126" s="36"/>
      <c r="H126" s="31">
        <f>_xlfn.XLOOKUP(B126, Rate_Master!$A:$A, Rate_Master!$C:$C, "")</f>
        <v>0</v>
      </c>
      <c r="I126" s="144">
        <f>_xlfn.XLOOKUP(B126, Rate_Master!$A:$A, Rate_Master!$D:$D, "")</f>
        <v>0</v>
      </c>
      <c r="J126" s="32">
        <f>+I126+H126</f>
        <v>0</v>
      </c>
      <c r="K126" s="32">
        <f>J126*E126</f>
        <v>0</v>
      </c>
      <c r="L126" s="32">
        <f>+F126*J126</f>
        <v>0</v>
      </c>
      <c r="M126" s="32"/>
      <c r="O126" s="115"/>
      <c r="P126" s="115"/>
      <c r="Q126" s="115"/>
    </row>
    <row r="127" spans="1:17" s="4" customFormat="1" ht="51" customHeight="1" outlineLevel="1">
      <c r="A127" s="27" t="str">
        <f>$A$123&amp;"."&amp;ROW()-ROW($A$123)</f>
        <v>5A.F2.4</v>
      </c>
      <c r="B127" s="34" t="s">
        <v>117</v>
      </c>
      <c r="C127" s="28" t="s">
        <v>515</v>
      </c>
      <c r="D127" s="29" t="s">
        <v>520</v>
      </c>
      <c r="E127" s="31">
        <v>0</v>
      </c>
      <c r="F127" s="36"/>
      <c r="G127" s="36"/>
      <c r="H127" s="31">
        <f>_xlfn.XLOOKUP(B127, Rate_Master!$A:$A, Rate_Master!$C:$C, "")</f>
        <v>0</v>
      </c>
      <c r="I127" s="144">
        <f>_xlfn.XLOOKUP(B127, Rate_Master!$A:$A, Rate_Master!$D:$D, "")</f>
        <v>0</v>
      </c>
      <c r="J127" s="32">
        <f>+I127+H127</f>
        <v>0</v>
      </c>
      <c r="K127" s="32">
        <f>J127*E127</f>
        <v>0</v>
      </c>
      <c r="L127" s="32">
        <f>+F127*J127</f>
        <v>0</v>
      </c>
      <c r="M127" s="32"/>
      <c r="O127" s="115"/>
      <c r="P127" s="115"/>
      <c r="Q127" s="115"/>
    </row>
    <row r="128" spans="1:17" s="4" customFormat="1" ht="38.25" customHeight="1" outlineLevel="1">
      <c r="A128" s="27" t="str">
        <f>$A$123&amp;"."&amp;ROW()-ROW($A$123)</f>
        <v>5A.F2.5</v>
      </c>
      <c r="B128" s="34" t="s">
        <v>118</v>
      </c>
      <c r="C128" s="28" t="s">
        <v>515</v>
      </c>
      <c r="D128" s="29" t="s">
        <v>520</v>
      </c>
      <c r="E128" s="31">
        <v>0</v>
      </c>
      <c r="F128" s="36"/>
      <c r="G128" s="36"/>
      <c r="H128" s="31">
        <f>_xlfn.XLOOKUP(B128, Rate_Master!$A:$A, Rate_Master!$C:$C, "")</f>
        <v>0</v>
      </c>
      <c r="I128" s="144">
        <f>_xlfn.XLOOKUP(B128, Rate_Master!$A:$A, Rate_Master!$D:$D, "")</f>
        <v>0</v>
      </c>
      <c r="J128" s="32">
        <f>+I128+H128</f>
        <v>0</v>
      </c>
      <c r="K128" s="32">
        <f>J128*E128</f>
        <v>0</v>
      </c>
      <c r="L128" s="32">
        <f>+F128*J128</f>
        <v>0</v>
      </c>
      <c r="M128" s="32"/>
      <c r="O128" s="115"/>
      <c r="P128" s="115"/>
      <c r="Q128" s="115"/>
    </row>
    <row r="129" spans="1:17" s="3" customFormat="1" ht="25.5" customHeight="1">
      <c r="A129" s="22" t="str">
        <f>$A$103&amp;3</f>
        <v>5A.F3</v>
      </c>
      <c r="B129" s="23" t="s">
        <v>119</v>
      </c>
      <c r="C129" s="23" t="s">
        <v>515</v>
      </c>
      <c r="D129" s="22"/>
      <c r="E129" s="25"/>
      <c r="F129" s="87"/>
      <c r="G129" s="87"/>
      <c r="H129" s="25">
        <f>_xlfn.XLOOKUP(B129, Rate_Master!$A:$A, Rate_Master!$C:$C, "")</f>
        <v>0</v>
      </c>
      <c r="I129" s="145">
        <f>_xlfn.XLOOKUP(B129, Rate_Master!$A:$A, Rate_Master!$D:$D, "")</f>
        <v>0</v>
      </c>
      <c r="J129" s="26">
        <f>H129+I129</f>
        <v>0</v>
      </c>
      <c r="K129" s="26">
        <f>SUBTOTAL(9,K130:K137)</f>
        <v>19108279.25</v>
      </c>
      <c r="L129" s="26">
        <f>SUBTOTAL(9,L130:L137)</f>
        <v>31918129.25</v>
      </c>
      <c r="M129" s="26"/>
      <c r="O129" s="115"/>
      <c r="P129" s="115"/>
      <c r="Q129" s="115"/>
    </row>
    <row r="130" spans="1:17" s="4" customFormat="1" ht="25.5" customHeight="1" outlineLevel="1">
      <c r="A130" s="27" t="str">
        <f t="shared" ref="A130:A137" si="28">$A$129&amp;"."&amp;ROW()-ROW($A$129)</f>
        <v>5A.F3.1</v>
      </c>
      <c r="B130" s="34" t="s">
        <v>120</v>
      </c>
      <c r="C130" s="28" t="s">
        <v>515</v>
      </c>
      <c r="D130" s="29" t="s">
        <v>520</v>
      </c>
      <c r="E130" s="31">
        <v>144.21799999999999</v>
      </c>
      <c r="F130" s="36">
        <v>215.07499999999999</v>
      </c>
      <c r="G130" s="36"/>
      <c r="H130" s="31">
        <f>_xlfn.XLOOKUP(B130, Rate_Master!$A:$A, Rate_Master!$C:$C, "")</f>
        <v>28749.999999999996</v>
      </c>
      <c r="I130" s="144">
        <f>_xlfn.XLOOKUP(B130, Rate_Master!$A:$A, Rate_Master!$D:$D, "")</f>
        <v>0</v>
      </c>
      <c r="J130" s="32">
        <f t="shared" ref="J130:J137" si="29">+I130+H130</f>
        <v>28749.999999999996</v>
      </c>
      <c r="K130" s="32">
        <f t="shared" ref="K130:K137" si="30">J130*E130</f>
        <v>4146267.4999999991</v>
      </c>
      <c r="L130" s="32">
        <f t="shared" ref="L130:L137" si="31">+F130*J130</f>
        <v>6183406.2499999991</v>
      </c>
      <c r="M130" s="32"/>
      <c r="O130" s="115"/>
      <c r="P130" s="115"/>
      <c r="Q130" s="115"/>
    </row>
    <row r="131" spans="1:17" s="4" customFormat="1" ht="25.5" customHeight="1" outlineLevel="1">
      <c r="A131" s="27" t="str">
        <f t="shared" si="28"/>
        <v>5A.F3.2</v>
      </c>
      <c r="B131" s="34" t="s">
        <v>121</v>
      </c>
      <c r="C131" s="28" t="s">
        <v>515</v>
      </c>
      <c r="D131" s="29" t="s">
        <v>520</v>
      </c>
      <c r="E131" s="31">
        <v>6.52</v>
      </c>
      <c r="F131" s="36">
        <v>5.9359999999999999</v>
      </c>
      <c r="G131" s="36"/>
      <c r="H131" s="31">
        <f>_xlfn.XLOOKUP(B131, Rate_Master!$A:$A, Rate_Master!$C:$C, "")</f>
        <v>0</v>
      </c>
      <c r="I131" s="144">
        <f>_xlfn.XLOOKUP(B131, Rate_Master!$A:$A, Rate_Master!$D:$D, "")</f>
        <v>0</v>
      </c>
      <c r="J131" s="32">
        <f t="shared" si="29"/>
        <v>0</v>
      </c>
      <c r="K131" s="32">
        <f t="shared" si="30"/>
        <v>0</v>
      </c>
      <c r="L131" s="32">
        <f t="shared" si="31"/>
        <v>0</v>
      </c>
      <c r="M131" s="32"/>
      <c r="O131" s="115"/>
      <c r="P131" s="115"/>
      <c r="Q131" s="115"/>
    </row>
    <row r="132" spans="1:17" s="4" customFormat="1" ht="38.25" customHeight="1" outlineLevel="1">
      <c r="A132" s="27" t="str">
        <f t="shared" si="28"/>
        <v>5A.F3.3</v>
      </c>
      <c r="B132" s="34" t="s">
        <v>122</v>
      </c>
      <c r="C132" s="28" t="s">
        <v>515</v>
      </c>
      <c r="D132" s="29" t="s">
        <v>520</v>
      </c>
      <c r="E132" s="31">
        <v>102.393</v>
      </c>
      <c r="F132" s="36">
        <v>141.96</v>
      </c>
      <c r="G132" s="36"/>
      <c r="H132" s="31">
        <f>_xlfn.XLOOKUP(B132, Rate_Master!$A:$A, Rate_Master!$C:$C, "")</f>
        <v>51749.999999999993</v>
      </c>
      <c r="I132" s="144">
        <f>_xlfn.XLOOKUP(B132, Rate_Master!$A:$A, Rate_Master!$D:$D, "")</f>
        <v>23000</v>
      </c>
      <c r="J132" s="32">
        <f t="shared" si="29"/>
        <v>74750</v>
      </c>
      <c r="K132" s="32">
        <f t="shared" si="30"/>
        <v>7653876.75</v>
      </c>
      <c r="L132" s="32">
        <f t="shared" si="31"/>
        <v>10611510</v>
      </c>
      <c r="M132" s="32"/>
      <c r="O132" s="115"/>
      <c r="P132" s="115"/>
      <c r="Q132" s="115"/>
    </row>
    <row r="133" spans="1:17" s="4" customFormat="1" ht="25.5" customHeight="1" outlineLevel="1">
      <c r="A133" s="27" t="str">
        <f t="shared" si="28"/>
        <v>5A.F3.4</v>
      </c>
      <c r="B133" s="34" t="s">
        <v>123</v>
      </c>
      <c r="C133" s="28" t="s">
        <v>515</v>
      </c>
      <c r="D133" s="29" t="s">
        <v>520</v>
      </c>
      <c r="E133" s="31">
        <v>35.305</v>
      </c>
      <c r="F133" s="36">
        <v>73.058999999999997</v>
      </c>
      <c r="G133" s="36"/>
      <c r="H133" s="31">
        <f>_xlfn.XLOOKUP(B133, Rate_Master!$A:$A, Rate_Master!$C:$C, "")</f>
        <v>172500</v>
      </c>
      <c r="I133" s="144">
        <f>_xlfn.XLOOKUP(B133, Rate_Master!$A:$A, Rate_Master!$D:$D, "")</f>
        <v>34500</v>
      </c>
      <c r="J133" s="32">
        <f t="shared" si="29"/>
        <v>207000</v>
      </c>
      <c r="K133" s="32">
        <f t="shared" si="30"/>
        <v>7308135</v>
      </c>
      <c r="L133" s="32">
        <f t="shared" si="31"/>
        <v>15123213</v>
      </c>
      <c r="M133" s="32"/>
      <c r="O133" s="115"/>
      <c r="P133" s="115"/>
      <c r="Q133" s="115"/>
    </row>
    <row r="134" spans="1:17" s="4" customFormat="1" ht="51" customHeight="1" outlineLevel="1">
      <c r="A134" s="27" t="str">
        <f t="shared" si="28"/>
        <v>5A.F3.5</v>
      </c>
      <c r="B134" s="28" t="s">
        <v>124</v>
      </c>
      <c r="C134" s="34" t="s">
        <v>553</v>
      </c>
      <c r="D134" s="29" t="s">
        <v>520</v>
      </c>
      <c r="E134" s="31">
        <v>0</v>
      </c>
      <c r="F134" s="36"/>
      <c r="G134" s="36"/>
      <c r="H134" s="30">
        <f>_xlfn.XLOOKUP(B134, Rate_Master!$A:$A, Rate_Master!$C:$C, "")</f>
        <v>1069500</v>
      </c>
      <c r="I134" s="142">
        <f>_xlfn.XLOOKUP(B134, Rate_Master!$A:$A, Rate_Master!$D:$D, "")</f>
        <v>172500</v>
      </c>
      <c r="J134" s="32">
        <f t="shared" si="29"/>
        <v>1242000</v>
      </c>
      <c r="K134" s="32">
        <f t="shared" si="30"/>
        <v>0</v>
      </c>
      <c r="L134" s="32">
        <f t="shared" si="31"/>
        <v>0</v>
      </c>
      <c r="M134" s="32"/>
      <c r="O134" s="115"/>
      <c r="P134" s="115"/>
      <c r="Q134" s="115"/>
    </row>
    <row r="135" spans="1:17" s="4" customFormat="1" ht="51" customHeight="1" outlineLevel="1">
      <c r="A135" s="27" t="str">
        <f t="shared" si="28"/>
        <v>5A.F3.6</v>
      </c>
      <c r="B135" s="34" t="s">
        <v>125</v>
      </c>
      <c r="C135" s="28" t="s">
        <v>515</v>
      </c>
      <c r="D135" s="29" t="s">
        <v>520</v>
      </c>
      <c r="E135" s="31">
        <v>0</v>
      </c>
      <c r="F135" s="36"/>
      <c r="G135" s="36"/>
      <c r="H135" s="30">
        <f>_xlfn.XLOOKUP(B135, Rate_Master!$A:$A, Rate_Master!$C:$C, "")</f>
        <v>965999.99999999988</v>
      </c>
      <c r="I135" s="142">
        <f>_xlfn.XLOOKUP(B135, Rate_Master!$A:$A, Rate_Master!$D:$D, "")</f>
        <v>138000</v>
      </c>
      <c r="J135" s="32">
        <f t="shared" si="29"/>
        <v>1104000</v>
      </c>
      <c r="K135" s="32">
        <f t="shared" si="30"/>
        <v>0</v>
      </c>
      <c r="L135" s="32">
        <f t="shared" si="31"/>
        <v>0</v>
      </c>
      <c r="M135" s="32"/>
      <c r="O135" s="115"/>
      <c r="P135" s="115"/>
      <c r="Q135" s="115"/>
    </row>
    <row r="136" spans="1:17" s="4" customFormat="1" ht="25.5" customHeight="1" outlineLevel="1">
      <c r="A136" s="27" t="str">
        <f t="shared" si="28"/>
        <v>5A.F3.7</v>
      </c>
      <c r="B136" s="28" t="s">
        <v>126</v>
      </c>
      <c r="C136" s="28" t="s">
        <v>515</v>
      </c>
      <c r="D136" s="29" t="s">
        <v>520</v>
      </c>
      <c r="E136" s="31">
        <v>0</v>
      </c>
      <c r="F136" s="36"/>
      <c r="G136" s="36"/>
      <c r="H136" s="30">
        <f>_xlfn.XLOOKUP(B136, Rate_Master!$A:$A, Rate_Master!$C:$C, "")</f>
        <v>0</v>
      </c>
      <c r="I136" s="142">
        <f>_xlfn.XLOOKUP(B136, Rate_Master!$A:$A, Rate_Master!$D:$D, "")</f>
        <v>0</v>
      </c>
      <c r="J136" s="32">
        <f t="shared" si="29"/>
        <v>0</v>
      </c>
      <c r="K136" s="32">
        <f t="shared" si="30"/>
        <v>0</v>
      </c>
      <c r="L136" s="32">
        <f t="shared" si="31"/>
        <v>0</v>
      </c>
      <c r="M136" s="32"/>
      <c r="O136" s="115"/>
      <c r="P136" s="115"/>
      <c r="Q136" s="115"/>
    </row>
    <row r="137" spans="1:17" s="4" customFormat="1" ht="25.5" customHeight="1" outlineLevel="1">
      <c r="A137" s="27" t="str">
        <f t="shared" si="28"/>
        <v>5A.F3.8</v>
      </c>
      <c r="B137" s="34" t="s">
        <v>127</v>
      </c>
      <c r="C137" s="28" t="s">
        <v>515</v>
      </c>
      <c r="D137" s="29" t="s">
        <v>520</v>
      </c>
      <c r="E137" s="31">
        <v>0</v>
      </c>
      <c r="F137" s="36"/>
      <c r="G137" s="36"/>
      <c r="H137" s="30">
        <f>_xlfn.XLOOKUP(B137, Rate_Master!$A:$A, Rate_Master!$C:$C, "")</f>
        <v>0</v>
      </c>
      <c r="I137" s="142">
        <f>_xlfn.XLOOKUP(B137, Rate_Master!$A:$A, Rate_Master!$D:$D, "")</f>
        <v>0</v>
      </c>
      <c r="J137" s="32">
        <f t="shared" si="29"/>
        <v>0</v>
      </c>
      <c r="K137" s="32">
        <f t="shared" si="30"/>
        <v>0</v>
      </c>
      <c r="L137" s="32">
        <f t="shared" si="31"/>
        <v>0</v>
      </c>
      <c r="M137" s="32"/>
      <c r="O137" s="115"/>
      <c r="P137" s="115"/>
      <c r="Q137" s="115"/>
    </row>
    <row r="138" spans="1:17" s="3" customFormat="1" ht="25.5" customHeight="1">
      <c r="A138" s="22" t="str">
        <f>$A$103&amp;4</f>
        <v>5A.F4</v>
      </c>
      <c r="B138" s="23" t="s">
        <v>128</v>
      </c>
      <c r="C138" s="23" t="s">
        <v>515</v>
      </c>
      <c r="D138" s="22"/>
      <c r="E138" s="25"/>
      <c r="F138" s="87"/>
      <c r="G138" s="87"/>
      <c r="H138" s="25">
        <f>_xlfn.XLOOKUP(B138, Rate_Master!$A:$A, Rate_Master!$C:$C, "")</f>
        <v>0</v>
      </c>
      <c r="I138" s="145">
        <f>_xlfn.XLOOKUP(B138, Rate_Master!$A:$A, Rate_Master!$D:$D, "")</f>
        <v>0</v>
      </c>
      <c r="J138" s="26">
        <f>H138+I138</f>
        <v>0</v>
      </c>
      <c r="K138" s="26">
        <f>SUBTOTAL(9,K139:K145)</f>
        <v>914189050</v>
      </c>
      <c r="L138" s="26">
        <f>SUBTOTAL(9,L139:L145)</f>
        <v>914189050</v>
      </c>
      <c r="M138" s="26"/>
      <c r="O138" s="115"/>
      <c r="P138" s="115"/>
      <c r="Q138" s="115"/>
    </row>
    <row r="139" spans="1:17" s="4" customFormat="1" ht="63.75" customHeight="1" outlineLevel="1">
      <c r="A139" s="27" t="str">
        <f t="shared" ref="A139:A145" si="32">$A$138&amp;"."&amp;ROW()-ROW($A$138)</f>
        <v>5A.F4.1</v>
      </c>
      <c r="B139" s="28" t="s">
        <v>164</v>
      </c>
      <c r="C139" s="28" t="s">
        <v>515</v>
      </c>
      <c r="D139" s="29" t="s">
        <v>516</v>
      </c>
      <c r="E139" s="31">
        <v>2</v>
      </c>
      <c r="F139" s="36">
        <v>2</v>
      </c>
      <c r="G139" s="36"/>
      <c r="H139" s="31">
        <f>_xlfn.XLOOKUP(B139, Rate_Master!$A:$A, Rate_Master!$C:$C, "")</f>
        <v>6209999.9999999991</v>
      </c>
      <c r="I139" s="144">
        <f>_xlfn.XLOOKUP(B139, Rate_Master!$A:$A, Rate_Master!$D:$D, "")</f>
        <v>413999.99999999994</v>
      </c>
      <c r="J139" s="32">
        <f t="shared" ref="J139:J145" si="33">+I139+H139</f>
        <v>6623999.9999999991</v>
      </c>
      <c r="K139" s="32">
        <f t="shared" ref="K139:K145" si="34">J139*E139</f>
        <v>13247999.999999998</v>
      </c>
      <c r="L139" s="32">
        <f t="shared" ref="L139:L145" si="35">+F139*J139</f>
        <v>13247999.999999998</v>
      </c>
      <c r="M139" s="32"/>
      <c r="O139" s="115"/>
      <c r="P139" s="115"/>
      <c r="Q139" s="115"/>
    </row>
    <row r="140" spans="1:17" s="4" customFormat="1" ht="76.5" customHeight="1" outlineLevel="1">
      <c r="A140" s="27" t="str">
        <f t="shared" si="32"/>
        <v>5A.F4.2</v>
      </c>
      <c r="B140" s="28" t="s">
        <v>130</v>
      </c>
      <c r="C140" s="28" t="s">
        <v>515</v>
      </c>
      <c r="D140" s="29" t="s">
        <v>516</v>
      </c>
      <c r="E140" s="31">
        <v>11</v>
      </c>
      <c r="F140" s="36">
        <v>11</v>
      </c>
      <c r="G140" s="36"/>
      <c r="H140" s="31">
        <f>_xlfn.XLOOKUP(B140, Rate_Master!$A:$A, Rate_Master!$C:$C, "")</f>
        <v>3104999.9999999995</v>
      </c>
      <c r="I140" s="144">
        <f>_xlfn.XLOOKUP(B140, Rate_Master!$A:$A, Rate_Master!$D:$D, "")</f>
        <v>206999.99999999997</v>
      </c>
      <c r="J140" s="32">
        <f t="shared" si="33"/>
        <v>3311999.9999999995</v>
      </c>
      <c r="K140" s="32">
        <f t="shared" si="34"/>
        <v>36431999.999999993</v>
      </c>
      <c r="L140" s="32">
        <f t="shared" si="35"/>
        <v>36431999.999999993</v>
      </c>
      <c r="M140" s="32"/>
      <c r="O140" s="115"/>
      <c r="P140" s="115"/>
      <c r="Q140" s="115"/>
    </row>
    <row r="141" spans="1:17" s="4" customFormat="1" ht="76.5" customHeight="1" outlineLevel="1">
      <c r="A141" s="27" t="str">
        <f t="shared" si="32"/>
        <v>5A.F4.3</v>
      </c>
      <c r="B141" s="28" t="s">
        <v>131</v>
      </c>
      <c r="C141" s="28" t="s">
        <v>515</v>
      </c>
      <c r="D141" s="29" t="s">
        <v>516</v>
      </c>
      <c r="E141" s="31">
        <v>97</v>
      </c>
      <c r="F141" s="36">
        <v>97</v>
      </c>
      <c r="G141" s="36"/>
      <c r="H141" s="31">
        <f>_xlfn.XLOOKUP(B141, Rate_Master!$A:$A, Rate_Master!$C:$C, "")</f>
        <v>5037000</v>
      </c>
      <c r="I141" s="144">
        <f>_xlfn.XLOOKUP(B141, Rate_Master!$A:$A, Rate_Master!$D:$D, "")</f>
        <v>206999.99999999997</v>
      </c>
      <c r="J141" s="32">
        <f t="shared" si="33"/>
        <v>5244000</v>
      </c>
      <c r="K141" s="32">
        <f t="shared" si="34"/>
        <v>508668000</v>
      </c>
      <c r="L141" s="32">
        <f t="shared" si="35"/>
        <v>508668000</v>
      </c>
      <c r="M141" s="32"/>
      <c r="O141" s="115"/>
      <c r="P141" s="115"/>
      <c r="Q141" s="115"/>
    </row>
    <row r="142" spans="1:17" s="4" customFormat="1" ht="38.25" customHeight="1" outlineLevel="1">
      <c r="A142" s="27" t="str">
        <f t="shared" si="32"/>
        <v>5A.F4.4</v>
      </c>
      <c r="B142" s="28" t="s">
        <v>180</v>
      </c>
      <c r="C142" s="28" t="s">
        <v>515</v>
      </c>
      <c r="D142" s="29" t="s">
        <v>516</v>
      </c>
      <c r="E142" s="31">
        <v>1</v>
      </c>
      <c r="F142" s="36">
        <v>1</v>
      </c>
      <c r="G142" s="36"/>
      <c r="H142" s="31">
        <f>_xlfn.XLOOKUP(B142, Rate_Master!$A:$A, Rate_Master!$C:$C, "")</f>
        <v>2613950</v>
      </c>
      <c r="I142" s="144">
        <f>_xlfn.XLOOKUP(B142, Rate_Master!$A:$A, Rate_Master!$D:$D, "")</f>
        <v>1016599.9999999999</v>
      </c>
      <c r="J142" s="32">
        <f t="shared" si="33"/>
        <v>3630550</v>
      </c>
      <c r="K142" s="32">
        <f t="shared" si="34"/>
        <v>3630550</v>
      </c>
      <c r="L142" s="32">
        <f t="shared" si="35"/>
        <v>3630550</v>
      </c>
      <c r="M142" s="71" t="s">
        <v>559</v>
      </c>
      <c r="O142" s="115"/>
      <c r="P142" s="115"/>
      <c r="Q142" s="115"/>
    </row>
    <row r="143" spans="1:17" s="4" customFormat="1" ht="38.25" customHeight="1" outlineLevel="1">
      <c r="A143" s="27" t="str">
        <f t="shared" si="32"/>
        <v>5A.F4.5</v>
      </c>
      <c r="B143" s="28" t="s">
        <v>166</v>
      </c>
      <c r="C143" s="28" t="s">
        <v>515</v>
      </c>
      <c r="D143" s="29" t="s">
        <v>516</v>
      </c>
      <c r="E143" s="31">
        <v>1</v>
      </c>
      <c r="F143" s="36">
        <v>1</v>
      </c>
      <c r="G143" s="36"/>
      <c r="H143" s="31">
        <f>_xlfn.XLOOKUP(B143, Rate_Master!$A:$A, Rate_Master!$C:$C, "")</f>
        <v>5692500</v>
      </c>
      <c r="I143" s="144">
        <f>_xlfn.XLOOKUP(B143, Rate_Master!$A:$A, Rate_Master!$D:$D, "")</f>
        <v>569250</v>
      </c>
      <c r="J143" s="32">
        <f t="shared" si="33"/>
        <v>6261750</v>
      </c>
      <c r="K143" s="32">
        <f t="shared" si="34"/>
        <v>6261750</v>
      </c>
      <c r="L143" s="32">
        <f t="shared" si="35"/>
        <v>6261750</v>
      </c>
      <c r="M143" s="71" t="s">
        <v>559</v>
      </c>
      <c r="O143" s="115"/>
      <c r="P143" s="115"/>
      <c r="Q143" s="115"/>
    </row>
    <row r="144" spans="1:17" s="4" customFormat="1" ht="51" customHeight="1" outlineLevel="1">
      <c r="A144" s="27" t="str">
        <f t="shared" si="32"/>
        <v>5A.F4.6</v>
      </c>
      <c r="B144" s="28" t="s">
        <v>139</v>
      </c>
      <c r="C144" s="28" t="s">
        <v>515</v>
      </c>
      <c r="D144" s="29" t="s">
        <v>516</v>
      </c>
      <c r="E144" s="31">
        <v>10</v>
      </c>
      <c r="F144" s="36">
        <v>10</v>
      </c>
      <c r="G144" s="36"/>
      <c r="H144" s="31">
        <f>_xlfn.XLOOKUP(B144, Rate_Master!$A:$A, Rate_Master!$C:$C, "")</f>
        <v>19923750</v>
      </c>
      <c r="I144" s="144">
        <f>_xlfn.XLOOKUP(B144, Rate_Master!$A:$A, Rate_Master!$D:$D, "")</f>
        <v>2716875</v>
      </c>
      <c r="J144" s="32">
        <f t="shared" si="33"/>
        <v>22640625</v>
      </c>
      <c r="K144" s="32">
        <f t="shared" si="34"/>
        <v>226406250</v>
      </c>
      <c r="L144" s="32">
        <f t="shared" si="35"/>
        <v>226406250</v>
      </c>
      <c r="M144" s="32"/>
      <c r="O144" s="115"/>
      <c r="P144" s="115"/>
      <c r="Q144" s="115"/>
    </row>
    <row r="145" spans="1:17" s="4" customFormat="1" ht="51" customHeight="1" outlineLevel="1">
      <c r="A145" s="27" t="str">
        <f t="shared" si="32"/>
        <v>5A.F4.7</v>
      </c>
      <c r="B145" s="28" t="s">
        <v>140</v>
      </c>
      <c r="C145" s="28" t="s">
        <v>515</v>
      </c>
      <c r="D145" s="29" t="s">
        <v>516</v>
      </c>
      <c r="E145" s="31">
        <v>4</v>
      </c>
      <c r="F145" s="36">
        <v>4</v>
      </c>
      <c r="G145" s="36"/>
      <c r="H145" s="31">
        <f>_xlfn.XLOOKUP(B145, Rate_Master!$A:$A, Rate_Master!$C:$C, "")</f>
        <v>27168749.999999996</v>
      </c>
      <c r="I145" s="144">
        <f>_xlfn.XLOOKUP(B145, Rate_Master!$A:$A, Rate_Master!$D:$D, "")</f>
        <v>2716875</v>
      </c>
      <c r="J145" s="32">
        <f t="shared" si="33"/>
        <v>29885624.999999996</v>
      </c>
      <c r="K145" s="32">
        <f t="shared" si="34"/>
        <v>119542499.99999999</v>
      </c>
      <c r="L145" s="32">
        <f t="shared" si="35"/>
        <v>119542499.99999999</v>
      </c>
      <c r="M145" s="32"/>
      <c r="O145" s="115"/>
      <c r="P145" s="115"/>
      <c r="Q145" s="115"/>
    </row>
    <row r="146" spans="1:17" s="3" customFormat="1" ht="25.5" customHeight="1">
      <c r="A146" s="22" t="str">
        <f>$A$103&amp;5</f>
        <v>5A.F5</v>
      </c>
      <c r="B146" s="23" t="s">
        <v>143</v>
      </c>
      <c r="C146" s="23" t="s">
        <v>515</v>
      </c>
      <c r="D146" s="22"/>
      <c r="E146" s="25"/>
      <c r="F146" s="87"/>
      <c r="G146" s="87"/>
      <c r="H146" s="25">
        <f>_xlfn.XLOOKUP(B146, Rate_Master!$A:$A, Rate_Master!$C:$C, "")</f>
        <v>0</v>
      </c>
      <c r="I146" s="145">
        <f>_xlfn.XLOOKUP(B146, Rate_Master!$A:$A, Rate_Master!$D:$D, "")</f>
        <v>0</v>
      </c>
      <c r="J146" s="26">
        <f>H146+I146</f>
        <v>0</v>
      </c>
      <c r="K146" s="26">
        <f>SUBTOTAL(9,K147:K149)</f>
        <v>270377765</v>
      </c>
      <c r="L146" s="26">
        <f>SUBTOTAL(9,L147:L149)</f>
        <v>269511021.5</v>
      </c>
      <c r="M146" s="26"/>
      <c r="O146" s="115"/>
      <c r="P146" s="115"/>
      <c r="Q146" s="115"/>
    </row>
    <row r="147" spans="1:17" s="4" customFormat="1" ht="51" customHeight="1" outlineLevel="1">
      <c r="A147" s="27" t="str">
        <f>$A$146&amp;"."&amp;ROW()-ROW($A$146)</f>
        <v>5A.F5.1</v>
      </c>
      <c r="B147" s="34" t="s">
        <v>144</v>
      </c>
      <c r="C147" s="28" t="s">
        <v>515</v>
      </c>
      <c r="D147" s="29" t="s">
        <v>517</v>
      </c>
      <c r="E147" s="31">
        <v>1104.92</v>
      </c>
      <c r="F147" s="36">
        <v>1028.223</v>
      </c>
      <c r="G147" s="36"/>
      <c r="H147" s="31">
        <f>_xlfn.XLOOKUP(B147, Rate_Master!$A:$A, Rate_Master!$C:$C, "")</f>
        <v>161000</v>
      </c>
      <c r="I147" s="144">
        <f>_xlfn.XLOOKUP(B147, Rate_Master!$A:$A, Rate_Master!$D:$D, "")</f>
        <v>34500</v>
      </c>
      <c r="J147" s="32">
        <f>+I147+H147</f>
        <v>195500</v>
      </c>
      <c r="K147" s="32">
        <f>J147*E147</f>
        <v>216011860</v>
      </c>
      <c r="L147" s="32">
        <f>+F147*J147</f>
        <v>201017596.5</v>
      </c>
      <c r="M147" s="32"/>
      <c r="O147" s="115"/>
      <c r="P147" s="115"/>
      <c r="Q147" s="115"/>
    </row>
    <row r="148" spans="1:17" s="4" customFormat="1" ht="38.25" customHeight="1" outlineLevel="1">
      <c r="A148" s="27" t="str">
        <f>$A$146&amp;"."&amp;ROW()-ROW($A$146)</f>
        <v>5A.F5.2</v>
      </c>
      <c r="B148" s="34" t="s">
        <v>145</v>
      </c>
      <c r="C148" s="28" t="s">
        <v>515</v>
      </c>
      <c r="D148" s="29" t="s">
        <v>517</v>
      </c>
      <c r="E148" s="31">
        <v>42.976999999999997</v>
      </c>
      <c r="F148" s="36">
        <v>54.145000000000003</v>
      </c>
      <c r="G148" s="36"/>
      <c r="H148" s="31">
        <f>_xlfn.XLOOKUP(B148, Rate_Master!$A:$A, Rate_Master!$C:$C, "")</f>
        <v>517499.99999999994</v>
      </c>
      <c r="I148" s="144">
        <f>_xlfn.XLOOKUP(B148, Rate_Master!$A:$A, Rate_Master!$D:$D, "")</f>
        <v>57499.999999999993</v>
      </c>
      <c r="J148" s="32">
        <f>+I148+H148</f>
        <v>574999.99999999988</v>
      </c>
      <c r="K148" s="32">
        <f>J148*E148</f>
        <v>24711774.999999993</v>
      </c>
      <c r="L148" s="32">
        <f>+F148*J148</f>
        <v>31133374.999999996</v>
      </c>
      <c r="M148" s="32"/>
      <c r="O148" s="115"/>
      <c r="P148" s="115"/>
      <c r="Q148" s="115"/>
    </row>
    <row r="149" spans="1:17" s="4" customFormat="1" ht="38.25" customHeight="1" outlineLevel="1">
      <c r="A149" s="27" t="str">
        <f>$A$146&amp;"."&amp;ROW()-ROW($A$146)</f>
        <v>5A.F5.3</v>
      </c>
      <c r="B149" s="34" t="s">
        <v>146</v>
      </c>
      <c r="C149" s="28" t="s">
        <v>515</v>
      </c>
      <c r="D149" s="29" t="s">
        <v>517</v>
      </c>
      <c r="E149" s="31">
        <v>42.976999999999997</v>
      </c>
      <c r="F149" s="36">
        <v>54.145000000000003</v>
      </c>
      <c r="G149" s="36"/>
      <c r="H149" s="31">
        <f>_xlfn.XLOOKUP(B149, Rate_Master!$A:$A, Rate_Master!$C:$C, "")</f>
        <v>632500</v>
      </c>
      <c r="I149" s="144">
        <f>_xlfn.XLOOKUP(B149, Rate_Master!$A:$A, Rate_Master!$D:$D, "")</f>
        <v>57499.999999999993</v>
      </c>
      <c r="J149" s="32">
        <f>+I149+H149</f>
        <v>690000</v>
      </c>
      <c r="K149" s="32">
        <f>J149*E149</f>
        <v>29654129.999999996</v>
      </c>
      <c r="L149" s="32">
        <f>+F149*J149</f>
        <v>37360050</v>
      </c>
      <c r="M149" s="32"/>
      <c r="O149" s="115"/>
      <c r="P149" s="115"/>
      <c r="Q149" s="115"/>
    </row>
    <row r="150" spans="1:17" s="3" customFormat="1" ht="25.5" customHeight="1">
      <c r="A150" s="22" t="str">
        <f>$A$103&amp;6</f>
        <v>5A.F6</v>
      </c>
      <c r="B150" s="23" t="s">
        <v>147</v>
      </c>
      <c r="C150" s="23" t="s">
        <v>515</v>
      </c>
      <c r="D150" s="22"/>
      <c r="E150" s="25"/>
      <c r="F150" s="87"/>
      <c r="G150" s="87"/>
      <c r="H150" s="25">
        <f>_xlfn.XLOOKUP(B150, Rate_Master!$A:$A, Rate_Master!$C:$C, "")</f>
        <v>0</v>
      </c>
      <c r="I150" s="145">
        <f>_xlfn.XLOOKUP(B150, Rate_Master!$A:$A, Rate_Master!$D:$D, "")</f>
        <v>0</v>
      </c>
      <c r="J150" s="26">
        <f>H150+I150</f>
        <v>0</v>
      </c>
      <c r="K150" s="26">
        <f>SUBTOTAL(9,K151:K155)</f>
        <v>186536915</v>
      </c>
      <c r="L150" s="26">
        <f>SUBTOTAL(9,L151:L155)</f>
        <v>270505004</v>
      </c>
      <c r="M150" s="26"/>
      <c r="O150" s="115"/>
      <c r="P150" s="115"/>
      <c r="Q150" s="115"/>
    </row>
    <row r="151" spans="1:17" s="4" customFormat="1" ht="51" customHeight="1" outlineLevel="1">
      <c r="A151" s="27" t="str">
        <f>$A$150&amp;"."&amp;ROW()-ROW($A$150)</f>
        <v>5A.F6.1</v>
      </c>
      <c r="B151" s="34" t="s">
        <v>148</v>
      </c>
      <c r="C151" s="34" t="s">
        <v>515</v>
      </c>
      <c r="D151" s="29" t="s">
        <v>520</v>
      </c>
      <c r="E151" s="31">
        <v>183.52799999999999</v>
      </c>
      <c r="F151" s="36">
        <v>316.84100000000001</v>
      </c>
      <c r="G151" s="36"/>
      <c r="H151" s="31">
        <f>_xlfn.XLOOKUP(B151, Rate_Master!$A:$A, Rate_Master!$C:$C, "")</f>
        <v>155000</v>
      </c>
      <c r="I151" s="144">
        <f>_xlfn.XLOOKUP(B151, Rate_Master!$A:$A, Rate_Master!$D:$D, "")</f>
        <v>45000</v>
      </c>
      <c r="J151" s="32">
        <f>+I151+H151</f>
        <v>200000</v>
      </c>
      <c r="K151" s="32">
        <f>J151*E151</f>
        <v>36705600</v>
      </c>
      <c r="L151" s="32">
        <f>+F151*J151</f>
        <v>63368200</v>
      </c>
      <c r="M151" s="32"/>
      <c r="O151" s="115"/>
      <c r="P151" s="115"/>
      <c r="Q151" s="115"/>
    </row>
    <row r="152" spans="1:17" s="4" customFormat="1" ht="25.5" customHeight="1" outlineLevel="1">
      <c r="A152" s="27" t="str">
        <f>$A$150&amp;"."&amp;ROW()-ROW($A$150)</f>
        <v>5A.F6.2</v>
      </c>
      <c r="B152" s="34" t="s">
        <v>149</v>
      </c>
      <c r="C152" s="34" t="s">
        <v>515</v>
      </c>
      <c r="D152" s="29" t="s">
        <v>520</v>
      </c>
      <c r="E152" s="31">
        <v>159.51</v>
      </c>
      <c r="F152" s="36">
        <v>218.834</v>
      </c>
      <c r="G152" s="36"/>
      <c r="H152" s="31">
        <f>_xlfn.XLOOKUP(B152, Rate_Master!$A:$A, Rate_Master!$C:$C, "")</f>
        <v>310500</v>
      </c>
      <c r="I152" s="144">
        <f>_xlfn.XLOOKUP(B152, Rate_Master!$A:$A, Rate_Master!$D:$D, "")</f>
        <v>34500</v>
      </c>
      <c r="J152" s="32">
        <f>+I152+H152</f>
        <v>345000</v>
      </c>
      <c r="K152" s="32">
        <f>J152*E152</f>
        <v>55030950</v>
      </c>
      <c r="L152" s="32">
        <f>+F152*J152</f>
        <v>75497730</v>
      </c>
      <c r="M152" s="32"/>
      <c r="O152" s="115"/>
      <c r="P152" s="115"/>
      <c r="Q152" s="115"/>
    </row>
    <row r="153" spans="1:17" s="4" customFormat="1" ht="51" customHeight="1" outlineLevel="1">
      <c r="A153" s="27" t="str">
        <f>$A$150&amp;"."&amp;ROW()-ROW($A$150)</f>
        <v>5A.F6.3</v>
      </c>
      <c r="B153" s="34" t="s">
        <v>150</v>
      </c>
      <c r="C153" s="34" t="s">
        <v>515</v>
      </c>
      <c r="D153" s="29" t="s">
        <v>520</v>
      </c>
      <c r="E153" s="31">
        <v>159.51</v>
      </c>
      <c r="F153" s="36">
        <v>218.834</v>
      </c>
      <c r="G153" s="36"/>
      <c r="H153" s="31">
        <f>_xlfn.XLOOKUP(B153, Rate_Master!$A:$A, Rate_Master!$C:$C, "")</f>
        <v>287500</v>
      </c>
      <c r="I153" s="144">
        <f>_xlfn.XLOOKUP(B153, Rate_Master!$A:$A, Rate_Master!$D:$D, "")</f>
        <v>69000</v>
      </c>
      <c r="J153" s="32">
        <f>+I153+H153</f>
        <v>356500</v>
      </c>
      <c r="K153" s="32">
        <f>J153*E153</f>
        <v>56865315</v>
      </c>
      <c r="L153" s="32">
        <f>+F153*J153</f>
        <v>78014321</v>
      </c>
      <c r="M153" s="32"/>
      <c r="O153" s="115"/>
      <c r="P153" s="115"/>
      <c r="Q153" s="115"/>
    </row>
    <row r="154" spans="1:17" s="4" customFormat="1" ht="51" customHeight="1" outlineLevel="1">
      <c r="A154" s="27" t="str">
        <f>$A$150&amp;"."&amp;ROW()-ROW($A$150)</f>
        <v>5A.F6.4</v>
      </c>
      <c r="B154" s="34" t="s">
        <v>151</v>
      </c>
      <c r="C154" s="34" t="s">
        <v>515</v>
      </c>
      <c r="D154" s="29" t="s">
        <v>520</v>
      </c>
      <c r="E154" s="31">
        <v>159.51</v>
      </c>
      <c r="F154" s="36">
        <v>218.834</v>
      </c>
      <c r="G154" s="36"/>
      <c r="H154" s="31">
        <f>_xlfn.XLOOKUP(B154, Rate_Master!$A:$A, Rate_Master!$C:$C, "")</f>
        <v>23000</v>
      </c>
      <c r="I154" s="144">
        <f>_xlfn.XLOOKUP(B154, Rate_Master!$A:$A, Rate_Master!$D:$D, "")</f>
        <v>126499.99999999999</v>
      </c>
      <c r="J154" s="32">
        <f>+I154+H154</f>
        <v>149500</v>
      </c>
      <c r="K154" s="32">
        <f>J154*E154</f>
        <v>23846745</v>
      </c>
      <c r="L154" s="32">
        <f>+F154*J154</f>
        <v>32715683</v>
      </c>
      <c r="M154" s="32"/>
      <c r="O154" s="115"/>
      <c r="P154" s="115"/>
      <c r="Q154" s="115"/>
    </row>
    <row r="155" spans="1:17" s="4" customFormat="1" ht="63.75" customHeight="1" outlineLevel="1">
      <c r="A155" s="27" t="str">
        <f>$A$150&amp;"."&amp;ROW()-ROW($A$150)</f>
        <v>5A.F6.5</v>
      </c>
      <c r="B155" s="34" t="s">
        <v>152</v>
      </c>
      <c r="C155" s="34" t="s">
        <v>560</v>
      </c>
      <c r="D155" s="29" t="s">
        <v>517</v>
      </c>
      <c r="E155" s="31">
        <v>66.22</v>
      </c>
      <c r="F155" s="36">
        <v>98.28</v>
      </c>
      <c r="G155" s="36"/>
      <c r="H155" s="31">
        <f>_xlfn.XLOOKUP(B155, Rate_Master!$A:$A, Rate_Master!$C:$C, "")</f>
        <v>155250</v>
      </c>
      <c r="I155" s="144">
        <f>_xlfn.XLOOKUP(B155, Rate_Master!$A:$A, Rate_Master!$D:$D, "")</f>
        <v>57499.999999999993</v>
      </c>
      <c r="J155" s="32">
        <f>+I155+H155</f>
        <v>212750</v>
      </c>
      <c r="K155" s="32">
        <f>J155*E155</f>
        <v>14088305</v>
      </c>
      <c r="L155" s="32">
        <f>+F155*J155</f>
        <v>20909070</v>
      </c>
      <c r="M155" s="32"/>
      <c r="O155" s="115"/>
      <c r="P155" s="115"/>
      <c r="Q155" s="115"/>
    </row>
    <row r="156" spans="1:17" s="3" customFormat="1" ht="25.5" customHeight="1">
      <c r="A156" s="22" t="str">
        <f>$A$103&amp;7</f>
        <v>5A.F7</v>
      </c>
      <c r="B156" s="23" t="s">
        <v>84</v>
      </c>
      <c r="C156" s="23" t="s">
        <v>515</v>
      </c>
      <c r="D156" s="22"/>
      <c r="E156" s="25"/>
      <c r="F156" s="87"/>
      <c r="G156" s="87"/>
      <c r="H156" s="25">
        <f>_xlfn.XLOOKUP(B156, Rate_Master!$A:$A, Rate_Master!$C:$C, "")</f>
        <v>0</v>
      </c>
      <c r="I156" s="145">
        <f>_xlfn.XLOOKUP(B156, Rate_Master!$A:$A, Rate_Master!$D:$D, "")</f>
        <v>0</v>
      </c>
      <c r="J156" s="26">
        <f>H156+I156</f>
        <v>0</v>
      </c>
      <c r="K156" s="26">
        <f>SUBTOTAL(9,K157:K168)</f>
        <v>104523499.99999999</v>
      </c>
      <c r="L156" s="26">
        <f>SUBTOTAL(9,L157:L168)</f>
        <v>113553300</v>
      </c>
      <c r="M156" s="26"/>
      <c r="O156" s="115"/>
      <c r="P156" s="115"/>
      <c r="Q156" s="115"/>
    </row>
    <row r="157" spans="1:17" s="4" customFormat="1" ht="38.25" customHeight="1" outlineLevel="1">
      <c r="A157" s="27" t="str">
        <f t="shared" ref="A157:A168" si="36">$A$156&amp;"."&amp;ROW()-ROW($A$156)</f>
        <v>5A.F7.1</v>
      </c>
      <c r="B157" s="48" t="s">
        <v>153</v>
      </c>
      <c r="C157" s="34" t="s">
        <v>561</v>
      </c>
      <c r="D157" s="29" t="s">
        <v>517</v>
      </c>
      <c r="E157" s="31">
        <v>5.56</v>
      </c>
      <c r="F157" s="36">
        <v>7.5179999999999998</v>
      </c>
      <c r="G157" s="36"/>
      <c r="H157" s="31">
        <f>_xlfn.XLOOKUP(B157, Rate_Master!$A:$A, Rate_Master!$C:$C, "")</f>
        <v>4024999.9999999995</v>
      </c>
      <c r="I157" s="144">
        <f>_xlfn.XLOOKUP(B157, Rate_Master!$A:$A, Rate_Master!$D:$D, "")</f>
        <v>1380000</v>
      </c>
      <c r="J157" s="32">
        <f t="shared" ref="J157:J168" si="37">+I157+H157</f>
        <v>5405000</v>
      </c>
      <c r="K157" s="32">
        <f t="shared" ref="K157:K168" si="38">J157*E157</f>
        <v>30051799.999999996</v>
      </c>
      <c r="L157" s="32">
        <f t="shared" ref="L157:L168" si="39">+F157*J157</f>
        <v>40634790</v>
      </c>
      <c r="M157" s="32"/>
      <c r="O157" s="115"/>
      <c r="P157" s="115"/>
      <c r="Q157" s="115"/>
    </row>
    <row r="158" spans="1:17" s="4" customFormat="1" ht="38.25" customHeight="1" outlineLevel="1">
      <c r="A158" s="27" t="str">
        <f t="shared" si="36"/>
        <v>5A.F7.2</v>
      </c>
      <c r="B158" s="48" t="s">
        <v>167</v>
      </c>
      <c r="C158" s="34"/>
      <c r="D158" s="29" t="s">
        <v>517</v>
      </c>
      <c r="E158" s="31">
        <v>0</v>
      </c>
      <c r="F158" s="36"/>
      <c r="G158" s="36"/>
      <c r="H158" s="31">
        <f>_xlfn.XLOOKUP(B158, Rate_Master!$A:$A, Rate_Master!$C:$C, "")</f>
        <v>0</v>
      </c>
      <c r="I158" s="144">
        <f>_xlfn.XLOOKUP(B158, Rate_Master!$A:$A, Rate_Master!$D:$D, "")</f>
        <v>0</v>
      </c>
      <c r="J158" s="32">
        <f t="shared" si="37"/>
        <v>0</v>
      </c>
      <c r="K158" s="32">
        <f t="shared" si="38"/>
        <v>0</v>
      </c>
      <c r="L158" s="32">
        <f t="shared" si="39"/>
        <v>0</v>
      </c>
      <c r="M158" s="32"/>
      <c r="O158" s="115"/>
      <c r="P158" s="115"/>
      <c r="Q158" s="115"/>
    </row>
    <row r="159" spans="1:17" s="4" customFormat="1" ht="38.25" customHeight="1" outlineLevel="1">
      <c r="A159" s="27" t="str">
        <f t="shared" si="36"/>
        <v>5A.F7.3</v>
      </c>
      <c r="B159" s="48" t="s">
        <v>154</v>
      </c>
      <c r="C159" s="28" t="s">
        <v>515</v>
      </c>
      <c r="D159" s="50" t="s">
        <v>517</v>
      </c>
      <c r="E159" s="31">
        <v>6</v>
      </c>
      <c r="F159" s="36">
        <v>7.56</v>
      </c>
      <c r="G159" s="36"/>
      <c r="H159" s="31">
        <f>_xlfn.XLOOKUP(B159, Rate_Master!$A:$A, Rate_Master!$C:$C, "")</f>
        <v>359375</v>
      </c>
      <c r="I159" s="144">
        <f>_xlfn.XLOOKUP(B159, Rate_Master!$A:$A, Rate_Master!$D:$D, "")</f>
        <v>71875</v>
      </c>
      <c r="J159" s="32">
        <f t="shared" si="37"/>
        <v>431250</v>
      </c>
      <c r="K159" s="32">
        <f t="shared" si="38"/>
        <v>2587500</v>
      </c>
      <c r="L159" s="32">
        <f t="shared" si="39"/>
        <v>3260250</v>
      </c>
      <c r="M159" s="32"/>
      <c r="O159" s="115"/>
      <c r="P159" s="115"/>
      <c r="Q159" s="115"/>
    </row>
    <row r="160" spans="1:17" s="4" customFormat="1" ht="25.5" customHeight="1" outlineLevel="1">
      <c r="A160" s="27" t="str">
        <f t="shared" si="36"/>
        <v>5A.F7.4</v>
      </c>
      <c r="B160" s="51" t="s">
        <v>155</v>
      </c>
      <c r="C160" s="28" t="s">
        <v>515</v>
      </c>
      <c r="D160" s="50" t="s">
        <v>517</v>
      </c>
      <c r="E160" s="31">
        <v>5.56</v>
      </c>
      <c r="F160" s="36">
        <v>7.5179999999999998</v>
      </c>
      <c r="G160" s="36"/>
      <c r="H160" s="31">
        <f>_xlfn.XLOOKUP(B160, Rate_Master!$A:$A, Rate_Master!$C:$C, "")</f>
        <v>1954999.9999999998</v>
      </c>
      <c r="I160" s="144">
        <f>_xlfn.XLOOKUP(B160, Rate_Master!$A:$A, Rate_Master!$D:$D, "")</f>
        <v>114999.99999999999</v>
      </c>
      <c r="J160" s="32">
        <f t="shared" si="37"/>
        <v>2069999.9999999998</v>
      </c>
      <c r="K160" s="32">
        <f t="shared" si="38"/>
        <v>11509199.999999998</v>
      </c>
      <c r="L160" s="32">
        <f t="shared" si="39"/>
        <v>15562259.999999998</v>
      </c>
      <c r="M160" s="32"/>
      <c r="O160" s="115"/>
      <c r="P160" s="115"/>
      <c r="Q160" s="115"/>
    </row>
    <row r="161" spans="1:17" s="4" customFormat="1" ht="51" customHeight="1" outlineLevel="1">
      <c r="A161" s="27" t="str">
        <f t="shared" si="36"/>
        <v>5A.F7.5</v>
      </c>
      <c r="B161" s="51" t="s">
        <v>168</v>
      </c>
      <c r="C161" s="28"/>
      <c r="D161" s="50" t="s">
        <v>517</v>
      </c>
      <c r="E161" s="31">
        <v>0</v>
      </c>
      <c r="F161" s="36"/>
      <c r="G161" s="36"/>
      <c r="H161" s="31">
        <f>_xlfn.XLOOKUP(B161, Rate_Master!$A:$A, Rate_Master!$C:$C, "")</f>
        <v>0</v>
      </c>
      <c r="I161" s="144">
        <f>_xlfn.XLOOKUP(B161, Rate_Master!$A:$A, Rate_Master!$D:$D, "")</f>
        <v>0</v>
      </c>
      <c r="J161" s="32">
        <f t="shared" si="37"/>
        <v>0</v>
      </c>
      <c r="K161" s="32">
        <f t="shared" si="38"/>
        <v>0</v>
      </c>
      <c r="L161" s="32">
        <f t="shared" si="39"/>
        <v>0</v>
      </c>
      <c r="M161" s="32"/>
      <c r="O161" s="115"/>
      <c r="P161" s="115"/>
      <c r="Q161" s="115"/>
    </row>
    <row r="162" spans="1:17" s="4" customFormat="1" ht="51" customHeight="1" outlineLevel="1">
      <c r="A162" s="27" t="str">
        <f t="shared" si="36"/>
        <v>5A.F7.6</v>
      </c>
      <c r="B162" s="48" t="s">
        <v>156</v>
      </c>
      <c r="C162" s="28" t="s">
        <v>515</v>
      </c>
      <c r="D162" s="54" t="s">
        <v>518</v>
      </c>
      <c r="E162" s="31">
        <v>30</v>
      </c>
      <c r="F162" s="36">
        <v>26.88</v>
      </c>
      <c r="G162" s="36"/>
      <c r="H162" s="31">
        <f>_xlfn.XLOOKUP(B162, Rate_Master!$A:$A, Rate_Master!$C:$C, "")</f>
        <v>1724999.9999999998</v>
      </c>
      <c r="I162" s="144">
        <f>_xlfn.XLOOKUP(B162, Rate_Master!$A:$A, Rate_Master!$D:$D, "")</f>
        <v>287500</v>
      </c>
      <c r="J162" s="32">
        <f t="shared" si="37"/>
        <v>2012499.9999999998</v>
      </c>
      <c r="K162" s="32">
        <f t="shared" si="38"/>
        <v>60374999.999999993</v>
      </c>
      <c r="L162" s="32">
        <f t="shared" si="39"/>
        <v>54095999.999999993</v>
      </c>
      <c r="M162" s="32"/>
      <c r="O162" s="115"/>
      <c r="P162" s="115"/>
      <c r="Q162" s="115"/>
    </row>
    <row r="163" spans="1:17" s="4" customFormat="1" ht="25.5" customHeight="1" outlineLevel="1">
      <c r="A163" s="27" t="str">
        <f t="shared" si="36"/>
        <v>5A.F7.7</v>
      </c>
      <c r="B163" s="48" t="s">
        <v>157</v>
      </c>
      <c r="C163" s="28" t="s">
        <v>515</v>
      </c>
      <c r="D163" s="29" t="s">
        <v>517</v>
      </c>
      <c r="E163" s="31">
        <v>0</v>
      </c>
      <c r="F163" s="36"/>
      <c r="G163" s="36"/>
      <c r="H163" s="31">
        <f>_xlfn.XLOOKUP(B163, Rate_Master!$A:$A, Rate_Master!$C:$C, "")</f>
        <v>632500</v>
      </c>
      <c r="I163" s="144">
        <f>_xlfn.XLOOKUP(B163, Rate_Master!$A:$A, Rate_Master!$D:$D, "")</f>
        <v>57499.999999999993</v>
      </c>
      <c r="J163" s="32">
        <f t="shared" si="37"/>
        <v>690000</v>
      </c>
      <c r="K163" s="32">
        <f t="shared" si="38"/>
        <v>0</v>
      </c>
      <c r="L163" s="32">
        <f t="shared" si="39"/>
        <v>0</v>
      </c>
      <c r="M163" s="32"/>
      <c r="O163" s="115"/>
      <c r="P163" s="115"/>
      <c r="Q163" s="115"/>
    </row>
    <row r="164" spans="1:17" s="4" customFormat="1" ht="25.5" customHeight="1" outlineLevel="1">
      <c r="A164" s="27" t="str">
        <f t="shared" si="36"/>
        <v>5A.F7.8</v>
      </c>
      <c r="B164" s="34" t="s">
        <v>158</v>
      </c>
      <c r="C164" s="56" t="s">
        <v>562</v>
      </c>
      <c r="D164" s="29" t="s">
        <v>516</v>
      </c>
      <c r="E164" s="31">
        <v>0</v>
      </c>
      <c r="F164" s="36"/>
      <c r="G164" s="36"/>
      <c r="H164" s="31">
        <f>_xlfn.XLOOKUP(B164, Rate_Master!$A:$A, Rate_Master!$C:$C, "")</f>
        <v>68400000</v>
      </c>
      <c r="I164" s="144">
        <f>_xlfn.XLOOKUP(B164, Rate_Master!$A:$A, Rate_Master!$D:$D, "")</f>
        <v>26600000</v>
      </c>
      <c r="J164" s="32">
        <f t="shared" si="37"/>
        <v>95000000</v>
      </c>
      <c r="K164" s="32">
        <f t="shared" si="38"/>
        <v>0</v>
      </c>
      <c r="L164" s="32">
        <f t="shared" si="39"/>
        <v>0</v>
      </c>
      <c r="M164" s="32"/>
      <c r="O164" s="115"/>
      <c r="P164" s="115"/>
      <c r="Q164" s="115"/>
    </row>
    <row r="165" spans="1:17" s="4" customFormat="1" ht="25.5" customHeight="1" outlineLevel="1">
      <c r="A165" s="27" t="str">
        <f t="shared" si="36"/>
        <v>5A.F7.9</v>
      </c>
      <c r="B165" s="34" t="s">
        <v>159</v>
      </c>
      <c r="C165" s="28" t="s">
        <v>515</v>
      </c>
      <c r="D165" s="29" t="s">
        <v>516</v>
      </c>
      <c r="E165" s="31">
        <v>0</v>
      </c>
      <c r="F165" s="36"/>
      <c r="G165" s="36"/>
      <c r="H165" s="31">
        <f>_xlfn.XLOOKUP(B165, Rate_Master!$A:$A, Rate_Master!$C:$C, "")</f>
        <v>25200000</v>
      </c>
      <c r="I165" s="144">
        <f>_xlfn.XLOOKUP(B165, Rate_Master!$A:$A, Rate_Master!$D:$D, "")</f>
        <v>9800000.0000000019</v>
      </c>
      <c r="J165" s="32">
        <f t="shared" si="37"/>
        <v>35000000</v>
      </c>
      <c r="K165" s="32">
        <f t="shared" si="38"/>
        <v>0</v>
      </c>
      <c r="L165" s="32">
        <f t="shared" si="39"/>
        <v>0</v>
      </c>
      <c r="M165" s="32"/>
      <c r="O165" s="115"/>
      <c r="P165" s="115"/>
      <c r="Q165" s="115"/>
    </row>
    <row r="166" spans="1:17" s="4" customFormat="1" ht="25.5" customHeight="1" outlineLevel="1">
      <c r="A166" s="27" t="str">
        <f t="shared" si="36"/>
        <v>5A.F7.10</v>
      </c>
      <c r="B166" s="34" t="s">
        <v>160</v>
      </c>
      <c r="C166" s="28" t="s">
        <v>515</v>
      </c>
      <c r="D166" s="29" t="s">
        <v>518</v>
      </c>
      <c r="E166" s="31">
        <v>0</v>
      </c>
      <c r="F166" s="36"/>
      <c r="G166" s="36"/>
      <c r="H166" s="31">
        <f>_xlfn.XLOOKUP(B166, Rate_Master!$A:$A, Rate_Master!$C:$C, "")</f>
        <v>1440000</v>
      </c>
      <c r="I166" s="144">
        <f>_xlfn.XLOOKUP(B166, Rate_Master!$A:$A, Rate_Master!$D:$D, "")</f>
        <v>560000</v>
      </c>
      <c r="J166" s="32">
        <f t="shared" si="37"/>
        <v>2000000</v>
      </c>
      <c r="K166" s="32">
        <f t="shared" si="38"/>
        <v>0</v>
      </c>
      <c r="L166" s="32">
        <f t="shared" si="39"/>
        <v>0</v>
      </c>
      <c r="M166" s="32"/>
      <c r="O166" s="115"/>
      <c r="P166" s="115"/>
      <c r="Q166" s="115"/>
    </row>
    <row r="167" spans="1:17" s="4" customFormat="1" ht="25.5" customHeight="1" outlineLevel="1">
      <c r="A167" s="27" t="str">
        <f t="shared" si="36"/>
        <v>5A.F7.11</v>
      </c>
      <c r="B167" s="48" t="s">
        <v>161</v>
      </c>
      <c r="C167" s="28" t="s">
        <v>515</v>
      </c>
      <c r="D167" s="29" t="s">
        <v>517</v>
      </c>
      <c r="E167" s="31">
        <v>0</v>
      </c>
      <c r="F167" s="36"/>
      <c r="G167" s="36"/>
      <c r="H167" s="31">
        <f>_xlfn.XLOOKUP(B167, Rate_Master!$A:$A, Rate_Master!$C:$C, "")</f>
        <v>149500</v>
      </c>
      <c r="I167" s="144">
        <f>_xlfn.XLOOKUP(B167, Rate_Master!$A:$A, Rate_Master!$D:$D, "")</f>
        <v>34500</v>
      </c>
      <c r="J167" s="32">
        <f t="shared" si="37"/>
        <v>184000</v>
      </c>
      <c r="K167" s="32">
        <f t="shared" si="38"/>
        <v>0</v>
      </c>
      <c r="L167" s="32">
        <f t="shared" si="39"/>
        <v>0</v>
      </c>
      <c r="M167" s="32"/>
      <c r="O167" s="115"/>
      <c r="P167" s="115"/>
      <c r="Q167" s="115"/>
    </row>
    <row r="168" spans="1:17" s="4" customFormat="1" ht="38.25" customHeight="1" outlineLevel="1">
      <c r="A168" s="27" t="str">
        <f t="shared" si="36"/>
        <v>5A.F7.12</v>
      </c>
      <c r="B168" s="34" t="s">
        <v>162</v>
      </c>
      <c r="C168" s="28" t="s">
        <v>515</v>
      </c>
      <c r="D168" s="29" t="s">
        <v>517</v>
      </c>
      <c r="E168" s="31">
        <v>0</v>
      </c>
      <c r="F168" s="36"/>
      <c r="G168" s="36"/>
      <c r="H168" s="31">
        <f>_xlfn.XLOOKUP(B168, Rate_Master!$A:$A, Rate_Master!$C:$C, "")</f>
        <v>252000</v>
      </c>
      <c r="I168" s="144">
        <f>_xlfn.XLOOKUP(B168, Rate_Master!$A:$A, Rate_Master!$D:$D, "")</f>
        <v>98000</v>
      </c>
      <c r="J168" s="32">
        <f t="shared" si="37"/>
        <v>350000</v>
      </c>
      <c r="K168" s="32">
        <f t="shared" si="38"/>
        <v>0</v>
      </c>
      <c r="L168" s="32">
        <f t="shared" si="39"/>
        <v>0</v>
      </c>
      <c r="M168" s="32"/>
      <c r="O168" s="115"/>
      <c r="P168" s="115"/>
      <c r="Q168" s="115"/>
    </row>
    <row r="169" spans="1:17">
      <c r="A169" s="111"/>
      <c r="B169" s="112" t="s">
        <v>169</v>
      </c>
      <c r="C169" s="112"/>
      <c r="D169" s="111"/>
      <c r="E169" s="109"/>
      <c r="F169" s="109"/>
      <c r="G169" s="109"/>
      <c r="H169" s="113">
        <f>_xlfn.XLOOKUP(B169, Rate_Master!$A:$A, Rate_Master!$C:$C, "")</f>
        <v>0</v>
      </c>
      <c r="I169" s="205">
        <f>_xlfn.XLOOKUP(B169, Rate_Master!$A:$A, Rate_Master!$D:$D, "")</f>
        <v>0</v>
      </c>
      <c r="J169" s="110"/>
      <c r="K169" s="110"/>
      <c r="L169" s="110"/>
      <c r="M169" s="110"/>
      <c r="O169" s="115"/>
      <c r="P169" s="115"/>
      <c r="Q169" s="115"/>
    </row>
    <row r="170" spans="1:17" ht="89.25" customHeight="1">
      <c r="A170" s="55">
        <v>1</v>
      </c>
      <c r="B170" s="56" t="s">
        <v>170</v>
      </c>
      <c r="C170" s="56" t="s">
        <v>564</v>
      </c>
      <c r="D170" s="57" t="s">
        <v>520</v>
      </c>
      <c r="E170" s="36">
        <v>0</v>
      </c>
      <c r="F170" s="36">
        <v>76.003200000000007</v>
      </c>
      <c r="G170" s="36"/>
      <c r="H170" s="114">
        <f>_xlfn.XLOOKUP(B170, Rate_Master!$A:$A, Rate_Master!$C:$C, "")</f>
        <v>626750</v>
      </c>
      <c r="I170" s="206">
        <f>_xlfn.XLOOKUP(B170, Rate_Master!$A:$A, Rate_Master!$D:$D, "")</f>
        <v>221949.99999999997</v>
      </c>
      <c r="J170" s="58">
        <f>H170+I170</f>
        <v>848700</v>
      </c>
      <c r="K170" s="58">
        <f>J170*E170</f>
        <v>0</v>
      </c>
      <c r="L170" s="58">
        <f>+F170*J170</f>
        <v>64503915.840000004</v>
      </c>
      <c r="M170" s="58"/>
      <c r="O170" s="115"/>
      <c r="P170" s="115"/>
      <c r="Q170" s="115"/>
    </row>
  </sheetData>
  <mergeCells count="5">
    <mergeCell ref="C5:M5"/>
    <mergeCell ref="C3:M3"/>
    <mergeCell ref="C4:M4"/>
    <mergeCell ref="C6:M6"/>
    <mergeCell ref="C7:M7"/>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pageSetUpPr fitToPage="1"/>
  </sheetPr>
  <dimension ref="A1:P170"/>
  <sheetViews>
    <sheetView topLeftCell="A8" zoomScale="85" zoomScaleNormal="85" workbookViewId="0">
      <pane ySplit="1" topLeftCell="A103" activePane="bottomLeft" state="frozen"/>
      <selection activeCell="A8" sqref="A8"/>
      <selection pane="bottomLeft" activeCell="A34" sqref="A34"/>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6" width="10.125" style="147" bestFit="1" customWidth="1"/>
    <col min="7" max="8" width="14" style="8" customWidth="1" outlineLevel="1"/>
    <col min="9" max="12" width="14" style="9" customWidth="1"/>
    <col min="13" max="13" width="13.375" style="6" bestFit="1" customWidth="1"/>
    <col min="14" max="231" width="9.125" style="6" customWidth="1"/>
    <col min="232" max="232" width="6.375" style="6" customWidth="1"/>
    <col min="233" max="233" width="34.25" style="6" customWidth="1"/>
    <col min="234" max="234" width="7.375" style="6" customWidth="1"/>
    <col min="235" max="235" width="6.375" style="6" customWidth="1"/>
    <col min="236" max="236" width="13.125" style="6" customWidth="1"/>
    <col min="237" max="237" width="15.375" style="6" customWidth="1"/>
    <col min="238" max="238" width="21.25" style="6" customWidth="1"/>
    <col min="239" max="487" width="9.125" style="6" customWidth="1"/>
    <col min="488" max="488" width="6.375" style="6" customWidth="1"/>
    <col min="489" max="489" width="34.25" style="6" customWidth="1"/>
    <col min="490" max="490" width="7.375" style="6" customWidth="1"/>
    <col min="491" max="491" width="6.375" style="6" customWidth="1"/>
    <col min="492" max="492" width="13.125" style="6" customWidth="1"/>
    <col min="493" max="493" width="15.375" style="6" customWidth="1"/>
    <col min="494" max="494" width="21.25" style="6" customWidth="1"/>
    <col min="495" max="743" width="9.125" style="6" customWidth="1"/>
    <col min="744" max="744" width="6.375" style="6" customWidth="1"/>
    <col min="745" max="745" width="34.25" style="6" customWidth="1"/>
    <col min="746" max="746" width="7.375" style="6" customWidth="1"/>
    <col min="747" max="747" width="6.375" style="6" customWidth="1"/>
    <col min="748" max="748" width="13.125" style="6" customWidth="1"/>
    <col min="749" max="749" width="15.375" style="6" customWidth="1"/>
    <col min="750" max="750" width="21.25" style="6" customWidth="1"/>
    <col min="751" max="999" width="9.125" style="6" customWidth="1"/>
    <col min="1000" max="1000" width="6.375" style="6" customWidth="1"/>
    <col min="1001" max="1001" width="34.25" style="6" customWidth="1"/>
    <col min="1002" max="1002" width="7.375" style="6" customWidth="1"/>
    <col min="1003" max="1003" width="6.375" style="6" customWidth="1"/>
    <col min="1004" max="1004" width="13.125" style="6" customWidth="1"/>
    <col min="1005" max="1005" width="15.375" style="6" customWidth="1"/>
    <col min="1006" max="1006" width="21.25" style="6" customWidth="1"/>
    <col min="1007" max="1255" width="9.125" style="6" customWidth="1"/>
    <col min="1256" max="1256" width="6.375" style="6" customWidth="1"/>
    <col min="1257" max="1257" width="34.25" style="6" customWidth="1"/>
    <col min="1258" max="1258" width="7.375" style="6" customWidth="1"/>
    <col min="1259" max="1259" width="6.375" style="6" customWidth="1"/>
    <col min="1260" max="1260" width="13.125" style="6" customWidth="1"/>
    <col min="1261" max="1261" width="15.375" style="6" customWidth="1"/>
    <col min="1262" max="1262" width="21.25" style="6" customWidth="1"/>
    <col min="1263" max="1511" width="9.125" style="6" customWidth="1"/>
    <col min="1512" max="1512" width="6.375" style="6" customWidth="1"/>
    <col min="1513" max="1513" width="34.25" style="6" customWidth="1"/>
    <col min="1514" max="1514" width="7.375" style="6" customWidth="1"/>
    <col min="1515" max="1515" width="6.375" style="6" customWidth="1"/>
    <col min="1516" max="1516" width="13.125" style="6" customWidth="1"/>
    <col min="1517" max="1517" width="15.375" style="6" customWidth="1"/>
    <col min="1518" max="1518" width="21.25" style="6" customWidth="1"/>
    <col min="1519" max="1767" width="9.125" style="6" customWidth="1"/>
    <col min="1768" max="1768" width="6.375" style="6" customWidth="1"/>
    <col min="1769" max="1769" width="34.25" style="6" customWidth="1"/>
    <col min="1770" max="1770" width="7.375" style="6" customWidth="1"/>
    <col min="1771" max="1771" width="6.375" style="6" customWidth="1"/>
    <col min="1772" max="1772" width="13.125" style="6" customWidth="1"/>
    <col min="1773" max="1773" width="15.375" style="6" customWidth="1"/>
    <col min="1774" max="1774" width="21.25" style="6" customWidth="1"/>
    <col min="1775" max="2023" width="9.125" style="6" customWidth="1"/>
    <col min="2024" max="2024" width="6.375" style="6" customWidth="1"/>
    <col min="2025" max="2025" width="34.25" style="6" customWidth="1"/>
    <col min="2026" max="2026" width="7.375" style="6" customWidth="1"/>
    <col min="2027" max="2027" width="6.375" style="6" customWidth="1"/>
    <col min="2028" max="2028" width="13.125" style="6" customWidth="1"/>
    <col min="2029" max="2029" width="15.375" style="6" customWidth="1"/>
    <col min="2030" max="2030" width="21.25" style="6" customWidth="1"/>
    <col min="2031" max="2279" width="9.125" style="6" customWidth="1"/>
    <col min="2280" max="2280" width="6.375" style="6" customWidth="1"/>
    <col min="2281" max="2281" width="34.25" style="6" customWidth="1"/>
    <col min="2282" max="2282" width="7.375" style="6" customWidth="1"/>
    <col min="2283" max="2283" width="6.375" style="6" customWidth="1"/>
    <col min="2284" max="2284" width="13.125" style="6" customWidth="1"/>
    <col min="2285" max="2285" width="15.375" style="6" customWidth="1"/>
    <col min="2286" max="2286" width="21.25" style="6" customWidth="1"/>
    <col min="2287" max="2535" width="9.125" style="6" customWidth="1"/>
    <col min="2536" max="2536" width="6.375" style="6" customWidth="1"/>
    <col min="2537" max="2537" width="34.25" style="6" customWidth="1"/>
    <col min="2538" max="2538" width="7.375" style="6" customWidth="1"/>
    <col min="2539" max="2539" width="6.375" style="6" customWidth="1"/>
    <col min="2540" max="2540" width="13.125" style="6" customWidth="1"/>
    <col min="2541" max="2541" width="15.375" style="6" customWidth="1"/>
    <col min="2542" max="2542" width="21.25" style="6" customWidth="1"/>
    <col min="2543" max="2791" width="9.125" style="6" customWidth="1"/>
    <col min="2792" max="2792" width="6.375" style="6" customWidth="1"/>
    <col min="2793" max="2793" width="34.25" style="6" customWidth="1"/>
    <col min="2794" max="2794" width="7.375" style="6" customWidth="1"/>
    <col min="2795" max="2795" width="6.375" style="6" customWidth="1"/>
    <col min="2796" max="2796" width="13.125" style="6" customWidth="1"/>
    <col min="2797" max="2797" width="15.375" style="6" customWidth="1"/>
    <col min="2798" max="2798" width="21.25" style="6" customWidth="1"/>
    <col min="2799" max="3047" width="9.125" style="6" customWidth="1"/>
    <col min="3048" max="3048" width="6.375" style="6" customWidth="1"/>
    <col min="3049" max="3049" width="34.25" style="6" customWidth="1"/>
    <col min="3050" max="3050" width="7.375" style="6" customWidth="1"/>
    <col min="3051" max="3051" width="6.375" style="6" customWidth="1"/>
    <col min="3052" max="3052" width="13.125" style="6" customWidth="1"/>
    <col min="3053" max="3053" width="15.375" style="6" customWidth="1"/>
    <col min="3054" max="3054" width="21.25" style="6" customWidth="1"/>
    <col min="3055" max="3303" width="9.125" style="6" customWidth="1"/>
    <col min="3304" max="3304" width="6.375" style="6" customWidth="1"/>
    <col min="3305" max="3305" width="34.25" style="6" customWidth="1"/>
    <col min="3306" max="3306" width="7.375" style="6" customWidth="1"/>
    <col min="3307" max="3307" width="6.375" style="6" customWidth="1"/>
    <col min="3308" max="3308" width="13.125" style="6" customWidth="1"/>
    <col min="3309" max="3309" width="15.375" style="6" customWidth="1"/>
    <col min="3310" max="3310" width="21.25" style="6" customWidth="1"/>
    <col min="3311" max="3559" width="9.125" style="6" customWidth="1"/>
    <col min="3560" max="3560" width="6.375" style="6" customWidth="1"/>
    <col min="3561" max="3561" width="34.25" style="6" customWidth="1"/>
    <col min="3562" max="3562" width="7.375" style="6" customWidth="1"/>
    <col min="3563" max="3563" width="6.375" style="6" customWidth="1"/>
    <col min="3564" max="3564" width="13.125" style="6" customWidth="1"/>
    <col min="3565" max="3565" width="15.375" style="6" customWidth="1"/>
    <col min="3566" max="3566" width="21.25" style="6" customWidth="1"/>
    <col min="3567" max="3815" width="9.125" style="6" customWidth="1"/>
    <col min="3816" max="3816" width="6.375" style="6" customWidth="1"/>
    <col min="3817" max="3817" width="34.25" style="6" customWidth="1"/>
    <col min="3818" max="3818" width="7.375" style="6" customWidth="1"/>
    <col min="3819" max="3819" width="6.375" style="6" customWidth="1"/>
    <col min="3820" max="3820" width="13.125" style="6" customWidth="1"/>
    <col min="3821" max="3821" width="15.375" style="6" customWidth="1"/>
    <col min="3822" max="3822" width="21.25" style="6" customWidth="1"/>
    <col min="3823" max="4071" width="9.125" style="6" customWidth="1"/>
    <col min="4072" max="4072" width="6.375" style="6" customWidth="1"/>
    <col min="4073" max="4073" width="34.25" style="6" customWidth="1"/>
    <col min="4074" max="4074" width="7.375" style="6" customWidth="1"/>
    <col min="4075" max="4075" width="6.375" style="6" customWidth="1"/>
    <col min="4076" max="4076" width="13.125" style="6" customWidth="1"/>
    <col min="4077" max="4077" width="15.375" style="6" customWidth="1"/>
    <col min="4078" max="4078" width="21.25" style="6" customWidth="1"/>
    <col min="4079" max="4327" width="9.125" style="6" customWidth="1"/>
    <col min="4328" max="4328" width="6.375" style="6" customWidth="1"/>
    <col min="4329" max="4329" width="34.25" style="6" customWidth="1"/>
    <col min="4330" max="4330" width="7.375" style="6" customWidth="1"/>
    <col min="4331" max="4331" width="6.375" style="6" customWidth="1"/>
    <col min="4332" max="4332" width="13.125" style="6" customWidth="1"/>
    <col min="4333" max="4333" width="15.375" style="6" customWidth="1"/>
    <col min="4334" max="4334" width="21.25" style="6" customWidth="1"/>
    <col min="4335" max="4583" width="9.125" style="6" customWidth="1"/>
    <col min="4584" max="4584" width="6.375" style="6" customWidth="1"/>
    <col min="4585" max="4585" width="34.25" style="6" customWidth="1"/>
    <col min="4586" max="4586" width="7.375" style="6" customWidth="1"/>
    <col min="4587" max="4587" width="6.375" style="6" customWidth="1"/>
    <col min="4588" max="4588" width="13.125" style="6" customWidth="1"/>
    <col min="4589" max="4589" width="15.375" style="6" customWidth="1"/>
    <col min="4590" max="4590" width="21.25" style="6" customWidth="1"/>
    <col min="4591" max="4839" width="9.125" style="6" customWidth="1"/>
    <col min="4840" max="4840" width="6.375" style="6" customWidth="1"/>
    <col min="4841" max="4841" width="34.25" style="6" customWidth="1"/>
    <col min="4842" max="4842" width="7.375" style="6" customWidth="1"/>
    <col min="4843" max="4843" width="6.375" style="6" customWidth="1"/>
    <col min="4844" max="4844" width="13.125" style="6" customWidth="1"/>
    <col min="4845" max="4845" width="15.375" style="6" customWidth="1"/>
    <col min="4846" max="4846" width="21.25" style="6" customWidth="1"/>
    <col min="4847" max="5095" width="9.125" style="6" customWidth="1"/>
    <col min="5096" max="5096" width="6.375" style="6" customWidth="1"/>
    <col min="5097" max="5097" width="34.25" style="6" customWidth="1"/>
    <col min="5098" max="5098" width="7.375" style="6" customWidth="1"/>
    <col min="5099" max="5099" width="6.375" style="6" customWidth="1"/>
    <col min="5100" max="5100" width="13.125" style="6" customWidth="1"/>
    <col min="5101" max="5101" width="15.375" style="6" customWidth="1"/>
    <col min="5102" max="5102" width="21.25" style="6" customWidth="1"/>
    <col min="5103" max="5351" width="9.125" style="6" customWidth="1"/>
    <col min="5352" max="5352" width="6.375" style="6" customWidth="1"/>
    <col min="5353" max="5353" width="34.25" style="6" customWidth="1"/>
    <col min="5354" max="5354" width="7.375" style="6" customWidth="1"/>
    <col min="5355" max="5355" width="6.375" style="6" customWidth="1"/>
    <col min="5356" max="5356" width="13.125" style="6" customWidth="1"/>
    <col min="5357" max="5357" width="15.375" style="6" customWidth="1"/>
    <col min="5358" max="5358" width="21.25" style="6" customWidth="1"/>
    <col min="5359" max="5607" width="9.125" style="6" customWidth="1"/>
    <col min="5608" max="5608" width="6.375" style="6" customWidth="1"/>
    <col min="5609" max="5609" width="34.25" style="6" customWidth="1"/>
    <col min="5610" max="5610" width="7.375" style="6" customWidth="1"/>
    <col min="5611" max="5611" width="6.375" style="6" customWidth="1"/>
    <col min="5612" max="5612" width="13.125" style="6" customWidth="1"/>
    <col min="5613" max="5613" width="15.375" style="6" customWidth="1"/>
    <col min="5614" max="5614" width="21.25" style="6" customWidth="1"/>
    <col min="5615" max="5863" width="9.125" style="6" customWidth="1"/>
    <col min="5864" max="5864" width="6.375" style="6" customWidth="1"/>
    <col min="5865" max="5865" width="34.25" style="6" customWidth="1"/>
    <col min="5866" max="5866" width="7.375" style="6" customWidth="1"/>
    <col min="5867" max="5867" width="6.375" style="6" customWidth="1"/>
    <col min="5868" max="5868" width="13.125" style="6" customWidth="1"/>
    <col min="5869" max="5869" width="15.375" style="6" customWidth="1"/>
    <col min="5870" max="5870" width="21.25" style="6" customWidth="1"/>
    <col min="5871" max="6119" width="9.125" style="6" customWidth="1"/>
    <col min="6120" max="6120" width="6.375" style="6" customWidth="1"/>
    <col min="6121" max="6121" width="34.25" style="6" customWidth="1"/>
    <col min="6122" max="6122" width="7.375" style="6" customWidth="1"/>
    <col min="6123" max="6123" width="6.375" style="6" customWidth="1"/>
    <col min="6124" max="6124" width="13.125" style="6" customWidth="1"/>
    <col min="6125" max="6125" width="15.375" style="6" customWidth="1"/>
    <col min="6126" max="6126" width="21.25" style="6" customWidth="1"/>
    <col min="6127" max="6375" width="9.125" style="6" customWidth="1"/>
    <col min="6376" max="6376" width="6.375" style="6" customWidth="1"/>
    <col min="6377" max="6377" width="34.25" style="6" customWidth="1"/>
    <col min="6378" max="6378" width="7.375" style="6" customWidth="1"/>
    <col min="6379" max="6379" width="6.375" style="6" customWidth="1"/>
    <col min="6380" max="6380" width="13.125" style="6" customWidth="1"/>
    <col min="6381" max="6381" width="15.375" style="6" customWidth="1"/>
    <col min="6382" max="6382" width="21.25" style="6" customWidth="1"/>
    <col min="6383" max="6631" width="9.125" style="6" customWidth="1"/>
    <col min="6632" max="6632" width="6.375" style="6" customWidth="1"/>
    <col min="6633" max="6633" width="34.25" style="6" customWidth="1"/>
    <col min="6634" max="6634" width="7.375" style="6" customWidth="1"/>
    <col min="6635" max="6635" width="6.375" style="6" customWidth="1"/>
    <col min="6636" max="6636" width="13.125" style="6" customWidth="1"/>
    <col min="6637" max="6637" width="15.375" style="6" customWidth="1"/>
    <col min="6638" max="6638" width="21.25" style="6" customWidth="1"/>
    <col min="6639" max="6887" width="9.125" style="6" customWidth="1"/>
    <col min="6888" max="6888" width="6.375" style="6" customWidth="1"/>
    <col min="6889" max="6889" width="34.25" style="6" customWidth="1"/>
    <col min="6890" max="6890" width="7.375" style="6" customWidth="1"/>
    <col min="6891" max="6891" width="6.375" style="6" customWidth="1"/>
    <col min="6892" max="6892" width="13.125" style="6" customWidth="1"/>
    <col min="6893" max="6893" width="15.375" style="6" customWidth="1"/>
    <col min="6894" max="6894" width="21.25" style="6" customWidth="1"/>
    <col min="6895" max="7143" width="9.125" style="6" customWidth="1"/>
    <col min="7144" max="7144" width="6.375" style="6" customWidth="1"/>
    <col min="7145" max="7145" width="34.25" style="6" customWidth="1"/>
    <col min="7146" max="7146" width="7.375" style="6" customWidth="1"/>
    <col min="7147" max="7147" width="6.375" style="6" customWidth="1"/>
    <col min="7148" max="7148" width="13.125" style="6" customWidth="1"/>
    <col min="7149" max="7149" width="15.375" style="6" customWidth="1"/>
    <col min="7150" max="7150" width="21.25" style="6" customWidth="1"/>
    <col min="7151" max="7399" width="9.125" style="6" customWidth="1"/>
    <col min="7400" max="7400" width="6.375" style="6" customWidth="1"/>
    <col min="7401" max="7401" width="34.25" style="6" customWidth="1"/>
    <col min="7402" max="7402" width="7.375" style="6" customWidth="1"/>
    <col min="7403" max="7403" width="6.375" style="6" customWidth="1"/>
    <col min="7404" max="7404" width="13.125" style="6" customWidth="1"/>
    <col min="7405" max="7405" width="15.375" style="6" customWidth="1"/>
    <col min="7406" max="7406" width="21.25" style="6" customWidth="1"/>
    <col min="7407" max="7655" width="9.125" style="6" customWidth="1"/>
    <col min="7656" max="7656" width="6.375" style="6" customWidth="1"/>
    <col min="7657" max="7657" width="34.25" style="6" customWidth="1"/>
    <col min="7658" max="7658" width="7.375" style="6" customWidth="1"/>
    <col min="7659" max="7659" width="6.375" style="6" customWidth="1"/>
    <col min="7660" max="7660" width="13.125" style="6" customWidth="1"/>
    <col min="7661" max="7661" width="15.375" style="6" customWidth="1"/>
    <col min="7662" max="7662" width="21.25" style="6" customWidth="1"/>
    <col min="7663" max="7911" width="9.125" style="6" customWidth="1"/>
    <col min="7912" max="7912" width="6.375" style="6" customWidth="1"/>
    <col min="7913" max="7913" width="34.25" style="6" customWidth="1"/>
    <col min="7914" max="7914" width="7.375" style="6" customWidth="1"/>
    <col min="7915" max="7915" width="6.375" style="6" customWidth="1"/>
    <col min="7916" max="7916" width="13.125" style="6" customWidth="1"/>
    <col min="7917" max="7917" width="15.375" style="6" customWidth="1"/>
    <col min="7918" max="7918" width="21.25" style="6" customWidth="1"/>
    <col min="7919" max="8167" width="9.125" style="6" customWidth="1"/>
    <col min="8168" max="8168" width="6.375" style="6" customWidth="1"/>
    <col min="8169" max="8169" width="34.25" style="6" customWidth="1"/>
    <col min="8170" max="8170" width="7.375" style="6" customWidth="1"/>
    <col min="8171" max="8171" width="6.375" style="6" customWidth="1"/>
    <col min="8172" max="8172" width="13.125" style="6" customWidth="1"/>
    <col min="8173" max="8173" width="15.375" style="6" customWidth="1"/>
    <col min="8174" max="8174" width="21.25" style="6" customWidth="1"/>
    <col min="8175" max="8423" width="9.125" style="6" customWidth="1"/>
    <col min="8424" max="8424" width="6.375" style="6" customWidth="1"/>
    <col min="8425" max="8425" width="34.25" style="6" customWidth="1"/>
    <col min="8426" max="8426" width="7.375" style="6" customWidth="1"/>
    <col min="8427" max="8427" width="6.375" style="6" customWidth="1"/>
    <col min="8428" max="8428" width="13.125" style="6" customWidth="1"/>
    <col min="8429" max="8429" width="15.375" style="6" customWidth="1"/>
    <col min="8430" max="8430" width="21.25" style="6" customWidth="1"/>
    <col min="8431" max="8679" width="9.125" style="6" customWidth="1"/>
    <col min="8680" max="8680" width="6.375" style="6" customWidth="1"/>
    <col min="8681" max="8681" width="34.25" style="6" customWidth="1"/>
    <col min="8682" max="8682" width="7.375" style="6" customWidth="1"/>
    <col min="8683" max="8683" width="6.375" style="6" customWidth="1"/>
    <col min="8684" max="8684" width="13.125" style="6" customWidth="1"/>
    <col min="8685" max="8685" width="15.375" style="6" customWidth="1"/>
    <col min="8686" max="8686" width="21.25" style="6" customWidth="1"/>
    <col min="8687" max="8935" width="9.125" style="6" customWidth="1"/>
    <col min="8936" max="8936" width="6.375" style="6" customWidth="1"/>
    <col min="8937" max="8937" width="34.25" style="6" customWidth="1"/>
    <col min="8938" max="8938" width="7.375" style="6" customWidth="1"/>
    <col min="8939" max="8939" width="6.375" style="6" customWidth="1"/>
    <col min="8940" max="8940" width="13.125" style="6" customWidth="1"/>
    <col min="8941" max="8941" width="15.375" style="6" customWidth="1"/>
    <col min="8942" max="8942" width="21.25" style="6" customWidth="1"/>
    <col min="8943" max="9191" width="9.125" style="6" customWidth="1"/>
    <col min="9192" max="9192" width="6.375" style="6" customWidth="1"/>
    <col min="9193" max="9193" width="34.25" style="6" customWidth="1"/>
    <col min="9194" max="9194" width="7.375" style="6" customWidth="1"/>
    <col min="9195" max="9195" width="6.375" style="6" customWidth="1"/>
    <col min="9196" max="9196" width="13.125" style="6" customWidth="1"/>
    <col min="9197" max="9197" width="15.375" style="6" customWidth="1"/>
    <col min="9198" max="9198" width="21.25" style="6" customWidth="1"/>
    <col min="9199" max="9447" width="9.125" style="6" customWidth="1"/>
    <col min="9448" max="9448" width="6.375" style="6" customWidth="1"/>
    <col min="9449" max="9449" width="34.25" style="6" customWidth="1"/>
    <col min="9450" max="9450" width="7.375" style="6" customWidth="1"/>
    <col min="9451" max="9451" width="6.375" style="6" customWidth="1"/>
    <col min="9452" max="9452" width="13.125" style="6" customWidth="1"/>
    <col min="9453" max="9453" width="15.375" style="6" customWidth="1"/>
    <col min="9454" max="9454" width="21.25" style="6" customWidth="1"/>
    <col min="9455" max="9703" width="9.125" style="6" customWidth="1"/>
    <col min="9704" max="9704" width="6.375" style="6" customWidth="1"/>
    <col min="9705" max="9705" width="34.25" style="6" customWidth="1"/>
    <col min="9706" max="9706" width="7.375" style="6" customWidth="1"/>
    <col min="9707" max="9707" width="6.375" style="6" customWidth="1"/>
    <col min="9708" max="9708" width="13.125" style="6" customWidth="1"/>
    <col min="9709" max="9709" width="15.375" style="6" customWidth="1"/>
    <col min="9710" max="9710" width="21.25" style="6" customWidth="1"/>
    <col min="9711" max="9959" width="9.125" style="6" customWidth="1"/>
    <col min="9960" max="9960" width="6.375" style="6" customWidth="1"/>
    <col min="9961" max="9961" width="34.25" style="6" customWidth="1"/>
    <col min="9962" max="9962" width="7.375" style="6" customWidth="1"/>
    <col min="9963" max="9963" width="6.375" style="6" customWidth="1"/>
    <col min="9964" max="9964" width="13.125" style="6" customWidth="1"/>
    <col min="9965" max="9965" width="15.375" style="6" customWidth="1"/>
    <col min="9966" max="9966" width="21.25" style="6" customWidth="1"/>
    <col min="9967" max="10215" width="9.125" style="6" customWidth="1"/>
    <col min="10216" max="10216" width="6.375" style="6" customWidth="1"/>
    <col min="10217" max="10217" width="34.25" style="6" customWidth="1"/>
    <col min="10218" max="10218" width="7.375" style="6" customWidth="1"/>
    <col min="10219" max="10219" width="6.375" style="6" customWidth="1"/>
    <col min="10220" max="10220" width="13.125" style="6" customWidth="1"/>
    <col min="10221" max="10221" width="15.375" style="6" customWidth="1"/>
    <col min="10222" max="10222" width="21.25" style="6" customWidth="1"/>
    <col min="10223" max="10471" width="9.125" style="6" customWidth="1"/>
    <col min="10472" max="10472" width="6.375" style="6" customWidth="1"/>
    <col min="10473" max="10473" width="34.25" style="6" customWidth="1"/>
    <col min="10474" max="10474" width="7.375" style="6" customWidth="1"/>
    <col min="10475" max="10475" width="6.375" style="6" customWidth="1"/>
    <col min="10476" max="10476" width="13.125" style="6" customWidth="1"/>
    <col min="10477" max="10477" width="15.375" style="6" customWidth="1"/>
    <col min="10478" max="10478" width="21.25" style="6" customWidth="1"/>
    <col min="10479" max="10727" width="9.125" style="6" customWidth="1"/>
    <col min="10728" max="10728" width="6.375" style="6" customWidth="1"/>
    <col min="10729" max="10729" width="34.25" style="6" customWidth="1"/>
    <col min="10730" max="10730" width="7.375" style="6" customWidth="1"/>
    <col min="10731" max="10731" width="6.375" style="6" customWidth="1"/>
    <col min="10732" max="10732" width="13.125" style="6" customWidth="1"/>
    <col min="10733" max="10733" width="15.375" style="6" customWidth="1"/>
    <col min="10734" max="10734" width="21.25" style="6" customWidth="1"/>
    <col min="10735" max="10983" width="9.125" style="6" customWidth="1"/>
    <col min="10984" max="10984" width="6.375" style="6" customWidth="1"/>
    <col min="10985" max="10985" width="34.25" style="6" customWidth="1"/>
    <col min="10986" max="10986" width="7.375" style="6" customWidth="1"/>
    <col min="10987" max="10987" width="6.375" style="6" customWidth="1"/>
    <col min="10988" max="10988" width="13.125" style="6" customWidth="1"/>
    <col min="10989" max="10989" width="15.375" style="6" customWidth="1"/>
    <col min="10990" max="10990" width="21.25" style="6" customWidth="1"/>
    <col min="10991" max="11239" width="9.125" style="6" customWidth="1"/>
    <col min="11240" max="11240" width="6.375" style="6" customWidth="1"/>
    <col min="11241" max="11241" width="34.25" style="6" customWidth="1"/>
    <col min="11242" max="11242" width="7.375" style="6" customWidth="1"/>
    <col min="11243" max="11243" width="6.375" style="6" customWidth="1"/>
    <col min="11244" max="11244" width="13.125" style="6" customWidth="1"/>
    <col min="11245" max="11245" width="15.375" style="6" customWidth="1"/>
    <col min="11246" max="11246" width="21.25" style="6" customWidth="1"/>
    <col min="11247" max="11495" width="9.125" style="6" customWidth="1"/>
    <col min="11496" max="11496" width="6.375" style="6" customWidth="1"/>
    <col min="11497" max="11497" width="34.25" style="6" customWidth="1"/>
    <col min="11498" max="11498" width="7.375" style="6" customWidth="1"/>
    <col min="11499" max="11499" width="6.375" style="6" customWidth="1"/>
    <col min="11500" max="11500" width="13.125" style="6" customWidth="1"/>
    <col min="11501" max="11501" width="15.375" style="6" customWidth="1"/>
    <col min="11502" max="11502" width="21.25" style="6" customWidth="1"/>
    <col min="11503" max="11751" width="9.125" style="6" customWidth="1"/>
    <col min="11752" max="11752" width="6.375" style="6" customWidth="1"/>
    <col min="11753" max="11753" width="34.25" style="6" customWidth="1"/>
    <col min="11754" max="11754" width="7.375" style="6" customWidth="1"/>
    <col min="11755" max="11755" width="6.375" style="6" customWidth="1"/>
    <col min="11756" max="11756" width="13.125" style="6" customWidth="1"/>
    <col min="11757" max="11757" width="15.375" style="6" customWidth="1"/>
    <col min="11758" max="11758" width="21.25" style="6" customWidth="1"/>
    <col min="11759" max="12007" width="9.125" style="6" customWidth="1"/>
    <col min="12008" max="12008" width="6.375" style="6" customWidth="1"/>
    <col min="12009" max="12009" width="34.25" style="6" customWidth="1"/>
    <col min="12010" max="12010" width="7.375" style="6" customWidth="1"/>
    <col min="12011" max="12011" width="6.375" style="6" customWidth="1"/>
    <col min="12012" max="12012" width="13.125" style="6" customWidth="1"/>
    <col min="12013" max="12013" width="15.375" style="6" customWidth="1"/>
    <col min="12014" max="12014" width="21.25" style="6" customWidth="1"/>
    <col min="12015" max="12263" width="9.125" style="6" customWidth="1"/>
    <col min="12264" max="12264" width="6.375" style="6" customWidth="1"/>
    <col min="12265" max="12265" width="34.25" style="6" customWidth="1"/>
    <col min="12266" max="12266" width="7.375" style="6" customWidth="1"/>
    <col min="12267" max="12267" width="6.375" style="6" customWidth="1"/>
    <col min="12268" max="12268" width="13.125" style="6" customWidth="1"/>
    <col min="12269" max="12269" width="15.375" style="6" customWidth="1"/>
    <col min="12270" max="12270" width="21.25" style="6" customWidth="1"/>
    <col min="12271" max="12519" width="9.125" style="6" customWidth="1"/>
    <col min="12520" max="12520" width="6.375" style="6" customWidth="1"/>
    <col min="12521" max="12521" width="34.25" style="6" customWidth="1"/>
    <col min="12522" max="12522" width="7.375" style="6" customWidth="1"/>
    <col min="12523" max="12523" width="6.375" style="6" customWidth="1"/>
    <col min="12524" max="12524" width="13.125" style="6" customWidth="1"/>
    <col min="12525" max="12525" width="15.375" style="6" customWidth="1"/>
    <col min="12526" max="12526" width="21.25" style="6" customWidth="1"/>
    <col min="12527" max="12775" width="9.125" style="6" customWidth="1"/>
    <col min="12776" max="12776" width="6.375" style="6" customWidth="1"/>
    <col min="12777" max="12777" width="34.25" style="6" customWidth="1"/>
    <col min="12778" max="12778" width="7.375" style="6" customWidth="1"/>
    <col min="12779" max="12779" width="6.375" style="6" customWidth="1"/>
    <col min="12780" max="12780" width="13.125" style="6" customWidth="1"/>
    <col min="12781" max="12781" width="15.375" style="6" customWidth="1"/>
    <col min="12782" max="12782" width="21.25" style="6" customWidth="1"/>
    <col min="12783" max="13031" width="9.125" style="6" customWidth="1"/>
    <col min="13032" max="13032" width="6.375" style="6" customWidth="1"/>
    <col min="13033" max="13033" width="34.25" style="6" customWidth="1"/>
    <col min="13034" max="13034" width="7.375" style="6" customWidth="1"/>
    <col min="13035" max="13035" width="6.375" style="6" customWidth="1"/>
    <col min="13036" max="13036" width="13.125" style="6" customWidth="1"/>
    <col min="13037" max="13037" width="15.375" style="6" customWidth="1"/>
    <col min="13038" max="13038" width="21.25" style="6" customWidth="1"/>
    <col min="13039" max="13287" width="9.125" style="6" customWidth="1"/>
    <col min="13288" max="13288" width="6.375" style="6" customWidth="1"/>
    <col min="13289" max="13289" width="34.25" style="6" customWidth="1"/>
    <col min="13290" max="13290" width="7.375" style="6" customWidth="1"/>
    <col min="13291" max="13291" width="6.375" style="6" customWidth="1"/>
    <col min="13292" max="13292" width="13.125" style="6" customWidth="1"/>
    <col min="13293" max="13293" width="15.375" style="6" customWidth="1"/>
    <col min="13294" max="13294" width="21.25" style="6" customWidth="1"/>
    <col min="13295" max="13543" width="9.125" style="6" customWidth="1"/>
    <col min="13544" max="13544" width="6.375" style="6" customWidth="1"/>
    <col min="13545" max="13545" width="34.25" style="6" customWidth="1"/>
    <col min="13546" max="13546" width="7.375" style="6" customWidth="1"/>
    <col min="13547" max="13547" width="6.375" style="6" customWidth="1"/>
    <col min="13548" max="13548" width="13.125" style="6" customWidth="1"/>
    <col min="13549" max="13549" width="15.375" style="6" customWidth="1"/>
    <col min="13550" max="13550" width="21.25" style="6" customWidth="1"/>
    <col min="13551" max="13799" width="9.125" style="6" customWidth="1"/>
    <col min="13800" max="13800" width="6.375" style="6" customWidth="1"/>
    <col min="13801" max="13801" width="34.25" style="6" customWidth="1"/>
    <col min="13802" max="13802" width="7.375" style="6" customWidth="1"/>
    <col min="13803" max="13803" width="6.375" style="6" customWidth="1"/>
    <col min="13804" max="13804" width="13.125" style="6" customWidth="1"/>
    <col min="13805" max="13805" width="15.375" style="6" customWidth="1"/>
    <col min="13806" max="13806" width="21.25" style="6" customWidth="1"/>
    <col min="13807" max="14055" width="9.125" style="6" customWidth="1"/>
    <col min="14056" max="14056" width="6.375" style="6" customWidth="1"/>
    <col min="14057" max="14057" width="34.25" style="6" customWidth="1"/>
    <col min="14058" max="14058" width="7.375" style="6" customWidth="1"/>
    <col min="14059" max="14059" width="6.375" style="6" customWidth="1"/>
    <col min="14060" max="14060" width="13.125" style="6" customWidth="1"/>
    <col min="14061" max="14061" width="15.375" style="6" customWidth="1"/>
    <col min="14062" max="14062" width="21.25" style="6" customWidth="1"/>
    <col min="14063" max="14311" width="9.125" style="6" customWidth="1"/>
    <col min="14312" max="14312" width="6.375" style="6" customWidth="1"/>
    <col min="14313" max="14313" width="34.25" style="6" customWidth="1"/>
    <col min="14314" max="14314" width="7.375" style="6" customWidth="1"/>
    <col min="14315" max="14315" width="6.375" style="6" customWidth="1"/>
    <col min="14316" max="14316" width="13.125" style="6" customWidth="1"/>
    <col min="14317" max="14317" width="15.375" style="6" customWidth="1"/>
    <col min="14318" max="14318" width="21.25" style="6" customWidth="1"/>
    <col min="14319" max="14567" width="9.125" style="6" customWidth="1"/>
    <col min="14568" max="14568" width="6.375" style="6" customWidth="1"/>
    <col min="14569" max="14569" width="34.25" style="6" customWidth="1"/>
    <col min="14570" max="14570" width="7.375" style="6" customWidth="1"/>
    <col min="14571" max="14571" width="6.375" style="6" customWidth="1"/>
    <col min="14572" max="14572" width="13.125" style="6" customWidth="1"/>
    <col min="14573" max="14573" width="15.375" style="6" customWidth="1"/>
    <col min="14574" max="14574" width="21.25" style="6" customWidth="1"/>
    <col min="14575" max="14823" width="9.125" style="6" customWidth="1"/>
    <col min="14824" max="14824" width="6.375" style="6" customWidth="1"/>
    <col min="14825" max="14825" width="34.25" style="6" customWidth="1"/>
    <col min="14826" max="14826" width="7.375" style="6" customWidth="1"/>
    <col min="14827" max="14827" width="6.375" style="6" customWidth="1"/>
    <col min="14828" max="14828" width="13.125" style="6" customWidth="1"/>
    <col min="14829" max="14829" width="15.375" style="6" customWidth="1"/>
    <col min="14830" max="14830" width="21.25" style="6" customWidth="1"/>
    <col min="14831" max="15079" width="9.125" style="6" customWidth="1"/>
    <col min="15080" max="15080" width="6.375" style="6" customWidth="1"/>
    <col min="15081" max="15081" width="34.25" style="6" customWidth="1"/>
    <col min="15082" max="15082" width="7.375" style="6" customWidth="1"/>
    <col min="15083" max="15083" width="6.375" style="6" customWidth="1"/>
    <col min="15084" max="15084" width="13.125" style="6" customWidth="1"/>
    <col min="15085" max="15085" width="15.375" style="6" customWidth="1"/>
    <col min="15086" max="15086" width="21.25" style="6" customWidth="1"/>
    <col min="15087" max="15335" width="9.125" style="6" customWidth="1"/>
    <col min="15336" max="15336" width="6.375" style="6" customWidth="1"/>
    <col min="15337" max="15337" width="34.25" style="6" customWidth="1"/>
    <col min="15338" max="15338" width="7.375" style="6" customWidth="1"/>
    <col min="15339" max="15339" width="6.375" style="6" customWidth="1"/>
    <col min="15340" max="15340" width="13.125" style="6" customWidth="1"/>
    <col min="15341" max="15341" width="15.375" style="6" customWidth="1"/>
    <col min="15342" max="15342" width="21.25" style="6" customWidth="1"/>
    <col min="15343" max="15591" width="9.125" style="6" customWidth="1"/>
    <col min="15592" max="15592" width="6.375" style="6" customWidth="1"/>
    <col min="15593" max="15593" width="34.25" style="6" customWidth="1"/>
    <col min="15594" max="15594" width="7.375" style="6" customWidth="1"/>
    <col min="15595" max="15595" width="6.375" style="6" customWidth="1"/>
    <col min="15596" max="15596" width="13.125" style="6" customWidth="1"/>
    <col min="15597" max="15597" width="15.375" style="6" customWidth="1"/>
    <col min="15598" max="15598" width="21.25" style="6" customWidth="1"/>
    <col min="15599" max="15847" width="9.125" style="6" customWidth="1"/>
    <col min="15848" max="15848" width="6.375" style="6" customWidth="1"/>
    <col min="15849" max="15849" width="34.25" style="6" customWidth="1"/>
    <col min="15850" max="15850" width="7.375" style="6" customWidth="1"/>
    <col min="15851" max="15851" width="6.375" style="6" customWidth="1"/>
    <col min="15852" max="15852" width="13.125" style="6" customWidth="1"/>
    <col min="15853" max="15853" width="15.375" style="6" customWidth="1"/>
    <col min="15854" max="15854" width="21.25" style="6" customWidth="1"/>
    <col min="15855" max="16103" width="9.125" style="6" customWidth="1"/>
    <col min="16104" max="16104" width="6.375" style="6" customWidth="1"/>
    <col min="16105" max="16105" width="34.25" style="6" customWidth="1"/>
    <col min="16106" max="16106" width="7.375" style="6" customWidth="1"/>
    <col min="16107" max="16107" width="6.375" style="6" customWidth="1"/>
    <col min="16108" max="16108" width="13.125" style="6" customWidth="1"/>
    <col min="16109" max="16109" width="15.375" style="6" customWidth="1"/>
    <col min="16110" max="16110" width="21.25" style="6" customWidth="1"/>
    <col min="16111" max="16384" width="9.125" style="6" customWidth="1"/>
  </cols>
  <sheetData>
    <row r="1" spans="1:13" ht="48" customHeight="1"/>
    <row r="2" spans="1:13" s="1" customFormat="1" ht="51" customHeight="1">
      <c r="A2" s="10" t="s">
        <v>507</v>
      </c>
      <c r="B2" s="11"/>
      <c r="C2" s="12"/>
      <c r="D2" s="11"/>
      <c r="E2" s="14"/>
      <c r="F2" s="148"/>
      <c r="G2" s="14"/>
      <c r="H2" s="14"/>
      <c r="I2" s="15"/>
      <c r="J2" s="15"/>
      <c r="K2" s="15"/>
      <c r="L2" s="15"/>
    </row>
    <row r="3" spans="1:13" ht="26.25" customHeight="1">
      <c r="A3" s="16"/>
      <c r="B3" s="17" t="s">
        <v>440</v>
      </c>
      <c r="C3" s="213"/>
      <c r="D3" s="217"/>
      <c r="E3" s="214"/>
      <c r="F3" s="227"/>
      <c r="G3" s="214"/>
      <c r="H3" s="214"/>
      <c r="I3" s="220"/>
      <c r="J3" s="220"/>
      <c r="K3" s="220"/>
      <c r="L3" s="220"/>
    </row>
    <row r="4" spans="1:13" ht="26.25" customHeight="1">
      <c r="A4" s="18"/>
      <c r="B4" s="5" t="s">
        <v>441</v>
      </c>
      <c r="C4" s="222"/>
      <c r="D4" s="217"/>
      <c r="E4" s="214"/>
      <c r="F4" s="227"/>
      <c r="G4" s="214"/>
      <c r="H4" s="214"/>
      <c r="I4" s="220"/>
      <c r="J4" s="220"/>
      <c r="K4" s="220"/>
      <c r="L4" s="220"/>
    </row>
    <row r="5" spans="1:13" ht="26.25" customHeight="1">
      <c r="A5" s="18"/>
      <c r="B5" s="5" t="s">
        <v>442</v>
      </c>
      <c r="C5" s="216"/>
      <c r="D5" s="217"/>
      <c r="E5" s="214"/>
      <c r="F5" s="227"/>
      <c r="G5" s="214"/>
      <c r="H5" s="214"/>
      <c r="I5" s="220"/>
      <c r="J5" s="220"/>
      <c r="K5" s="220"/>
      <c r="L5" s="220"/>
    </row>
    <row r="6" spans="1:13" ht="26.25" customHeight="1">
      <c r="A6" s="18"/>
      <c r="B6" s="5" t="s">
        <v>443</v>
      </c>
      <c r="C6" s="213" t="str">
        <f>INDEX(總表!$B$9:$B$47,MATCH('6A'!A9,總表!$A$9:$A$48,0))</f>
        <v>Nhà xưởng sản xuất 5
五號生產廠房</v>
      </c>
      <c r="D6" s="217"/>
      <c r="E6" s="214"/>
      <c r="F6" s="227"/>
      <c r="G6" s="214"/>
      <c r="H6" s="214"/>
      <c r="I6" s="220"/>
      <c r="J6" s="220"/>
      <c r="K6" s="220"/>
      <c r="L6" s="220"/>
    </row>
    <row r="7" spans="1:13" ht="26.25" customHeight="1">
      <c r="A7" s="18"/>
      <c r="B7" s="5" t="s">
        <v>444</v>
      </c>
      <c r="C7" s="223" t="s">
        <v>445</v>
      </c>
      <c r="D7" s="224"/>
      <c r="E7" s="224"/>
      <c r="F7" s="224"/>
      <c r="G7" s="224"/>
      <c r="H7" s="224"/>
      <c r="I7" s="224"/>
      <c r="J7" s="224"/>
      <c r="K7" s="224"/>
      <c r="L7" s="224"/>
    </row>
    <row r="8" spans="1:13" s="2" customFormat="1" ht="47.25" customHeight="1">
      <c r="A8" s="19" t="s">
        <v>446</v>
      </c>
      <c r="B8" s="19" t="s">
        <v>508</v>
      </c>
      <c r="C8" s="19" t="s">
        <v>509</v>
      </c>
      <c r="D8" s="19" t="s">
        <v>448</v>
      </c>
      <c r="E8" s="19" t="s">
        <v>449</v>
      </c>
      <c r="F8" s="126" t="s">
        <v>510</v>
      </c>
      <c r="G8" s="19" t="s">
        <v>511</v>
      </c>
      <c r="H8" s="19" t="s">
        <v>512</v>
      </c>
      <c r="I8" s="21" t="s">
        <v>450</v>
      </c>
      <c r="J8" s="21" t="s">
        <v>452</v>
      </c>
      <c r="K8" s="84" t="s">
        <v>513</v>
      </c>
      <c r="L8" s="21" t="s">
        <v>514</v>
      </c>
    </row>
    <row r="9" spans="1:13" s="3" customFormat="1" ht="25.5" customHeight="1">
      <c r="A9" s="22" t="s">
        <v>463</v>
      </c>
      <c r="B9" s="23" t="str">
        <f>C6</f>
        <v>Nhà xưởng sản xuất 5
五號生產廠房</v>
      </c>
      <c r="C9" s="23" t="s">
        <v>515</v>
      </c>
      <c r="D9" s="22"/>
      <c r="E9" s="25"/>
      <c r="F9" s="149"/>
      <c r="G9" s="25">
        <f>_xlfn.XLOOKUP(B9, Rate_Master!$A:$A, Rate_Master!$C:$C, "")</f>
        <v>0</v>
      </c>
      <c r="H9" s="25">
        <f>_xlfn.XLOOKUP(B9, Rate_Master!$A:$A, Rate_Master!$D:$D, "")</f>
        <v>0</v>
      </c>
      <c r="I9" s="26"/>
      <c r="J9" s="26">
        <f>SUBTOTAL(9,J10:J170)</f>
        <v>73994582009.469574</v>
      </c>
      <c r="K9" s="26" t="e">
        <f>SUBTOTAL(9,K10:K170)</f>
        <v>#VALUE!</v>
      </c>
      <c r="L9" s="26"/>
      <c r="M9" s="103"/>
    </row>
    <row r="10" spans="1:13" s="3" customFormat="1" ht="25.5" customHeight="1">
      <c r="A10" s="22" t="str">
        <f>$A$9&amp;".C"</f>
        <v>6A.C</v>
      </c>
      <c r="B10" s="23" t="s">
        <v>1</v>
      </c>
      <c r="C10" s="23" t="s">
        <v>515</v>
      </c>
      <c r="D10" s="22"/>
      <c r="E10" s="25"/>
      <c r="F10" s="149"/>
      <c r="G10" s="25">
        <f>_xlfn.XLOOKUP(B10, Rate_Master!$A:$A, Rate_Master!$C:$C, "")</f>
        <v>0</v>
      </c>
      <c r="H10" s="25">
        <f>_xlfn.XLOOKUP(B10, Rate_Master!$A:$A, Rate_Master!$D:$D, "")</f>
        <v>0</v>
      </c>
      <c r="I10" s="26"/>
      <c r="J10" s="26"/>
      <c r="K10" s="26"/>
      <c r="L10" s="26"/>
    </row>
    <row r="11" spans="1:13" s="3" customFormat="1" ht="25.5" customHeight="1">
      <c r="A11" s="22" t="str">
        <f>$A$10&amp;1</f>
        <v>6A.C1</v>
      </c>
      <c r="B11" s="23" t="s">
        <v>2</v>
      </c>
      <c r="C11" s="23" t="s">
        <v>515</v>
      </c>
      <c r="D11" s="22"/>
      <c r="E11" s="25"/>
      <c r="F11" s="149"/>
      <c r="G11" s="25">
        <f>_xlfn.XLOOKUP(B11, Rate_Master!$A:$A, Rate_Master!$C:$C, "")</f>
        <v>0</v>
      </c>
      <c r="H11" s="25">
        <f>_xlfn.XLOOKUP(B11, Rate_Master!$A:$A, Rate_Master!$D:$D, "")</f>
        <v>0</v>
      </c>
      <c r="I11" s="26"/>
      <c r="J11" s="26">
        <f>SUBTOTAL(9,J12:J22)</f>
        <v>12726686599.999998</v>
      </c>
      <c r="K11" s="26" t="e">
        <f>SUBTOTAL(9,K12:K22)</f>
        <v>#VALUE!</v>
      </c>
      <c r="L11" s="26"/>
    </row>
    <row r="12" spans="1:13" s="4" customFormat="1" ht="25.5" customHeight="1" outlineLevel="1">
      <c r="A12" s="27" t="str">
        <f t="shared" ref="A12:A22" si="0">$A$11&amp;"."&amp;ROW()-ROW($A$11)</f>
        <v>6A.C1.1</v>
      </c>
      <c r="B12" s="28" t="s">
        <v>3</v>
      </c>
      <c r="C12" s="28" t="s">
        <v>515</v>
      </c>
      <c r="D12" s="29" t="s">
        <v>516</v>
      </c>
      <c r="E12" s="31">
        <v>1</v>
      </c>
      <c r="F12" s="150">
        <v>1</v>
      </c>
      <c r="G12" s="142">
        <f>_xlfn.XLOOKUP(B12, Rate_Master!$A:$A, Rate_Master!$C:$C, "")</f>
        <v>0</v>
      </c>
      <c r="H12" s="141">
        <f>_xlfn.XLOOKUP(B12, Rate_Master!$A:$A, Rate_Master!$D:$D, "")</f>
        <v>114999999.99999999</v>
      </c>
      <c r="I12" s="66">
        <f t="shared" ref="I12:I22" si="1">+H12+G12</f>
        <v>114999999.99999999</v>
      </c>
      <c r="J12" s="32">
        <f t="shared" ref="J12:J22" si="2">I12*E12</f>
        <v>114999999.99999999</v>
      </c>
      <c r="K12" s="32">
        <f t="shared" ref="K12:K22" si="3">I12*F12</f>
        <v>114999999.99999999</v>
      </c>
      <c r="L12" s="32"/>
    </row>
    <row r="13" spans="1:13" s="4" customFormat="1" ht="25.5" customHeight="1" outlineLevel="1">
      <c r="A13" s="27" t="str">
        <f t="shared" si="0"/>
        <v>6A.C1.2</v>
      </c>
      <c r="B13" s="28" t="s">
        <v>4</v>
      </c>
      <c r="C13" s="28" t="s">
        <v>515</v>
      </c>
      <c r="D13" s="29" t="s">
        <v>517</v>
      </c>
      <c r="E13" s="31">
        <v>264</v>
      </c>
      <c r="F13" s="208" t="s">
        <v>592</v>
      </c>
      <c r="G13" s="142">
        <f>_xlfn.XLOOKUP(B13, Rate_Master!$A:$A, Rate_Master!$C:$C, "")</f>
        <v>425499.99999999994</v>
      </c>
      <c r="H13" s="142">
        <f>_xlfn.XLOOKUP(B13, Rate_Master!$A:$A, Rate_Master!$D:$D, "")</f>
        <v>0</v>
      </c>
      <c r="I13" s="66">
        <f t="shared" si="1"/>
        <v>425499.99999999994</v>
      </c>
      <c r="J13" s="32">
        <f t="shared" si="2"/>
        <v>112331999.99999999</v>
      </c>
      <c r="K13" s="32" t="e">
        <f t="shared" si="3"/>
        <v>#VALUE!</v>
      </c>
      <c r="L13" s="32"/>
    </row>
    <row r="14" spans="1:13" s="4" customFormat="1" ht="25.5" customHeight="1" outlineLevel="1">
      <c r="A14" s="27" t="str">
        <f t="shared" si="0"/>
        <v>6A.C1.3</v>
      </c>
      <c r="B14" s="28" t="s">
        <v>5</v>
      </c>
      <c r="C14" s="28" t="s">
        <v>515</v>
      </c>
      <c r="D14" s="29" t="s">
        <v>517</v>
      </c>
      <c r="E14" s="31">
        <v>242</v>
      </c>
      <c r="F14" s="150">
        <v>242</v>
      </c>
      <c r="G14" s="142">
        <f>_xlfn.XLOOKUP(B14, Rate_Master!$A:$A, Rate_Master!$C:$C, "")</f>
        <v>0</v>
      </c>
      <c r="H14" s="142">
        <f>_xlfn.XLOOKUP(B14, Rate_Master!$A:$A, Rate_Master!$D:$D, "")</f>
        <v>69000</v>
      </c>
      <c r="I14" s="66">
        <f t="shared" si="1"/>
        <v>69000</v>
      </c>
      <c r="J14" s="32">
        <f t="shared" si="2"/>
        <v>16698000</v>
      </c>
      <c r="K14" s="32">
        <f t="shared" si="3"/>
        <v>16698000</v>
      </c>
      <c r="L14" s="32"/>
    </row>
    <row r="15" spans="1:13" s="4" customFormat="1" ht="25.5" customHeight="1" outlineLevel="1">
      <c r="A15" s="27" t="str">
        <f t="shared" si="0"/>
        <v>6A.C1.4</v>
      </c>
      <c r="B15" s="28" t="s">
        <v>6</v>
      </c>
      <c r="C15" s="28" t="s">
        <v>515</v>
      </c>
      <c r="D15" s="29" t="s">
        <v>517</v>
      </c>
      <c r="E15" s="31">
        <v>253</v>
      </c>
      <c r="F15" s="150">
        <v>253</v>
      </c>
      <c r="G15" s="142">
        <f>_xlfn.XLOOKUP(B15, Rate_Master!$A:$A, Rate_Master!$C:$C, "")</f>
        <v>0</v>
      </c>
      <c r="H15" s="142">
        <f>_xlfn.XLOOKUP(B15, Rate_Master!$A:$A, Rate_Master!$D:$D, "")</f>
        <v>57499.999999999993</v>
      </c>
      <c r="I15" s="66">
        <f t="shared" si="1"/>
        <v>57499.999999999993</v>
      </c>
      <c r="J15" s="32">
        <f t="shared" si="2"/>
        <v>14547499.999999998</v>
      </c>
      <c r="K15" s="32">
        <f t="shared" si="3"/>
        <v>14547499.999999998</v>
      </c>
      <c r="L15" s="32"/>
    </row>
    <row r="16" spans="1:13" s="4" customFormat="1" ht="102" customHeight="1" outlineLevel="1">
      <c r="A16" s="27" t="str">
        <f t="shared" si="0"/>
        <v>6A.C1.5</v>
      </c>
      <c r="B16" s="28" t="s">
        <v>7</v>
      </c>
      <c r="C16" s="28" t="s">
        <v>515</v>
      </c>
      <c r="D16" s="29" t="s">
        <v>518</v>
      </c>
      <c r="E16" s="31">
        <v>11</v>
      </c>
      <c r="F16" s="150">
        <v>11</v>
      </c>
      <c r="G16" s="142">
        <f>_xlfn.XLOOKUP(B16, Rate_Master!$A:$A, Rate_Master!$C:$C, "")</f>
        <v>0</v>
      </c>
      <c r="H16" s="142">
        <f>_xlfn.XLOOKUP(B16, Rate_Master!$A:$A, Rate_Master!$D:$D, "")</f>
        <v>13799999.999999998</v>
      </c>
      <c r="I16" s="66">
        <f t="shared" si="1"/>
        <v>13799999.999999998</v>
      </c>
      <c r="J16" s="32">
        <f t="shared" si="2"/>
        <v>151799999.99999997</v>
      </c>
      <c r="K16" s="32">
        <f t="shared" si="3"/>
        <v>151799999.99999997</v>
      </c>
      <c r="L16" s="32"/>
    </row>
    <row r="17" spans="1:12" s="4" customFormat="1" ht="25.5" customHeight="1" outlineLevel="1">
      <c r="A17" s="27" t="str">
        <f t="shared" si="0"/>
        <v>6A.C1.6</v>
      </c>
      <c r="B17" s="28" t="s">
        <v>8</v>
      </c>
      <c r="C17" s="28" t="s">
        <v>515</v>
      </c>
      <c r="D17" s="29" t="s">
        <v>518</v>
      </c>
      <c r="E17" s="31">
        <v>202</v>
      </c>
      <c r="F17" s="150">
        <v>202</v>
      </c>
      <c r="G17" s="142">
        <f>_xlfn.XLOOKUP(B17, Rate_Master!$A:$A, Rate_Master!$C:$C, "")</f>
        <v>0</v>
      </c>
      <c r="H17" s="142">
        <f>_xlfn.XLOOKUP(B17, Rate_Master!$A:$A, Rate_Master!$D:$D, "")</f>
        <v>252999.99999999997</v>
      </c>
      <c r="I17" s="66">
        <f t="shared" si="1"/>
        <v>252999.99999999997</v>
      </c>
      <c r="J17" s="32">
        <f t="shared" si="2"/>
        <v>51105999.999999993</v>
      </c>
      <c r="K17" s="32">
        <f t="shared" si="3"/>
        <v>51105999.999999993</v>
      </c>
      <c r="L17" s="32"/>
    </row>
    <row r="18" spans="1:12" s="4" customFormat="1" ht="25.5" customHeight="1" outlineLevel="1">
      <c r="A18" s="27" t="str">
        <f t="shared" si="0"/>
        <v>6A.C1.7</v>
      </c>
      <c r="B18" s="28" t="s">
        <v>9</v>
      </c>
      <c r="C18" s="28" t="s">
        <v>515</v>
      </c>
      <c r="D18" s="29" t="s">
        <v>517</v>
      </c>
      <c r="E18" s="31">
        <v>21868</v>
      </c>
      <c r="F18" s="150">
        <v>21868</v>
      </c>
      <c r="G18" s="142">
        <f>_xlfn.XLOOKUP(B18, Rate_Master!$A:$A, Rate_Master!$C:$C, "")</f>
        <v>402499.99999999994</v>
      </c>
      <c r="H18" s="142">
        <f>_xlfn.XLOOKUP(B18, Rate_Master!$A:$A, Rate_Master!$D:$D, "")</f>
        <v>0</v>
      </c>
      <c r="I18" s="66">
        <f t="shared" si="1"/>
        <v>402499.99999999994</v>
      </c>
      <c r="J18" s="32">
        <f t="shared" si="2"/>
        <v>8801869999.9999981</v>
      </c>
      <c r="K18" s="32">
        <f t="shared" si="3"/>
        <v>8801869999.9999981</v>
      </c>
      <c r="L18" s="32"/>
    </row>
    <row r="19" spans="1:12" s="4" customFormat="1" ht="25.5" customHeight="1" outlineLevel="1">
      <c r="A19" s="27" t="str">
        <f t="shared" si="0"/>
        <v>6A.C1.8</v>
      </c>
      <c r="B19" s="28" t="s">
        <v>10</v>
      </c>
      <c r="C19" s="28" t="s">
        <v>515</v>
      </c>
      <c r="D19" s="29" t="s">
        <v>518</v>
      </c>
      <c r="E19" s="31">
        <v>1005</v>
      </c>
      <c r="F19" s="150">
        <v>1005</v>
      </c>
      <c r="G19" s="142">
        <f>_xlfn.XLOOKUP(B19, Rate_Master!$A:$A, Rate_Master!$C:$C, "")</f>
        <v>80500</v>
      </c>
      <c r="H19" s="142">
        <f>_xlfn.XLOOKUP(B19, Rate_Master!$A:$A, Rate_Master!$D:$D, "")</f>
        <v>0</v>
      </c>
      <c r="I19" s="66">
        <f t="shared" si="1"/>
        <v>80500</v>
      </c>
      <c r="J19" s="32">
        <f t="shared" si="2"/>
        <v>80902500</v>
      </c>
      <c r="K19" s="32">
        <f t="shared" si="3"/>
        <v>80902500</v>
      </c>
      <c r="L19" s="32"/>
    </row>
    <row r="20" spans="1:12" s="4" customFormat="1" ht="25.5" customHeight="1" outlineLevel="1">
      <c r="A20" s="27" t="str">
        <f t="shared" si="0"/>
        <v>6A.C1.9</v>
      </c>
      <c r="B20" s="28" t="s">
        <v>11</v>
      </c>
      <c r="C20" s="28" t="s">
        <v>515</v>
      </c>
      <c r="D20" s="29" t="s">
        <v>517</v>
      </c>
      <c r="E20" s="31">
        <v>21170.400000000001</v>
      </c>
      <c r="F20" s="150">
        <v>21170.400000000001</v>
      </c>
      <c r="G20" s="142">
        <f>_xlfn.XLOOKUP(B20, Rate_Master!$A:$A, Rate_Master!$C:$C, "")</f>
        <v>0</v>
      </c>
      <c r="H20" s="142">
        <f>_xlfn.XLOOKUP(B20, Rate_Master!$A:$A, Rate_Master!$D:$D, "")</f>
        <v>69000</v>
      </c>
      <c r="I20" s="66">
        <f t="shared" si="1"/>
        <v>69000</v>
      </c>
      <c r="J20" s="32">
        <f t="shared" si="2"/>
        <v>1460757600</v>
      </c>
      <c r="K20" s="32">
        <f t="shared" si="3"/>
        <v>1460757600</v>
      </c>
      <c r="L20" s="32"/>
    </row>
    <row r="21" spans="1:12" s="4" customFormat="1" ht="25.5" customHeight="1" outlineLevel="1">
      <c r="A21" s="27" t="str">
        <f t="shared" si="0"/>
        <v>6A.C1.10</v>
      </c>
      <c r="B21" s="28" t="s">
        <v>12</v>
      </c>
      <c r="C21" s="28" t="s">
        <v>515</v>
      </c>
      <c r="D21" s="29" t="s">
        <v>517</v>
      </c>
      <c r="E21" s="31">
        <v>22164.400000000001</v>
      </c>
      <c r="F21" s="150">
        <v>22164.400000000001</v>
      </c>
      <c r="G21" s="142">
        <f>_xlfn.XLOOKUP(B21, Rate_Master!$A:$A, Rate_Master!$C:$C, "")</f>
        <v>0</v>
      </c>
      <c r="H21" s="142">
        <f>_xlfn.XLOOKUP(B21, Rate_Master!$A:$A, Rate_Master!$D:$D, "")</f>
        <v>57499.999999999993</v>
      </c>
      <c r="I21" s="66">
        <f t="shared" si="1"/>
        <v>57499.999999999993</v>
      </c>
      <c r="J21" s="32">
        <f t="shared" si="2"/>
        <v>1274453000</v>
      </c>
      <c r="K21" s="32">
        <f t="shared" si="3"/>
        <v>1274453000</v>
      </c>
      <c r="L21" s="32"/>
    </row>
    <row r="22" spans="1:12" s="4" customFormat="1" ht="63.75" customHeight="1" outlineLevel="1">
      <c r="A22" s="27" t="str">
        <f t="shared" si="0"/>
        <v>6A.C1.11</v>
      </c>
      <c r="B22" s="28" t="s">
        <v>13</v>
      </c>
      <c r="C22" s="28" t="s">
        <v>515</v>
      </c>
      <c r="D22" s="29" t="s">
        <v>518</v>
      </c>
      <c r="E22" s="31">
        <v>1005</v>
      </c>
      <c r="F22" s="150">
        <v>1005</v>
      </c>
      <c r="G22" s="143">
        <f>_xlfn.XLOOKUP(B22, Rate_Master!$A:$A, Rate_Master!$C:$C, "")</f>
        <v>482999.99999999994</v>
      </c>
      <c r="H22" s="143">
        <f>_xlfn.XLOOKUP(B22, Rate_Master!$A:$A, Rate_Master!$D:$D, "")</f>
        <v>161000</v>
      </c>
      <c r="I22" s="66">
        <f t="shared" si="1"/>
        <v>644000</v>
      </c>
      <c r="J22" s="32">
        <f t="shared" si="2"/>
        <v>647220000</v>
      </c>
      <c r="K22" s="32">
        <f t="shared" si="3"/>
        <v>647220000</v>
      </c>
      <c r="L22" s="32"/>
    </row>
    <row r="23" spans="1:12" s="3" customFormat="1" ht="25.5" customHeight="1">
      <c r="A23" s="22" t="str">
        <f>$A$10&amp;2</f>
        <v>6A.C2</v>
      </c>
      <c r="B23" s="23" t="s">
        <v>14</v>
      </c>
      <c r="C23" s="23" t="s">
        <v>515</v>
      </c>
      <c r="D23" s="22"/>
      <c r="E23" s="25"/>
      <c r="F23" s="149"/>
      <c r="G23" s="25">
        <f>_xlfn.XLOOKUP(B23, Rate_Master!$A:$A, Rate_Master!$C:$C, "")</f>
        <v>0</v>
      </c>
      <c r="H23" s="25">
        <f>_xlfn.XLOOKUP(B23, Rate_Master!$A:$A, Rate_Master!$D:$D, "")</f>
        <v>0</v>
      </c>
      <c r="I23" s="26"/>
      <c r="J23" s="26">
        <f>SUBTOTAL(9,J24:J31)</f>
        <v>3246695397.9250002</v>
      </c>
      <c r="K23" s="26">
        <f>SUBTOTAL(9,K24:K31)</f>
        <v>3246695397.9250002</v>
      </c>
      <c r="L23" s="26"/>
    </row>
    <row r="24" spans="1:12" s="4" customFormat="1" ht="25.5" customHeight="1" outlineLevel="1">
      <c r="A24" s="27" t="str">
        <f t="shared" ref="A24:A31" si="4">$A$23&amp;"."&amp;ROW()-ROW($A$23)</f>
        <v>6A.C2.1</v>
      </c>
      <c r="B24" s="28" t="s">
        <v>15</v>
      </c>
      <c r="C24" s="28" t="s">
        <v>515</v>
      </c>
      <c r="D24" s="29" t="s">
        <v>519</v>
      </c>
      <c r="E24" s="31">
        <v>3314.0390000000002</v>
      </c>
      <c r="F24" s="150">
        <v>3314.0390000000002</v>
      </c>
      <c r="G24" s="141">
        <f>_xlfn.XLOOKUP(B24, Rate_Master!$A:$A, Rate_Master!$C:$C, "")</f>
        <v>0</v>
      </c>
      <c r="H24" s="141">
        <f>_xlfn.XLOOKUP(B24, Rate_Master!$A:$A, Rate_Master!$D:$D, "")</f>
        <v>32199.999999999996</v>
      </c>
      <c r="I24" s="66">
        <f t="shared" ref="I24:I31" si="5">+H24+G24</f>
        <v>32199.999999999996</v>
      </c>
      <c r="J24" s="32">
        <f t="shared" ref="J24:J31" si="6">I24*E24</f>
        <v>106712055.8</v>
      </c>
      <c r="K24" s="32">
        <f t="shared" ref="K24:K31" si="7">I24*F24</f>
        <v>106712055.8</v>
      </c>
      <c r="L24" s="32"/>
    </row>
    <row r="25" spans="1:12" s="4" customFormat="1" ht="25.5" customHeight="1" outlineLevel="1">
      <c r="A25" s="27" t="str">
        <f t="shared" si="4"/>
        <v>6A.C2.2</v>
      </c>
      <c r="B25" s="28" t="s">
        <v>16</v>
      </c>
      <c r="C25" s="28" t="s">
        <v>515</v>
      </c>
      <c r="D25" s="29" t="s">
        <v>520</v>
      </c>
      <c r="E25" s="31">
        <v>3520.1390000000001</v>
      </c>
      <c r="F25" s="150">
        <v>3520.1390000000001</v>
      </c>
      <c r="G25" s="142">
        <f>_xlfn.XLOOKUP(B25, Rate_Master!$A:$A, Rate_Master!$C:$C, "")</f>
        <v>0</v>
      </c>
      <c r="H25" s="142">
        <f>_xlfn.XLOOKUP(B25, Rate_Master!$A:$A, Rate_Master!$D:$D, "")</f>
        <v>17250</v>
      </c>
      <c r="I25" s="66">
        <f t="shared" si="5"/>
        <v>17250</v>
      </c>
      <c r="J25" s="32">
        <f t="shared" si="6"/>
        <v>60722397.75</v>
      </c>
      <c r="K25" s="32">
        <f t="shared" si="7"/>
        <v>60722397.75</v>
      </c>
      <c r="L25" s="32"/>
    </row>
    <row r="26" spans="1:12" s="4" customFormat="1" ht="25.5" customHeight="1" outlineLevel="1">
      <c r="A26" s="27" t="str">
        <f t="shared" si="4"/>
        <v>6A.C2.3</v>
      </c>
      <c r="B26" s="28" t="s">
        <v>17</v>
      </c>
      <c r="C26" s="28" t="s">
        <v>515</v>
      </c>
      <c r="D26" s="29" t="s">
        <v>519</v>
      </c>
      <c r="E26" s="31">
        <v>2159.701</v>
      </c>
      <c r="F26" s="150">
        <v>2159.701</v>
      </c>
      <c r="G26" s="142">
        <f>_xlfn.XLOOKUP(B26, Rate_Master!$A:$A, Rate_Master!$C:$C, "")</f>
        <v>0</v>
      </c>
      <c r="H26" s="142">
        <f>_xlfn.XLOOKUP(B26, Rate_Master!$A:$A, Rate_Master!$D:$D, "")</f>
        <v>37950</v>
      </c>
      <c r="I26" s="66">
        <f t="shared" si="5"/>
        <v>37950</v>
      </c>
      <c r="J26" s="32">
        <f t="shared" si="6"/>
        <v>81960652.950000003</v>
      </c>
      <c r="K26" s="32">
        <f t="shared" si="7"/>
        <v>81960652.950000003</v>
      </c>
      <c r="L26" s="32"/>
    </row>
    <row r="27" spans="1:12" s="4" customFormat="1" ht="25.5" customHeight="1" outlineLevel="1">
      <c r="A27" s="27" t="str">
        <f t="shared" si="4"/>
        <v>6A.C2.4</v>
      </c>
      <c r="B27" s="34" t="s">
        <v>18</v>
      </c>
      <c r="C27" s="34" t="s">
        <v>521</v>
      </c>
      <c r="D27" s="29" t="s">
        <v>519</v>
      </c>
      <c r="E27" s="31">
        <v>1154.337</v>
      </c>
      <c r="F27" s="150">
        <v>1154.337</v>
      </c>
      <c r="G27" s="142">
        <f>_xlfn.XLOOKUP(B27, Rate_Master!$A:$A, Rate_Master!$C:$C, "")</f>
        <v>0</v>
      </c>
      <c r="H27" s="142">
        <f>_xlfn.XLOOKUP(B27, Rate_Master!$A:$A, Rate_Master!$D:$D, "")</f>
        <v>32199.999999999996</v>
      </c>
      <c r="I27" s="66">
        <f t="shared" si="5"/>
        <v>32199.999999999996</v>
      </c>
      <c r="J27" s="32">
        <f t="shared" si="6"/>
        <v>37169651.399999999</v>
      </c>
      <c r="K27" s="32">
        <f t="shared" si="7"/>
        <v>37169651.399999999</v>
      </c>
      <c r="L27" s="32"/>
    </row>
    <row r="28" spans="1:12" s="4" customFormat="1" ht="25.5" customHeight="1" outlineLevel="1">
      <c r="A28" s="27" t="str">
        <f t="shared" si="4"/>
        <v>6A.C2.5</v>
      </c>
      <c r="B28" s="28" t="s">
        <v>19</v>
      </c>
      <c r="C28" s="28" t="s">
        <v>515</v>
      </c>
      <c r="D28" s="29" t="s">
        <v>520</v>
      </c>
      <c r="E28" s="31">
        <v>3520.1390000000001</v>
      </c>
      <c r="F28" s="150">
        <v>3520.1390000000001</v>
      </c>
      <c r="G28" s="142">
        <f>_xlfn.XLOOKUP(B28, Rate_Master!$A:$A, Rate_Master!$C:$C, "")</f>
        <v>6899.9999999999991</v>
      </c>
      <c r="H28" s="142">
        <f>_xlfn.XLOOKUP(B28, Rate_Master!$A:$A, Rate_Master!$D:$D, "")</f>
        <v>1724.9999999999998</v>
      </c>
      <c r="I28" s="66">
        <f t="shared" si="5"/>
        <v>8624.9999999999982</v>
      </c>
      <c r="J28" s="32">
        <f t="shared" si="6"/>
        <v>30361198.874999996</v>
      </c>
      <c r="K28" s="32">
        <f t="shared" si="7"/>
        <v>30361198.874999996</v>
      </c>
      <c r="L28" s="32"/>
    </row>
    <row r="29" spans="1:12" s="4" customFormat="1" ht="38.25" customHeight="1" outlineLevel="1">
      <c r="A29" s="27" t="str">
        <f t="shared" si="4"/>
        <v>6A.C2.6</v>
      </c>
      <c r="B29" s="28" t="s">
        <v>20</v>
      </c>
      <c r="C29" s="28" t="s">
        <v>515</v>
      </c>
      <c r="D29" s="29" t="s">
        <v>520</v>
      </c>
      <c r="E29" s="31">
        <v>10822.555</v>
      </c>
      <c r="F29" s="150">
        <v>10822.555</v>
      </c>
      <c r="G29" s="142">
        <f>_xlfn.XLOOKUP(B29, Rate_Master!$A:$A, Rate_Master!$C:$C, "")</f>
        <v>34500</v>
      </c>
      <c r="H29" s="142">
        <f>_xlfn.XLOOKUP(B29, Rate_Master!$A:$A, Rate_Master!$D:$D, "")</f>
        <v>5750</v>
      </c>
      <c r="I29" s="66">
        <f t="shared" si="5"/>
        <v>40250</v>
      </c>
      <c r="J29" s="32">
        <f t="shared" si="6"/>
        <v>435607838.75</v>
      </c>
      <c r="K29" s="32">
        <f t="shared" si="7"/>
        <v>435607838.75</v>
      </c>
      <c r="L29" s="32"/>
    </row>
    <row r="30" spans="1:12" s="4" customFormat="1" ht="25.5" customHeight="1" outlineLevel="1">
      <c r="A30" s="27" t="str">
        <f t="shared" si="4"/>
        <v>6A.C2.7</v>
      </c>
      <c r="B30" s="34" t="s">
        <v>21</v>
      </c>
      <c r="C30" s="28" t="s">
        <v>515</v>
      </c>
      <c r="D30" s="29" t="s">
        <v>520</v>
      </c>
      <c r="E30" s="31">
        <v>10822.555</v>
      </c>
      <c r="F30" s="150">
        <v>10822.555</v>
      </c>
      <c r="G30" s="142">
        <f>_xlfn.XLOOKUP(B30, Rate_Master!$A:$A, Rate_Master!$C:$C, "")</f>
        <v>0</v>
      </c>
      <c r="H30" s="142">
        <f>_xlfn.XLOOKUP(B30, Rate_Master!$A:$A, Rate_Master!$D:$D, "")</f>
        <v>13799.999999999998</v>
      </c>
      <c r="I30" s="66">
        <f t="shared" si="5"/>
        <v>13799.999999999998</v>
      </c>
      <c r="J30" s="32">
        <f t="shared" si="6"/>
        <v>149351258.99999997</v>
      </c>
      <c r="K30" s="32">
        <f t="shared" si="7"/>
        <v>149351258.99999997</v>
      </c>
      <c r="L30" s="32"/>
    </row>
    <row r="31" spans="1:12" s="4" customFormat="1" ht="25.5" customHeight="1" outlineLevel="1">
      <c r="A31" s="27" t="str">
        <f t="shared" si="4"/>
        <v>6A.C2.8</v>
      </c>
      <c r="B31" s="28" t="s">
        <v>22</v>
      </c>
      <c r="C31" s="28" t="s">
        <v>515</v>
      </c>
      <c r="D31" s="29" t="s">
        <v>519</v>
      </c>
      <c r="E31" s="31">
        <v>3807.5920000000001</v>
      </c>
      <c r="F31" s="150">
        <v>3807.5920000000001</v>
      </c>
      <c r="G31" s="143">
        <f>_xlfn.XLOOKUP(B31, Rate_Master!$A:$A, Rate_Master!$C:$C, "")</f>
        <v>512325</v>
      </c>
      <c r="H31" s="143">
        <f>_xlfn.XLOOKUP(B31, Rate_Master!$A:$A, Rate_Master!$D:$D, "")</f>
        <v>103499.99999999999</v>
      </c>
      <c r="I31" s="66">
        <f t="shared" si="5"/>
        <v>615825</v>
      </c>
      <c r="J31" s="32">
        <f t="shared" si="6"/>
        <v>2344810343.4000001</v>
      </c>
      <c r="K31" s="32">
        <f t="shared" si="7"/>
        <v>2344810343.4000001</v>
      </c>
      <c r="L31" s="32"/>
    </row>
    <row r="32" spans="1:12" s="3" customFormat="1" ht="25.5" customHeight="1">
      <c r="A32" s="22" t="str">
        <f>$A$10&amp;3</f>
        <v>6A.C3</v>
      </c>
      <c r="B32" s="23" t="s">
        <v>23</v>
      </c>
      <c r="C32" s="23" t="s">
        <v>515</v>
      </c>
      <c r="D32" s="22"/>
      <c r="E32" s="25"/>
      <c r="F32" s="149"/>
      <c r="G32" s="25">
        <f>_xlfn.XLOOKUP(B32, Rate_Master!$A:$A, Rate_Master!$C:$C, "")</f>
        <v>0</v>
      </c>
      <c r="H32" s="25">
        <f>_xlfn.XLOOKUP(B32, Rate_Master!$A:$A, Rate_Master!$D:$D, "")</f>
        <v>0</v>
      </c>
      <c r="I32" s="26"/>
      <c r="J32" s="26">
        <f>SUBTOTAL(9,J33:J39)</f>
        <v>10235358363.894444</v>
      </c>
      <c r="K32" s="26">
        <f>SUBTOTAL(9,K33:K39)</f>
        <v>10235358363.894444</v>
      </c>
      <c r="L32" s="26"/>
    </row>
    <row r="33" spans="1:12" s="4" customFormat="1" ht="25.5" customHeight="1" outlineLevel="1">
      <c r="A33" s="27" t="str">
        <f t="shared" ref="A33:A39" si="8">$A$32&amp;"."&amp;ROW()-ROW($A$32)</f>
        <v>6A.C3.1</v>
      </c>
      <c r="B33" s="28" t="s">
        <v>24</v>
      </c>
      <c r="C33" s="28" t="s">
        <v>515</v>
      </c>
      <c r="D33" s="29" t="s">
        <v>519</v>
      </c>
      <c r="E33" s="31">
        <v>354.02800000000002</v>
      </c>
      <c r="F33" s="150">
        <v>354.02800000000002</v>
      </c>
      <c r="G33" s="141">
        <f>_xlfn.XLOOKUP(B33, Rate_Master!$A:$A, Rate_Master!$C:$C, "")</f>
        <v>1249762.5</v>
      </c>
      <c r="H33" s="141">
        <f>_xlfn.XLOOKUP(B33, Rate_Master!$A:$A, Rate_Master!$D:$D, "")</f>
        <v>206999.99999999997</v>
      </c>
      <c r="I33" s="66">
        <f t="shared" ref="I33:I39" si="9">+H33+G33</f>
        <v>1456762.5</v>
      </c>
      <c r="J33" s="32">
        <f t="shared" ref="J33:J39" si="10">I33*E33</f>
        <v>515734714.35000002</v>
      </c>
      <c r="K33" s="32">
        <f t="shared" ref="K33:K39" si="11">I33*F33</f>
        <v>515734714.35000002</v>
      </c>
      <c r="L33" s="32"/>
    </row>
    <row r="34" spans="1:12" s="4" customFormat="1" ht="51" customHeight="1" outlineLevel="1">
      <c r="A34" s="27" t="str">
        <f t="shared" si="8"/>
        <v>6A.C3.2</v>
      </c>
      <c r="B34" s="28" t="s">
        <v>25</v>
      </c>
      <c r="C34" s="28" t="s">
        <v>515</v>
      </c>
      <c r="D34" s="29" t="s">
        <v>519</v>
      </c>
      <c r="E34" s="31">
        <v>5279.9139999999998</v>
      </c>
      <c r="F34" s="150">
        <v>5279.9139999999998</v>
      </c>
      <c r="G34" s="142">
        <f>_xlfn.XLOOKUP(B34, Rate_Master!$A:$A, Rate_Master!$C:$C, "")</f>
        <v>1607444.4444444443</v>
      </c>
      <c r="H34" s="142">
        <f>_xlfn.XLOOKUP(B34, Rate_Master!$A:$A, Rate_Master!$D:$D, "")</f>
        <v>149500</v>
      </c>
      <c r="I34" s="66">
        <f t="shared" si="9"/>
        <v>1756944.4444444443</v>
      </c>
      <c r="J34" s="32">
        <f t="shared" si="10"/>
        <v>9276515569.4444427</v>
      </c>
      <c r="K34" s="32">
        <f t="shared" si="11"/>
        <v>9276515569.4444427</v>
      </c>
      <c r="L34" s="32"/>
    </row>
    <row r="35" spans="1:12" s="4" customFormat="1" ht="25.5" customHeight="1" outlineLevel="1">
      <c r="A35" s="27" t="str">
        <f t="shared" si="8"/>
        <v>6A.C3.3</v>
      </c>
      <c r="B35" s="28" t="s">
        <v>26</v>
      </c>
      <c r="C35" s="28" t="s">
        <v>515</v>
      </c>
      <c r="D35" s="29" t="s">
        <v>519</v>
      </c>
      <c r="E35" s="31">
        <v>79.093000000000004</v>
      </c>
      <c r="F35" s="150">
        <v>79.093000000000004</v>
      </c>
      <c r="G35" s="142">
        <f>_xlfn.XLOOKUP(B35, Rate_Master!$A:$A, Rate_Master!$C:$C, "")</f>
        <v>1520555.5555555553</v>
      </c>
      <c r="H35" s="142">
        <f>_xlfn.XLOOKUP(B35, Rate_Master!$A:$A, Rate_Master!$D:$D, "")</f>
        <v>252999.99999999997</v>
      </c>
      <c r="I35" s="66">
        <f t="shared" si="9"/>
        <v>1773555.5555555553</v>
      </c>
      <c r="J35" s="32">
        <f t="shared" si="10"/>
        <v>140275829.55555555</v>
      </c>
      <c r="K35" s="32">
        <f t="shared" si="11"/>
        <v>140275829.55555555</v>
      </c>
      <c r="L35" s="32"/>
    </row>
    <row r="36" spans="1:12" s="4" customFormat="1" ht="25.5" customHeight="1" outlineLevel="1">
      <c r="A36" s="27" t="str">
        <f t="shared" si="8"/>
        <v>6A.C3.4</v>
      </c>
      <c r="B36" s="28" t="s">
        <v>27</v>
      </c>
      <c r="C36" s="28" t="s">
        <v>515</v>
      </c>
      <c r="D36" s="29" t="s">
        <v>519</v>
      </c>
      <c r="E36" s="31">
        <v>93.192999999999998</v>
      </c>
      <c r="F36" s="150">
        <v>93.192999999999998</v>
      </c>
      <c r="G36" s="142">
        <f>_xlfn.XLOOKUP(B36, Rate_Master!$A:$A, Rate_Master!$C:$C, "")</f>
        <v>1520555.5555555553</v>
      </c>
      <c r="H36" s="142">
        <f>_xlfn.XLOOKUP(B36, Rate_Master!$A:$A, Rate_Master!$D:$D, "")</f>
        <v>149500</v>
      </c>
      <c r="I36" s="66">
        <f t="shared" si="9"/>
        <v>1670055.5555555553</v>
      </c>
      <c r="J36" s="32">
        <f t="shared" si="10"/>
        <v>155637487.38888887</v>
      </c>
      <c r="K36" s="32">
        <f t="shared" si="11"/>
        <v>155637487.38888887</v>
      </c>
      <c r="L36" s="32"/>
    </row>
    <row r="37" spans="1:12" s="4" customFormat="1" ht="25.5" customHeight="1" outlineLevel="1">
      <c r="A37" s="27" t="str">
        <f t="shared" si="8"/>
        <v>6A.C3.5</v>
      </c>
      <c r="B37" s="28" t="s">
        <v>28</v>
      </c>
      <c r="C37" s="28" t="s">
        <v>515</v>
      </c>
      <c r="D37" s="29" t="s">
        <v>519</v>
      </c>
      <c r="E37" s="31">
        <v>15.30354</v>
      </c>
      <c r="F37" s="150">
        <v>15.30354</v>
      </c>
      <c r="G37" s="142">
        <f>_xlfn.XLOOKUP(B37, Rate_Master!$A:$A, Rate_Master!$C:$C, "")</f>
        <v>1390222.2222222222</v>
      </c>
      <c r="H37" s="142">
        <f>_xlfn.XLOOKUP(B37, Rate_Master!$A:$A, Rate_Master!$D:$D, "")</f>
        <v>149500</v>
      </c>
      <c r="I37" s="66">
        <f t="shared" si="9"/>
        <v>1539722.2222222222</v>
      </c>
      <c r="J37" s="32">
        <f t="shared" si="10"/>
        <v>23563200.616666667</v>
      </c>
      <c r="K37" s="32">
        <f t="shared" si="11"/>
        <v>23563200.616666667</v>
      </c>
      <c r="L37" s="32"/>
    </row>
    <row r="38" spans="1:12" s="4" customFormat="1" ht="25.5" customHeight="1" outlineLevel="1">
      <c r="A38" s="27" t="str">
        <f t="shared" si="8"/>
        <v>6A.C3.6</v>
      </c>
      <c r="B38" s="28" t="s">
        <v>29</v>
      </c>
      <c r="C38" s="28" t="s">
        <v>515</v>
      </c>
      <c r="D38" s="29" t="s">
        <v>519</v>
      </c>
      <c r="E38" s="31">
        <v>40.387</v>
      </c>
      <c r="F38" s="150">
        <v>40.387</v>
      </c>
      <c r="G38" s="142">
        <f>_xlfn.XLOOKUP(B38, Rate_Master!$A:$A, Rate_Master!$C:$C, "")</f>
        <v>1390222.2222222222</v>
      </c>
      <c r="H38" s="142">
        <f>_xlfn.XLOOKUP(B38, Rate_Master!$A:$A, Rate_Master!$D:$D, "")</f>
        <v>149500</v>
      </c>
      <c r="I38" s="66">
        <f t="shared" si="9"/>
        <v>1539722.2222222222</v>
      </c>
      <c r="J38" s="32">
        <f t="shared" si="10"/>
        <v>62184761.388888888</v>
      </c>
      <c r="K38" s="32">
        <f t="shared" si="11"/>
        <v>62184761.388888888</v>
      </c>
      <c r="L38" s="32"/>
    </row>
    <row r="39" spans="1:12" s="4" customFormat="1" ht="38.25" customHeight="1" outlineLevel="1">
      <c r="A39" s="27" t="str">
        <f t="shared" si="8"/>
        <v>6A.C3.7</v>
      </c>
      <c r="B39" s="28" t="s">
        <v>30</v>
      </c>
      <c r="C39" s="28" t="s">
        <v>515</v>
      </c>
      <c r="D39" s="29" t="s">
        <v>519</v>
      </c>
      <c r="E39" s="31">
        <v>2.0193500000000002</v>
      </c>
      <c r="F39" s="150">
        <v>2.0193500000000002</v>
      </c>
      <c r="G39" s="143">
        <f>_xlfn.XLOOKUP(B39, Rate_Master!$A:$A, Rate_Master!$C:$C, "")</f>
        <v>22425000</v>
      </c>
      <c r="H39" s="143">
        <f>_xlfn.XLOOKUP(B39, Rate_Master!$A:$A, Rate_Master!$D:$D, "")</f>
        <v>8003999.9999999991</v>
      </c>
      <c r="I39" s="66">
        <f t="shared" si="9"/>
        <v>30429000</v>
      </c>
      <c r="J39" s="32">
        <f t="shared" si="10"/>
        <v>61446801.150000006</v>
      </c>
      <c r="K39" s="32">
        <f t="shared" si="11"/>
        <v>61446801.150000006</v>
      </c>
      <c r="L39" s="32"/>
    </row>
    <row r="40" spans="1:12" s="3" customFormat="1" ht="25.5" customHeight="1">
      <c r="A40" s="22" t="str">
        <f>$A$10&amp;4</f>
        <v>6A.C4</v>
      </c>
      <c r="B40" s="23" t="s">
        <v>31</v>
      </c>
      <c r="C40" s="23" t="s">
        <v>515</v>
      </c>
      <c r="D40" s="22"/>
      <c r="E40" s="25"/>
      <c r="F40" s="149"/>
      <c r="G40" s="25">
        <f>_xlfn.XLOOKUP(B40, Rate_Master!$A:$A, Rate_Master!$C:$C, "")</f>
        <v>0</v>
      </c>
      <c r="H40" s="25">
        <f>_xlfn.XLOOKUP(B40, Rate_Master!$A:$A, Rate_Master!$D:$D, "")</f>
        <v>0</v>
      </c>
      <c r="I40" s="26"/>
      <c r="J40" s="26">
        <f>SUBTOTAL(9,J41:J45)</f>
        <v>2304104177.5</v>
      </c>
      <c r="K40" s="26">
        <f>SUBTOTAL(9,K41:K45)</f>
        <v>2304104177.5</v>
      </c>
      <c r="L40" s="26"/>
    </row>
    <row r="41" spans="1:12" s="4" customFormat="1" ht="25.5" customHeight="1" outlineLevel="1">
      <c r="A41" s="27" t="str">
        <f>$A$40&amp;"."&amp;ROW()-ROW($A$40)</f>
        <v>6A.C4.1</v>
      </c>
      <c r="B41" s="28" t="s">
        <v>32</v>
      </c>
      <c r="C41" s="28" t="s">
        <v>515</v>
      </c>
      <c r="D41" s="29" t="s">
        <v>520</v>
      </c>
      <c r="E41" s="31">
        <v>947.37900000000002</v>
      </c>
      <c r="F41" s="150">
        <v>947.37900000000002</v>
      </c>
      <c r="G41" s="142">
        <f>_xlfn.XLOOKUP(B41, Rate_Master!$A:$A, Rate_Master!$C:$C, "")</f>
        <v>80500</v>
      </c>
      <c r="H41" s="142">
        <f>_xlfn.XLOOKUP(B41, Rate_Master!$A:$A, Rate_Master!$D:$D, "")</f>
        <v>92000</v>
      </c>
      <c r="I41" s="66">
        <f>+H41+G41</f>
        <v>172500</v>
      </c>
      <c r="J41" s="32">
        <f>I41*E41</f>
        <v>163422877.5</v>
      </c>
      <c r="K41" s="32">
        <f>I41*F41</f>
        <v>163422877.5</v>
      </c>
      <c r="L41" s="32"/>
    </row>
    <row r="42" spans="1:12" s="4" customFormat="1" ht="38.25" customHeight="1" outlineLevel="1">
      <c r="A42" s="27" t="str">
        <f>$A$40&amp;"."&amp;ROW()-ROW($A$40)</f>
        <v>6A.C4.2</v>
      </c>
      <c r="B42" s="28" t="s">
        <v>33</v>
      </c>
      <c r="C42" s="28" t="s">
        <v>515</v>
      </c>
      <c r="D42" s="29" t="s">
        <v>520</v>
      </c>
      <c r="E42" s="31">
        <v>6992.8280000000004</v>
      </c>
      <c r="F42" s="150">
        <v>6992.8280000000004</v>
      </c>
      <c r="G42" s="142">
        <f>_xlfn.XLOOKUP(B42, Rate_Master!$A:$A, Rate_Master!$C:$C, "")</f>
        <v>126499.99999999999</v>
      </c>
      <c r="H42" s="142">
        <f>_xlfn.XLOOKUP(B42, Rate_Master!$A:$A, Rate_Master!$D:$D, "")</f>
        <v>103499.99999999999</v>
      </c>
      <c r="I42" s="66">
        <f>+H42+G42</f>
        <v>229999.99999999997</v>
      </c>
      <c r="J42" s="32">
        <f>I42*E42</f>
        <v>1608350440</v>
      </c>
      <c r="K42" s="32">
        <f>I42*F42</f>
        <v>1608350440</v>
      </c>
      <c r="L42" s="32"/>
    </row>
    <row r="43" spans="1:12" s="4" customFormat="1" ht="25.5" customHeight="1" outlineLevel="1">
      <c r="A43" s="27" t="str">
        <f>$A$40&amp;"."&amp;ROW()-ROW($A$40)</f>
        <v>6A.C4.3</v>
      </c>
      <c r="B43" s="28" t="s">
        <v>34</v>
      </c>
      <c r="C43" s="28" t="s">
        <v>515</v>
      </c>
      <c r="D43" s="29" t="s">
        <v>520</v>
      </c>
      <c r="E43" s="31">
        <v>1048.5409999999999</v>
      </c>
      <c r="F43" s="150">
        <v>1048.5409999999999</v>
      </c>
      <c r="G43" s="142">
        <f>_xlfn.XLOOKUP(B43, Rate_Master!$A:$A, Rate_Master!$C:$C, "")</f>
        <v>126499.99999999999</v>
      </c>
      <c r="H43" s="142">
        <f>_xlfn.XLOOKUP(B43, Rate_Master!$A:$A, Rate_Master!$D:$D, "")</f>
        <v>149500</v>
      </c>
      <c r="I43" s="66">
        <f>+H43+G43</f>
        <v>276000</v>
      </c>
      <c r="J43" s="32">
        <f>I43*E43</f>
        <v>289397316</v>
      </c>
      <c r="K43" s="32">
        <f>I43*F43</f>
        <v>289397316</v>
      </c>
      <c r="L43" s="32"/>
    </row>
    <row r="44" spans="1:12" s="4" customFormat="1" ht="25.5" customHeight="1" outlineLevel="1">
      <c r="A44" s="27" t="str">
        <f>$A$40&amp;"."&amp;ROW()-ROW($A$40)</f>
        <v>6A.C4.4</v>
      </c>
      <c r="B44" s="28" t="s">
        <v>35</v>
      </c>
      <c r="C44" s="28" t="s">
        <v>515</v>
      </c>
      <c r="D44" s="29" t="s">
        <v>520</v>
      </c>
      <c r="E44" s="31">
        <v>762.44600000000003</v>
      </c>
      <c r="F44" s="150">
        <v>762.44600000000003</v>
      </c>
      <c r="G44" s="142">
        <f>_xlfn.XLOOKUP(B44, Rate_Master!$A:$A, Rate_Master!$C:$C, "")</f>
        <v>126499.99999999999</v>
      </c>
      <c r="H44" s="142">
        <f>_xlfn.XLOOKUP(B44, Rate_Master!$A:$A, Rate_Master!$D:$D, "")</f>
        <v>114999.99999999999</v>
      </c>
      <c r="I44" s="66">
        <f>+H44+G44</f>
        <v>241499.99999999997</v>
      </c>
      <c r="J44" s="32">
        <f>I44*E44</f>
        <v>184130708.99999997</v>
      </c>
      <c r="K44" s="32">
        <f>I44*F44</f>
        <v>184130708.99999997</v>
      </c>
      <c r="L44" s="32"/>
    </row>
    <row r="45" spans="1:12" s="4" customFormat="1" ht="25.5" customHeight="1" outlineLevel="1">
      <c r="A45" s="27" t="str">
        <f>$A$40&amp;"."&amp;ROW()-ROW($A$40)</f>
        <v>6A.C4.5</v>
      </c>
      <c r="B45" s="28" t="s">
        <v>36</v>
      </c>
      <c r="C45" s="28" t="s">
        <v>515</v>
      </c>
      <c r="D45" s="29" t="s">
        <v>520</v>
      </c>
      <c r="E45" s="31">
        <v>262.22000000000003</v>
      </c>
      <c r="F45" s="150">
        <v>262.22000000000003</v>
      </c>
      <c r="G45" s="142">
        <f>_xlfn.XLOOKUP(B45, Rate_Master!$A:$A, Rate_Master!$C:$C, "")</f>
        <v>126499.99999999999</v>
      </c>
      <c r="H45" s="142">
        <f>_xlfn.XLOOKUP(B45, Rate_Master!$A:$A, Rate_Master!$D:$D, "")</f>
        <v>97749.999999999985</v>
      </c>
      <c r="I45" s="66">
        <f>+H45+G45</f>
        <v>224249.99999999997</v>
      </c>
      <c r="J45" s="32">
        <f>I45*E45</f>
        <v>58802835</v>
      </c>
      <c r="K45" s="32">
        <f>I45*F45</f>
        <v>58802835</v>
      </c>
      <c r="L45" s="32"/>
    </row>
    <row r="46" spans="1:12" s="3" customFormat="1" ht="25.5" customHeight="1">
      <c r="A46" s="22" t="str">
        <f>$A$10&amp;5</f>
        <v>6A.C5</v>
      </c>
      <c r="B46" s="23" t="s">
        <v>37</v>
      </c>
      <c r="C46" s="23" t="s">
        <v>515</v>
      </c>
      <c r="D46" s="22"/>
      <c r="E46" s="25"/>
      <c r="F46" s="149"/>
      <c r="G46" s="25">
        <f>_xlfn.XLOOKUP(B46, Rate_Master!$A:$A, Rate_Master!$C:$C, "")</f>
        <v>0</v>
      </c>
      <c r="H46" s="25">
        <f>_xlfn.XLOOKUP(B46, Rate_Master!$A:$A, Rate_Master!$D:$D, "")</f>
        <v>0</v>
      </c>
      <c r="I46" s="26"/>
      <c r="J46" s="26">
        <f>SUBTOTAL(9,J47:J51)</f>
        <v>14289567773.362587</v>
      </c>
      <c r="K46" s="26">
        <f>SUBTOTAL(9,K47:K51)</f>
        <v>14289567773.362587</v>
      </c>
      <c r="L46" s="26"/>
    </row>
    <row r="47" spans="1:12" s="4" customFormat="1" ht="38.25" customHeight="1" outlineLevel="1">
      <c r="A47" s="27" t="str">
        <f>$A$46&amp;"."&amp;ROW()-ROW($A$46)</f>
        <v>6A.C5.1</v>
      </c>
      <c r="B47" s="28" t="s">
        <v>38</v>
      </c>
      <c r="C47" s="28" t="s">
        <v>522</v>
      </c>
      <c r="D47" s="29" t="s">
        <v>523</v>
      </c>
      <c r="E47" s="31">
        <v>660874.40626815299</v>
      </c>
      <c r="F47" s="150">
        <v>660874.40626815299</v>
      </c>
      <c r="G47" s="142">
        <f>_xlfn.XLOOKUP(B47, Rate_Master!$A:$A, Rate_Master!$C:$C, "")</f>
        <v>16770.564999999999</v>
      </c>
      <c r="H47" s="142">
        <f>_xlfn.XLOOKUP(B47, Rate_Master!$A:$A, Rate_Master!$D:$D, "")</f>
        <v>2875</v>
      </c>
      <c r="I47" s="66">
        <f>+H47+G47</f>
        <v>19645.564999999999</v>
      </c>
      <c r="J47" s="32">
        <f>I47*E47</f>
        <v>12983251105.177406</v>
      </c>
      <c r="K47" s="32">
        <f>I47*F47</f>
        <v>12983251105.177406</v>
      </c>
      <c r="L47" s="32"/>
    </row>
    <row r="48" spans="1:12" s="4" customFormat="1" ht="25.5" customHeight="1" outlineLevel="1">
      <c r="A48" s="27" t="str">
        <f>$A$46&amp;"."&amp;ROW()-ROW($A$46)</f>
        <v>6A.C5.2</v>
      </c>
      <c r="B48" s="28" t="s">
        <v>39</v>
      </c>
      <c r="C48" s="28" t="s">
        <v>522</v>
      </c>
      <c r="D48" s="29" t="s">
        <v>523</v>
      </c>
      <c r="E48" s="31">
        <v>21953.503462478198</v>
      </c>
      <c r="F48" s="150">
        <v>21953.503462478198</v>
      </c>
      <c r="G48" s="142">
        <f>_xlfn.XLOOKUP(B48, Rate_Master!$A:$A, Rate_Master!$C:$C, "")</f>
        <v>16770.564999999999</v>
      </c>
      <c r="H48" s="142">
        <f>_xlfn.XLOOKUP(B48, Rate_Master!$A:$A, Rate_Master!$D:$D, "")</f>
        <v>3679.9999999999995</v>
      </c>
      <c r="I48" s="66">
        <f>+H48+G48</f>
        <v>20450.564999999999</v>
      </c>
      <c r="J48" s="32">
        <f>I48*E48</f>
        <v>448961549.53713542</v>
      </c>
      <c r="K48" s="32">
        <f>I48*F48</f>
        <v>448961549.53713542</v>
      </c>
      <c r="L48" s="32"/>
    </row>
    <row r="49" spans="1:16" s="4" customFormat="1" ht="25.5" customHeight="1" outlineLevel="1">
      <c r="A49" s="27" t="str">
        <f>$A$46&amp;"."&amp;ROW()-ROW($A$46)</f>
        <v>6A.C5.3</v>
      </c>
      <c r="B49" s="28" t="s">
        <v>40</v>
      </c>
      <c r="C49" s="28" t="s">
        <v>522</v>
      </c>
      <c r="D49" s="29" t="s">
        <v>523</v>
      </c>
      <c r="E49" s="31">
        <v>13835.7926523797</v>
      </c>
      <c r="F49" s="150">
        <v>13835.7926523797</v>
      </c>
      <c r="G49" s="142">
        <f>_xlfn.XLOOKUP(B49, Rate_Master!$A:$A, Rate_Master!$C:$C, "")</f>
        <v>16770.564999999999</v>
      </c>
      <c r="H49" s="142">
        <f>_xlfn.XLOOKUP(B49, Rate_Master!$A:$A, Rate_Master!$D:$D, "")</f>
        <v>3449.9999999999995</v>
      </c>
      <c r="I49" s="66">
        <f>+H49+G49</f>
        <v>20220.564999999999</v>
      </c>
      <c r="J49" s="32">
        <f>I49*E49</f>
        <v>279767544.65396613</v>
      </c>
      <c r="K49" s="32">
        <f>I49*F49</f>
        <v>279767544.65396613</v>
      </c>
      <c r="L49" s="32"/>
    </row>
    <row r="50" spans="1:16" s="4" customFormat="1" ht="25.5" customHeight="1" outlineLevel="1">
      <c r="A50" s="27" t="str">
        <f>$A$46&amp;"."&amp;ROW()-ROW($A$46)</f>
        <v>6A.C5.4</v>
      </c>
      <c r="B50" s="28" t="s">
        <v>41</v>
      </c>
      <c r="C50" s="28" t="s">
        <v>522</v>
      </c>
      <c r="D50" s="29" t="s">
        <v>523</v>
      </c>
      <c r="E50" s="31">
        <v>27892.701242667699</v>
      </c>
      <c r="F50" s="150">
        <v>27892.701242667699</v>
      </c>
      <c r="G50" s="142">
        <f>_xlfn.XLOOKUP(B50, Rate_Master!$A:$A, Rate_Master!$C:$C, "")</f>
        <v>16770.564999999999</v>
      </c>
      <c r="H50" s="142">
        <f>_xlfn.XLOOKUP(B50, Rate_Master!$A:$A, Rate_Master!$D:$D, "")</f>
        <v>3679.9999999999995</v>
      </c>
      <c r="I50" s="66">
        <f>+H50+G50</f>
        <v>20450.564999999999</v>
      </c>
      <c r="J50" s="32">
        <f>I50*E50</f>
        <v>570421499.78875649</v>
      </c>
      <c r="K50" s="32">
        <f>I50*F50</f>
        <v>570421499.78875649</v>
      </c>
      <c r="L50" s="32"/>
    </row>
    <row r="51" spans="1:16" s="4" customFormat="1" ht="25.5" customHeight="1" outlineLevel="1">
      <c r="A51" s="27" t="str">
        <f>$A$46&amp;"."&amp;ROW()-ROW($A$46)</f>
        <v>6A.C5.5</v>
      </c>
      <c r="B51" s="28" t="s">
        <v>42</v>
      </c>
      <c r="C51" s="28" t="s">
        <v>524</v>
      </c>
      <c r="D51" s="29" t="s">
        <v>523</v>
      </c>
      <c r="E51" s="31">
        <v>336.67788000000002</v>
      </c>
      <c r="F51" s="150">
        <v>336.67788000000002</v>
      </c>
      <c r="G51" s="142">
        <f>_xlfn.XLOOKUP(B51, Rate_Master!$A:$A, Rate_Master!$C:$C, "")</f>
        <v>17834.66</v>
      </c>
      <c r="H51" s="142">
        <f>_xlfn.XLOOKUP(B51, Rate_Master!$A:$A, Rate_Master!$D:$D, "")</f>
        <v>3449.9999999999995</v>
      </c>
      <c r="I51" s="66">
        <f>+H51+G51</f>
        <v>21284.66</v>
      </c>
      <c r="J51" s="32">
        <f>I51*E51</f>
        <v>7166074.2053208007</v>
      </c>
      <c r="K51" s="32">
        <f>I51*F51</f>
        <v>7166074.2053208007</v>
      </c>
      <c r="L51" s="32"/>
    </row>
    <row r="52" spans="1:16" s="3" customFormat="1" ht="25.5" customHeight="1">
      <c r="A52" s="22" t="str">
        <f>$A$10&amp;6</f>
        <v>6A.C6</v>
      </c>
      <c r="B52" s="23" t="s">
        <v>43</v>
      </c>
      <c r="C52" s="23" t="s">
        <v>515</v>
      </c>
      <c r="D52" s="22"/>
      <c r="E52" s="25"/>
      <c r="F52" s="149"/>
      <c r="G52" s="25">
        <f>_xlfn.XLOOKUP(B52, Rate_Master!$A:$A, Rate_Master!$C:$C, "")</f>
        <v>0</v>
      </c>
      <c r="H52" s="25">
        <f>_xlfn.XLOOKUP(B52, Rate_Master!$A:$A, Rate_Master!$D:$D, "")</f>
        <v>0</v>
      </c>
      <c r="I52" s="26">
        <f>G52+H52</f>
        <v>0</v>
      </c>
      <c r="J52" s="26">
        <f>SUBTOTAL(9,J53:J55)</f>
        <v>707494632.5999999</v>
      </c>
      <c r="K52" s="26">
        <f>SUBTOTAL(9,K53:K55)</f>
        <v>707494632.5999999</v>
      </c>
      <c r="L52" s="26"/>
    </row>
    <row r="53" spans="1:16" s="4" customFormat="1" ht="25.5" customHeight="1" outlineLevel="1">
      <c r="A53" s="27" t="str">
        <f>$A$52&amp;"."&amp;ROW()-ROW($A$52)</f>
        <v>6A.C6.1</v>
      </c>
      <c r="B53" s="28" t="s">
        <v>44</v>
      </c>
      <c r="C53" s="28" t="s">
        <v>515</v>
      </c>
      <c r="D53" s="29" t="s">
        <v>520</v>
      </c>
      <c r="E53" s="31">
        <v>13116.883</v>
      </c>
      <c r="F53" s="150">
        <v>13116.883</v>
      </c>
      <c r="G53" s="142">
        <f>_xlfn.XLOOKUP(B53, Rate_Master!$A:$A, Rate_Master!$C:$C, "")</f>
        <v>14949.999999999998</v>
      </c>
      <c r="H53" s="142">
        <f>_xlfn.XLOOKUP(B53, Rate_Master!$A:$A, Rate_Master!$D:$D, "")</f>
        <v>17250</v>
      </c>
      <c r="I53" s="66">
        <f>+H53+G53</f>
        <v>32200</v>
      </c>
      <c r="J53" s="32">
        <f>I53*E53</f>
        <v>422363632.59999996</v>
      </c>
      <c r="K53" s="32">
        <f>I53*F53</f>
        <v>422363632.59999996</v>
      </c>
      <c r="L53" s="32"/>
    </row>
    <row r="54" spans="1:16" s="4" customFormat="1" ht="51" customHeight="1" outlineLevel="1">
      <c r="A54" s="27" t="str">
        <f>$A$52&amp;"."&amp;ROW()-ROW($A$52)</f>
        <v>6A.C6.2</v>
      </c>
      <c r="B54" s="34" t="s">
        <v>45</v>
      </c>
      <c r="C54" s="28" t="s">
        <v>515</v>
      </c>
      <c r="D54" s="29" t="s">
        <v>517</v>
      </c>
      <c r="E54" s="31">
        <v>9917.6</v>
      </c>
      <c r="F54" s="150">
        <v>9917.6</v>
      </c>
      <c r="G54" s="142">
        <f>_xlfn.XLOOKUP(B54, Rate_Master!$A:$A, Rate_Master!$C:$C, "")</f>
        <v>5750</v>
      </c>
      <c r="H54" s="142">
        <f>_xlfn.XLOOKUP(B54, Rate_Master!$A:$A, Rate_Master!$D:$D, "")</f>
        <v>23000</v>
      </c>
      <c r="I54" s="66">
        <f>+H54+G54</f>
        <v>28750</v>
      </c>
      <c r="J54" s="32">
        <f>I54*E54</f>
        <v>285131000</v>
      </c>
      <c r="K54" s="32">
        <f>I54*F54</f>
        <v>285131000</v>
      </c>
      <c r="L54" s="32"/>
    </row>
    <row r="55" spans="1:16" s="4" customFormat="1" ht="38.25" customHeight="1" outlineLevel="1">
      <c r="A55" s="27" t="str">
        <f>$A$52&amp;"."&amp;ROW()-ROW($A$52)</f>
        <v>6A.C6.3</v>
      </c>
      <c r="B55" s="28" t="s">
        <v>46</v>
      </c>
      <c r="C55" s="28" t="s">
        <v>515</v>
      </c>
      <c r="D55" s="29" t="s">
        <v>517</v>
      </c>
      <c r="E55" s="31">
        <v>0</v>
      </c>
      <c r="F55" s="150">
        <v>0</v>
      </c>
      <c r="G55" s="142">
        <f>_xlfn.XLOOKUP(B55, Rate_Master!$A:$A, Rate_Master!$C:$C, "")</f>
        <v>172500</v>
      </c>
      <c r="H55" s="142">
        <f>_xlfn.XLOOKUP(B55, Rate_Master!$A:$A, Rate_Master!$D:$D, "")</f>
        <v>57499.999999999993</v>
      </c>
      <c r="I55" s="66">
        <f>+H55+G55</f>
        <v>230000</v>
      </c>
      <c r="J55" s="32">
        <f>I55*E55</f>
        <v>0</v>
      </c>
      <c r="K55" s="32">
        <f>I55*F55</f>
        <v>0</v>
      </c>
      <c r="L55" s="32"/>
    </row>
    <row r="56" spans="1:16" s="3" customFormat="1" ht="25.5" customHeight="1">
      <c r="A56" s="22" t="str">
        <f>$A$9&amp;".S"</f>
        <v>6A.S</v>
      </c>
      <c r="B56" s="23" t="s">
        <v>47</v>
      </c>
      <c r="C56" s="23" t="s">
        <v>515</v>
      </c>
      <c r="D56" s="22"/>
      <c r="E56" s="25"/>
      <c r="F56" s="149"/>
      <c r="G56" s="25">
        <f>_xlfn.XLOOKUP(B56, Rate_Master!$A:$A, Rate_Master!$C:$C, "")</f>
        <v>0</v>
      </c>
      <c r="H56" s="25">
        <f>_xlfn.XLOOKUP(B56, Rate_Master!$A:$A, Rate_Master!$D:$D, "")</f>
        <v>0</v>
      </c>
      <c r="I56" s="26"/>
      <c r="J56" s="26"/>
      <c r="K56" s="26"/>
      <c r="L56" s="26"/>
    </row>
    <row r="57" spans="1:16" s="3" customFormat="1" ht="25.5" customHeight="1">
      <c r="A57" s="22" t="str">
        <f>$A$56&amp;1</f>
        <v>6A.S1</v>
      </c>
      <c r="B57" s="23" t="s">
        <v>48</v>
      </c>
      <c r="C57" s="23" t="s">
        <v>515</v>
      </c>
      <c r="D57" s="22"/>
      <c r="E57" s="25"/>
      <c r="F57" s="149"/>
      <c r="G57" s="25">
        <f>_xlfn.XLOOKUP(B57, Rate_Master!$A:$A, Rate_Master!$C:$C, "")</f>
        <v>0</v>
      </c>
      <c r="H57" s="25">
        <f>_xlfn.XLOOKUP(B57, Rate_Master!$A:$A, Rate_Master!$D:$D, "")</f>
        <v>0</v>
      </c>
      <c r="I57" s="26"/>
      <c r="J57" s="26">
        <f>SUBTOTAL(9,J58:J72)</f>
        <v>13491501736.842358</v>
      </c>
      <c r="K57" s="26">
        <f>SUBTOTAL(9,K58:K72)</f>
        <v>14282210215.152634</v>
      </c>
      <c r="L57" s="26"/>
    </row>
    <row r="58" spans="1:16" s="4" customFormat="1" ht="51" customHeight="1" outlineLevel="1">
      <c r="A58" s="27" t="str">
        <f t="shared" ref="A58:A72" si="12">$A$57&amp;"."&amp;ROW()-ROW($A$57)</f>
        <v>6A.S1.1</v>
      </c>
      <c r="B58" s="28" t="s">
        <v>49</v>
      </c>
      <c r="C58" s="28" t="s">
        <v>525</v>
      </c>
      <c r="D58" s="29" t="s">
        <v>523</v>
      </c>
      <c r="E58" s="31">
        <v>325342.91150799999</v>
      </c>
      <c r="F58" s="150">
        <v>334039.67875239992</v>
      </c>
      <c r="G58" s="101">
        <f>_xlfn.XLOOKUP(B58, Rate_Master!$A:$A, Rate_Master!$C:$C, "")</f>
        <v>20475</v>
      </c>
      <c r="H58" s="101">
        <f>_xlfn.XLOOKUP(B58, Rate_Master!$A:$A, Rate_Master!$D:$D, "")</f>
        <v>0</v>
      </c>
      <c r="I58" s="207">
        <f t="shared" ref="I58:I72" si="13">+SUM(G58:H58)</f>
        <v>20475</v>
      </c>
      <c r="J58" s="32">
        <f t="shared" ref="J58:J72" si="14">I58*E58</f>
        <v>6661396113.1262999</v>
      </c>
      <c r="K58" s="58">
        <f t="shared" ref="K58:K72" si="15">+F58*I58</f>
        <v>6839462422.4553881</v>
      </c>
      <c r="L58" s="32"/>
      <c r="N58" s="115"/>
      <c r="O58" s="115"/>
      <c r="P58" s="115"/>
    </row>
    <row r="59" spans="1:16" s="4" customFormat="1" ht="76.5" customHeight="1" outlineLevel="1">
      <c r="A59" s="27" t="str">
        <f t="shared" si="12"/>
        <v>6A.S1.2</v>
      </c>
      <c r="B59" s="28" t="s">
        <v>50</v>
      </c>
      <c r="C59" s="28" t="s">
        <v>526</v>
      </c>
      <c r="D59" s="29" t="s">
        <v>523</v>
      </c>
      <c r="E59" s="31">
        <v>55420.441079999997</v>
      </c>
      <c r="F59" s="150">
        <v>59145.081215999991</v>
      </c>
      <c r="G59" s="101">
        <f>_xlfn.XLOOKUP(B59, Rate_Master!$A:$A, Rate_Master!$C:$C, "")</f>
        <v>26775</v>
      </c>
      <c r="H59" s="101">
        <f>_xlfn.XLOOKUP(B59, Rate_Master!$A:$A, Rate_Master!$D:$D, "")</f>
        <v>0</v>
      </c>
      <c r="I59" s="207">
        <f t="shared" si="13"/>
        <v>26775</v>
      </c>
      <c r="J59" s="32">
        <f t="shared" si="14"/>
        <v>1483882309.9169998</v>
      </c>
      <c r="K59" s="58">
        <f t="shared" si="15"/>
        <v>1583609549.5583997</v>
      </c>
      <c r="L59" s="32"/>
      <c r="N59" s="115"/>
      <c r="O59" s="115"/>
      <c r="P59" s="115"/>
    </row>
    <row r="60" spans="1:16" s="4" customFormat="1" ht="76.5" customHeight="1" outlineLevel="1">
      <c r="A60" s="27" t="str">
        <f t="shared" si="12"/>
        <v>6A.S1.3</v>
      </c>
      <c r="B60" s="28" t="s">
        <v>51</v>
      </c>
      <c r="C60" s="28" t="s">
        <v>527</v>
      </c>
      <c r="D60" s="29" t="s">
        <v>523</v>
      </c>
      <c r="E60" s="31">
        <v>3133.6877781548301</v>
      </c>
      <c r="F60" s="150">
        <v>3546.6032000000009</v>
      </c>
      <c r="G60" s="101">
        <f>_xlfn.XLOOKUP(B60, Rate_Master!$A:$A, Rate_Master!$C:$C, "")</f>
        <v>36750</v>
      </c>
      <c r="H60" s="101">
        <f>_xlfn.XLOOKUP(B60, Rate_Master!$A:$A, Rate_Master!$D:$D, "")</f>
        <v>0</v>
      </c>
      <c r="I60" s="207">
        <f t="shared" si="13"/>
        <v>36750</v>
      </c>
      <c r="J60" s="32">
        <f t="shared" si="14"/>
        <v>115163025.84719001</v>
      </c>
      <c r="K60" s="58">
        <f t="shared" si="15"/>
        <v>130337667.60000004</v>
      </c>
      <c r="L60" s="32"/>
      <c r="N60" s="115"/>
      <c r="O60" s="115"/>
      <c r="P60" s="115"/>
    </row>
    <row r="61" spans="1:16" s="4" customFormat="1" ht="76.5" customHeight="1" outlineLevel="1">
      <c r="A61" s="27" t="str">
        <f t="shared" si="12"/>
        <v>6A.S1.4</v>
      </c>
      <c r="B61" s="28" t="s">
        <v>52</v>
      </c>
      <c r="C61" s="28" t="s">
        <v>527</v>
      </c>
      <c r="D61" s="29" t="s">
        <v>523</v>
      </c>
      <c r="E61" s="31">
        <v>7705.56</v>
      </c>
      <c r="F61" s="150">
        <v>7960.1183999999994</v>
      </c>
      <c r="G61" s="101">
        <f>_xlfn.XLOOKUP(B61, Rate_Master!$A:$A, Rate_Master!$C:$C, "")</f>
        <v>26775</v>
      </c>
      <c r="H61" s="101">
        <f>_xlfn.XLOOKUP(B61, Rate_Master!$A:$A, Rate_Master!$D:$D, "")</f>
        <v>0</v>
      </c>
      <c r="I61" s="207">
        <f t="shared" si="13"/>
        <v>26775</v>
      </c>
      <c r="J61" s="32">
        <f t="shared" si="14"/>
        <v>206316369</v>
      </c>
      <c r="K61" s="58">
        <f t="shared" si="15"/>
        <v>213132170.16</v>
      </c>
      <c r="L61" s="32"/>
      <c r="N61" s="115"/>
      <c r="O61" s="115"/>
      <c r="P61" s="115"/>
    </row>
    <row r="62" spans="1:16" s="4" customFormat="1" ht="25.5" customHeight="1" outlineLevel="1">
      <c r="A62" s="27" t="str">
        <f t="shared" si="12"/>
        <v>6A.S1.5</v>
      </c>
      <c r="B62" s="28" t="s">
        <v>53</v>
      </c>
      <c r="C62" s="28" t="s">
        <v>528</v>
      </c>
      <c r="D62" s="29" t="s">
        <v>523</v>
      </c>
      <c r="E62" s="31">
        <v>73284.020399999994</v>
      </c>
      <c r="F62" s="150">
        <v>90363.984459999992</v>
      </c>
      <c r="G62" s="101">
        <f>_xlfn.XLOOKUP(B62, Rate_Master!$A:$A, Rate_Master!$C:$C, "")</f>
        <v>22365</v>
      </c>
      <c r="H62" s="101">
        <f>_xlfn.XLOOKUP(B62, Rate_Master!$A:$A, Rate_Master!$D:$D, "")</f>
        <v>0</v>
      </c>
      <c r="I62" s="207">
        <f t="shared" si="13"/>
        <v>22365</v>
      </c>
      <c r="J62" s="32">
        <f t="shared" si="14"/>
        <v>1638997116.2459998</v>
      </c>
      <c r="K62" s="58">
        <f t="shared" si="15"/>
        <v>2020990512.4478998</v>
      </c>
      <c r="L62" s="32"/>
      <c r="N62" s="115"/>
      <c r="O62" s="115"/>
      <c r="P62" s="115"/>
    </row>
    <row r="63" spans="1:16" s="4" customFormat="1" ht="38.25" customHeight="1" outlineLevel="1">
      <c r="A63" s="27" t="str">
        <f t="shared" si="12"/>
        <v>6A.S1.6</v>
      </c>
      <c r="B63" s="28" t="s">
        <v>54</v>
      </c>
      <c r="C63" s="28" t="s">
        <v>529</v>
      </c>
      <c r="D63" s="29" t="s">
        <v>523</v>
      </c>
      <c r="E63" s="31">
        <v>7587.69466197166</v>
      </c>
      <c r="F63" s="150">
        <v>6873.8346666666685</v>
      </c>
      <c r="G63" s="101">
        <f>_xlfn.XLOOKUP(B63, Rate_Master!$A:$A, Rate_Master!$C:$C, "")</f>
        <v>36750</v>
      </c>
      <c r="H63" s="101">
        <f>_xlfn.XLOOKUP(B63, Rate_Master!$A:$A, Rate_Master!$D:$D, "")</f>
        <v>0</v>
      </c>
      <c r="I63" s="207">
        <f t="shared" si="13"/>
        <v>36750</v>
      </c>
      <c r="J63" s="32">
        <f t="shared" si="14"/>
        <v>278847778.8274585</v>
      </c>
      <c r="K63" s="58">
        <f t="shared" si="15"/>
        <v>252613424.00000006</v>
      </c>
      <c r="L63" s="32"/>
      <c r="N63" s="115"/>
      <c r="O63" s="115"/>
      <c r="P63" s="115"/>
    </row>
    <row r="64" spans="1:16" s="4" customFormat="1" ht="25.5" customHeight="1" outlineLevel="1">
      <c r="A64" s="27" t="str">
        <f t="shared" si="12"/>
        <v>6A.S1.7</v>
      </c>
      <c r="B64" s="28" t="s">
        <v>55</v>
      </c>
      <c r="C64" s="28" t="s">
        <v>530</v>
      </c>
      <c r="D64" s="29" t="s">
        <v>523</v>
      </c>
      <c r="E64" s="31">
        <v>5605.7791999999999</v>
      </c>
      <c r="F64" s="150">
        <v>7394.2588174462871</v>
      </c>
      <c r="G64" s="101">
        <f>_xlfn.XLOOKUP(B64, Rate_Master!$A:$A, Rate_Master!$C:$C, "")</f>
        <v>27930</v>
      </c>
      <c r="H64" s="101">
        <f>_xlfn.XLOOKUP(B64, Rate_Master!$A:$A, Rate_Master!$D:$D, "")</f>
        <v>0</v>
      </c>
      <c r="I64" s="207">
        <f t="shared" si="13"/>
        <v>27930</v>
      </c>
      <c r="J64" s="32">
        <f t="shared" si="14"/>
        <v>156569413.05599999</v>
      </c>
      <c r="K64" s="58">
        <f t="shared" si="15"/>
        <v>206521648.77127481</v>
      </c>
      <c r="L64" s="32"/>
      <c r="N64" s="115"/>
      <c r="O64" s="115"/>
      <c r="P64" s="115"/>
    </row>
    <row r="65" spans="1:16" s="4" customFormat="1" ht="25.5" customHeight="1" outlineLevel="1">
      <c r="A65" s="27" t="str">
        <f t="shared" si="12"/>
        <v>6A.S1.8</v>
      </c>
      <c r="B65" s="28" t="s">
        <v>56</v>
      </c>
      <c r="C65" s="28" t="s">
        <v>531</v>
      </c>
      <c r="D65" s="29" t="s">
        <v>523</v>
      </c>
      <c r="E65" s="31">
        <v>8980.6</v>
      </c>
      <c r="F65" s="150">
        <v>8710.32</v>
      </c>
      <c r="G65" s="101">
        <f>_xlfn.XLOOKUP(B65, Rate_Master!$A:$A, Rate_Master!$C:$C, "")</f>
        <v>52500</v>
      </c>
      <c r="H65" s="101">
        <f>_xlfn.XLOOKUP(B65, Rate_Master!$A:$A, Rate_Master!$D:$D, "")</f>
        <v>0</v>
      </c>
      <c r="I65" s="207">
        <f t="shared" si="13"/>
        <v>52500</v>
      </c>
      <c r="J65" s="32">
        <f t="shared" si="14"/>
        <v>471481500</v>
      </c>
      <c r="K65" s="58">
        <f t="shared" si="15"/>
        <v>457291800</v>
      </c>
      <c r="L65" s="32"/>
      <c r="N65" s="115"/>
      <c r="O65" s="115"/>
      <c r="P65" s="115"/>
    </row>
    <row r="66" spans="1:16" s="4" customFormat="1" ht="25.5" customHeight="1" outlineLevel="1">
      <c r="A66" s="27" t="str">
        <f t="shared" si="12"/>
        <v>6A.S1.9</v>
      </c>
      <c r="B66" s="28" t="s">
        <v>57</v>
      </c>
      <c r="C66" s="28" t="s">
        <v>532</v>
      </c>
      <c r="D66" s="29" t="s">
        <v>523</v>
      </c>
      <c r="E66" s="31">
        <v>3542.4</v>
      </c>
      <c r="F66" s="150">
        <v>3856.7559999999999</v>
      </c>
      <c r="G66" s="101">
        <f>_xlfn.XLOOKUP(B66, Rate_Master!$A:$A, Rate_Master!$C:$C, "")</f>
        <v>60900</v>
      </c>
      <c r="H66" s="101">
        <f>_xlfn.XLOOKUP(B66, Rate_Master!$A:$A, Rate_Master!$D:$D, "")</f>
        <v>0</v>
      </c>
      <c r="I66" s="207">
        <f t="shared" si="13"/>
        <v>60900</v>
      </c>
      <c r="J66" s="32">
        <f t="shared" si="14"/>
        <v>215732160</v>
      </c>
      <c r="K66" s="58">
        <f t="shared" si="15"/>
        <v>234876440.40000001</v>
      </c>
      <c r="L66" s="32"/>
      <c r="N66" s="115"/>
      <c r="O66" s="115"/>
      <c r="P66" s="115"/>
    </row>
    <row r="67" spans="1:16" s="4" customFormat="1" ht="25.5" customHeight="1" outlineLevel="1">
      <c r="A67" s="27" t="str">
        <f t="shared" si="12"/>
        <v>6A.S1.10</v>
      </c>
      <c r="B67" s="28" t="s">
        <v>58</v>
      </c>
      <c r="C67" s="28" t="s">
        <v>533</v>
      </c>
      <c r="D67" s="29" t="s">
        <v>523</v>
      </c>
      <c r="E67" s="31">
        <v>1209.1500000000001</v>
      </c>
      <c r="F67" s="150">
        <v>892.37400000000002</v>
      </c>
      <c r="G67" s="101">
        <f>_xlfn.XLOOKUP(B67, Rate_Master!$A:$A, Rate_Master!$C:$C, "")</f>
        <v>60900</v>
      </c>
      <c r="H67" s="101">
        <f>_xlfn.XLOOKUP(B67, Rate_Master!$A:$A, Rate_Master!$D:$D, "")</f>
        <v>0</v>
      </c>
      <c r="I67" s="207">
        <f t="shared" si="13"/>
        <v>60900</v>
      </c>
      <c r="J67" s="32">
        <f t="shared" si="14"/>
        <v>73637235</v>
      </c>
      <c r="K67" s="58">
        <f t="shared" si="15"/>
        <v>54345576.600000001</v>
      </c>
      <c r="L67" s="32"/>
      <c r="N67" s="115"/>
      <c r="O67" s="115"/>
      <c r="P67" s="115"/>
    </row>
    <row r="68" spans="1:16" s="4" customFormat="1" ht="25.5" customHeight="1" outlineLevel="1">
      <c r="A68" s="27" t="str">
        <f t="shared" si="12"/>
        <v>6A.S1.11</v>
      </c>
      <c r="B68" s="28" t="s">
        <v>59</v>
      </c>
      <c r="C68" s="28" t="s">
        <v>534</v>
      </c>
      <c r="D68" s="29" t="s">
        <v>518</v>
      </c>
      <c r="E68" s="31">
        <v>5412</v>
      </c>
      <c r="F68" s="150">
        <v>5780</v>
      </c>
      <c r="G68" s="101">
        <f>_xlfn.XLOOKUP(B68, Rate_Master!$A:$A, Rate_Master!$C:$C, "")</f>
        <v>21000</v>
      </c>
      <c r="H68" s="101">
        <f>_xlfn.XLOOKUP(B68, Rate_Master!$A:$A, Rate_Master!$D:$D, "")</f>
        <v>0</v>
      </c>
      <c r="I68" s="207">
        <f t="shared" si="13"/>
        <v>21000</v>
      </c>
      <c r="J68" s="32">
        <f t="shared" si="14"/>
        <v>113652000</v>
      </c>
      <c r="K68" s="58">
        <f t="shared" si="15"/>
        <v>121380000</v>
      </c>
      <c r="L68" s="32"/>
      <c r="N68" s="115"/>
      <c r="O68" s="115"/>
      <c r="P68" s="115"/>
    </row>
    <row r="69" spans="1:16" s="4" customFormat="1" ht="25.5" customHeight="1" outlineLevel="1">
      <c r="A69" s="27" t="str">
        <f t="shared" si="12"/>
        <v>6A.S1.12</v>
      </c>
      <c r="B69" s="28" t="s">
        <v>60</v>
      </c>
      <c r="C69" s="28" t="s">
        <v>515</v>
      </c>
      <c r="D69" s="29" t="s">
        <v>523</v>
      </c>
      <c r="E69" s="31">
        <v>8980.6</v>
      </c>
      <c r="F69" s="150">
        <v>8710.32</v>
      </c>
      <c r="G69" s="101">
        <f>_xlfn.XLOOKUP(B69, Rate_Master!$A:$A, Rate_Master!$C:$C, "")</f>
        <v>630</v>
      </c>
      <c r="H69" s="101">
        <f>_xlfn.XLOOKUP(B69, Rate_Master!$A:$A, Rate_Master!$D:$D, "")</f>
        <v>0</v>
      </c>
      <c r="I69" s="207">
        <f t="shared" si="13"/>
        <v>630</v>
      </c>
      <c r="J69" s="32">
        <f t="shared" si="14"/>
        <v>5657778</v>
      </c>
      <c r="K69" s="58">
        <f t="shared" si="15"/>
        <v>5487501.5999999996</v>
      </c>
      <c r="L69" s="32"/>
      <c r="N69" s="115"/>
      <c r="O69" s="115"/>
      <c r="P69" s="115"/>
    </row>
    <row r="70" spans="1:16" s="4" customFormat="1" ht="25.5" customHeight="1" outlineLevel="1">
      <c r="A70" s="27" t="str">
        <f t="shared" si="12"/>
        <v>6A.S1.13</v>
      </c>
      <c r="B70" s="28" t="s">
        <v>61</v>
      </c>
      <c r="C70" s="28" t="s">
        <v>515</v>
      </c>
      <c r="D70" s="29" t="s">
        <v>523</v>
      </c>
      <c r="E70" s="31">
        <v>478080.09462812601</v>
      </c>
      <c r="F70" s="150">
        <v>514072.68951251288</v>
      </c>
      <c r="G70" s="101">
        <f>_xlfn.XLOOKUP(B70, Rate_Master!$A:$A, Rate_Master!$C:$C, "")</f>
        <v>630</v>
      </c>
      <c r="H70" s="101">
        <f>_xlfn.XLOOKUP(B70, Rate_Master!$A:$A, Rate_Master!$D:$D, "")</f>
        <v>0</v>
      </c>
      <c r="I70" s="207">
        <f t="shared" si="13"/>
        <v>630</v>
      </c>
      <c r="J70" s="32">
        <f t="shared" si="14"/>
        <v>301190459.61571938</v>
      </c>
      <c r="K70" s="58">
        <f t="shared" si="15"/>
        <v>323865794.39288312</v>
      </c>
      <c r="L70" s="32"/>
      <c r="N70" s="115"/>
      <c r="O70" s="115"/>
      <c r="P70" s="115"/>
    </row>
    <row r="71" spans="1:16" s="4" customFormat="1" ht="25.5" customHeight="1" outlineLevel="1">
      <c r="A71" s="27" t="str">
        <f t="shared" si="12"/>
        <v>6A.S1.14</v>
      </c>
      <c r="B71" s="28" t="s">
        <v>62</v>
      </c>
      <c r="C71" s="28" t="s">
        <v>515</v>
      </c>
      <c r="D71" s="29" t="s">
        <v>518</v>
      </c>
      <c r="E71" s="31">
        <v>1374</v>
      </c>
      <c r="F71" s="150">
        <v>1236</v>
      </c>
      <c r="G71" s="101">
        <f>_xlfn.XLOOKUP(B71, Rate_Master!$A:$A, Rate_Master!$C:$C, "")</f>
        <v>0</v>
      </c>
      <c r="H71" s="101">
        <f>_xlfn.XLOOKUP(B71, Rate_Master!$A:$A, Rate_Master!$D:$D, "")</f>
        <v>264500</v>
      </c>
      <c r="I71" s="207">
        <f t="shared" si="13"/>
        <v>264500</v>
      </c>
      <c r="J71" s="32">
        <f t="shared" si="14"/>
        <v>363423000</v>
      </c>
      <c r="K71" s="58">
        <f t="shared" si="15"/>
        <v>326922000</v>
      </c>
      <c r="L71" s="32"/>
      <c r="N71" s="115"/>
      <c r="O71" s="115"/>
      <c r="P71" s="115"/>
    </row>
    <row r="72" spans="1:16" s="4" customFormat="1" ht="25.5" customHeight="1" outlineLevel="1">
      <c r="A72" s="27" t="str">
        <f t="shared" si="12"/>
        <v>6A.S1.15</v>
      </c>
      <c r="B72" s="28" t="s">
        <v>63</v>
      </c>
      <c r="C72" s="28" t="s">
        <v>515</v>
      </c>
      <c r="D72" s="29" t="s">
        <v>523</v>
      </c>
      <c r="E72" s="31">
        <v>478080.09462812601</v>
      </c>
      <c r="F72" s="150">
        <v>514072.68951251288</v>
      </c>
      <c r="G72" s="101">
        <f>_xlfn.XLOOKUP(B72, Rate_Master!$A:$A, Rate_Master!$C:$C, "")</f>
        <v>2940</v>
      </c>
      <c r="H72" s="101">
        <f>_xlfn.XLOOKUP(B72, Rate_Master!$A:$A, Rate_Master!$D:$D, "")</f>
        <v>0</v>
      </c>
      <c r="I72" s="207">
        <f t="shared" si="13"/>
        <v>2940</v>
      </c>
      <c r="J72" s="32">
        <f t="shared" si="14"/>
        <v>1405555478.2066905</v>
      </c>
      <c r="K72" s="58">
        <f t="shared" si="15"/>
        <v>1511373707.1667879</v>
      </c>
      <c r="L72" s="32"/>
      <c r="N72" s="115"/>
      <c r="O72" s="115"/>
      <c r="P72" s="115"/>
    </row>
    <row r="73" spans="1:16" s="3" customFormat="1" ht="25.5" customHeight="1">
      <c r="A73" s="22" t="str">
        <f>$A$56&amp;2</f>
        <v>6A.S2</v>
      </c>
      <c r="B73" s="23" t="s">
        <v>64</v>
      </c>
      <c r="C73" s="23" t="s">
        <v>515</v>
      </c>
      <c r="D73" s="22"/>
      <c r="E73" s="25"/>
      <c r="F73" s="149"/>
      <c r="G73" s="25">
        <f>_xlfn.XLOOKUP(B73, Rate_Master!$A:$A, Rate_Master!$C:$C, "")</f>
        <v>0</v>
      </c>
      <c r="H73" s="25">
        <f>_xlfn.XLOOKUP(B73, Rate_Master!$A:$A, Rate_Master!$D:$D, "")</f>
        <v>0</v>
      </c>
      <c r="I73" s="26"/>
      <c r="J73" s="26">
        <f>SUBTOTAL(9,J74:J78)</f>
        <v>0</v>
      </c>
      <c r="K73" s="26">
        <f>SUBTOTAL(9,K74:K78)</f>
        <v>0</v>
      </c>
      <c r="L73" s="26"/>
      <c r="N73" s="115"/>
      <c r="O73" s="115"/>
      <c r="P73" s="115"/>
    </row>
    <row r="74" spans="1:16" s="4" customFormat="1" ht="25.5" customHeight="1" outlineLevel="1">
      <c r="A74" s="37" t="str">
        <f>$A$73&amp;"."&amp;ROW()-ROW($A$73)</f>
        <v>6A.S2.1</v>
      </c>
      <c r="B74" s="38" t="s">
        <v>65</v>
      </c>
      <c r="C74" s="38" t="s">
        <v>535</v>
      </c>
      <c r="D74" s="39" t="s">
        <v>520</v>
      </c>
      <c r="E74" s="40">
        <v>0</v>
      </c>
      <c r="F74" s="151"/>
      <c r="G74" s="42">
        <f>_xlfn.XLOOKUP(B74, Rate_Master!$A:$A, Rate_Master!$C:$C, "")</f>
        <v>0</v>
      </c>
      <c r="H74" s="42">
        <f>_xlfn.XLOOKUP(B74, Rate_Master!$A:$A, Rate_Master!$D:$D, "")</f>
        <v>0</v>
      </c>
      <c r="I74" s="42">
        <f>+SUM(G74:H74)</f>
        <v>0</v>
      </c>
      <c r="J74" s="41">
        <f>I74*E74</f>
        <v>0</v>
      </c>
      <c r="K74" s="41"/>
      <c r="L74" s="41"/>
      <c r="N74" s="115"/>
      <c r="O74" s="115"/>
      <c r="P74" s="115"/>
    </row>
    <row r="75" spans="1:16" s="4" customFormat="1" ht="25.5" customHeight="1" outlineLevel="1">
      <c r="A75" s="37" t="str">
        <f>$A$73&amp;"."&amp;ROW()-ROW($A$73)</f>
        <v>6A.S2.2</v>
      </c>
      <c r="B75" s="38" t="s">
        <v>66</v>
      </c>
      <c r="C75" s="38" t="s">
        <v>536</v>
      </c>
      <c r="D75" s="39" t="s">
        <v>518</v>
      </c>
      <c r="E75" s="40">
        <v>0</v>
      </c>
      <c r="F75" s="151"/>
      <c r="G75" s="42">
        <f>_xlfn.XLOOKUP(B75, Rate_Master!$A:$A, Rate_Master!$C:$C, "")</f>
        <v>0</v>
      </c>
      <c r="H75" s="42">
        <f>_xlfn.XLOOKUP(B75, Rate_Master!$A:$A, Rate_Master!$D:$D, "")</f>
        <v>0</v>
      </c>
      <c r="I75" s="42">
        <f>+SUM(G75:H75)</f>
        <v>0</v>
      </c>
      <c r="J75" s="41">
        <f>I75*E75</f>
        <v>0</v>
      </c>
      <c r="K75" s="41"/>
      <c r="L75" s="41"/>
      <c r="N75" s="115"/>
      <c r="O75" s="115"/>
      <c r="P75" s="115"/>
    </row>
    <row r="76" spans="1:16" s="4" customFormat="1" ht="25.5" customHeight="1" outlineLevel="1">
      <c r="A76" s="37" t="str">
        <f>$A$73&amp;"."&amp;ROW()-ROW($A$73)</f>
        <v>6A.S2.3</v>
      </c>
      <c r="B76" s="38" t="s">
        <v>67</v>
      </c>
      <c r="C76" s="38" t="s">
        <v>515</v>
      </c>
      <c r="D76" s="39" t="s">
        <v>520</v>
      </c>
      <c r="E76" s="40">
        <v>0</v>
      </c>
      <c r="F76" s="151"/>
      <c r="G76" s="42">
        <f>_xlfn.XLOOKUP(B76, Rate_Master!$A:$A, Rate_Master!$C:$C, "")</f>
        <v>0</v>
      </c>
      <c r="H76" s="42">
        <f>_xlfn.XLOOKUP(B76, Rate_Master!$A:$A, Rate_Master!$D:$D, "")</f>
        <v>0</v>
      </c>
      <c r="I76" s="42">
        <f>+SUM(G76:H76)</f>
        <v>0</v>
      </c>
      <c r="J76" s="41">
        <f>I76*E76</f>
        <v>0</v>
      </c>
      <c r="K76" s="41"/>
      <c r="L76" s="41"/>
      <c r="N76" s="115"/>
      <c r="O76" s="115"/>
      <c r="P76" s="115"/>
    </row>
    <row r="77" spans="1:16" s="4" customFormat="1" ht="25.5" customHeight="1" outlineLevel="1">
      <c r="A77" s="37" t="str">
        <f>$A$73&amp;"."&amp;ROW()-ROW($A$73)</f>
        <v>6A.S2.4</v>
      </c>
      <c r="B77" s="38" t="s">
        <v>68</v>
      </c>
      <c r="C77" s="38" t="s">
        <v>515</v>
      </c>
      <c r="D77" s="39" t="s">
        <v>457</v>
      </c>
      <c r="E77" s="40">
        <v>0</v>
      </c>
      <c r="F77" s="151"/>
      <c r="G77" s="42">
        <f>_xlfn.XLOOKUP(B77, Rate_Master!$A:$A, Rate_Master!$C:$C, "")</f>
        <v>0</v>
      </c>
      <c r="H77" s="42">
        <f>_xlfn.XLOOKUP(B77, Rate_Master!$A:$A, Rate_Master!$D:$D, "")</f>
        <v>0</v>
      </c>
      <c r="I77" s="42">
        <f>+SUM(G77:H77)</f>
        <v>0</v>
      </c>
      <c r="J77" s="41">
        <f>I77*E77</f>
        <v>0</v>
      </c>
      <c r="K77" s="41"/>
      <c r="L77" s="41"/>
      <c r="N77" s="115"/>
      <c r="O77" s="115"/>
      <c r="P77" s="115"/>
    </row>
    <row r="78" spans="1:16" s="4" customFormat="1" ht="25.5" customHeight="1" outlineLevel="1">
      <c r="A78" s="37" t="str">
        <f>$A$73&amp;"."&amp;ROW()-ROW($A$73)</f>
        <v>6A.S2.5</v>
      </c>
      <c r="B78" s="38" t="s">
        <v>69</v>
      </c>
      <c r="C78" s="38" t="s">
        <v>515</v>
      </c>
      <c r="D78" s="39" t="s">
        <v>520</v>
      </c>
      <c r="E78" s="40">
        <v>0</v>
      </c>
      <c r="F78" s="151"/>
      <c r="G78" s="42">
        <f>_xlfn.XLOOKUP(B78, Rate_Master!$A:$A, Rate_Master!$C:$C, "")</f>
        <v>0</v>
      </c>
      <c r="H78" s="42">
        <f>_xlfn.XLOOKUP(B78, Rate_Master!$A:$A, Rate_Master!$D:$D, "")</f>
        <v>0</v>
      </c>
      <c r="I78" s="42">
        <f>+SUM(G78:H78)</f>
        <v>0</v>
      </c>
      <c r="J78" s="41">
        <f>I78*E78</f>
        <v>0</v>
      </c>
      <c r="K78" s="41"/>
      <c r="L78" s="41"/>
      <c r="N78" s="115"/>
      <c r="O78" s="115"/>
      <c r="P78" s="115"/>
    </row>
    <row r="79" spans="1:16" s="3" customFormat="1" ht="25.5" customHeight="1">
      <c r="A79" s="22" t="str">
        <f>$A$56&amp;3</f>
        <v>6A.S3</v>
      </c>
      <c r="B79" s="23" t="s">
        <v>70</v>
      </c>
      <c r="C79" s="23" t="s">
        <v>515</v>
      </c>
      <c r="D79" s="22"/>
      <c r="E79" s="25"/>
      <c r="F79" s="149"/>
      <c r="G79" s="25">
        <f>_xlfn.XLOOKUP(B79, Rate_Master!$A:$A, Rate_Master!$C:$C, "")</f>
        <v>0</v>
      </c>
      <c r="H79" s="25">
        <f>_xlfn.XLOOKUP(B79, Rate_Master!$A:$A, Rate_Master!$D:$D, "")</f>
        <v>0</v>
      </c>
      <c r="I79" s="26"/>
      <c r="J79" s="26">
        <f>SUBTOTAL(9,J80:J93)</f>
        <v>6725446004.0942879</v>
      </c>
      <c r="K79" s="26">
        <f>SUBTOTAL(9,K80:K93)</f>
        <v>6767166967.9442883</v>
      </c>
      <c r="L79" s="26"/>
      <c r="N79" s="115"/>
      <c r="O79" s="115"/>
      <c r="P79" s="115"/>
    </row>
    <row r="80" spans="1:16" s="4" customFormat="1" ht="51" customHeight="1" outlineLevel="1">
      <c r="A80" s="27" t="str">
        <f t="shared" ref="A80:A93" si="16">$A$79&amp;"."&amp;ROW()-ROW($A$79)</f>
        <v>6A.S3.1</v>
      </c>
      <c r="B80" s="28" t="s">
        <v>71</v>
      </c>
      <c r="C80" s="28" t="str">
        <f>+'5A'!C80</f>
        <v xml:space="preserve">Tôn liên doanh Việt hàn, AZ170
</v>
      </c>
      <c r="D80" s="29" t="s">
        <v>520</v>
      </c>
      <c r="E80" s="31">
        <v>13627.88</v>
      </c>
      <c r="F80" s="150">
        <v>13683.8712</v>
      </c>
      <c r="G80" s="101">
        <f>_xlfn.XLOOKUP(B80, Rate_Master!$A:$A, Rate_Master!$C:$C, "")</f>
        <v>248399.99999999997</v>
      </c>
      <c r="H80" s="101">
        <f>_xlfn.XLOOKUP(B80, Rate_Master!$A:$A, Rate_Master!$D:$D, "")</f>
        <v>34500</v>
      </c>
      <c r="I80" s="207">
        <f t="shared" ref="I80:I93" si="17">+SUM(G80:H80)</f>
        <v>282900</v>
      </c>
      <c r="J80" s="32">
        <f t="shared" ref="J80:J93" si="18">I80*E80</f>
        <v>3855327252</v>
      </c>
      <c r="K80" s="58">
        <f t="shared" ref="K80:K93" si="19">+F80*I80</f>
        <v>3871167162.48</v>
      </c>
      <c r="L80" s="32"/>
      <c r="N80" s="115"/>
      <c r="O80" s="115"/>
      <c r="P80" s="115"/>
    </row>
    <row r="81" spans="1:16" s="4" customFormat="1" ht="51" customHeight="1" outlineLevel="1">
      <c r="A81" s="27" t="str">
        <f t="shared" si="16"/>
        <v>6A.S3.2</v>
      </c>
      <c r="B81" s="28" t="s">
        <v>72</v>
      </c>
      <c r="C81" s="28" t="str">
        <f>+'5A'!C81</f>
        <v xml:space="preserve">Tôn liên doanh Việt hàn, AZ170
</v>
      </c>
      <c r="D81" s="29" t="s">
        <v>520</v>
      </c>
      <c r="E81" s="31">
        <v>672.70425</v>
      </c>
      <c r="F81" s="150">
        <v>525.15599999999995</v>
      </c>
      <c r="G81" s="101">
        <f>_xlfn.XLOOKUP(B81, Rate_Master!$A:$A, Rate_Master!$C:$C, "")</f>
        <v>206999.99999999997</v>
      </c>
      <c r="H81" s="101">
        <f>_xlfn.XLOOKUP(B81, Rate_Master!$A:$A, Rate_Master!$D:$D, "")</f>
        <v>34500</v>
      </c>
      <c r="I81" s="207">
        <f t="shared" si="17"/>
        <v>241499.99999999997</v>
      </c>
      <c r="J81" s="32">
        <f t="shared" si="18"/>
        <v>162458076.37499997</v>
      </c>
      <c r="K81" s="58">
        <f t="shared" si="19"/>
        <v>126825173.99999997</v>
      </c>
      <c r="L81" s="32"/>
      <c r="N81" s="115"/>
      <c r="O81" s="115"/>
      <c r="P81" s="115"/>
    </row>
    <row r="82" spans="1:16" s="4" customFormat="1" ht="63.75" customHeight="1" outlineLevel="1">
      <c r="A82" s="27" t="str">
        <f t="shared" si="16"/>
        <v>6A.S3.3</v>
      </c>
      <c r="B82" s="28" t="s">
        <v>73</v>
      </c>
      <c r="C82" s="28" t="str">
        <f>+'5A'!C82</f>
        <v xml:space="preserve">Tôn liên doanh Việt hàn, AZ170
</v>
      </c>
      <c r="D82" s="29" t="s">
        <v>520</v>
      </c>
      <c r="E82" s="31">
        <v>340.93799999999999</v>
      </c>
      <c r="F82" s="150">
        <v>287.36799999999999</v>
      </c>
      <c r="G82" s="101">
        <f>_xlfn.XLOOKUP(B82, Rate_Master!$A:$A, Rate_Master!$C:$C, "")</f>
        <v>195499.99999999997</v>
      </c>
      <c r="H82" s="101">
        <f>_xlfn.XLOOKUP(B82, Rate_Master!$A:$A, Rate_Master!$D:$D, "")</f>
        <v>34500</v>
      </c>
      <c r="I82" s="207">
        <f t="shared" si="17"/>
        <v>229999.99999999997</v>
      </c>
      <c r="J82" s="32">
        <f t="shared" si="18"/>
        <v>78415739.999999985</v>
      </c>
      <c r="K82" s="58">
        <f t="shared" si="19"/>
        <v>66094639.999999993</v>
      </c>
      <c r="L82" s="32"/>
      <c r="N82" s="115"/>
      <c r="O82" s="115"/>
      <c r="P82" s="115"/>
    </row>
    <row r="83" spans="1:16" s="4" customFormat="1" ht="25.5" customHeight="1" outlineLevel="1">
      <c r="A83" s="27" t="str">
        <f t="shared" si="16"/>
        <v>6A.S3.4</v>
      </c>
      <c r="B83" s="28" t="s">
        <v>74</v>
      </c>
      <c r="C83" s="28" t="s">
        <v>515</v>
      </c>
      <c r="D83" s="29" t="s">
        <v>520</v>
      </c>
      <c r="E83" s="31">
        <v>13627.88</v>
      </c>
      <c r="F83" s="150">
        <v>13683.8712</v>
      </c>
      <c r="G83" s="101">
        <f>_xlfn.XLOOKUP(B83, Rate_Master!$A:$A, Rate_Master!$C:$C, "")</f>
        <v>23000</v>
      </c>
      <c r="H83" s="101">
        <f>_xlfn.XLOOKUP(B83, Rate_Master!$A:$A, Rate_Master!$D:$D, "")</f>
        <v>11500</v>
      </c>
      <c r="I83" s="207">
        <f t="shared" si="17"/>
        <v>34500</v>
      </c>
      <c r="J83" s="32">
        <f t="shared" si="18"/>
        <v>470161860</v>
      </c>
      <c r="K83" s="58">
        <f t="shared" si="19"/>
        <v>472093556.39999998</v>
      </c>
      <c r="L83" s="32"/>
      <c r="N83" s="115"/>
      <c r="O83" s="115"/>
      <c r="P83" s="115"/>
    </row>
    <row r="84" spans="1:16" s="4" customFormat="1" ht="25.5" customHeight="1" outlineLevel="1">
      <c r="A84" s="27" t="str">
        <f t="shared" si="16"/>
        <v>6A.S3.5</v>
      </c>
      <c r="B84" s="28" t="s">
        <v>75</v>
      </c>
      <c r="C84" s="28" t="s">
        <v>538</v>
      </c>
      <c r="D84" s="29" t="s">
        <v>517</v>
      </c>
      <c r="E84" s="31">
        <v>824</v>
      </c>
      <c r="F84" s="150">
        <v>934.98</v>
      </c>
      <c r="G84" s="101">
        <f>_xlfn.XLOOKUP(B84, Rate_Master!$A:$A, Rate_Master!$C:$C, "")</f>
        <v>110399.99999999999</v>
      </c>
      <c r="H84" s="101">
        <f>_xlfn.XLOOKUP(B84, Rate_Master!$A:$A, Rate_Master!$D:$D, "")</f>
        <v>17250</v>
      </c>
      <c r="I84" s="207">
        <f t="shared" si="17"/>
        <v>127649.99999999999</v>
      </c>
      <c r="J84" s="32">
        <f t="shared" si="18"/>
        <v>105183599.99999999</v>
      </c>
      <c r="K84" s="58">
        <f t="shared" si="19"/>
        <v>119350196.99999999</v>
      </c>
      <c r="L84" s="32"/>
      <c r="N84" s="115"/>
      <c r="O84" s="115"/>
      <c r="P84" s="115"/>
    </row>
    <row r="85" spans="1:16" s="4" customFormat="1" ht="25.5" customHeight="1" outlineLevel="1">
      <c r="A85" s="27" t="str">
        <f t="shared" si="16"/>
        <v>6A.S3.6</v>
      </c>
      <c r="B85" s="28" t="s">
        <v>75</v>
      </c>
      <c r="C85" s="28" t="s">
        <v>539</v>
      </c>
      <c r="D85" s="29" t="s">
        <v>517</v>
      </c>
      <c r="E85" s="31">
        <v>1892.2</v>
      </c>
      <c r="F85" s="150">
        <v>2303.4</v>
      </c>
      <c r="G85" s="101">
        <f>_xlfn.XLOOKUP(B85, Rate_Master!$A:$A, Rate_Master!$C:$C, "")</f>
        <v>110399.99999999999</v>
      </c>
      <c r="H85" s="101">
        <f>_xlfn.XLOOKUP(B85, Rate_Master!$A:$A, Rate_Master!$D:$D, "")</f>
        <v>17250</v>
      </c>
      <c r="I85" s="207">
        <f t="shared" si="17"/>
        <v>127649.99999999999</v>
      </c>
      <c r="J85" s="32">
        <f t="shared" si="18"/>
        <v>241539329.99999997</v>
      </c>
      <c r="K85" s="58">
        <f t="shared" si="19"/>
        <v>294029010</v>
      </c>
      <c r="L85" s="32"/>
      <c r="N85" s="115"/>
      <c r="O85" s="115"/>
      <c r="P85" s="115"/>
    </row>
    <row r="86" spans="1:16" s="4" customFormat="1" ht="25.5" customHeight="1" outlineLevel="1">
      <c r="A86" s="27" t="str">
        <f t="shared" si="16"/>
        <v>6A.S3.7</v>
      </c>
      <c r="B86" s="28" t="s">
        <v>76</v>
      </c>
      <c r="C86" s="28" t="s">
        <v>540</v>
      </c>
      <c r="D86" s="29" t="s">
        <v>517</v>
      </c>
      <c r="E86" s="31">
        <v>327.2</v>
      </c>
      <c r="F86" s="150">
        <v>327.2</v>
      </c>
      <c r="G86" s="101">
        <f>_xlfn.XLOOKUP(B86, Rate_Master!$A:$A, Rate_Master!$C:$C, "")</f>
        <v>1976115.3983999996</v>
      </c>
      <c r="H86" s="101">
        <f>_xlfn.XLOOKUP(B86, Rate_Master!$A:$A, Rate_Master!$D:$D, "")</f>
        <v>28749.999999999996</v>
      </c>
      <c r="I86" s="207">
        <f t="shared" si="17"/>
        <v>2004865.3983999996</v>
      </c>
      <c r="J86" s="32">
        <f t="shared" si="18"/>
        <v>655991958.35647988</v>
      </c>
      <c r="K86" s="58">
        <f t="shared" si="19"/>
        <v>655991958.35647988</v>
      </c>
      <c r="L86" s="32"/>
      <c r="N86" s="115"/>
      <c r="O86" s="115"/>
      <c r="P86" s="115"/>
    </row>
    <row r="87" spans="1:16" s="4" customFormat="1" ht="25.5" customHeight="1" outlineLevel="1">
      <c r="A87" s="27" t="str">
        <f t="shared" si="16"/>
        <v>6A.S3.8</v>
      </c>
      <c r="B87" s="28" t="s">
        <v>77</v>
      </c>
      <c r="C87" s="28" t="s">
        <v>541</v>
      </c>
      <c r="D87" s="29" t="s">
        <v>517</v>
      </c>
      <c r="E87" s="31">
        <v>163.6</v>
      </c>
      <c r="F87" s="150">
        <v>163.6</v>
      </c>
      <c r="G87" s="101">
        <f>_xlfn.XLOOKUP(B87, Rate_Master!$A:$A, Rate_Master!$C:$C, "")</f>
        <v>1077881.1263999997</v>
      </c>
      <c r="H87" s="101">
        <f>_xlfn.XLOOKUP(B87, Rate_Master!$A:$A, Rate_Master!$D:$D, "")</f>
        <v>23000</v>
      </c>
      <c r="I87" s="207">
        <f t="shared" si="17"/>
        <v>1100881.1263999997</v>
      </c>
      <c r="J87" s="32">
        <f t="shared" si="18"/>
        <v>180104152.27903995</v>
      </c>
      <c r="K87" s="58">
        <f t="shared" si="19"/>
        <v>180104152.27903995</v>
      </c>
      <c r="L87" s="32"/>
      <c r="N87" s="115"/>
      <c r="O87" s="115"/>
      <c r="P87" s="115"/>
    </row>
    <row r="88" spans="1:16" s="4" customFormat="1" ht="25.5" customHeight="1" outlineLevel="1">
      <c r="A88" s="27" t="str">
        <f t="shared" si="16"/>
        <v>6A.S3.9</v>
      </c>
      <c r="B88" s="28" t="s">
        <v>78</v>
      </c>
      <c r="C88" s="28" t="s">
        <v>515</v>
      </c>
      <c r="D88" s="29" t="s">
        <v>518</v>
      </c>
      <c r="E88" s="31">
        <v>20</v>
      </c>
      <c r="F88" s="150">
        <v>32</v>
      </c>
      <c r="G88" s="101">
        <f>_xlfn.XLOOKUP(B88, Rate_Master!$A:$A, Rate_Master!$C:$C, "")</f>
        <v>92000</v>
      </c>
      <c r="H88" s="101">
        <f>_xlfn.XLOOKUP(B88, Rate_Master!$A:$A, Rate_Master!$D:$D, "")</f>
        <v>11500</v>
      </c>
      <c r="I88" s="207">
        <f t="shared" si="17"/>
        <v>103500</v>
      </c>
      <c r="J88" s="32">
        <f t="shared" si="18"/>
        <v>2070000</v>
      </c>
      <c r="K88" s="58">
        <f t="shared" si="19"/>
        <v>3312000</v>
      </c>
      <c r="L88" s="32"/>
      <c r="N88" s="115"/>
      <c r="O88" s="115"/>
      <c r="P88" s="115"/>
    </row>
    <row r="89" spans="1:16" s="4" customFormat="1" ht="63.75" customHeight="1" outlineLevel="1">
      <c r="A89" s="27" t="str">
        <f t="shared" si="16"/>
        <v>6A.S3.10</v>
      </c>
      <c r="B89" s="28" t="s">
        <v>79</v>
      </c>
      <c r="C89" s="28" t="s">
        <v>542</v>
      </c>
      <c r="D89" s="29" t="s">
        <v>517</v>
      </c>
      <c r="E89" s="31">
        <v>313.5</v>
      </c>
      <c r="F89" s="150">
        <v>307.2</v>
      </c>
      <c r="G89" s="101">
        <f>_xlfn.XLOOKUP(B89, Rate_Master!$A:$A, Rate_Master!$C:$C, "")</f>
        <v>297443.47499999998</v>
      </c>
      <c r="H89" s="101">
        <f>_xlfn.XLOOKUP(B89, Rate_Master!$A:$A, Rate_Master!$D:$D, "")</f>
        <v>23000</v>
      </c>
      <c r="I89" s="207">
        <f t="shared" si="17"/>
        <v>320443.47499999998</v>
      </c>
      <c r="J89" s="32">
        <f t="shared" si="18"/>
        <v>100459029.41249999</v>
      </c>
      <c r="K89" s="58">
        <f t="shared" si="19"/>
        <v>98440235.519999996</v>
      </c>
      <c r="L89" s="32"/>
      <c r="N89" s="115"/>
      <c r="O89" s="115"/>
      <c r="P89" s="115"/>
    </row>
    <row r="90" spans="1:16" s="4" customFormat="1" ht="25.5" customHeight="1" outlineLevel="1">
      <c r="A90" s="27" t="str">
        <f t="shared" si="16"/>
        <v>6A.S3.11</v>
      </c>
      <c r="B90" s="28" t="s">
        <v>80</v>
      </c>
      <c r="C90" s="28" t="s">
        <v>515</v>
      </c>
      <c r="D90" s="29" t="s">
        <v>457</v>
      </c>
      <c r="E90" s="31">
        <v>1</v>
      </c>
      <c r="F90" s="150">
        <v>1</v>
      </c>
      <c r="G90" s="101">
        <f>_xlfn.XLOOKUP(B90, Rate_Master!$A:$A, Rate_Master!$C:$C, "")</f>
        <v>0</v>
      </c>
      <c r="H90" s="101">
        <f>_xlfn.XLOOKUP(B90, Rate_Master!$A:$A, Rate_Master!$D:$D, "")</f>
        <v>57499999.999999993</v>
      </c>
      <c r="I90" s="207">
        <f t="shared" si="17"/>
        <v>57499999.999999993</v>
      </c>
      <c r="J90" s="32">
        <f t="shared" si="18"/>
        <v>57499999.999999993</v>
      </c>
      <c r="K90" s="58">
        <f t="shared" si="19"/>
        <v>57499999.999999993</v>
      </c>
      <c r="L90" s="32"/>
      <c r="N90" s="115"/>
      <c r="O90" s="115"/>
      <c r="P90" s="115"/>
    </row>
    <row r="91" spans="1:16" s="4" customFormat="1" ht="25.5" customHeight="1" outlineLevel="1">
      <c r="A91" s="27" t="str">
        <f t="shared" si="16"/>
        <v>6A.S3.12</v>
      </c>
      <c r="B91" s="28" t="s">
        <v>81</v>
      </c>
      <c r="C91" s="28" t="s">
        <v>515</v>
      </c>
      <c r="D91" s="29" t="s">
        <v>520</v>
      </c>
      <c r="E91" s="31">
        <v>14641.52225</v>
      </c>
      <c r="F91" s="150">
        <v>14496.395200000001</v>
      </c>
      <c r="G91" s="101">
        <f>_xlfn.XLOOKUP(B91, Rate_Master!$A:$A, Rate_Master!$C:$C, "")</f>
        <v>0</v>
      </c>
      <c r="H91" s="101">
        <f>_xlfn.XLOOKUP(B91, Rate_Master!$A:$A, Rate_Master!$D:$D, "")</f>
        <v>40250</v>
      </c>
      <c r="I91" s="207">
        <f t="shared" si="17"/>
        <v>40250</v>
      </c>
      <c r="J91" s="32">
        <f t="shared" si="18"/>
        <v>589321270.5625</v>
      </c>
      <c r="K91" s="58">
        <f t="shared" si="19"/>
        <v>583479906.80000007</v>
      </c>
      <c r="L91" s="32"/>
      <c r="N91" s="115"/>
      <c r="O91" s="115"/>
      <c r="P91" s="115"/>
    </row>
    <row r="92" spans="1:16" s="4" customFormat="1" ht="38.25" customHeight="1" outlineLevel="1">
      <c r="A92" s="27" t="str">
        <f t="shared" si="16"/>
        <v>6A.S3.13</v>
      </c>
      <c r="B92" s="28" t="s">
        <v>82</v>
      </c>
      <c r="C92" s="28" t="s">
        <v>515</v>
      </c>
      <c r="D92" s="29" t="s">
        <v>517</v>
      </c>
      <c r="E92" s="31">
        <v>3520.5</v>
      </c>
      <c r="F92" s="150">
        <v>4036.3799999999992</v>
      </c>
      <c r="G92" s="101">
        <f>_xlfn.XLOOKUP(B92, Rate_Master!$A:$A, Rate_Master!$C:$C, "")</f>
        <v>0</v>
      </c>
      <c r="H92" s="101">
        <f>_xlfn.XLOOKUP(B92, Rate_Master!$A:$A, Rate_Master!$D:$D, "")</f>
        <v>23000</v>
      </c>
      <c r="I92" s="207">
        <f t="shared" si="17"/>
        <v>23000</v>
      </c>
      <c r="J92" s="32">
        <f t="shared" si="18"/>
        <v>80971500</v>
      </c>
      <c r="K92" s="58">
        <f t="shared" si="19"/>
        <v>92836739.999999985</v>
      </c>
      <c r="L92" s="32"/>
      <c r="N92" s="115"/>
      <c r="O92" s="115"/>
      <c r="P92" s="115"/>
    </row>
    <row r="93" spans="1:16" s="4" customFormat="1" ht="25.5" customHeight="1" outlineLevel="1">
      <c r="A93" s="27" t="str">
        <f t="shared" si="16"/>
        <v>6A.S3.14</v>
      </c>
      <c r="B93" s="28" t="s">
        <v>83</v>
      </c>
      <c r="C93" s="28" t="s">
        <v>543</v>
      </c>
      <c r="D93" s="29" t="s">
        <v>457</v>
      </c>
      <c r="E93" s="31">
        <v>1</v>
      </c>
      <c r="F93" s="150">
        <v>1</v>
      </c>
      <c r="G93" s="101">
        <f>_xlfn.XLOOKUP(B93, Rate_Master!$A:$A, Rate_Master!$C:$C, "")</f>
        <v>145942235.10876715</v>
      </c>
      <c r="H93" s="101">
        <f>_xlfn.XLOOKUP(B93, Rate_Master!$A:$A, Rate_Master!$D:$D, "")</f>
        <v>0</v>
      </c>
      <c r="I93" s="207">
        <f t="shared" si="17"/>
        <v>145942235.10876715</v>
      </c>
      <c r="J93" s="32">
        <f t="shared" si="18"/>
        <v>145942235.10876715</v>
      </c>
      <c r="K93" s="58">
        <f t="shared" si="19"/>
        <v>145942235.10876715</v>
      </c>
      <c r="L93" s="32"/>
      <c r="N93" s="115"/>
      <c r="O93" s="115"/>
      <c r="P93" s="115"/>
    </row>
    <row r="94" spans="1:16" s="3" customFormat="1" ht="25.5" customHeight="1">
      <c r="A94" s="22" t="str">
        <f>$A$56&amp;4</f>
        <v>6A.S4</v>
      </c>
      <c r="B94" s="23" t="s">
        <v>84</v>
      </c>
      <c r="C94" s="23" t="s">
        <v>515</v>
      </c>
      <c r="D94" s="22"/>
      <c r="E94" s="25"/>
      <c r="F94" s="149"/>
      <c r="G94" s="25">
        <f>_xlfn.XLOOKUP(B94, Rate_Master!$A:$A, Rate_Master!$C:$C, "")</f>
        <v>0</v>
      </c>
      <c r="H94" s="25">
        <f>_xlfn.XLOOKUP(B94, Rate_Master!$A:$A, Rate_Master!$D:$D, "")</f>
        <v>0</v>
      </c>
      <c r="I94" s="26"/>
      <c r="J94" s="26">
        <f>SUBTOTAL(9,J95:J102)</f>
        <v>537234953.75939989</v>
      </c>
      <c r="K94" s="26">
        <f>SUBTOTAL(9,K95:K102)</f>
        <v>361242600</v>
      </c>
      <c r="L94" s="26"/>
      <c r="N94" s="115"/>
      <c r="O94" s="115"/>
      <c r="P94" s="115"/>
    </row>
    <row r="95" spans="1:16" s="4" customFormat="1" ht="38.25" hidden="1" customHeight="1" outlineLevel="1">
      <c r="A95" s="27" t="str">
        <f t="shared" ref="A95:A102" si="20">$A$94&amp;"."&amp;ROW()-ROW($A$94)</f>
        <v>6A.S4.1</v>
      </c>
      <c r="B95" s="28" t="s">
        <v>85</v>
      </c>
      <c r="C95" s="28" t="s">
        <v>544</v>
      </c>
      <c r="D95" s="29" t="s">
        <v>517</v>
      </c>
      <c r="E95" s="31">
        <v>17.995000000000001</v>
      </c>
      <c r="F95" s="150">
        <v>12</v>
      </c>
      <c r="G95" s="101">
        <f>_xlfn.XLOOKUP(B95, Rate_Master!$A:$A, Rate_Master!$C:$C, "")</f>
        <v>5175000</v>
      </c>
      <c r="H95" s="101">
        <f>_xlfn.XLOOKUP(B95, Rate_Master!$A:$A, Rate_Master!$D:$D, "")</f>
        <v>0</v>
      </c>
      <c r="I95" s="67">
        <f t="shared" ref="I95:I102" si="21">+SUM(G95:H95)</f>
        <v>5175000</v>
      </c>
      <c r="J95" s="32">
        <f t="shared" ref="J95:J102" si="22">I95*E95</f>
        <v>93124125</v>
      </c>
      <c r="K95" s="58">
        <f t="shared" ref="K95:K102" si="23">+F95*I95</f>
        <v>62100000</v>
      </c>
      <c r="L95" s="32"/>
      <c r="N95" s="115"/>
      <c r="O95" s="115"/>
      <c r="P95" s="115"/>
    </row>
    <row r="96" spans="1:16" s="4" customFormat="1" ht="38.25" hidden="1" customHeight="1" outlineLevel="1">
      <c r="A96" s="27" t="str">
        <f t="shared" si="20"/>
        <v>6A.S4.2</v>
      </c>
      <c r="B96" s="28" t="s">
        <v>86</v>
      </c>
      <c r="C96" s="28" t="s">
        <v>545</v>
      </c>
      <c r="D96" s="29" t="s">
        <v>517</v>
      </c>
      <c r="E96" s="31">
        <v>0</v>
      </c>
      <c r="F96" s="150"/>
      <c r="G96" s="101">
        <f>_xlfn.XLOOKUP(B96, Rate_Master!$A:$A, Rate_Master!$C:$C, "")</f>
        <v>0</v>
      </c>
      <c r="H96" s="101">
        <f>_xlfn.XLOOKUP(B96, Rate_Master!$A:$A, Rate_Master!$D:$D, "")</f>
        <v>0</v>
      </c>
      <c r="I96" s="67">
        <f t="shared" si="21"/>
        <v>0</v>
      </c>
      <c r="J96" s="32">
        <f t="shared" si="22"/>
        <v>0</v>
      </c>
      <c r="K96" s="58">
        <f t="shared" si="23"/>
        <v>0</v>
      </c>
      <c r="L96" s="32"/>
      <c r="N96" s="115"/>
      <c r="O96" s="115"/>
      <c r="P96" s="115"/>
    </row>
    <row r="97" spans="1:16" s="4" customFormat="1" ht="38.25" hidden="1" customHeight="1" outlineLevel="1">
      <c r="A97" s="27" t="str">
        <f t="shared" si="20"/>
        <v>6A.S4.3</v>
      </c>
      <c r="B97" s="28" t="s">
        <v>87</v>
      </c>
      <c r="C97" s="28" t="s">
        <v>546</v>
      </c>
      <c r="D97" s="29" t="s">
        <v>517</v>
      </c>
      <c r="E97" s="31">
        <v>0</v>
      </c>
      <c r="F97" s="150"/>
      <c r="G97" s="101">
        <f>_xlfn.XLOOKUP(B97, Rate_Master!$A:$A, Rate_Master!$C:$C, "")</f>
        <v>0</v>
      </c>
      <c r="H97" s="101">
        <f>_xlfn.XLOOKUP(B97, Rate_Master!$A:$A, Rate_Master!$D:$D, "")</f>
        <v>0</v>
      </c>
      <c r="I97" s="67">
        <f t="shared" si="21"/>
        <v>0</v>
      </c>
      <c r="J97" s="32">
        <f t="shared" si="22"/>
        <v>0</v>
      </c>
      <c r="K97" s="58">
        <f t="shared" si="23"/>
        <v>0</v>
      </c>
      <c r="L97" s="32"/>
      <c r="N97" s="115"/>
      <c r="O97" s="115"/>
      <c r="P97" s="115"/>
    </row>
    <row r="98" spans="1:16" s="4" customFormat="1" ht="25.5" hidden="1" customHeight="1" outlineLevel="1">
      <c r="A98" s="27" t="str">
        <f t="shared" si="20"/>
        <v>6A.S4.4</v>
      </c>
      <c r="B98" s="28" t="s">
        <v>88</v>
      </c>
      <c r="C98" s="28" t="s">
        <v>546</v>
      </c>
      <c r="D98" s="29" t="s">
        <v>517</v>
      </c>
      <c r="E98" s="31">
        <v>0</v>
      </c>
      <c r="F98" s="150"/>
      <c r="G98" s="101">
        <f>_xlfn.XLOOKUP(B98, Rate_Master!$A:$A, Rate_Master!$C:$C, "")</f>
        <v>0</v>
      </c>
      <c r="H98" s="101">
        <f>_xlfn.XLOOKUP(B98, Rate_Master!$A:$A, Rate_Master!$D:$D, "")</f>
        <v>0</v>
      </c>
      <c r="I98" s="67">
        <f t="shared" si="21"/>
        <v>0</v>
      </c>
      <c r="J98" s="32">
        <f t="shared" si="22"/>
        <v>0</v>
      </c>
      <c r="K98" s="58">
        <f t="shared" si="23"/>
        <v>0</v>
      </c>
      <c r="L98" s="32"/>
      <c r="N98" s="115"/>
      <c r="O98" s="115"/>
      <c r="P98" s="115"/>
    </row>
    <row r="99" spans="1:16" s="4" customFormat="1" ht="51" hidden="1" customHeight="1" outlineLevel="1">
      <c r="A99" s="27" t="str">
        <f t="shared" si="20"/>
        <v>6A.S4.5</v>
      </c>
      <c r="B99" s="28" t="s">
        <v>89</v>
      </c>
      <c r="C99" s="28" t="s">
        <v>547</v>
      </c>
      <c r="D99" s="29" t="s">
        <v>520</v>
      </c>
      <c r="E99" s="31">
        <v>13006.2</v>
      </c>
      <c r="F99" s="152">
        <v>13006.2</v>
      </c>
      <c r="G99" s="101">
        <f>_xlfn.XLOOKUP(B99, Rate_Master!$A:$A, Rate_Master!$C:$C, "")</f>
        <v>17250</v>
      </c>
      <c r="H99" s="101">
        <f>_xlfn.XLOOKUP(B99, Rate_Master!$A:$A, Rate_Master!$D:$D, "")</f>
        <v>5750</v>
      </c>
      <c r="I99" s="67">
        <f t="shared" si="21"/>
        <v>23000</v>
      </c>
      <c r="J99" s="32">
        <f t="shared" si="22"/>
        <v>299142600</v>
      </c>
      <c r="K99" s="58">
        <f t="shared" si="23"/>
        <v>299142600</v>
      </c>
      <c r="L99" s="32"/>
      <c r="N99" s="115"/>
      <c r="O99" s="115"/>
      <c r="P99" s="115"/>
    </row>
    <row r="100" spans="1:16" s="4" customFormat="1" ht="38.25" hidden="1" customHeight="1" outlineLevel="1">
      <c r="A100" s="27" t="str">
        <f t="shared" si="20"/>
        <v>6A.S4.6</v>
      </c>
      <c r="B100" s="28" t="s">
        <v>90</v>
      </c>
      <c r="C100" s="28" t="s">
        <v>548</v>
      </c>
      <c r="D100" s="29" t="s">
        <v>520</v>
      </c>
      <c r="E100" s="31">
        <v>7415.2546679999996</v>
      </c>
      <c r="F100" s="150"/>
      <c r="G100" s="101">
        <f>_xlfn.XLOOKUP(B100, Rate_Master!$A:$A, Rate_Master!$C:$C, "")</f>
        <v>0</v>
      </c>
      <c r="H100" s="101">
        <f>_xlfn.XLOOKUP(B100, Rate_Master!$A:$A, Rate_Master!$D:$D, "")</f>
        <v>0</v>
      </c>
      <c r="I100" s="67">
        <f t="shared" si="21"/>
        <v>0</v>
      </c>
      <c r="J100" s="32">
        <f t="shared" si="22"/>
        <v>0</v>
      </c>
      <c r="K100" s="58">
        <f t="shared" si="23"/>
        <v>0</v>
      </c>
      <c r="L100" s="75" t="s">
        <v>549</v>
      </c>
      <c r="N100" s="115"/>
      <c r="O100" s="115"/>
      <c r="P100" s="115"/>
    </row>
    <row r="101" spans="1:16" s="4" customFormat="1" ht="25.5" hidden="1" customHeight="1" outlineLevel="1">
      <c r="A101" s="27" t="str">
        <f t="shared" si="20"/>
        <v>6A.S4.7</v>
      </c>
      <c r="B101" s="28" t="s">
        <v>91</v>
      </c>
      <c r="C101" s="28" t="s">
        <v>515</v>
      </c>
      <c r="D101" s="29" t="s">
        <v>457</v>
      </c>
      <c r="E101" s="31">
        <v>1</v>
      </c>
      <c r="F101" s="150"/>
      <c r="G101" s="101">
        <f>_xlfn.XLOOKUP(B101, Rate_Master!$A:$A, Rate_Master!$C:$C, "")</f>
        <v>0</v>
      </c>
      <c r="H101" s="101">
        <f>_xlfn.XLOOKUP(B101, Rate_Master!$A:$A, Rate_Master!$D:$D, "")</f>
        <v>0</v>
      </c>
      <c r="I101" s="67">
        <f t="shared" si="21"/>
        <v>0</v>
      </c>
      <c r="J101" s="32">
        <f t="shared" si="22"/>
        <v>0</v>
      </c>
      <c r="K101" s="58">
        <f t="shared" si="23"/>
        <v>0</v>
      </c>
      <c r="L101" s="75" t="s">
        <v>549</v>
      </c>
      <c r="N101" s="115"/>
      <c r="O101" s="115"/>
      <c r="P101" s="115"/>
    </row>
    <row r="102" spans="1:16" s="4" customFormat="1" ht="51" hidden="1" customHeight="1" outlineLevel="1">
      <c r="A102" s="27" t="str">
        <f t="shared" si="20"/>
        <v>6A.S4.8</v>
      </c>
      <c r="B102" s="28" t="s">
        <v>92</v>
      </c>
      <c r="C102" s="28" t="s">
        <v>550</v>
      </c>
      <c r="D102" s="29" t="s">
        <v>520</v>
      </c>
      <c r="E102" s="31">
        <v>7415.2546679999996</v>
      </c>
      <c r="F102" s="150"/>
      <c r="G102" s="101">
        <f>_xlfn.XLOOKUP(B102, Rate_Master!$A:$A, Rate_Master!$C:$C, "")</f>
        <v>16099.999999999998</v>
      </c>
      <c r="H102" s="101">
        <f>_xlfn.XLOOKUP(B102, Rate_Master!$A:$A, Rate_Master!$D:$D, "")</f>
        <v>3449.9999999999995</v>
      </c>
      <c r="I102" s="67">
        <f t="shared" si="21"/>
        <v>19549.999999999996</v>
      </c>
      <c r="J102" s="32">
        <f t="shared" si="22"/>
        <v>144968228.75939995</v>
      </c>
      <c r="K102" s="58">
        <f t="shared" si="23"/>
        <v>0</v>
      </c>
      <c r="L102" s="75" t="s">
        <v>549</v>
      </c>
      <c r="N102" s="115"/>
      <c r="O102" s="115"/>
      <c r="P102" s="115"/>
    </row>
    <row r="103" spans="1:16" s="3" customFormat="1" ht="25.5" customHeight="1" collapsed="1">
      <c r="A103" s="22" t="str">
        <f>$A$9&amp;".F"</f>
        <v>6A.F</v>
      </c>
      <c r="B103" s="23" t="s">
        <v>93</v>
      </c>
      <c r="C103" s="23" t="s">
        <v>515</v>
      </c>
      <c r="D103" s="22"/>
      <c r="E103" s="25"/>
      <c r="F103" s="149"/>
      <c r="G103" s="25">
        <f>_xlfn.XLOOKUP(B103, Rate_Master!$A:$A, Rate_Master!$C:$C, "")</f>
        <v>0</v>
      </c>
      <c r="H103" s="25">
        <f>_xlfn.XLOOKUP(B103, Rate_Master!$A:$A, Rate_Master!$D:$D, "")</f>
        <v>0</v>
      </c>
      <c r="I103" s="26">
        <f>G103+H103</f>
        <v>0</v>
      </c>
      <c r="J103" s="26"/>
      <c r="K103" s="26"/>
      <c r="L103" s="26"/>
    </row>
    <row r="104" spans="1:16" s="3" customFormat="1" ht="25.5" customHeight="1">
      <c r="A104" s="22" t="str">
        <f>$A$103&amp;1</f>
        <v>6A.F1</v>
      </c>
      <c r="B104" s="23" t="s">
        <v>94</v>
      </c>
      <c r="C104" s="23" t="s">
        <v>515</v>
      </c>
      <c r="D104" s="22"/>
      <c r="E104" s="25"/>
      <c r="F104" s="149"/>
      <c r="G104" s="25">
        <f>_xlfn.XLOOKUP(B104, Rate_Master!$A:$A, Rate_Master!$C:$C, "")</f>
        <v>0</v>
      </c>
      <c r="H104" s="25">
        <f>_xlfn.XLOOKUP(B104, Rate_Master!$A:$A, Rate_Master!$D:$D, "")</f>
        <v>0</v>
      </c>
      <c r="I104" s="26">
        <f>G104+H104</f>
        <v>0</v>
      </c>
      <c r="J104" s="26">
        <f>SUBTOTAL(9,J105:J122)</f>
        <v>7196649554.6915045</v>
      </c>
      <c r="K104" s="26">
        <f>SUBTOTAL(9,K105:K122)</f>
        <v>7196649554.6915045</v>
      </c>
      <c r="L104" s="26"/>
    </row>
    <row r="105" spans="1:16" s="4" customFormat="1" ht="25.5" customHeight="1" outlineLevel="1">
      <c r="A105" s="27" t="str">
        <f t="shared" ref="A105:A122" si="24">$A$104&amp;"."&amp;ROW()-ROW($A$104)</f>
        <v>6A.F1.1</v>
      </c>
      <c r="B105" s="35" t="s">
        <v>95</v>
      </c>
      <c r="C105" s="34" t="s">
        <v>551</v>
      </c>
      <c r="D105" s="29" t="s">
        <v>519</v>
      </c>
      <c r="E105" s="31">
        <v>946.80899999999997</v>
      </c>
      <c r="F105" s="150">
        <v>946.80899999999997</v>
      </c>
      <c r="G105" s="142">
        <f>_xlfn.XLOOKUP(B105, Rate_Master!$A:$A, Rate_Master!$C:$C, "")</f>
        <v>1587600.0077618286</v>
      </c>
      <c r="H105" s="142">
        <f>_xlfn.XLOOKUP(B105, Rate_Master!$A:$A, Rate_Master!$D:$D, "")</f>
        <v>1086539.80861244</v>
      </c>
      <c r="I105" s="32">
        <f>+G105+H105</f>
        <v>2674139.8163742684</v>
      </c>
      <c r="J105" s="32">
        <f t="shared" ref="J105:J122" si="25">I105*E105</f>
        <v>2531899645.4015045</v>
      </c>
      <c r="K105" s="32">
        <f t="shared" ref="K105:K122" si="26">I105*F105</f>
        <v>2531899645.4015045</v>
      </c>
      <c r="L105" s="32"/>
    </row>
    <row r="106" spans="1:16" s="4" customFormat="1" ht="25.5" customHeight="1" outlineLevel="1">
      <c r="A106" s="27" t="str">
        <f t="shared" si="24"/>
        <v>6A.F1.2</v>
      </c>
      <c r="B106" s="35" t="s">
        <v>96</v>
      </c>
      <c r="C106" s="34" t="s">
        <v>551</v>
      </c>
      <c r="D106" s="29" t="s">
        <v>519</v>
      </c>
      <c r="E106" s="31">
        <v>18.515999999999998</v>
      </c>
      <c r="F106" s="150">
        <v>18.515999999999998</v>
      </c>
      <c r="G106" s="142">
        <f>_xlfn.XLOOKUP(B106, Rate_Master!$A:$A, Rate_Master!$C:$C, "")</f>
        <v>1368500</v>
      </c>
      <c r="H106" s="142">
        <f>_xlfn.XLOOKUP(B106, Rate_Master!$A:$A, Rate_Master!$D:$D, "")</f>
        <v>948749.99999999988</v>
      </c>
      <c r="I106" s="32">
        <f>+G106+H106</f>
        <v>2317250</v>
      </c>
      <c r="J106" s="32">
        <f t="shared" si="25"/>
        <v>42906200.999999993</v>
      </c>
      <c r="K106" s="32">
        <f t="shared" si="26"/>
        <v>42906200.999999993</v>
      </c>
      <c r="L106" s="32"/>
    </row>
    <row r="107" spans="1:16" s="4" customFormat="1" ht="63.75" customHeight="1" outlineLevel="1">
      <c r="A107" s="27" t="str">
        <f t="shared" si="24"/>
        <v>6A.F1.3</v>
      </c>
      <c r="B107" s="28" t="s">
        <v>97</v>
      </c>
      <c r="C107" s="34" t="s">
        <v>552</v>
      </c>
      <c r="D107" s="29" t="s">
        <v>520</v>
      </c>
      <c r="E107" s="31">
        <v>0</v>
      </c>
      <c r="F107" s="150">
        <v>0</v>
      </c>
      <c r="G107" s="144">
        <f>_xlfn.XLOOKUP(B107, Rate_Master!$A:$A, Rate_Master!$C:$C, "")</f>
        <v>229999.99999999997</v>
      </c>
      <c r="H107" s="144">
        <f>_xlfn.XLOOKUP(B107, Rate_Master!$A:$A, Rate_Master!$D:$D, "")</f>
        <v>46000</v>
      </c>
      <c r="I107" s="32">
        <v>0</v>
      </c>
      <c r="J107" s="32">
        <f t="shared" si="25"/>
        <v>0</v>
      </c>
      <c r="K107" s="32">
        <f t="shared" si="26"/>
        <v>0</v>
      </c>
      <c r="L107" s="32"/>
    </row>
    <row r="108" spans="1:16" s="4" customFormat="1" ht="51" customHeight="1" outlineLevel="1">
      <c r="A108" s="27" t="str">
        <f t="shared" si="24"/>
        <v>6A.F1.4</v>
      </c>
      <c r="B108" s="28" t="s">
        <v>98</v>
      </c>
      <c r="C108" s="34" t="s">
        <v>553</v>
      </c>
      <c r="D108" s="29" t="s">
        <v>520</v>
      </c>
      <c r="E108" s="31">
        <v>0</v>
      </c>
      <c r="F108" s="150">
        <v>0</v>
      </c>
      <c r="G108" s="144">
        <f>_xlfn.XLOOKUP(B108, Rate_Master!$A:$A, Rate_Master!$C:$C, "")</f>
        <v>0</v>
      </c>
      <c r="H108" s="144">
        <f>_xlfn.XLOOKUP(B108, Rate_Master!$A:$A, Rate_Master!$D:$D, "")</f>
        <v>0</v>
      </c>
      <c r="I108" s="32">
        <v>0</v>
      </c>
      <c r="J108" s="32">
        <f t="shared" si="25"/>
        <v>0</v>
      </c>
      <c r="K108" s="32">
        <f t="shared" si="26"/>
        <v>0</v>
      </c>
      <c r="L108" s="32"/>
    </row>
    <row r="109" spans="1:16" s="4" customFormat="1" ht="51" customHeight="1" outlineLevel="1">
      <c r="A109" s="27" t="str">
        <f t="shared" si="24"/>
        <v>6A.F1.5</v>
      </c>
      <c r="B109" s="28" t="s">
        <v>99</v>
      </c>
      <c r="C109" s="34" t="s">
        <v>553</v>
      </c>
      <c r="D109" s="29" t="s">
        <v>520</v>
      </c>
      <c r="E109" s="31">
        <v>0</v>
      </c>
      <c r="F109" s="150">
        <v>0</v>
      </c>
      <c r="G109" s="144">
        <f>_xlfn.XLOOKUP(B109, Rate_Master!$A:$A, Rate_Master!$C:$C, "")</f>
        <v>931499.99999999988</v>
      </c>
      <c r="H109" s="144">
        <f>_xlfn.XLOOKUP(B109, Rate_Master!$A:$A, Rate_Master!$D:$D, "")</f>
        <v>114999.99999999999</v>
      </c>
      <c r="I109" s="32">
        <v>0</v>
      </c>
      <c r="J109" s="32">
        <f t="shared" si="25"/>
        <v>0</v>
      </c>
      <c r="K109" s="32">
        <f t="shared" si="26"/>
        <v>0</v>
      </c>
      <c r="L109" s="32"/>
    </row>
    <row r="110" spans="1:16" s="4" customFormat="1" ht="25.5" customHeight="1" outlineLevel="1">
      <c r="A110" s="27" t="str">
        <f t="shared" si="24"/>
        <v>6A.F1.6</v>
      </c>
      <c r="B110" s="28" t="s">
        <v>100</v>
      </c>
      <c r="C110" s="34" t="s">
        <v>554</v>
      </c>
      <c r="D110" s="29" t="s">
        <v>520</v>
      </c>
      <c r="E110" s="31">
        <v>684.80899999999997</v>
      </c>
      <c r="F110" s="150">
        <v>684.80899999999997</v>
      </c>
      <c r="G110" s="144">
        <f>_xlfn.XLOOKUP(B110, Rate_Master!$A:$A, Rate_Master!$C:$C, "")</f>
        <v>1586790</v>
      </c>
      <c r="H110" s="144">
        <f>_xlfn.XLOOKUP(B110, Rate_Master!$A:$A, Rate_Master!$D:$D, "")</f>
        <v>372210</v>
      </c>
      <c r="I110" s="32">
        <f>+G110+H110</f>
        <v>1959000</v>
      </c>
      <c r="J110" s="32">
        <f t="shared" si="25"/>
        <v>1341540831</v>
      </c>
      <c r="K110" s="32">
        <f t="shared" si="26"/>
        <v>1341540831</v>
      </c>
      <c r="L110" s="32"/>
    </row>
    <row r="111" spans="1:16" s="4" customFormat="1" ht="51" customHeight="1" outlineLevel="1">
      <c r="A111" s="27" t="str">
        <f t="shared" si="24"/>
        <v>6A.F1.7</v>
      </c>
      <c r="B111" s="28" t="s">
        <v>101</v>
      </c>
      <c r="C111" s="28" t="s">
        <v>515</v>
      </c>
      <c r="D111" s="29" t="s">
        <v>520</v>
      </c>
      <c r="E111" s="31">
        <v>174.38</v>
      </c>
      <c r="F111" s="150">
        <v>174.38</v>
      </c>
      <c r="G111" s="144">
        <f>_xlfn.XLOOKUP(B111, Rate_Master!$A:$A, Rate_Master!$C:$C, "")</f>
        <v>1121250</v>
      </c>
      <c r="H111" s="144">
        <f>_xlfn.XLOOKUP(B111, Rate_Master!$A:$A, Rate_Master!$D:$D, "")</f>
        <v>114999.99999999999</v>
      </c>
      <c r="I111" s="32">
        <f>+G111+H111</f>
        <v>1236250</v>
      </c>
      <c r="J111" s="32">
        <f t="shared" si="25"/>
        <v>215577275</v>
      </c>
      <c r="K111" s="32">
        <f t="shared" si="26"/>
        <v>215577275</v>
      </c>
      <c r="L111" s="32"/>
    </row>
    <row r="112" spans="1:16" s="4" customFormat="1" ht="51" customHeight="1" outlineLevel="1">
      <c r="A112" s="27" t="str">
        <f t="shared" si="24"/>
        <v>6A.F1.8</v>
      </c>
      <c r="B112" s="28" t="s">
        <v>102</v>
      </c>
      <c r="C112" s="34" t="s">
        <v>555</v>
      </c>
      <c r="D112" s="29" t="s">
        <v>520</v>
      </c>
      <c r="E112" s="31">
        <v>0</v>
      </c>
      <c r="F112" s="150">
        <v>0</v>
      </c>
      <c r="G112" s="144">
        <f>_xlfn.XLOOKUP(B112, Rate_Master!$A:$A, Rate_Master!$C:$C, "")</f>
        <v>0</v>
      </c>
      <c r="H112" s="144">
        <f>_xlfn.XLOOKUP(B112, Rate_Master!$A:$A, Rate_Master!$D:$D, "")</f>
        <v>0</v>
      </c>
      <c r="I112" s="32">
        <v>0</v>
      </c>
      <c r="J112" s="32">
        <f t="shared" si="25"/>
        <v>0</v>
      </c>
      <c r="K112" s="32">
        <f t="shared" si="26"/>
        <v>0</v>
      </c>
      <c r="L112" s="32"/>
    </row>
    <row r="113" spans="1:12" s="4" customFormat="1" ht="51" customHeight="1" outlineLevel="1">
      <c r="A113" s="27" t="str">
        <f t="shared" si="24"/>
        <v>6A.F1.9</v>
      </c>
      <c r="B113" s="28" t="s">
        <v>103</v>
      </c>
      <c r="C113" s="34" t="s">
        <v>555</v>
      </c>
      <c r="D113" s="29" t="s">
        <v>520</v>
      </c>
      <c r="E113" s="31">
        <v>0</v>
      </c>
      <c r="F113" s="150">
        <v>0</v>
      </c>
      <c r="G113" s="144">
        <f>_xlfn.XLOOKUP(B113, Rate_Master!$A:$A, Rate_Master!$C:$C, "")</f>
        <v>0</v>
      </c>
      <c r="H113" s="144">
        <f>_xlfn.XLOOKUP(B113, Rate_Master!$A:$A, Rate_Master!$D:$D, "")</f>
        <v>0</v>
      </c>
      <c r="I113" s="32">
        <v>0</v>
      </c>
      <c r="J113" s="32">
        <f t="shared" si="25"/>
        <v>0</v>
      </c>
      <c r="K113" s="32">
        <f t="shared" si="26"/>
        <v>0</v>
      </c>
      <c r="L113" s="32"/>
    </row>
    <row r="114" spans="1:12" s="4" customFormat="1" ht="25.5" customHeight="1" outlineLevel="1">
      <c r="A114" s="27" t="str">
        <f t="shared" si="24"/>
        <v>6A.F1.10</v>
      </c>
      <c r="B114" s="28" t="s">
        <v>104</v>
      </c>
      <c r="C114" s="28" t="s">
        <v>515</v>
      </c>
      <c r="D114" s="29" t="s">
        <v>520</v>
      </c>
      <c r="E114" s="31">
        <v>5771.5</v>
      </c>
      <c r="F114" s="150">
        <v>5771.5</v>
      </c>
      <c r="G114" s="142">
        <f>_xlfn.XLOOKUP(B114, Rate_Master!$A:$A, Rate_Master!$C:$C, "")</f>
        <v>46000</v>
      </c>
      <c r="H114" s="142">
        <f>_xlfn.XLOOKUP(B114, Rate_Master!$A:$A, Rate_Master!$D:$D, "")</f>
        <v>34500</v>
      </c>
      <c r="I114" s="32">
        <f t="shared" ref="I114:I122" si="27">+G114+H114</f>
        <v>80500</v>
      </c>
      <c r="J114" s="32">
        <f t="shared" si="25"/>
        <v>464605750</v>
      </c>
      <c r="K114" s="32">
        <f t="shared" si="26"/>
        <v>464605750</v>
      </c>
      <c r="L114" s="32"/>
    </row>
    <row r="115" spans="1:12" s="4" customFormat="1" ht="25.5" customHeight="1" outlineLevel="1">
      <c r="A115" s="27" t="str">
        <f t="shared" si="24"/>
        <v>6A.F1.11</v>
      </c>
      <c r="B115" s="28" t="s">
        <v>105</v>
      </c>
      <c r="C115" s="34" t="s">
        <v>556</v>
      </c>
      <c r="D115" s="29" t="s">
        <v>520</v>
      </c>
      <c r="E115" s="31">
        <v>4591.2719999999999</v>
      </c>
      <c r="F115" s="150">
        <v>4591.2719999999999</v>
      </c>
      <c r="G115" s="142">
        <f>_xlfn.XLOOKUP(B115, Rate_Master!$A:$A, Rate_Master!$C:$C, "")</f>
        <v>26565.000000000004</v>
      </c>
      <c r="H115" s="142">
        <f>_xlfn.XLOOKUP(B115, Rate_Master!$A:$A, Rate_Master!$D:$D, "")</f>
        <v>132250</v>
      </c>
      <c r="I115" s="32">
        <f t="shared" si="27"/>
        <v>158815</v>
      </c>
      <c r="J115" s="32">
        <f t="shared" si="25"/>
        <v>729162862.67999995</v>
      </c>
      <c r="K115" s="32">
        <f t="shared" si="26"/>
        <v>729162862.67999995</v>
      </c>
      <c r="L115" s="32"/>
    </row>
    <row r="116" spans="1:12" s="4" customFormat="1" ht="25.5" customHeight="1" outlineLevel="1">
      <c r="A116" s="27" t="str">
        <f t="shared" si="24"/>
        <v>6A.F1.12</v>
      </c>
      <c r="B116" s="28" t="s">
        <v>106</v>
      </c>
      <c r="C116" s="34" t="s">
        <v>556</v>
      </c>
      <c r="D116" s="29" t="s">
        <v>520</v>
      </c>
      <c r="E116" s="31">
        <v>5757.5640000000003</v>
      </c>
      <c r="F116" s="150">
        <v>5757.5640000000003</v>
      </c>
      <c r="G116" s="142">
        <f>_xlfn.XLOOKUP(B116, Rate_Master!$A:$A, Rate_Master!$C:$C, "")</f>
        <v>26565.000000000004</v>
      </c>
      <c r="H116" s="142">
        <f>_xlfn.XLOOKUP(B116, Rate_Master!$A:$A, Rate_Master!$D:$D, "")</f>
        <v>117299.99999999999</v>
      </c>
      <c r="I116" s="32">
        <f t="shared" si="27"/>
        <v>143865</v>
      </c>
      <c r="J116" s="32">
        <f t="shared" si="25"/>
        <v>828311944.86000001</v>
      </c>
      <c r="K116" s="32">
        <f t="shared" si="26"/>
        <v>828311944.86000001</v>
      </c>
      <c r="L116" s="32"/>
    </row>
    <row r="117" spans="1:12" s="4" customFormat="1" ht="38.25" customHeight="1" outlineLevel="1">
      <c r="A117" s="27" t="str">
        <f t="shared" si="24"/>
        <v>6A.F1.13</v>
      </c>
      <c r="B117" s="28" t="s">
        <v>107</v>
      </c>
      <c r="C117" s="28" t="s">
        <v>515</v>
      </c>
      <c r="D117" s="29" t="s">
        <v>520</v>
      </c>
      <c r="E117" s="31">
        <v>583.35799999999995</v>
      </c>
      <c r="F117" s="150">
        <v>583.35799999999995</v>
      </c>
      <c r="G117" s="144">
        <f>_xlfn.XLOOKUP(B117, Rate_Master!$A:$A, Rate_Master!$C:$C, "")</f>
        <v>218499.99999999997</v>
      </c>
      <c r="H117" s="144">
        <f>_xlfn.XLOOKUP(B117, Rate_Master!$A:$A, Rate_Master!$D:$D, "")</f>
        <v>138000</v>
      </c>
      <c r="I117" s="32">
        <f t="shared" si="27"/>
        <v>356500</v>
      </c>
      <c r="J117" s="32">
        <f t="shared" si="25"/>
        <v>207967126.99999997</v>
      </c>
      <c r="K117" s="32">
        <f t="shared" si="26"/>
        <v>207967126.99999997</v>
      </c>
      <c r="L117" s="32"/>
    </row>
    <row r="118" spans="1:12" s="4" customFormat="1" ht="25.5" customHeight="1" outlineLevel="1">
      <c r="A118" s="27" t="str">
        <f t="shared" si="24"/>
        <v>6A.F1.14</v>
      </c>
      <c r="B118" s="34" t="s">
        <v>108</v>
      </c>
      <c r="C118" s="28" t="s">
        <v>515</v>
      </c>
      <c r="D118" s="29" t="s">
        <v>520</v>
      </c>
      <c r="E118" s="31">
        <v>4591.2719999999999</v>
      </c>
      <c r="F118" s="150">
        <v>4591.2719999999999</v>
      </c>
      <c r="G118" s="142">
        <f>_xlfn.XLOOKUP(B118, Rate_Master!$A:$A, Rate_Master!$C:$C, "")</f>
        <v>51749.999999999993</v>
      </c>
      <c r="H118" s="142">
        <f>_xlfn.XLOOKUP(B118, Rate_Master!$A:$A, Rate_Master!$D:$D, "")</f>
        <v>34500</v>
      </c>
      <c r="I118" s="32">
        <f t="shared" si="27"/>
        <v>86250</v>
      </c>
      <c r="J118" s="32">
        <f t="shared" si="25"/>
        <v>395997210</v>
      </c>
      <c r="K118" s="32">
        <f t="shared" si="26"/>
        <v>395997210</v>
      </c>
      <c r="L118" s="32"/>
    </row>
    <row r="119" spans="1:12" s="4" customFormat="1" ht="25.5" customHeight="1" outlineLevel="1">
      <c r="A119" s="27" t="str">
        <f t="shared" si="24"/>
        <v>6A.F1.15</v>
      </c>
      <c r="B119" s="34" t="s">
        <v>109</v>
      </c>
      <c r="C119" s="28" t="s">
        <v>515</v>
      </c>
      <c r="D119" s="29" t="s">
        <v>520</v>
      </c>
      <c r="E119" s="31">
        <v>4851.3850000000002</v>
      </c>
      <c r="F119" s="150">
        <v>4851.3850000000002</v>
      </c>
      <c r="G119" s="144">
        <f>_xlfn.XLOOKUP(B119, Rate_Master!$A:$A, Rate_Master!$C:$C, "")</f>
        <v>46000</v>
      </c>
      <c r="H119" s="144">
        <f>_xlfn.XLOOKUP(B119, Rate_Master!$A:$A, Rate_Master!$D:$D, "")</f>
        <v>19550</v>
      </c>
      <c r="I119" s="32">
        <f t="shared" si="27"/>
        <v>65550</v>
      </c>
      <c r="J119" s="32">
        <f t="shared" si="25"/>
        <v>318008286.75</v>
      </c>
      <c r="K119" s="32">
        <f t="shared" si="26"/>
        <v>318008286.75</v>
      </c>
      <c r="L119" s="32"/>
    </row>
    <row r="120" spans="1:12" s="4" customFormat="1" ht="38.25" customHeight="1" outlineLevel="1">
      <c r="A120" s="27" t="str">
        <f t="shared" si="24"/>
        <v>6A.F1.16</v>
      </c>
      <c r="B120" s="34" t="s">
        <v>110</v>
      </c>
      <c r="C120" s="28" t="s">
        <v>515</v>
      </c>
      <c r="D120" s="29" t="s">
        <v>520</v>
      </c>
      <c r="E120" s="31">
        <v>246.78899999999999</v>
      </c>
      <c r="F120" s="150">
        <v>246.78899999999999</v>
      </c>
      <c r="G120" s="144">
        <f>_xlfn.XLOOKUP(B120, Rate_Master!$A:$A, Rate_Master!$C:$C, "")</f>
        <v>51749.999999999993</v>
      </c>
      <c r="H120" s="144">
        <f>_xlfn.XLOOKUP(B120, Rate_Master!$A:$A, Rate_Master!$D:$D, "")</f>
        <v>17250</v>
      </c>
      <c r="I120" s="32">
        <f t="shared" si="27"/>
        <v>69000</v>
      </c>
      <c r="J120" s="32">
        <f t="shared" si="25"/>
        <v>17028441</v>
      </c>
      <c r="K120" s="32">
        <f t="shared" si="26"/>
        <v>17028441</v>
      </c>
      <c r="L120" s="32"/>
    </row>
    <row r="121" spans="1:12" s="4" customFormat="1" ht="25.5" customHeight="1" outlineLevel="1">
      <c r="A121" s="27" t="str">
        <f t="shared" si="24"/>
        <v>6A.F1.17</v>
      </c>
      <c r="B121" s="34" t="s">
        <v>111</v>
      </c>
      <c r="C121" s="28" t="s">
        <v>515</v>
      </c>
      <c r="D121" s="29" t="s">
        <v>520</v>
      </c>
      <c r="E121" s="31">
        <v>76.031999999999996</v>
      </c>
      <c r="F121" s="150">
        <v>76.031999999999996</v>
      </c>
      <c r="G121" s="144">
        <f>_xlfn.XLOOKUP(B121, Rate_Master!$A:$A, Rate_Master!$C:$C, "")</f>
        <v>172500</v>
      </c>
      <c r="H121" s="144">
        <f>_xlfn.XLOOKUP(B121, Rate_Master!$A:$A, Rate_Master!$D:$D, "")</f>
        <v>28749.999999999996</v>
      </c>
      <c r="I121" s="32">
        <f t="shared" si="27"/>
        <v>201250</v>
      </c>
      <c r="J121" s="32">
        <f t="shared" si="25"/>
        <v>15301440</v>
      </c>
      <c r="K121" s="32">
        <f t="shared" si="26"/>
        <v>15301440</v>
      </c>
      <c r="L121" s="32"/>
    </row>
    <row r="122" spans="1:12" s="4" customFormat="1" ht="38.25" customHeight="1" outlineLevel="1">
      <c r="A122" s="27" t="str">
        <f t="shared" si="24"/>
        <v>6A.F1.18</v>
      </c>
      <c r="B122" s="34" t="s">
        <v>112</v>
      </c>
      <c r="C122" s="34" t="s">
        <v>557</v>
      </c>
      <c r="D122" s="29" t="s">
        <v>517</v>
      </c>
      <c r="E122" s="31">
        <v>410.8</v>
      </c>
      <c r="F122" s="150">
        <v>410.8</v>
      </c>
      <c r="G122" s="144">
        <f>_xlfn.XLOOKUP(B122, Rate_Master!$A:$A, Rate_Master!$C:$C, "")</f>
        <v>163300</v>
      </c>
      <c r="H122" s="144">
        <f>_xlfn.XLOOKUP(B122, Rate_Master!$A:$A, Rate_Master!$D:$D, "")</f>
        <v>51749.999999999993</v>
      </c>
      <c r="I122" s="32">
        <f t="shared" si="27"/>
        <v>215050</v>
      </c>
      <c r="J122" s="32">
        <f t="shared" si="25"/>
        <v>88342540</v>
      </c>
      <c r="K122" s="32">
        <f t="shared" si="26"/>
        <v>88342540</v>
      </c>
      <c r="L122" s="32"/>
    </row>
    <row r="123" spans="1:12" s="3" customFormat="1" ht="25.5" customHeight="1">
      <c r="A123" s="22" t="str">
        <f>$A$103&amp;2</f>
        <v>6A.F2</v>
      </c>
      <c r="B123" s="23" t="s">
        <v>113</v>
      </c>
      <c r="C123" s="23" t="s">
        <v>515</v>
      </c>
      <c r="D123" s="22"/>
      <c r="E123" s="25"/>
      <c r="F123" s="149"/>
      <c r="G123" s="145">
        <f>_xlfn.XLOOKUP(B123, Rate_Master!$A:$A, Rate_Master!$C:$C, "")</f>
        <v>0</v>
      </c>
      <c r="H123" s="145">
        <f>_xlfn.XLOOKUP(B123, Rate_Master!$A:$A, Rate_Master!$D:$D, "")</f>
        <v>0</v>
      </c>
      <c r="I123" s="26">
        <v>0</v>
      </c>
      <c r="J123" s="26">
        <f>SUBTOTAL(9,J124:J128)</f>
        <v>1070063755.2999998</v>
      </c>
      <c r="K123" s="26">
        <f>SUBTOTAL(9,K124:K128)</f>
        <v>1070063755.2999998</v>
      </c>
      <c r="L123" s="26"/>
    </row>
    <row r="124" spans="1:12" s="4" customFormat="1" ht="51" customHeight="1" outlineLevel="1">
      <c r="A124" s="27" t="str">
        <f>$A$123&amp;"."&amp;ROW()-ROW($A$123)</f>
        <v>6A.F2.1</v>
      </c>
      <c r="B124" s="34" t="s">
        <v>114</v>
      </c>
      <c r="C124" s="28" t="s">
        <v>515</v>
      </c>
      <c r="D124" s="29" t="s">
        <v>520</v>
      </c>
      <c r="E124" s="31">
        <v>192.71100000000001</v>
      </c>
      <c r="F124" s="150">
        <v>192.71100000000001</v>
      </c>
      <c r="G124" s="142">
        <f>_xlfn.XLOOKUP(B124, Rate_Master!$A:$A, Rate_Master!$C:$C, "")</f>
        <v>206999.99999999997</v>
      </c>
      <c r="H124" s="142">
        <f>_xlfn.XLOOKUP(B124, Rate_Master!$A:$A, Rate_Master!$D:$D, "")</f>
        <v>126499.99999999999</v>
      </c>
      <c r="I124" s="32">
        <f>+G124+H124</f>
        <v>333499.99999999994</v>
      </c>
      <c r="J124" s="32">
        <f>I124*E124</f>
        <v>64269118.499999993</v>
      </c>
      <c r="K124" s="32">
        <f>I124*F124</f>
        <v>64269118.499999993</v>
      </c>
      <c r="L124" s="32"/>
    </row>
    <row r="125" spans="1:12" s="4" customFormat="1" ht="51" customHeight="1" outlineLevel="1">
      <c r="A125" s="27" t="str">
        <f>$A$123&amp;"."&amp;ROW()-ROW($A$123)</f>
        <v>6A.F2.2</v>
      </c>
      <c r="B125" s="28" t="s">
        <v>115</v>
      </c>
      <c r="C125" s="28" t="s">
        <v>515</v>
      </c>
      <c r="D125" s="29" t="s">
        <v>520</v>
      </c>
      <c r="E125" s="31">
        <v>12861.824000000001</v>
      </c>
      <c r="F125" s="150">
        <v>12861.824000000001</v>
      </c>
      <c r="G125" s="142">
        <f>_xlfn.XLOOKUP(B125, Rate_Master!$A:$A, Rate_Master!$C:$C, "")</f>
        <v>28749.999999999996</v>
      </c>
      <c r="H125" s="142">
        <f>_xlfn.XLOOKUP(B125, Rate_Master!$A:$A, Rate_Master!$D:$D, "")</f>
        <v>49449.999999999993</v>
      </c>
      <c r="I125" s="32">
        <f>+G125+H125</f>
        <v>78199.999999999985</v>
      </c>
      <c r="J125" s="32">
        <f>I125*E125</f>
        <v>1005794636.7999998</v>
      </c>
      <c r="K125" s="32">
        <f>I125*F125</f>
        <v>1005794636.7999998</v>
      </c>
      <c r="L125" s="32"/>
    </row>
    <row r="126" spans="1:12" s="4" customFormat="1" ht="51" customHeight="1" outlineLevel="1">
      <c r="A126" s="27" t="str">
        <f>$A$123&amp;"."&amp;ROW()-ROW($A$123)</f>
        <v>6A.F2.3</v>
      </c>
      <c r="B126" s="34" t="s">
        <v>116</v>
      </c>
      <c r="C126" s="28" t="s">
        <v>515</v>
      </c>
      <c r="D126" s="29" t="s">
        <v>520</v>
      </c>
      <c r="E126" s="31">
        <v>0</v>
      </c>
      <c r="F126" s="150">
        <v>0</v>
      </c>
      <c r="G126" s="144">
        <f>_xlfn.XLOOKUP(B126, Rate_Master!$A:$A, Rate_Master!$C:$C, "")</f>
        <v>0</v>
      </c>
      <c r="H126" s="144">
        <f>_xlfn.XLOOKUP(B126, Rate_Master!$A:$A, Rate_Master!$D:$D, "")</f>
        <v>0</v>
      </c>
      <c r="I126" s="32">
        <v>0</v>
      </c>
      <c r="J126" s="32">
        <f>I126*E126</f>
        <v>0</v>
      </c>
      <c r="K126" s="32">
        <f>I126*F126</f>
        <v>0</v>
      </c>
      <c r="L126" s="32"/>
    </row>
    <row r="127" spans="1:12" s="4" customFormat="1" ht="51" customHeight="1" outlineLevel="1">
      <c r="A127" s="27" t="str">
        <f>$A$123&amp;"."&amp;ROW()-ROW($A$123)</f>
        <v>6A.F2.4</v>
      </c>
      <c r="B127" s="34" t="s">
        <v>117</v>
      </c>
      <c r="C127" s="28" t="s">
        <v>515</v>
      </c>
      <c r="D127" s="29" t="s">
        <v>520</v>
      </c>
      <c r="E127" s="31">
        <v>0</v>
      </c>
      <c r="F127" s="150">
        <v>0</v>
      </c>
      <c r="G127" s="144">
        <f>_xlfn.XLOOKUP(B127, Rate_Master!$A:$A, Rate_Master!$C:$C, "")</f>
        <v>0</v>
      </c>
      <c r="H127" s="144">
        <f>_xlfn.XLOOKUP(B127, Rate_Master!$A:$A, Rate_Master!$D:$D, "")</f>
        <v>0</v>
      </c>
      <c r="I127" s="32">
        <v>0</v>
      </c>
      <c r="J127" s="32">
        <f>I127*E127</f>
        <v>0</v>
      </c>
      <c r="K127" s="32">
        <f>I127*F127</f>
        <v>0</v>
      </c>
      <c r="L127" s="32"/>
    </row>
    <row r="128" spans="1:12" s="4" customFormat="1" ht="38.25" customHeight="1" outlineLevel="1">
      <c r="A128" s="27" t="str">
        <f>$A$123&amp;"."&amp;ROW()-ROW($A$123)</f>
        <v>6A.F2.5</v>
      </c>
      <c r="B128" s="34" t="s">
        <v>118</v>
      </c>
      <c r="C128" s="28" t="s">
        <v>515</v>
      </c>
      <c r="D128" s="29" t="s">
        <v>520</v>
      </c>
      <c r="E128" s="31">
        <v>0</v>
      </c>
      <c r="F128" s="150">
        <v>0</v>
      </c>
      <c r="G128" s="144">
        <f>_xlfn.XLOOKUP(B128, Rate_Master!$A:$A, Rate_Master!$C:$C, "")</f>
        <v>0</v>
      </c>
      <c r="H128" s="144">
        <f>_xlfn.XLOOKUP(B128, Rate_Master!$A:$A, Rate_Master!$D:$D, "")</f>
        <v>0</v>
      </c>
      <c r="I128" s="32">
        <v>0</v>
      </c>
      <c r="J128" s="32">
        <f>I128*E128</f>
        <v>0</v>
      </c>
      <c r="K128" s="32">
        <f>I128*F128</f>
        <v>0</v>
      </c>
      <c r="L128" s="32"/>
    </row>
    <row r="129" spans="1:12" s="3" customFormat="1" ht="25.5" customHeight="1">
      <c r="A129" s="22" t="str">
        <f>$A$103&amp;3</f>
        <v>6A.F3</v>
      </c>
      <c r="B129" s="23" t="s">
        <v>119</v>
      </c>
      <c r="C129" s="23" t="s">
        <v>515</v>
      </c>
      <c r="D129" s="22"/>
      <c r="E129" s="25"/>
      <c r="F129" s="149"/>
      <c r="G129" s="145">
        <f>_xlfn.XLOOKUP(B129, Rate_Master!$A:$A, Rate_Master!$C:$C, "")</f>
        <v>0</v>
      </c>
      <c r="H129" s="145">
        <f>_xlfn.XLOOKUP(B129, Rate_Master!$A:$A, Rate_Master!$D:$D, "")</f>
        <v>0</v>
      </c>
      <c r="I129" s="26">
        <v>0</v>
      </c>
      <c r="J129" s="26">
        <f>SUBTOTAL(9,J130:J137)</f>
        <v>26367395.5</v>
      </c>
      <c r="K129" s="26">
        <f>SUBTOTAL(9,K130:K137)</f>
        <v>26367395.5</v>
      </c>
      <c r="L129" s="26"/>
    </row>
    <row r="130" spans="1:12" s="4" customFormat="1" ht="25.5" customHeight="1" outlineLevel="1">
      <c r="A130" s="27" t="str">
        <f t="shared" ref="A130:A137" si="28">$A$129&amp;"."&amp;ROW()-ROW($A$129)</f>
        <v>6A.F3.1</v>
      </c>
      <c r="B130" s="34" t="s">
        <v>120</v>
      </c>
      <c r="C130" s="28" t="s">
        <v>515</v>
      </c>
      <c r="D130" s="29" t="s">
        <v>520</v>
      </c>
      <c r="E130" s="31">
        <v>227.75800000000001</v>
      </c>
      <c r="F130" s="150">
        <v>227.75800000000001</v>
      </c>
      <c r="G130" s="144">
        <f>_xlfn.XLOOKUP(B130, Rate_Master!$A:$A, Rate_Master!$C:$C, "")</f>
        <v>28749.999999999996</v>
      </c>
      <c r="H130" s="144">
        <f>_xlfn.XLOOKUP(B130, Rate_Master!$A:$A, Rate_Master!$D:$D, "")</f>
        <v>0</v>
      </c>
      <c r="I130" s="32">
        <f>+G130+H130</f>
        <v>28749.999999999996</v>
      </c>
      <c r="J130" s="32">
        <f t="shared" ref="J130:J137" si="29">I130*E130</f>
        <v>6548042.4999999991</v>
      </c>
      <c r="K130" s="32">
        <f t="shared" ref="K130:K137" si="30">I130*F130</f>
        <v>6548042.4999999991</v>
      </c>
      <c r="L130" s="32"/>
    </row>
    <row r="131" spans="1:12" s="4" customFormat="1" ht="25.5" customHeight="1" outlineLevel="1">
      <c r="A131" s="27" t="str">
        <f t="shared" si="28"/>
        <v>6A.F3.2</v>
      </c>
      <c r="B131" s="34" t="s">
        <v>121</v>
      </c>
      <c r="C131" s="28" t="s">
        <v>515</v>
      </c>
      <c r="D131" s="29" t="s">
        <v>520</v>
      </c>
      <c r="E131" s="31">
        <v>13.041</v>
      </c>
      <c r="F131" s="150">
        <v>13.041</v>
      </c>
      <c r="G131" s="144">
        <f>_xlfn.XLOOKUP(B131, Rate_Master!$A:$A, Rate_Master!$C:$C, "")</f>
        <v>0</v>
      </c>
      <c r="H131" s="144">
        <f>_xlfn.XLOOKUP(B131, Rate_Master!$A:$A, Rate_Master!$D:$D, "")</f>
        <v>0</v>
      </c>
      <c r="I131" s="32">
        <f>+G131+H131</f>
        <v>0</v>
      </c>
      <c r="J131" s="32">
        <f t="shared" si="29"/>
        <v>0</v>
      </c>
      <c r="K131" s="32">
        <f t="shared" si="30"/>
        <v>0</v>
      </c>
      <c r="L131" s="32"/>
    </row>
    <row r="132" spans="1:12" s="4" customFormat="1" ht="38.25" customHeight="1" outlineLevel="1">
      <c r="A132" s="27" t="str">
        <f t="shared" si="28"/>
        <v>6A.F3.3</v>
      </c>
      <c r="B132" s="34" t="s">
        <v>122</v>
      </c>
      <c r="C132" s="28" t="s">
        <v>515</v>
      </c>
      <c r="D132" s="29" t="s">
        <v>520</v>
      </c>
      <c r="E132" s="31">
        <v>186.21600000000001</v>
      </c>
      <c r="F132" s="150">
        <v>186.21600000000001</v>
      </c>
      <c r="G132" s="144">
        <f>_xlfn.XLOOKUP(B132, Rate_Master!$A:$A, Rate_Master!$C:$C, "")</f>
        <v>51749.999999999993</v>
      </c>
      <c r="H132" s="144">
        <f>_xlfn.XLOOKUP(B132, Rate_Master!$A:$A, Rate_Master!$D:$D, "")</f>
        <v>23000</v>
      </c>
      <c r="I132" s="32">
        <f>+G132+H132</f>
        <v>74750</v>
      </c>
      <c r="J132" s="32">
        <f t="shared" si="29"/>
        <v>13919646</v>
      </c>
      <c r="K132" s="32">
        <f t="shared" si="30"/>
        <v>13919646</v>
      </c>
      <c r="L132" s="32"/>
    </row>
    <row r="133" spans="1:12" s="4" customFormat="1" ht="25.5" customHeight="1" outlineLevel="1">
      <c r="A133" s="27" t="str">
        <f t="shared" si="28"/>
        <v>6A.F3.4</v>
      </c>
      <c r="B133" s="34" t="s">
        <v>123</v>
      </c>
      <c r="C133" s="28" t="s">
        <v>515</v>
      </c>
      <c r="D133" s="29" t="s">
        <v>520</v>
      </c>
      <c r="E133" s="31">
        <v>28.501000000000001</v>
      </c>
      <c r="F133" s="150">
        <v>28.501000000000001</v>
      </c>
      <c r="G133" s="144">
        <f>_xlfn.XLOOKUP(B133, Rate_Master!$A:$A, Rate_Master!$C:$C, "")</f>
        <v>172500</v>
      </c>
      <c r="H133" s="144">
        <f>_xlfn.XLOOKUP(B133, Rate_Master!$A:$A, Rate_Master!$D:$D, "")</f>
        <v>34500</v>
      </c>
      <c r="I133" s="32">
        <f>+G133+H133</f>
        <v>207000</v>
      </c>
      <c r="J133" s="32">
        <f t="shared" si="29"/>
        <v>5899707</v>
      </c>
      <c r="K133" s="32">
        <f t="shared" si="30"/>
        <v>5899707</v>
      </c>
      <c r="L133" s="32"/>
    </row>
    <row r="134" spans="1:12" s="4" customFormat="1" ht="51" customHeight="1" outlineLevel="1">
      <c r="A134" s="27" t="str">
        <f t="shared" si="28"/>
        <v>6A.F3.5</v>
      </c>
      <c r="B134" s="28" t="s">
        <v>124</v>
      </c>
      <c r="C134" s="34" t="s">
        <v>553</v>
      </c>
      <c r="D134" s="29" t="s">
        <v>520</v>
      </c>
      <c r="E134" s="31">
        <v>0</v>
      </c>
      <c r="F134" s="150">
        <v>0</v>
      </c>
      <c r="G134" s="142">
        <f>_xlfn.XLOOKUP(B134, Rate_Master!$A:$A, Rate_Master!$C:$C, "")</f>
        <v>1069500</v>
      </c>
      <c r="H134" s="142">
        <f>_xlfn.XLOOKUP(B134, Rate_Master!$A:$A, Rate_Master!$D:$D, "")</f>
        <v>172500</v>
      </c>
      <c r="I134" s="32">
        <v>0</v>
      </c>
      <c r="J134" s="32">
        <f t="shared" si="29"/>
        <v>0</v>
      </c>
      <c r="K134" s="32">
        <f t="shared" si="30"/>
        <v>0</v>
      </c>
      <c r="L134" s="32"/>
    </row>
    <row r="135" spans="1:12" s="4" customFormat="1" ht="51" customHeight="1" outlineLevel="1">
      <c r="A135" s="27" t="str">
        <f t="shared" si="28"/>
        <v>6A.F3.6</v>
      </c>
      <c r="B135" s="34" t="s">
        <v>125</v>
      </c>
      <c r="C135" s="28" t="s">
        <v>515</v>
      </c>
      <c r="D135" s="29" t="s">
        <v>520</v>
      </c>
      <c r="E135" s="31">
        <v>0</v>
      </c>
      <c r="F135" s="150">
        <v>0</v>
      </c>
      <c r="G135" s="142">
        <f>_xlfn.XLOOKUP(B135, Rate_Master!$A:$A, Rate_Master!$C:$C, "")</f>
        <v>965999.99999999988</v>
      </c>
      <c r="H135" s="142">
        <f>_xlfn.XLOOKUP(B135, Rate_Master!$A:$A, Rate_Master!$D:$D, "")</f>
        <v>138000</v>
      </c>
      <c r="I135" s="32">
        <v>0</v>
      </c>
      <c r="J135" s="32">
        <f t="shared" si="29"/>
        <v>0</v>
      </c>
      <c r="K135" s="32">
        <f t="shared" si="30"/>
        <v>0</v>
      </c>
      <c r="L135" s="32"/>
    </row>
    <row r="136" spans="1:12" s="4" customFormat="1" ht="25.5" customHeight="1" outlineLevel="1">
      <c r="A136" s="27" t="str">
        <f t="shared" si="28"/>
        <v>6A.F3.7</v>
      </c>
      <c r="B136" s="28" t="s">
        <v>126</v>
      </c>
      <c r="C136" s="28" t="s">
        <v>515</v>
      </c>
      <c r="D136" s="29" t="s">
        <v>520</v>
      </c>
      <c r="E136" s="31">
        <v>0</v>
      </c>
      <c r="F136" s="150">
        <v>0</v>
      </c>
      <c r="G136" s="142">
        <f>_xlfn.XLOOKUP(B136, Rate_Master!$A:$A, Rate_Master!$C:$C, "")</f>
        <v>0</v>
      </c>
      <c r="H136" s="142">
        <f>_xlfn.XLOOKUP(B136, Rate_Master!$A:$A, Rate_Master!$D:$D, "")</f>
        <v>0</v>
      </c>
      <c r="I136" s="32">
        <v>0</v>
      </c>
      <c r="J136" s="32">
        <f t="shared" si="29"/>
        <v>0</v>
      </c>
      <c r="K136" s="32">
        <f t="shared" si="30"/>
        <v>0</v>
      </c>
      <c r="L136" s="32"/>
    </row>
    <row r="137" spans="1:12" s="4" customFormat="1" ht="25.5" customHeight="1" outlineLevel="1">
      <c r="A137" s="27" t="str">
        <f t="shared" si="28"/>
        <v>6A.F3.8</v>
      </c>
      <c r="B137" s="34" t="s">
        <v>127</v>
      </c>
      <c r="C137" s="28" t="s">
        <v>515</v>
      </c>
      <c r="D137" s="29" t="s">
        <v>520</v>
      </c>
      <c r="E137" s="31">
        <v>0</v>
      </c>
      <c r="F137" s="150">
        <v>0</v>
      </c>
      <c r="G137" s="142">
        <f>_xlfn.XLOOKUP(B137, Rate_Master!$A:$A, Rate_Master!$C:$C, "")</f>
        <v>0</v>
      </c>
      <c r="H137" s="142">
        <f>_xlfn.XLOOKUP(B137, Rate_Master!$A:$A, Rate_Master!$D:$D, "")</f>
        <v>0</v>
      </c>
      <c r="I137" s="32">
        <v>0</v>
      </c>
      <c r="J137" s="32">
        <f t="shared" si="29"/>
        <v>0</v>
      </c>
      <c r="K137" s="32">
        <f t="shared" si="30"/>
        <v>0</v>
      </c>
      <c r="L137" s="32"/>
    </row>
    <row r="138" spans="1:12" s="3" customFormat="1" ht="25.5" customHeight="1">
      <c r="A138" s="22" t="str">
        <f>$A$103&amp;4</f>
        <v>6A.F4</v>
      </c>
      <c r="B138" s="23" t="s">
        <v>128</v>
      </c>
      <c r="C138" s="23" t="s">
        <v>515</v>
      </c>
      <c r="D138" s="22"/>
      <c r="E138" s="25"/>
      <c r="F138" s="149"/>
      <c r="G138" s="145">
        <f>_xlfn.XLOOKUP(B138, Rate_Master!$A:$A, Rate_Master!$C:$C, "")</f>
        <v>0</v>
      </c>
      <c r="H138" s="145">
        <f>_xlfn.XLOOKUP(B138, Rate_Master!$A:$A, Rate_Master!$D:$D, "")</f>
        <v>0</v>
      </c>
      <c r="I138" s="26">
        <v>0</v>
      </c>
      <c r="J138" s="26">
        <f>SUBTOTAL(9,J139:J145)</f>
        <v>805263350</v>
      </c>
      <c r="K138" s="26">
        <f>SUBTOTAL(9,K139:K145)</f>
        <v>805263350</v>
      </c>
      <c r="L138" s="26"/>
    </row>
    <row r="139" spans="1:12" s="4" customFormat="1" ht="63.75" customHeight="1" outlineLevel="1">
      <c r="A139" s="27" t="str">
        <f t="shared" ref="A139:A145" si="31">$A$138&amp;"."&amp;ROW()-ROW($A$138)</f>
        <v>6A.F4.1</v>
      </c>
      <c r="B139" s="28" t="s">
        <v>164</v>
      </c>
      <c r="C139" s="28" t="s">
        <v>515</v>
      </c>
      <c r="D139" s="29" t="s">
        <v>516</v>
      </c>
      <c r="E139" s="31">
        <v>2</v>
      </c>
      <c r="F139" s="150">
        <v>2</v>
      </c>
      <c r="G139" s="144">
        <f>_xlfn.XLOOKUP(B139, Rate_Master!$A:$A, Rate_Master!$C:$C, "")</f>
        <v>6209999.9999999991</v>
      </c>
      <c r="H139" s="144">
        <f>_xlfn.XLOOKUP(B139, Rate_Master!$A:$A, Rate_Master!$D:$D, "")</f>
        <v>413999.99999999994</v>
      </c>
      <c r="I139" s="32">
        <f t="shared" ref="I139:I145" si="32">+G139+H139</f>
        <v>6623999.9999999991</v>
      </c>
      <c r="J139" s="32">
        <f t="shared" ref="J139:J145" si="33">I139*E139</f>
        <v>13247999.999999998</v>
      </c>
      <c r="K139" s="32">
        <f t="shared" ref="K139:K145" si="34">I139*F139</f>
        <v>13247999.999999998</v>
      </c>
      <c r="L139" s="32"/>
    </row>
    <row r="140" spans="1:12" s="4" customFormat="1" ht="76.5" customHeight="1" outlineLevel="1">
      <c r="A140" s="27" t="str">
        <f t="shared" si="31"/>
        <v>6A.F4.2</v>
      </c>
      <c r="B140" s="28" t="s">
        <v>130</v>
      </c>
      <c r="C140" s="28" t="s">
        <v>515</v>
      </c>
      <c r="D140" s="29" t="s">
        <v>516</v>
      </c>
      <c r="E140" s="31">
        <v>17</v>
      </c>
      <c r="F140" s="150">
        <v>17</v>
      </c>
      <c r="G140" s="144">
        <f>_xlfn.XLOOKUP(B140, Rate_Master!$A:$A, Rate_Master!$C:$C, "")</f>
        <v>3104999.9999999995</v>
      </c>
      <c r="H140" s="144">
        <f>_xlfn.XLOOKUP(B140, Rate_Master!$A:$A, Rate_Master!$D:$D, "")</f>
        <v>206999.99999999997</v>
      </c>
      <c r="I140" s="32">
        <f t="shared" si="32"/>
        <v>3311999.9999999995</v>
      </c>
      <c r="J140" s="32">
        <f t="shared" si="33"/>
        <v>56303999.999999993</v>
      </c>
      <c r="K140" s="32">
        <f t="shared" si="34"/>
        <v>56303999.999999993</v>
      </c>
      <c r="L140" s="32"/>
    </row>
    <row r="141" spans="1:12" s="4" customFormat="1" ht="76.5" customHeight="1" outlineLevel="1">
      <c r="A141" s="27" t="str">
        <f t="shared" si="31"/>
        <v>6A.F4.3</v>
      </c>
      <c r="B141" s="28" t="s">
        <v>131</v>
      </c>
      <c r="C141" s="28" t="s">
        <v>515</v>
      </c>
      <c r="D141" s="29" t="s">
        <v>516</v>
      </c>
      <c r="E141" s="31">
        <v>79</v>
      </c>
      <c r="F141" s="150">
        <v>79</v>
      </c>
      <c r="G141" s="144">
        <f>_xlfn.XLOOKUP(B141, Rate_Master!$A:$A, Rate_Master!$C:$C, "")</f>
        <v>5037000</v>
      </c>
      <c r="H141" s="144">
        <f>_xlfn.XLOOKUP(B141, Rate_Master!$A:$A, Rate_Master!$D:$D, "")</f>
        <v>206999.99999999997</v>
      </c>
      <c r="I141" s="32">
        <f t="shared" si="32"/>
        <v>5244000</v>
      </c>
      <c r="J141" s="32">
        <f t="shared" si="33"/>
        <v>414276000</v>
      </c>
      <c r="K141" s="32">
        <f t="shared" si="34"/>
        <v>414276000</v>
      </c>
      <c r="L141" s="32"/>
    </row>
    <row r="142" spans="1:12" s="4" customFormat="1" ht="38.25" customHeight="1" outlineLevel="1">
      <c r="A142" s="27" t="str">
        <f t="shared" si="31"/>
        <v>6A.F4.4</v>
      </c>
      <c r="B142" s="28" t="s">
        <v>180</v>
      </c>
      <c r="C142" s="28" t="s">
        <v>515</v>
      </c>
      <c r="D142" s="29" t="s">
        <v>516</v>
      </c>
      <c r="E142" s="31">
        <v>2</v>
      </c>
      <c r="F142" s="150">
        <v>2</v>
      </c>
      <c r="G142" s="144">
        <f>_xlfn.XLOOKUP(B142, Rate_Master!$A:$A, Rate_Master!$C:$C, "")</f>
        <v>2613950</v>
      </c>
      <c r="H142" s="144">
        <f>_xlfn.XLOOKUP(B142, Rate_Master!$A:$A, Rate_Master!$D:$D, "")</f>
        <v>1016599.9999999999</v>
      </c>
      <c r="I142" s="32">
        <f t="shared" si="32"/>
        <v>3630550</v>
      </c>
      <c r="J142" s="32">
        <f t="shared" si="33"/>
        <v>7261100</v>
      </c>
      <c r="K142" s="32">
        <f t="shared" si="34"/>
        <v>7261100</v>
      </c>
      <c r="L142" s="71" t="s">
        <v>559</v>
      </c>
    </row>
    <row r="143" spans="1:12" s="4" customFormat="1" ht="38.25" customHeight="1" outlineLevel="1">
      <c r="A143" s="27" t="str">
        <f t="shared" si="31"/>
        <v>6A.F4.5</v>
      </c>
      <c r="B143" s="28" t="s">
        <v>166</v>
      </c>
      <c r="C143" s="28" t="s">
        <v>515</v>
      </c>
      <c r="D143" s="29" t="s">
        <v>516</v>
      </c>
      <c r="E143" s="31">
        <v>1</v>
      </c>
      <c r="F143" s="150">
        <v>1</v>
      </c>
      <c r="G143" s="144">
        <f>_xlfn.XLOOKUP(B143, Rate_Master!$A:$A, Rate_Master!$C:$C, "")</f>
        <v>5692500</v>
      </c>
      <c r="H143" s="144">
        <f>_xlfn.XLOOKUP(B143, Rate_Master!$A:$A, Rate_Master!$D:$D, "")</f>
        <v>569250</v>
      </c>
      <c r="I143" s="32">
        <f t="shared" si="32"/>
        <v>6261750</v>
      </c>
      <c r="J143" s="32">
        <f t="shared" si="33"/>
        <v>6261750</v>
      </c>
      <c r="K143" s="32">
        <f t="shared" si="34"/>
        <v>6261750</v>
      </c>
      <c r="L143" s="71" t="s">
        <v>559</v>
      </c>
    </row>
    <row r="144" spans="1:12" s="4" customFormat="1" ht="51" customHeight="1" outlineLevel="1">
      <c r="A144" s="27" t="str">
        <f t="shared" si="31"/>
        <v>6A.F4.6</v>
      </c>
      <c r="B144" s="28" t="s">
        <v>139</v>
      </c>
      <c r="C144" s="28" t="s">
        <v>515</v>
      </c>
      <c r="D144" s="29" t="s">
        <v>516</v>
      </c>
      <c r="E144" s="31">
        <v>7</v>
      </c>
      <c r="F144" s="150">
        <v>7</v>
      </c>
      <c r="G144" s="144">
        <f>_xlfn.XLOOKUP(B144, Rate_Master!$A:$A, Rate_Master!$C:$C, "")</f>
        <v>19923750</v>
      </c>
      <c r="H144" s="144">
        <f>_xlfn.XLOOKUP(B144, Rate_Master!$A:$A, Rate_Master!$D:$D, "")</f>
        <v>2716875</v>
      </c>
      <c r="I144" s="32">
        <f t="shared" si="32"/>
        <v>22640625</v>
      </c>
      <c r="J144" s="32">
        <f t="shared" si="33"/>
        <v>158484375</v>
      </c>
      <c r="K144" s="32">
        <f t="shared" si="34"/>
        <v>158484375</v>
      </c>
      <c r="L144" s="32"/>
    </row>
    <row r="145" spans="1:12" s="4" customFormat="1" ht="51" customHeight="1" outlineLevel="1">
      <c r="A145" s="27" t="str">
        <f t="shared" si="31"/>
        <v>6A.F4.7</v>
      </c>
      <c r="B145" s="28" t="s">
        <v>140</v>
      </c>
      <c r="C145" s="28" t="s">
        <v>515</v>
      </c>
      <c r="D145" s="29" t="s">
        <v>516</v>
      </c>
      <c r="E145" s="31">
        <v>5</v>
      </c>
      <c r="F145" s="150">
        <v>5</v>
      </c>
      <c r="G145" s="144">
        <f>_xlfn.XLOOKUP(B145, Rate_Master!$A:$A, Rate_Master!$C:$C, "")</f>
        <v>27168749.999999996</v>
      </c>
      <c r="H145" s="144">
        <f>_xlfn.XLOOKUP(B145, Rate_Master!$A:$A, Rate_Master!$D:$D, "")</f>
        <v>2716875</v>
      </c>
      <c r="I145" s="32">
        <f t="shared" si="32"/>
        <v>29885624.999999996</v>
      </c>
      <c r="J145" s="32">
        <f t="shared" si="33"/>
        <v>149428124.99999997</v>
      </c>
      <c r="K145" s="32">
        <f t="shared" si="34"/>
        <v>149428124.99999997</v>
      </c>
      <c r="L145" s="32"/>
    </row>
    <row r="146" spans="1:12" s="3" customFormat="1" ht="25.5" customHeight="1">
      <c r="A146" s="22" t="str">
        <f>$A$103&amp;5</f>
        <v>6A.F5</v>
      </c>
      <c r="B146" s="23" t="s">
        <v>143</v>
      </c>
      <c r="C146" s="23" t="s">
        <v>515</v>
      </c>
      <c r="D146" s="22"/>
      <c r="E146" s="25"/>
      <c r="F146" s="149"/>
      <c r="G146" s="145">
        <f>_xlfn.XLOOKUP(B146, Rate_Master!$A:$A, Rate_Master!$C:$C, "")</f>
        <v>0</v>
      </c>
      <c r="H146" s="145">
        <f>_xlfn.XLOOKUP(B146, Rate_Master!$A:$A, Rate_Master!$D:$D, "")</f>
        <v>0</v>
      </c>
      <c r="I146" s="26">
        <v>0</v>
      </c>
      <c r="J146" s="26">
        <f>SUBTOTAL(9,J147:J149)</f>
        <v>201757265</v>
      </c>
      <c r="K146" s="26">
        <f>SUBTOTAL(9,K147:K149)</f>
        <v>201757265</v>
      </c>
      <c r="L146" s="26"/>
    </row>
    <row r="147" spans="1:12" s="4" customFormat="1" ht="51" customHeight="1" outlineLevel="1">
      <c r="A147" s="27" t="str">
        <f>$A$146&amp;"."&amp;ROW()-ROW($A$146)</f>
        <v>6A.F5.1</v>
      </c>
      <c r="B147" s="34" t="s">
        <v>144</v>
      </c>
      <c r="C147" s="28" t="s">
        <v>515</v>
      </c>
      <c r="D147" s="29" t="s">
        <v>517</v>
      </c>
      <c r="E147" s="31">
        <v>753.92</v>
      </c>
      <c r="F147" s="150">
        <v>753.92</v>
      </c>
      <c r="G147" s="144">
        <f>_xlfn.XLOOKUP(B147, Rate_Master!$A:$A, Rate_Master!$C:$C, "")</f>
        <v>161000</v>
      </c>
      <c r="H147" s="144">
        <f>_xlfn.XLOOKUP(B147, Rate_Master!$A:$A, Rate_Master!$D:$D, "")</f>
        <v>34500</v>
      </c>
      <c r="I147" s="32">
        <f>+G147+H147</f>
        <v>195500</v>
      </c>
      <c r="J147" s="32">
        <f>I147*E147</f>
        <v>147391360</v>
      </c>
      <c r="K147" s="32">
        <f>I147*F147</f>
        <v>147391360</v>
      </c>
      <c r="L147" s="32"/>
    </row>
    <row r="148" spans="1:12" s="4" customFormat="1" ht="38.25" customHeight="1" outlineLevel="1">
      <c r="A148" s="27" t="str">
        <f>$A$146&amp;"."&amp;ROW()-ROW($A$146)</f>
        <v>6A.F5.2</v>
      </c>
      <c r="B148" s="34" t="s">
        <v>145</v>
      </c>
      <c r="C148" s="28" t="s">
        <v>515</v>
      </c>
      <c r="D148" s="29" t="s">
        <v>517</v>
      </c>
      <c r="E148" s="31">
        <v>42.976999999999997</v>
      </c>
      <c r="F148" s="150">
        <v>42.976999999999997</v>
      </c>
      <c r="G148" s="144">
        <f>_xlfn.XLOOKUP(B148, Rate_Master!$A:$A, Rate_Master!$C:$C, "")</f>
        <v>517499.99999999994</v>
      </c>
      <c r="H148" s="144">
        <f>_xlfn.XLOOKUP(B148, Rate_Master!$A:$A, Rate_Master!$D:$D, "")</f>
        <v>57499.999999999993</v>
      </c>
      <c r="I148" s="32">
        <f>+G148+H148</f>
        <v>574999.99999999988</v>
      </c>
      <c r="J148" s="32">
        <f>I148*E148</f>
        <v>24711774.999999993</v>
      </c>
      <c r="K148" s="32">
        <f>I148*F148</f>
        <v>24711774.999999993</v>
      </c>
      <c r="L148" s="32"/>
    </row>
    <row r="149" spans="1:12" s="4" customFormat="1" ht="38.25" customHeight="1" outlineLevel="1">
      <c r="A149" s="27" t="str">
        <f>$A$146&amp;"."&amp;ROW()-ROW($A$146)</f>
        <v>6A.F5.3</v>
      </c>
      <c r="B149" s="34" t="s">
        <v>146</v>
      </c>
      <c r="C149" s="28" t="s">
        <v>515</v>
      </c>
      <c r="D149" s="29" t="s">
        <v>517</v>
      </c>
      <c r="E149" s="31">
        <v>42.976999999999997</v>
      </c>
      <c r="F149" s="150">
        <v>42.976999999999997</v>
      </c>
      <c r="G149" s="144">
        <f>_xlfn.XLOOKUP(B149, Rate_Master!$A:$A, Rate_Master!$C:$C, "")</f>
        <v>632500</v>
      </c>
      <c r="H149" s="144">
        <f>_xlfn.XLOOKUP(B149, Rate_Master!$A:$A, Rate_Master!$D:$D, "")</f>
        <v>57499.999999999993</v>
      </c>
      <c r="I149" s="32">
        <f>+G149+H149</f>
        <v>690000</v>
      </c>
      <c r="J149" s="32">
        <f>I149*E149</f>
        <v>29654129.999999996</v>
      </c>
      <c r="K149" s="32">
        <f>I149*F149</f>
        <v>29654129.999999996</v>
      </c>
      <c r="L149" s="32"/>
    </row>
    <row r="150" spans="1:12" s="3" customFormat="1" ht="25.5" customHeight="1">
      <c r="A150" s="22" t="str">
        <f>$A$103&amp;6</f>
        <v>6A.F6</v>
      </c>
      <c r="B150" s="23" t="s">
        <v>147</v>
      </c>
      <c r="C150" s="23" t="s">
        <v>515</v>
      </c>
      <c r="D150" s="22"/>
      <c r="E150" s="25"/>
      <c r="F150" s="149"/>
      <c r="G150" s="145">
        <f>_xlfn.XLOOKUP(B150, Rate_Master!$A:$A, Rate_Master!$C:$C, "")</f>
        <v>0</v>
      </c>
      <c r="H150" s="145">
        <f>_xlfn.XLOOKUP(B150, Rate_Master!$A:$A, Rate_Master!$D:$D, "")</f>
        <v>0</v>
      </c>
      <c r="I150" s="26">
        <v>0</v>
      </c>
      <c r="J150" s="26">
        <f>SUBTOTAL(9,J151:J155)</f>
        <v>323918299</v>
      </c>
      <c r="K150" s="26">
        <f>SUBTOTAL(9,K151:K155)</f>
        <v>323918299</v>
      </c>
      <c r="L150" s="26"/>
    </row>
    <row r="151" spans="1:12" s="4" customFormat="1" ht="51" customHeight="1" outlineLevel="1">
      <c r="A151" s="27" t="str">
        <f>$A$150&amp;"."&amp;ROW()-ROW($A$150)</f>
        <v>6A.F6.1</v>
      </c>
      <c r="B151" s="34" t="s">
        <v>148</v>
      </c>
      <c r="C151" s="34" t="s">
        <v>515</v>
      </c>
      <c r="D151" s="29" t="s">
        <v>520</v>
      </c>
      <c r="E151" s="31">
        <v>428.834</v>
      </c>
      <c r="F151" s="150">
        <v>428.834</v>
      </c>
      <c r="G151" s="144">
        <f>_xlfn.XLOOKUP(B151, Rate_Master!$A:$A, Rate_Master!$C:$C, "")</f>
        <v>155000</v>
      </c>
      <c r="H151" s="144">
        <f>_xlfn.XLOOKUP(B151, Rate_Master!$A:$A, Rate_Master!$D:$D, "")</f>
        <v>45000</v>
      </c>
      <c r="I151" s="32">
        <f>+G151+H151</f>
        <v>200000</v>
      </c>
      <c r="J151" s="32">
        <f>I151*E151</f>
        <v>85766800</v>
      </c>
      <c r="K151" s="32">
        <f>I151*F151</f>
        <v>85766800</v>
      </c>
      <c r="L151" s="32"/>
    </row>
    <row r="152" spans="1:12" s="4" customFormat="1" ht="25.5" customHeight="1" outlineLevel="1">
      <c r="A152" s="27" t="str">
        <f>$A$150&amp;"."&amp;ROW()-ROW($A$150)</f>
        <v>6A.F6.2</v>
      </c>
      <c r="B152" s="34" t="s">
        <v>149</v>
      </c>
      <c r="C152" s="34" t="s">
        <v>515</v>
      </c>
      <c r="D152" s="29" t="s">
        <v>520</v>
      </c>
      <c r="E152" s="31">
        <v>255.059</v>
      </c>
      <c r="F152" s="150">
        <v>255.059</v>
      </c>
      <c r="G152" s="144">
        <f>_xlfn.XLOOKUP(B152, Rate_Master!$A:$A, Rate_Master!$C:$C, "")</f>
        <v>310500</v>
      </c>
      <c r="H152" s="144">
        <f>_xlfn.XLOOKUP(B152, Rate_Master!$A:$A, Rate_Master!$D:$D, "")</f>
        <v>34500</v>
      </c>
      <c r="I152" s="32">
        <f>+G152+H152</f>
        <v>345000</v>
      </c>
      <c r="J152" s="32">
        <f>I152*E152</f>
        <v>87995355</v>
      </c>
      <c r="K152" s="32">
        <f>I152*F152</f>
        <v>87995355</v>
      </c>
      <c r="L152" s="32"/>
    </row>
    <row r="153" spans="1:12" s="4" customFormat="1" ht="51" customHeight="1" outlineLevel="1">
      <c r="A153" s="27" t="str">
        <f>$A$150&amp;"."&amp;ROW()-ROW($A$150)</f>
        <v>6A.F6.3</v>
      </c>
      <c r="B153" s="34" t="s">
        <v>150</v>
      </c>
      <c r="C153" s="34" t="s">
        <v>515</v>
      </c>
      <c r="D153" s="29" t="s">
        <v>520</v>
      </c>
      <c r="E153" s="31">
        <v>255.059</v>
      </c>
      <c r="F153" s="150">
        <v>255.059</v>
      </c>
      <c r="G153" s="144">
        <f>_xlfn.XLOOKUP(B153, Rate_Master!$A:$A, Rate_Master!$C:$C, "")</f>
        <v>287500</v>
      </c>
      <c r="H153" s="144">
        <f>_xlfn.XLOOKUP(B153, Rate_Master!$A:$A, Rate_Master!$D:$D, "")</f>
        <v>69000</v>
      </c>
      <c r="I153" s="32">
        <f>+G153+H153</f>
        <v>356500</v>
      </c>
      <c r="J153" s="32">
        <f>I153*E153</f>
        <v>90928533.5</v>
      </c>
      <c r="K153" s="32">
        <f>I153*F153</f>
        <v>90928533.5</v>
      </c>
      <c r="L153" s="32"/>
    </row>
    <row r="154" spans="1:12" s="4" customFormat="1" ht="51" customHeight="1" outlineLevel="1">
      <c r="A154" s="27" t="str">
        <f>$A$150&amp;"."&amp;ROW()-ROW($A$150)</f>
        <v>6A.F6.4</v>
      </c>
      <c r="B154" s="34" t="s">
        <v>151</v>
      </c>
      <c r="C154" s="34" t="s">
        <v>515</v>
      </c>
      <c r="D154" s="29" t="s">
        <v>520</v>
      </c>
      <c r="E154" s="31">
        <v>255.059</v>
      </c>
      <c r="F154" s="150">
        <v>255.059</v>
      </c>
      <c r="G154" s="144">
        <f>_xlfn.XLOOKUP(B154, Rate_Master!$A:$A, Rate_Master!$C:$C, "")</f>
        <v>23000</v>
      </c>
      <c r="H154" s="144">
        <f>_xlfn.XLOOKUP(B154, Rate_Master!$A:$A, Rate_Master!$D:$D, "")</f>
        <v>126499.99999999999</v>
      </c>
      <c r="I154" s="32">
        <f>+G154+H154</f>
        <v>149500</v>
      </c>
      <c r="J154" s="32">
        <f>I154*E154</f>
        <v>38131320.5</v>
      </c>
      <c r="K154" s="32">
        <f>I154*F154</f>
        <v>38131320.5</v>
      </c>
      <c r="L154" s="32"/>
    </row>
    <row r="155" spans="1:12" s="4" customFormat="1" ht="63.75" customHeight="1" outlineLevel="1">
      <c r="A155" s="27" t="str">
        <f>$A$150&amp;"."&amp;ROW()-ROW($A$150)</f>
        <v>6A.F6.5</v>
      </c>
      <c r="B155" s="34" t="s">
        <v>152</v>
      </c>
      <c r="C155" s="34" t="s">
        <v>560</v>
      </c>
      <c r="D155" s="29" t="s">
        <v>517</v>
      </c>
      <c r="E155" s="31">
        <v>99.16</v>
      </c>
      <c r="F155" s="150">
        <v>99.16</v>
      </c>
      <c r="G155" s="144">
        <f>_xlfn.XLOOKUP(B155, Rate_Master!$A:$A, Rate_Master!$C:$C, "")</f>
        <v>155250</v>
      </c>
      <c r="H155" s="144">
        <f>_xlfn.XLOOKUP(B155, Rate_Master!$A:$A, Rate_Master!$D:$D, "")</f>
        <v>57499.999999999993</v>
      </c>
      <c r="I155" s="32">
        <f>+G155+H155</f>
        <v>212750</v>
      </c>
      <c r="J155" s="32">
        <f>I155*E155</f>
        <v>21096290</v>
      </c>
      <c r="K155" s="32">
        <f>I155*F155</f>
        <v>21096290</v>
      </c>
      <c r="L155" s="32"/>
    </row>
    <row r="156" spans="1:12" s="3" customFormat="1" ht="25.5" customHeight="1">
      <c r="A156" s="22" t="str">
        <f>$A$103&amp;7</f>
        <v>6A.F7</v>
      </c>
      <c r="B156" s="23" t="s">
        <v>84</v>
      </c>
      <c r="C156" s="23" t="s">
        <v>515</v>
      </c>
      <c r="D156" s="22"/>
      <c r="E156" s="25"/>
      <c r="F156" s="149"/>
      <c r="G156" s="145">
        <f>_xlfn.XLOOKUP(B156, Rate_Master!$A:$A, Rate_Master!$C:$C, "")</f>
        <v>0</v>
      </c>
      <c r="H156" s="145">
        <f>_xlfn.XLOOKUP(B156, Rate_Master!$A:$A, Rate_Master!$D:$D, "")</f>
        <v>0</v>
      </c>
      <c r="I156" s="26">
        <v>0</v>
      </c>
      <c r="J156" s="26">
        <f>SUBTOTAL(9,J157:J168)</f>
        <v>106472750</v>
      </c>
      <c r="K156" s="26">
        <f>SUBTOTAL(9,K157:K168)</f>
        <v>106472750</v>
      </c>
      <c r="L156" s="26"/>
    </row>
    <row r="157" spans="1:12" s="4" customFormat="1" ht="38.25" customHeight="1" outlineLevel="1">
      <c r="A157" s="27" t="str">
        <f t="shared" ref="A157:A168" si="35">$A$156&amp;"."&amp;ROW()-ROW($A$156)</f>
        <v>6A.F7.1</v>
      </c>
      <c r="B157" s="48" t="s">
        <v>153</v>
      </c>
      <c r="C157" s="34" t="s">
        <v>561</v>
      </c>
      <c r="D157" s="29" t="s">
        <v>517</v>
      </c>
      <c r="E157" s="31">
        <v>8.34</v>
      </c>
      <c r="F157" s="150">
        <v>8.34</v>
      </c>
      <c r="G157" s="144">
        <f>_xlfn.XLOOKUP(B157, Rate_Master!$A:$A, Rate_Master!$C:$C, "")</f>
        <v>4024999.9999999995</v>
      </c>
      <c r="H157" s="144">
        <f>_xlfn.XLOOKUP(B157, Rate_Master!$A:$A, Rate_Master!$D:$D, "")</f>
        <v>1380000</v>
      </c>
      <c r="I157" s="32">
        <f>+G157+H157</f>
        <v>5405000</v>
      </c>
      <c r="J157" s="32">
        <f t="shared" ref="J157:J168" si="36">I157*E157</f>
        <v>45077700</v>
      </c>
      <c r="K157" s="32">
        <f t="shared" ref="K157:K168" si="37">I157*F157</f>
        <v>45077700</v>
      </c>
      <c r="L157" s="32"/>
    </row>
    <row r="158" spans="1:12" s="4" customFormat="1" ht="38.25" customHeight="1" outlineLevel="1">
      <c r="A158" s="27" t="str">
        <f t="shared" si="35"/>
        <v>6A.F7.2</v>
      </c>
      <c r="B158" s="48" t="s">
        <v>167</v>
      </c>
      <c r="C158" s="34"/>
      <c r="D158" s="29" t="s">
        <v>517</v>
      </c>
      <c r="E158" s="31">
        <v>0</v>
      </c>
      <c r="F158" s="150">
        <v>0</v>
      </c>
      <c r="G158" s="144">
        <f>_xlfn.XLOOKUP(B158, Rate_Master!$A:$A, Rate_Master!$C:$C, "")</f>
        <v>0</v>
      </c>
      <c r="H158" s="144">
        <f>_xlfn.XLOOKUP(B158, Rate_Master!$A:$A, Rate_Master!$D:$D, "")</f>
        <v>0</v>
      </c>
      <c r="I158" s="32">
        <v>0</v>
      </c>
      <c r="J158" s="32">
        <f t="shared" si="36"/>
        <v>0</v>
      </c>
      <c r="K158" s="32">
        <f t="shared" si="37"/>
        <v>0</v>
      </c>
      <c r="L158" s="32"/>
    </row>
    <row r="159" spans="1:12" s="4" customFormat="1" ht="38.25" customHeight="1" outlineLevel="1">
      <c r="A159" s="27" t="str">
        <f t="shared" si="35"/>
        <v>6A.F7.3</v>
      </c>
      <c r="B159" s="48" t="s">
        <v>154</v>
      </c>
      <c r="C159" s="28" t="s">
        <v>515</v>
      </c>
      <c r="D159" s="50" t="s">
        <v>517</v>
      </c>
      <c r="E159" s="31">
        <v>9</v>
      </c>
      <c r="F159" s="150">
        <v>9</v>
      </c>
      <c r="G159" s="144">
        <f>_xlfn.XLOOKUP(B159, Rate_Master!$A:$A, Rate_Master!$C:$C, "")</f>
        <v>359375</v>
      </c>
      <c r="H159" s="144">
        <f>_xlfn.XLOOKUP(B159, Rate_Master!$A:$A, Rate_Master!$D:$D, "")</f>
        <v>71875</v>
      </c>
      <c r="I159" s="32">
        <f>+G159+H159</f>
        <v>431250</v>
      </c>
      <c r="J159" s="32">
        <f t="shared" si="36"/>
        <v>3881250</v>
      </c>
      <c r="K159" s="32">
        <f t="shared" si="37"/>
        <v>3881250</v>
      </c>
      <c r="L159" s="32"/>
    </row>
    <row r="160" spans="1:12" s="4" customFormat="1" ht="25.5" customHeight="1" outlineLevel="1">
      <c r="A160" s="27" t="str">
        <f t="shared" si="35"/>
        <v>6A.F7.4</v>
      </c>
      <c r="B160" s="51" t="s">
        <v>155</v>
      </c>
      <c r="C160" s="28" t="s">
        <v>515</v>
      </c>
      <c r="D160" s="50" t="s">
        <v>517</v>
      </c>
      <c r="E160" s="31">
        <v>8.34</v>
      </c>
      <c r="F160" s="150">
        <v>8.34</v>
      </c>
      <c r="G160" s="144">
        <f>_xlfn.XLOOKUP(B160, Rate_Master!$A:$A, Rate_Master!$C:$C, "")</f>
        <v>1954999.9999999998</v>
      </c>
      <c r="H160" s="144">
        <f>_xlfn.XLOOKUP(B160, Rate_Master!$A:$A, Rate_Master!$D:$D, "")</f>
        <v>114999.99999999999</v>
      </c>
      <c r="I160" s="32">
        <f>+G160+H160</f>
        <v>2069999.9999999998</v>
      </c>
      <c r="J160" s="32">
        <f t="shared" si="36"/>
        <v>17263799.999999996</v>
      </c>
      <c r="K160" s="32">
        <f t="shared" si="37"/>
        <v>17263799.999999996</v>
      </c>
      <c r="L160" s="32"/>
    </row>
    <row r="161" spans="1:12" s="4" customFormat="1" ht="51" customHeight="1" outlineLevel="1">
      <c r="A161" s="27" t="str">
        <f t="shared" si="35"/>
        <v>6A.F7.5</v>
      </c>
      <c r="B161" s="51" t="s">
        <v>168</v>
      </c>
      <c r="C161" s="28"/>
      <c r="D161" s="50" t="s">
        <v>517</v>
      </c>
      <c r="E161" s="31">
        <v>0</v>
      </c>
      <c r="F161" s="150">
        <v>0</v>
      </c>
      <c r="G161" s="144">
        <f>_xlfn.XLOOKUP(B161, Rate_Master!$A:$A, Rate_Master!$C:$C, "")</f>
        <v>0</v>
      </c>
      <c r="H161" s="144">
        <f>_xlfn.XLOOKUP(B161, Rate_Master!$A:$A, Rate_Master!$D:$D, "")</f>
        <v>0</v>
      </c>
      <c r="I161" s="32">
        <v>0</v>
      </c>
      <c r="J161" s="32">
        <f t="shared" si="36"/>
        <v>0</v>
      </c>
      <c r="K161" s="32">
        <f t="shared" si="37"/>
        <v>0</v>
      </c>
      <c r="L161" s="32"/>
    </row>
    <row r="162" spans="1:12" s="4" customFormat="1" ht="51" customHeight="1" outlineLevel="1">
      <c r="A162" s="27" t="str">
        <f t="shared" si="35"/>
        <v>6A.F7.6</v>
      </c>
      <c r="B162" s="48" t="s">
        <v>156</v>
      </c>
      <c r="C162" s="28" t="s">
        <v>515</v>
      </c>
      <c r="D162" s="54" t="s">
        <v>518</v>
      </c>
      <c r="E162" s="31">
        <v>20</v>
      </c>
      <c r="F162" s="150">
        <v>20</v>
      </c>
      <c r="G162" s="144">
        <f>_xlfn.XLOOKUP(B162, Rate_Master!$A:$A, Rate_Master!$C:$C, "")</f>
        <v>1724999.9999999998</v>
      </c>
      <c r="H162" s="144">
        <f>_xlfn.XLOOKUP(B162, Rate_Master!$A:$A, Rate_Master!$D:$D, "")</f>
        <v>287500</v>
      </c>
      <c r="I162" s="32">
        <f>+G162+H162</f>
        <v>2012499.9999999998</v>
      </c>
      <c r="J162" s="32">
        <f t="shared" si="36"/>
        <v>40249999.999999993</v>
      </c>
      <c r="K162" s="32">
        <f t="shared" si="37"/>
        <v>40249999.999999993</v>
      </c>
      <c r="L162" s="32"/>
    </row>
    <row r="163" spans="1:12" s="4" customFormat="1" ht="25.5" customHeight="1" outlineLevel="1">
      <c r="A163" s="27" t="str">
        <f t="shared" si="35"/>
        <v>6A.F7.7</v>
      </c>
      <c r="B163" s="48" t="s">
        <v>157</v>
      </c>
      <c r="C163" s="28" t="s">
        <v>515</v>
      </c>
      <c r="D163" s="29" t="s">
        <v>517</v>
      </c>
      <c r="E163" s="31">
        <v>0</v>
      </c>
      <c r="F163" s="150">
        <v>0</v>
      </c>
      <c r="G163" s="144">
        <f>_xlfn.XLOOKUP(B163, Rate_Master!$A:$A, Rate_Master!$C:$C, "")</f>
        <v>632500</v>
      </c>
      <c r="H163" s="144">
        <f>_xlfn.XLOOKUP(B163, Rate_Master!$A:$A, Rate_Master!$D:$D, "")</f>
        <v>57499.999999999993</v>
      </c>
      <c r="I163" s="32">
        <v>0</v>
      </c>
      <c r="J163" s="32">
        <f t="shared" si="36"/>
        <v>0</v>
      </c>
      <c r="K163" s="32">
        <f t="shared" si="37"/>
        <v>0</v>
      </c>
      <c r="L163" s="32"/>
    </row>
    <row r="164" spans="1:12" s="4" customFormat="1" ht="25.5" customHeight="1" outlineLevel="1">
      <c r="A164" s="27" t="str">
        <f t="shared" si="35"/>
        <v>6A.F7.8</v>
      </c>
      <c r="B164" s="34" t="s">
        <v>158</v>
      </c>
      <c r="C164" s="56" t="s">
        <v>562</v>
      </c>
      <c r="D164" s="29" t="s">
        <v>516</v>
      </c>
      <c r="E164" s="31">
        <v>0</v>
      </c>
      <c r="F164" s="150">
        <v>0</v>
      </c>
      <c r="G164" s="144">
        <f>_xlfn.XLOOKUP(B164, Rate_Master!$A:$A, Rate_Master!$C:$C, "")</f>
        <v>68400000</v>
      </c>
      <c r="H164" s="144">
        <f>_xlfn.XLOOKUP(B164, Rate_Master!$A:$A, Rate_Master!$D:$D, "")</f>
        <v>26600000</v>
      </c>
      <c r="I164" s="32">
        <v>0</v>
      </c>
      <c r="J164" s="32">
        <f t="shared" si="36"/>
        <v>0</v>
      </c>
      <c r="K164" s="32">
        <f t="shared" si="37"/>
        <v>0</v>
      </c>
      <c r="L164" s="32"/>
    </row>
    <row r="165" spans="1:12" s="4" customFormat="1" ht="25.5" customHeight="1" outlineLevel="1">
      <c r="A165" s="27" t="str">
        <f t="shared" si="35"/>
        <v>6A.F7.9</v>
      </c>
      <c r="B165" s="34" t="s">
        <v>159</v>
      </c>
      <c r="C165" s="28" t="s">
        <v>515</v>
      </c>
      <c r="D165" s="29" t="s">
        <v>516</v>
      </c>
      <c r="E165" s="31">
        <v>0</v>
      </c>
      <c r="F165" s="150">
        <v>0</v>
      </c>
      <c r="G165" s="144">
        <f>_xlfn.XLOOKUP(B165, Rate_Master!$A:$A, Rate_Master!$C:$C, "")</f>
        <v>25200000</v>
      </c>
      <c r="H165" s="144">
        <f>_xlfn.XLOOKUP(B165, Rate_Master!$A:$A, Rate_Master!$D:$D, "")</f>
        <v>9800000.0000000019</v>
      </c>
      <c r="I165" s="32">
        <v>0</v>
      </c>
      <c r="J165" s="32">
        <f t="shared" si="36"/>
        <v>0</v>
      </c>
      <c r="K165" s="32">
        <f t="shared" si="37"/>
        <v>0</v>
      </c>
      <c r="L165" s="32"/>
    </row>
    <row r="166" spans="1:12" s="4" customFormat="1" ht="25.5" customHeight="1" outlineLevel="1">
      <c r="A166" s="27" t="str">
        <f t="shared" si="35"/>
        <v>6A.F7.10</v>
      </c>
      <c r="B166" s="34" t="s">
        <v>160</v>
      </c>
      <c r="C166" s="28" t="s">
        <v>515</v>
      </c>
      <c r="D166" s="29" t="s">
        <v>518</v>
      </c>
      <c r="E166" s="31">
        <v>0</v>
      </c>
      <c r="F166" s="150">
        <v>0</v>
      </c>
      <c r="G166" s="144">
        <f>_xlfn.XLOOKUP(B166, Rate_Master!$A:$A, Rate_Master!$C:$C, "")</f>
        <v>1440000</v>
      </c>
      <c r="H166" s="144">
        <f>_xlfn.XLOOKUP(B166, Rate_Master!$A:$A, Rate_Master!$D:$D, "")</f>
        <v>560000</v>
      </c>
      <c r="I166" s="32">
        <v>0</v>
      </c>
      <c r="J166" s="32">
        <f t="shared" si="36"/>
        <v>0</v>
      </c>
      <c r="K166" s="32">
        <f t="shared" si="37"/>
        <v>0</v>
      </c>
      <c r="L166" s="32"/>
    </row>
    <row r="167" spans="1:12" s="4" customFormat="1" ht="25.5" customHeight="1" outlineLevel="1">
      <c r="A167" s="27" t="str">
        <f t="shared" si="35"/>
        <v>6A.F7.11</v>
      </c>
      <c r="B167" s="48" t="s">
        <v>161</v>
      </c>
      <c r="C167" s="28" t="s">
        <v>515</v>
      </c>
      <c r="D167" s="29" t="s">
        <v>517</v>
      </c>
      <c r="E167" s="31">
        <v>0</v>
      </c>
      <c r="F167" s="150">
        <v>0</v>
      </c>
      <c r="G167" s="144">
        <f>_xlfn.XLOOKUP(B167, Rate_Master!$A:$A, Rate_Master!$C:$C, "")</f>
        <v>149500</v>
      </c>
      <c r="H167" s="144">
        <f>_xlfn.XLOOKUP(B167, Rate_Master!$A:$A, Rate_Master!$D:$D, "")</f>
        <v>34500</v>
      </c>
      <c r="I167" s="32">
        <v>0</v>
      </c>
      <c r="J167" s="32">
        <f t="shared" si="36"/>
        <v>0</v>
      </c>
      <c r="K167" s="32">
        <f t="shared" si="37"/>
        <v>0</v>
      </c>
      <c r="L167" s="32"/>
    </row>
    <row r="168" spans="1:12" s="4" customFormat="1" ht="38.25" customHeight="1" outlineLevel="1">
      <c r="A168" s="27" t="str">
        <f t="shared" si="35"/>
        <v>6A.F7.12</v>
      </c>
      <c r="B168" s="34" t="s">
        <v>162</v>
      </c>
      <c r="C168" s="28" t="s">
        <v>515</v>
      </c>
      <c r="D168" s="29" t="s">
        <v>517</v>
      </c>
      <c r="E168" s="31">
        <v>0</v>
      </c>
      <c r="F168" s="150">
        <v>0</v>
      </c>
      <c r="G168" s="144">
        <f>_xlfn.XLOOKUP(B168, Rate_Master!$A:$A, Rate_Master!$C:$C, "")</f>
        <v>252000</v>
      </c>
      <c r="H168" s="144">
        <f>_xlfn.XLOOKUP(B168, Rate_Master!$A:$A, Rate_Master!$D:$D, "")</f>
        <v>98000</v>
      </c>
      <c r="I168" s="32">
        <v>0</v>
      </c>
      <c r="J168" s="32">
        <f t="shared" si="36"/>
        <v>0</v>
      </c>
      <c r="K168" s="32">
        <f t="shared" si="37"/>
        <v>0</v>
      </c>
      <c r="L168" s="32"/>
    </row>
    <row r="169" spans="1:12">
      <c r="A169" s="111"/>
      <c r="B169" s="112" t="s">
        <v>169</v>
      </c>
      <c r="C169" s="112"/>
      <c r="D169" s="111"/>
      <c r="E169" s="109"/>
      <c r="F169" s="153"/>
      <c r="G169" s="205">
        <f>_xlfn.XLOOKUP(B169, Rate_Master!$A:$A, Rate_Master!$C:$C, "")</f>
        <v>0</v>
      </c>
      <c r="H169" s="205">
        <f>_xlfn.XLOOKUP(B169, Rate_Master!$A:$A, Rate_Master!$D:$D, "")</f>
        <v>0</v>
      </c>
      <c r="I169" s="110"/>
      <c r="J169" s="110"/>
      <c r="K169" s="110"/>
      <c r="L169" s="110"/>
    </row>
    <row r="170" spans="1:12" ht="89.25" customHeight="1">
      <c r="A170" s="55">
        <v>1</v>
      </c>
      <c r="B170" s="56" t="s">
        <v>170</v>
      </c>
      <c r="C170" s="56" t="s">
        <v>564</v>
      </c>
      <c r="D170" s="57" t="s">
        <v>520</v>
      </c>
      <c r="E170" s="36">
        <v>0</v>
      </c>
      <c r="F170" s="150">
        <v>126.33920000000001</v>
      </c>
      <c r="G170" s="206">
        <f>_xlfn.XLOOKUP(B170, Rate_Master!$A:$A, Rate_Master!$C:$C, "")</f>
        <v>626750</v>
      </c>
      <c r="H170" s="206">
        <f>_xlfn.XLOOKUP(B170, Rate_Master!$A:$A, Rate_Master!$D:$D, "")</f>
        <v>221949.99999999997</v>
      </c>
      <c r="I170" s="58">
        <f>G170+H170</f>
        <v>848700</v>
      </c>
      <c r="J170" s="58">
        <f>I170*E170</f>
        <v>0</v>
      </c>
      <c r="K170" s="58">
        <f>+F170*I170</f>
        <v>107224079.04000001</v>
      </c>
      <c r="L170" s="58"/>
    </row>
  </sheetData>
  <mergeCells count="5">
    <mergeCell ref="C5:L5"/>
    <mergeCell ref="C4:L4"/>
    <mergeCell ref="C3:L3"/>
    <mergeCell ref="C7:L7"/>
    <mergeCell ref="C6:L6"/>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pageSetUpPr fitToPage="1"/>
  </sheetPr>
  <dimension ref="A1:P167"/>
  <sheetViews>
    <sheetView topLeftCell="A8" zoomScale="85" zoomScaleNormal="85" workbookViewId="0">
      <pane ySplit="1" topLeftCell="A165" activePane="bottomLeft" state="frozen"/>
      <selection activeCell="A8" sqref="A8"/>
      <selection pane="bottomLeft" activeCell="I52" sqref="I52"/>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6" width="9" style="8" bestFit="1" customWidth="1"/>
    <col min="7" max="8" width="14" style="8" customWidth="1" outlineLevel="1"/>
    <col min="9" max="12" width="14" style="9" customWidth="1"/>
    <col min="13" max="13" width="12.625" style="6" bestFit="1" customWidth="1"/>
    <col min="14" max="231" width="9.125" style="6" customWidth="1"/>
    <col min="232" max="232" width="6.375" style="6" customWidth="1"/>
    <col min="233" max="233" width="34.25" style="6" customWidth="1"/>
    <col min="234" max="234" width="7.375" style="6" customWidth="1"/>
    <col min="235" max="235" width="6.375" style="6" customWidth="1"/>
    <col min="236" max="236" width="13.125" style="6" customWidth="1"/>
    <col min="237" max="237" width="15.375" style="6" customWidth="1"/>
    <col min="238" max="238" width="21.25" style="6" customWidth="1"/>
    <col min="239" max="487" width="9.125" style="6" customWidth="1"/>
    <col min="488" max="488" width="6.375" style="6" customWidth="1"/>
    <col min="489" max="489" width="34.25" style="6" customWidth="1"/>
    <col min="490" max="490" width="7.375" style="6" customWidth="1"/>
    <col min="491" max="491" width="6.375" style="6" customWidth="1"/>
    <col min="492" max="492" width="13.125" style="6" customWidth="1"/>
    <col min="493" max="493" width="15.375" style="6" customWidth="1"/>
    <col min="494" max="494" width="21.25" style="6" customWidth="1"/>
    <col min="495" max="743" width="9.125" style="6" customWidth="1"/>
    <col min="744" max="744" width="6.375" style="6" customWidth="1"/>
    <col min="745" max="745" width="34.25" style="6" customWidth="1"/>
    <col min="746" max="746" width="7.375" style="6" customWidth="1"/>
    <col min="747" max="747" width="6.375" style="6" customWidth="1"/>
    <col min="748" max="748" width="13.125" style="6" customWidth="1"/>
    <col min="749" max="749" width="15.375" style="6" customWidth="1"/>
    <col min="750" max="750" width="21.25" style="6" customWidth="1"/>
    <col min="751" max="999" width="9.125" style="6" customWidth="1"/>
    <col min="1000" max="1000" width="6.375" style="6" customWidth="1"/>
    <col min="1001" max="1001" width="34.25" style="6" customWidth="1"/>
    <col min="1002" max="1002" width="7.375" style="6" customWidth="1"/>
    <col min="1003" max="1003" width="6.375" style="6" customWidth="1"/>
    <col min="1004" max="1004" width="13.125" style="6" customWidth="1"/>
    <col min="1005" max="1005" width="15.375" style="6" customWidth="1"/>
    <col min="1006" max="1006" width="21.25" style="6" customWidth="1"/>
    <col min="1007" max="1255" width="9.125" style="6" customWidth="1"/>
    <col min="1256" max="1256" width="6.375" style="6" customWidth="1"/>
    <col min="1257" max="1257" width="34.25" style="6" customWidth="1"/>
    <col min="1258" max="1258" width="7.375" style="6" customWidth="1"/>
    <col min="1259" max="1259" width="6.375" style="6" customWidth="1"/>
    <col min="1260" max="1260" width="13.125" style="6" customWidth="1"/>
    <col min="1261" max="1261" width="15.375" style="6" customWidth="1"/>
    <col min="1262" max="1262" width="21.25" style="6" customWidth="1"/>
    <col min="1263" max="1511" width="9.125" style="6" customWidth="1"/>
    <col min="1512" max="1512" width="6.375" style="6" customWidth="1"/>
    <col min="1513" max="1513" width="34.25" style="6" customWidth="1"/>
    <col min="1514" max="1514" width="7.375" style="6" customWidth="1"/>
    <col min="1515" max="1515" width="6.375" style="6" customWidth="1"/>
    <col min="1516" max="1516" width="13.125" style="6" customWidth="1"/>
    <col min="1517" max="1517" width="15.375" style="6" customWidth="1"/>
    <col min="1518" max="1518" width="21.25" style="6" customWidth="1"/>
    <col min="1519" max="1767" width="9.125" style="6" customWidth="1"/>
    <col min="1768" max="1768" width="6.375" style="6" customWidth="1"/>
    <col min="1769" max="1769" width="34.25" style="6" customWidth="1"/>
    <col min="1770" max="1770" width="7.375" style="6" customWidth="1"/>
    <col min="1771" max="1771" width="6.375" style="6" customWidth="1"/>
    <col min="1772" max="1772" width="13.125" style="6" customWidth="1"/>
    <col min="1773" max="1773" width="15.375" style="6" customWidth="1"/>
    <col min="1774" max="1774" width="21.25" style="6" customWidth="1"/>
    <col min="1775" max="2023" width="9.125" style="6" customWidth="1"/>
    <col min="2024" max="2024" width="6.375" style="6" customWidth="1"/>
    <col min="2025" max="2025" width="34.25" style="6" customWidth="1"/>
    <col min="2026" max="2026" width="7.375" style="6" customWidth="1"/>
    <col min="2027" max="2027" width="6.375" style="6" customWidth="1"/>
    <col min="2028" max="2028" width="13.125" style="6" customWidth="1"/>
    <col min="2029" max="2029" width="15.375" style="6" customWidth="1"/>
    <col min="2030" max="2030" width="21.25" style="6" customWidth="1"/>
    <col min="2031" max="2279" width="9.125" style="6" customWidth="1"/>
    <col min="2280" max="2280" width="6.375" style="6" customWidth="1"/>
    <col min="2281" max="2281" width="34.25" style="6" customWidth="1"/>
    <col min="2282" max="2282" width="7.375" style="6" customWidth="1"/>
    <col min="2283" max="2283" width="6.375" style="6" customWidth="1"/>
    <col min="2284" max="2284" width="13.125" style="6" customWidth="1"/>
    <col min="2285" max="2285" width="15.375" style="6" customWidth="1"/>
    <col min="2286" max="2286" width="21.25" style="6" customWidth="1"/>
    <col min="2287" max="2535" width="9.125" style="6" customWidth="1"/>
    <col min="2536" max="2536" width="6.375" style="6" customWidth="1"/>
    <col min="2537" max="2537" width="34.25" style="6" customWidth="1"/>
    <col min="2538" max="2538" width="7.375" style="6" customWidth="1"/>
    <col min="2539" max="2539" width="6.375" style="6" customWidth="1"/>
    <col min="2540" max="2540" width="13.125" style="6" customWidth="1"/>
    <col min="2541" max="2541" width="15.375" style="6" customWidth="1"/>
    <col min="2542" max="2542" width="21.25" style="6" customWidth="1"/>
    <col min="2543" max="2791" width="9.125" style="6" customWidth="1"/>
    <col min="2792" max="2792" width="6.375" style="6" customWidth="1"/>
    <col min="2793" max="2793" width="34.25" style="6" customWidth="1"/>
    <col min="2794" max="2794" width="7.375" style="6" customWidth="1"/>
    <col min="2795" max="2795" width="6.375" style="6" customWidth="1"/>
    <col min="2796" max="2796" width="13.125" style="6" customWidth="1"/>
    <col min="2797" max="2797" width="15.375" style="6" customWidth="1"/>
    <col min="2798" max="2798" width="21.25" style="6" customWidth="1"/>
    <col min="2799" max="3047" width="9.125" style="6" customWidth="1"/>
    <col min="3048" max="3048" width="6.375" style="6" customWidth="1"/>
    <col min="3049" max="3049" width="34.25" style="6" customWidth="1"/>
    <col min="3050" max="3050" width="7.375" style="6" customWidth="1"/>
    <col min="3051" max="3051" width="6.375" style="6" customWidth="1"/>
    <col min="3052" max="3052" width="13.125" style="6" customWidth="1"/>
    <col min="3053" max="3053" width="15.375" style="6" customWidth="1"/>
    <col min="3054" max="3054" width="21.25" style="6" customWidth="1"/>
    <col min="3055" max="3303" width="9.125" style="6" customWidth="1"/>
    <col min="3304" max="3304" width="6.375" style="6" customWidth="1"/>
    <col min="3305" max="3305" width="34.25" style="6" customWidth="1"/>
    <col min="3306" max="3306" width="7.375" style="6" customWidth="1"/>
    <col min="3307" max="3307" width="6.375" style="6" customWidth="1"/>
    <col min="3308" max="3308" width="13.125" style="6" customWidth="1"/>
    <col min="3309" max="3309" width="15.375" style="6" customWidth="1"/>
    <col min="3310" max="3310" width="21.25" style="6" customWidth="1"/>
    <col min="3311" max="3559" width="9.125" style="6" customWidth="1"/>
    <col min="3560" max="3560" width="6.375" style="6" customWidth="1"/>
    <col min="3561" max="3561" width="34.25" style="6" customWidth="1"/>
    <col min="3562" max="3562" width="7.375" style="6" customWidth="1"/>
    <col min="3563" max="3563" width="6.375" style="6" customWidth="1"/>
    <col min="3564" max="3564" width="13.125" style="6" customWidth="1"/>
    <col min="3565" max="3565" width="15.375" style="6" customWidth="1"/>
    <col min="3566" max="3566" width="21.25" style="6" customWidth="1"/>
    <col min="3567" max="3815" width="9.125" style="6" customWidth="1"/>
    <col min="3816" max="3816" width="6.375" style="6" customWidth="1"/>
    <col min="3817" max="3817" width="34.25" style="6" customWidth="1"/>
    <col min="3818" max="3818" width="7.375" style="6" customWidth="1"/>
    <col min="3819" max="3819" width="6.375" style="6" customWidth="1"/>
    <col min="3820" max="3820" width="13.125" style="6" customWidth="1"/>
    <col min="3821" max="3821" width="15.375" style="6" customWidth="1"/>
    <col min="3822" max="3822" width="21.25" style="6" customWidth="1"/>
    <col min="3823" max="4071" width="9.125" style="6" customWidth="1"/>
    <col min="4072" max="4072" width="6.375" style="6" customWidth="1"/>
    <col min="4073" max="4073" width="34.25" style="6" customWidth="1"/>
    <col min="4074" max="4074" width="7.375" style="6" customWidth="1"/>
    <col min="4075" max="4075" width="6.375" style="6" customWidth="1"/>
    <col min="4076" max="4076" width="13.125" style="6" customWidth="1"/>
    <col min="4077" max="4077" width="15.375" style="6" customWidth="1"/>
    <col min="4078" max="4078" width="21.25" style="6" customWidth="1"/>
    <col min="4079" max="4327" width="9.125" style="6" customWidth="1"/>
    <col min="4328" max="4328" width="6.375" style="6" customWidth="1"/>
    <col min="4329" max="4329" width="34.25" style="6" customWidth="1"/>
    <col min="4330" max="4330" width="7.375" style="6" customWidth="1"/>
    <col min="4331" max="4331" width="6.375" style="6" customWidth="1"/>
    <col min="4332" max="4332" width="13.125" style="6" customWidth="1"/>
    <col min="4333" max="4333" width="15.375" style="6" customWidth="1"/>
    <col min="4334" max="4334" width="21.25" style="6" customWidth="1"/>
    <col min="4335" max="4583" width="9.125" style="6" customWidth="1"/>
    <col min="4584" max="4584" width="6.375" style="6" customWidth="1"/>
    <col min="4585" max="4585" width="34.25" style="6" customWidth="1"/>
    <col min="4586" max="4586" width="7.375" style="6" customWidth="1"/>
    <col min="4587" max="4587" width="6.375" style="6" customWidth="1"/>
    <col min="4588" max="4588" width="13.125" style="6" customWidth="1"/>
    <col min="4589" max="4589" width="15.375" style="6" customWidth="1"/>
    <col min="4590" max="4590" width="21.25" style="6" customWidth="1"/>
    <col min="4591" max="4839" width="9.125" style="6" customWidth="1"/>
    <col min="4840" max="4840" width="6.375" style="6" customWidth="1"/>
    <col min="4841" max="4841" width="34.25" style="6" customWidth="1"/>
    <col min="4842" max="4842" width="7.375" style="6" customWidth="1"/>
    <col min="4843" max="4843" width="6.375" style="6" customWidth="1"/>
    <col min="4844" max="4844" width="13.125" style="6" customWidth="1"/>
    <col min="4845" max="4845" width="15.375" style="6" customWidth="1"/>
    <col min="4846" max="4846" width="21.25" style="6" customWidth="1"/>
    <col min="4847" max="5095" width="9.125" style="6" customWidth="1"/>
    <col min="5096" max="5096" width="6.375" style="6" customWidth="1"/>
    <col min="5097" max="5097" width="34.25" style="6" customWidth="1"/>
    <col min="5098" max="5098" width="7.375" style="6" customWidth="1"/>
    <col min="5099" max="5099" width="6.375" style="6" customWidth="1"/>
    <col min="5100" max="5100" width="13.125" style="6" customWidth="1"/>
    <col min="5101" max="5101" width="15.375" style="6" customWidth="1"/>
    <col min="5102" max="5102" width="21.25" style="6" customWidth="1"/>
    <col min="5103" max="5351" width="9.125" style="6" customWidth="1"/>
    <col min="5352" max="5352" width="6.375" style="6" customWidth="1"/>
    <col min="5353" max="5353" width="34.25" style="6" customWidth="1"/>
    <col min="5354" max="5354" width="7.375" style="6" customWidth="1"/>
    <col min="5355" max="5355" width="6.375" style="6" customWidth="1"/>
    <col min="5356" max="5356" width="13.125" style="6" customWidth="1"/>
    <col min="5357" max="5357" width="15.375" style="6" customWidth="1"/>
    <col min="5358" max="5358" width="21.25" style="6" customWidth="1"/>
    <col min="5359" max="5607" width="9.125" style="6" customWidth="1"/>
    <col min="5608" max="5608" width="6.375" style="6" customWidth="1"/>
    <col min="5609" max="5609" width="34.25" style="6" customWidth="1"/>
    <col min="5610" max="5610" width="7.375" style="6" customWidth="1"/>
    <col min="5611" max="5611" width="6.375" style="6" customWidth="1"/>
    <col min="5612" max="5612" width="13.125" style="6" customWidth="1"/>
    <col min="5613" max="5613" width="15.375" style="6" customWidth="1"/>
    <col min="5614" max="5614" width="21.25" style="6" customWidth="1"/>
    <col min="5615" max="5863" width="9.125" style="6" customWidth="1"/>
    <col min="5864" max="5864" width="6.375" style="6" customWidth="1"/>
    <col min="5865" max="5865" width="34.25" style="6" customWidth="1"/>
    <col min="5866" max="5866" width="7.375" style="6" customWidth="1"/>
    <col min="5867" max="5867" width="6.375" style="6" customWidth="1"/>
    <col min="5868" max="5868" width="13.125" style="6" customWidth="1"/>
    <col min="5869" max="5869" width="15.375" style="6" customWidth="1"/>
    <col min="5870" max="5870" width="21.25" style="6" customWidth="1"/>
    <col min="5871" max="6119" width="9.125" style="6" customWidth="1"/>
    <col min="6120" max="6120" width="6.375" style="6" customWidth="1"/>
    <col min="6121" max="6121" width="34.25" style="6" customWidth="1"/>
    <col min="6122" max="6122" width="7.375" style="6" customWidth="1"/>
    <col min="6123" max="6123" width="6.375" style="6" customWidth="1"/>
    <col min="6124" max="6124" width="13.125" style="6" customWidth="1"/>
    <col min="6125" max="6125" width="15.375" style="6" customWidth="1"/>
    <col min="6126" max="6126" width="21.25" style="6" customWidth="1"/>
    <col min="6127" max="6375" width="9.125" style="6" customWidth="1"/>
    <col min="6376" max="6376" width="6.375" style="6" customWidth="1"/>
    <col min="6377" max="6377" width="34.25" style="6" customWidth="1"/>
    <col min="6378" max="6378" width="7.375" style="6" customWidth="1"/>
    <col min="6379" max="6379" width="6.375" style="6" customWidth="1"/>
    <col min="6380" max="6380" width="13.125" style="6" customWidth="1"/>
    <col min="6381" max="6381" width="15.375" style="6" customWidth="1"/>
    <col min="6382" max="6382" width="21.25" style="6" customWidth="1"/>
    <col min="6383" max="6631" width="9.125" style="6" customWidth="1"/>
    <col min="6632" max="6632" width="6.375" style="6" customWidth="1"/>
    <col min="6633" max="6633" width="34.25" style="6" customWidth="1"/>
    <col min="6634" max="6634" width="7.375" style="6" customWidth="1"/>
    <col min="6635" max="6635" width="6.375" style="6" customWidth="1"/>
    <col min="6636" max="6636" width="13.125" style="6" customWidth="1"/>
    <col min="6637" max="6637" width="15.375" style="6" customWidth="1"/>
    <col min="6638" max="6638" width="21.25" style="6" customWidth="1"/>
    <col min="6639" max="6887" width="9.125" style="6" customWidth="1"/>
    <col min="6888" max="6888" width="6.375" style="6" customWidth="1"/>
    <col min="6889" max="6889" width="34.25" style="6" customWidth="1"/>
    <col min="6890" max="6890" width="7.375" style="6" customWidth="1"/>
    <col min="6891" max="6891" width="6.375" style="6" customWidth="1"/>
    <col min="6892" max="6892" width="13.125" style="6" customWidth="1"/>
    <col min="6893" max="6893" width="15.375" style="6" customWidth="1"/>
    <col min="6894" max="6894" width="21.25" style="6" customWidth="1"/>
    <col min="6895" max="7143" width="9.125" style="6" customWidth="1"/>
    <col min="7144" max="7144" width="6.375" style="6" customWidth="1"/>
    <col min="7145" max="7145" width="34.25" style="6" customWidth="1"/>
    <col min="7146" max="7146" width="7.375" style="6" customWidth="1"/>
    <col min="7147" max="7147" width="6.375" style="6" customWidth="1"/>
    <col min="7148" max="7148" width="13.125" style="6" customWidth="1"/>
    <col min="7149" max="7149" width="15.375" style="6" customWidth="1"/>
    <col min="7150" max="7150" width="21.25" style="6" customWidth="1"/>
    <col min="7151" max="7399" width="9.125" style="6" customWidth="1"/>
    <col min="7400" max="7400" width="6.375" style="6" customWidth="1"/>
    <col min="7401" max="7401" width="34.25" style="6" customWidth="1"/>
    <col min="7402" max="7402" width="7.375" style="6" customWidth="1"/>
    <col min="7403" max="7403" width="6.375" style="6" customWidth="1"/>
    <col min="7404" max="7404" width="13.125" style="6" customWidth="1"/>
    <col min="7405" max="7405" width="15.375" style="6" customWidth="1"/>
    <col min="7406" max="7406" width="21.25" style="6" customWidth="1"/>
    <col min="7407" max="7655" width="9.125" style="6" customWidth="1"/>
    <col min="7656" max="7656" width="6.375" style="6" customWidth="1"/>
    <col min="7657" max="7657" width="34.25" style="6" customWidth="1"/>
    <col min="7658" max="7658" width="7.375" style="6" customWidth="1"/>
    <col min="7659" max="7659" width="6.375" style="6" customWidth="1"/>
    <col min="7660" max="7660" width="13.125" style="6" customWidth="1"/>
    <col min="7661" max="7661" width="15.375" style="6" customWidth="1"/>
    <col min="7662" max="7662" width="21.25" style="6" customWidth="1"/>
    <col min="7663" max="7911" width="9.125" style="6" customWidth="1"/>
    <col min="7912" max="7912" width="6.375" style="6" customWidth="1"/>
    <col min="7913" max="7913" width="34.25" style="6" customWidth="1"/>
    <col min="7914" max="7914" width="7.375" style="6" customWidth="1"/>
    <col min="7915" max="7915" width="6.375" style="6" customWidth="1"/>
    <col min="7916" max="7916" width="13.125" style="6" customWidth="1"/>
    <col min="7917" max="7917" width="15.375" style="6" customWidth="1"/>
    <col min="7918" max="7918" width="21.25" style="6" customWidth="1"/>
    <col min="7919" max="8167" width="9.125" style="6" customWidth="1"/>
    <col min="8168" max="8168" width="6.375" style="6" customWidth="1"/>
    <col min="8169" max="8169" width="34.25" style="6" customWidth="1"/>
    <col min="8170" max="8170" width="7.375" style="6" customWidth="1"/>
    <col min="8171" max="8171" width="6.375" style="6" customWidth="1"/>
    <col min="8172" max="8172" width="13.125" style="6" customWidth="1"/>
    <col min="8173" max="8173" width="15.375" style="6" customWidth="1"/>
    <col min="8174" max="8174" width="21.25" style="6" customWidth="1"/>
    <col min="8175" max="8423" width="9.125" style="6" customWidth="1"/>
    <col min="8424" max="8424" width="6.375" style="6" customWidth="1"/>
    <col min="8425" max="8425" width="34.25" style="6" customWidth="1"/>
    <col min="8426" max="8426" width="7.375" style="6" customWidth="1"/>
    <col min="8427" max="8427" width="6.375" style="6" customWidth="1"/>
    <col min="8428" max="8428" width="13.125" style="6" customWidth="1"/>
    <col min="8429" max="8429" width="15.375" style="6" customWidth="1"/>
    <col min="8430" max="8430" width="21.25" style="6" customWidth="1"/>
    <col min="8431" max="8679" width="9.125" style="6" customWidth="1"/>
    <col min="8680" max="8680" width="6.375" style="6" customWidth="1"/>
    <col min="8681" max="8681" width="34.25" style="6" customWidth="1"/>
    <col min="8682" max="8682" width="7.375" style="6" customWidth="1"/>
    <col min="8683" max="8683" width="6.375" style="6" customWidth="1"/>
    <col min="8684" max="8684" width="13.125" style="6" customWidth="1"/>
    <col min="8685" max="8685" width="15.375" style="6" customWidth="1"/>
    <col min="8686" max="8686" width="21.25" style="6" customWidth="1"/>
    <col min="8687" max="8935" width="9.125" style="6" customWidth="1"/>
    <col min="8936" max="8936" width="6.375" style="6" customWidth="1"/>
    <col min="8937" max="8937" width="34.25" style="6" customWidth="1"/>
    <col min="8938" max="8938" width="7.375" style="6" customWidth="1"/>
    <col min="8939" max="8939" width="6.375" style="6" customWidth="1"/>
    <col min="8940" max="8940" width="13.125" style="6" customWidth="1"/>
    <col min="8941" max="8941" width="15.375" style="6" customWidth="1"/>
    <col min="8942" max="8942" width="21.25" style="6" customWidth="1"/>
    <col min="8943" max="9191" width="9.125" style="6" customWidth="1"/>
    <col min="9192" max="9192" width="6.375" style="6" customWidth="1"/>
    <col min="9193" max="9193" width="34.25" style="6" customWidth="1"/>
    <col min="9194" max="9194" width="7.375" style="6" customWidth="1"/>
    <col min="9195" max="9195" width="6.375" style="6" customWidth="1"/>
    <col min="9196" max="9196" width="13.125" style="6" customWidth="1"/>
    <col min="9197" max="9197" width="15.375" style="6" customWidth="1"/>
    <col min="9198" max="9198" width="21.25" style="6" customWidth="1"/>
    <col min="9199" max="9447" width="9.125" style="6" customWidth="1"/>
    <col min="9448" max="9448" width="6.375" style="6" customWidth="1"/>
    <col min="9449" max="9449" width="34.25" style="6" customWidth="1"/>
    <col min="9450" max="9450" width="7.375" style="6" customWidth="1"/>
    <col min="9451" max="9451" width="6.375" style="6" customWidth="1"/>
    <col min="9452" max="9452" width="13.125" style="6" customWidth="1"/>
    <col min="9453" max="9453" width="15.375" style="6" customWidth="1"/>
    <col min="9454" max="9454" width="21.25" style="6" customWidth="1"/>
    <col min="9455" max="9703" width="9.125" style="6" customWidth="1"/>
    <col min="9704" max="9704" width="6.375" style="6" customWidth="1"/>
    <col min="9705" max="9705" width="34.25" style="6" customWidth="1"/>
    <col min="9706" max="9706" width="7.375" style="6" customWidth="1"/>
    <col min="9707" max="9707" width="6.375" style="6" customWidth="1"/>
    <col min="9708" max="9708" width="13.125" style="6" customWidth="1"/>
    <col min="9709" max="9709" width="15.375" style="6" customWidth="1"/>
    <col min="9710" max="9710" width="21.25" style="6" customWidth="1"/>
    <col min="9711" max="9959" width="9.125" style="6" customWidth="1"/>
    <col min="9960" max="9960" width="6.375" style="6" customWidth="1"/>
    <col min="9961" max="9961" width="34.25" style="6" customWidth="1"/>
    <col min="9962" max="9962" width="7.375" style="6" customWidth="1"/>
    <col min="9963" max="9963" width="6.375" style="6" customWidth="1"/>
    <col min="9964" max="9964" width="13.125" style="6" customWidth="1"/>
    <col min="9965" max="9965" width="15.375" style="6" customWidth="1"/>
    <col min="9966" max="9966" width="21.25" style="6" customWidth="1"/>
    <col min="9967" max="10215" width="9.125" style="6" customWidth="1"/>
    <col min="10216" max="10216" width="6.375" style="6" customWidth="1"/>
    <col min="10217" max="10217" width="34.25" style="6" customWidth="1"/>
    <col min="10218" max="10218" width="7.375" style="6" customWidth="1"/>
    <col min="10219" max="10219" width="6.375" style="6" customWidth="1"/>
    <col min="10220" max="10220" width="13.125" style="6" customWidth="1"/>
    <col min="10221" max="10221" width="15.375" style="6" customWidth="1"/>
    <col min="10222" max="10222" width="21.25" style="6" customWidth="1"/>
    <col min="10223" max="10471" width="9.125" style="6" customWidth="1"/>
    <col min="10472" max="10472" width="6.375" style="6" customWidth="1"/>
    <col min="10473" max="10473" width="34.25" style="6" customWidth="1"/>
    <col min="10474" max="10474" width="7.375" style="6" customWidth="1"/>
    <col min="10475" max="10475" width="6.375" style="6" customWidth="1"/>
    <col min="10476" max="10476" width="13.125" style="6" customWidth="1"/>
    <col min="10477" max="10477" width="15.375" style="6" customWidth="1"/>
    <col min="10478" max="10478" width="21.25" style="6" customWidth="1"/>
    <col min="10479" max="10727" width="9.125" style="6" customWidth="1"/>
    <col min="10728" max="10728" width="6.375" style="6" customWidth="1"/>
    <col min="10729" max="10729" width="34.25" style="6" customWidth="1"/>
    <col min="10730" max="10730" width="7.375" style="6" customWidth="1"/>
    <col min="10731" max="10731" width="6.375" style="6" customWidth="1"/>
    <col min="10732" max="10732" width="13.125" style="6" customWidth="1"/>
    <col min="10733" max="10733" width="15.375" style="6" customWidth="1"/>
    <col min="10734" max="10734" width="21.25" style="6" customWidth="1"/>
    <col min="10735" max="10983" width="9.125" style="6" customWidth="1"/>
    <col min="10984" max="10984" width="6.375" style="6" customWidth="1"/>
    <col min="10985" max="10985" width="34.25" style="6" customWidth="1"/>
    <col min="10986" max="10986" width="7.375" style="6" customWidth="1"/>
    <col min="10987" max="10987" width="6.375" style="6" customWidth="1"/>
    <col min="10988" max="10988" width="13.125" style="6" customWidth="1"/>
    <col min="10989" max="10989" width="15.375" style="6" customWidth="1"/>
    <col min="10990" max="10990" width="21.25" style="6" customWidth="1"/>
    <col min="10991" max="11239" width="9.125" style="6" customWidth="1"/>
    <col min="11240" max="11240" width="6.375" style="6" customWidth="1"/>
    <col min="11241" max="11241" width="34.25" style="6" customWidth="1"/>
    <col min="11242" max="11242" width="7.375" style="6" customWidth="1"/>
    <col min="11243" max="11243" width="6.375" style="6" customWidth="1"/>
    <col min="11244" max="11244" width="13.125" style="6" customWidth="1"/>
    <col min="11245" max="11245" width="15.375" style="6" customWidth="1"/>
    <col min="11246" max="11246" width="21.25" style="6" customWidth="1"/>
    <col min="11247" max="11495" width="9.125" style="6" customWidth="1"/>
    <col min="11496" max="11496" width="6.375" style="6" customWidth="1"/>
    <col min="11497" max="11497" width="34.25" style="6" customWidth="1"/>
    <col min="11498" max="11498" width="7.375" style="6" customWidth="1"/>
    <col min="11499" max="11499" width="6.375" style="6" customWidth="1"/>
    <col min="11500" max="11500" width="13.125" style="6" customWidth="1"/>
    <col min="11501" max="11501" width="15.375" style="6" customWidth="1"/>
    <col min="11502" max="11502" width="21.25" style="6" customWidth="1"/>
    <col min="11503" max="11751" width="9.125" style="6" customWidth="1"/>
    <col min="11752" max="11752" width="6.375" style="6" customWidth="1"/>
    <col min="11753" max="11753" width="34.25" style="6" customWidth="1"/>
    <col min="11754" max="11754" width="7.375" style="6" customWidth="1"/>
    <col min="11755" max="11755" width="6.375" style="6" customWidth="1"/>
    <col min="11756" max="11756" width="13.125" style="6" customWidth="1"/>
    <col min="11757" max="11757" width="15.375" style="6" customWidth="1"/>
    <col min="11758" max="11758" width="21.25" style="6" customWidth="1"/>
    <col min="11759" max="12007" width="9.125" style="6" customWidth="1"/>
    <col min="12008" max="12008" width="6.375" style="6" customWidth="1"/>
    <col min="12009" max="12009" width="34.25" style="6" customWidth="1"/>
    <col min="12010" max="12010" width="7.375" style="6" customWidth="1"/>
    <col min="12011" max="12011" width="6.375" style="6" customWidth="1"/>
    <col min="12012" max="12012" width="13.125" style="6" customWidth="1"/>
    <col min="12013" max="12013" width="15.375" style="6" customWidth="1"/>
    <col min="12014" max="12014" width="21.25" style="6" customWidth="1"/>
    <col min="12015" max="12263" width="9.125" style="6" customWidth="1"/>
    <col min="12264" max="12264" width="6.375" style="6" customWidth="1"/>
    <col min="12265" max="12265" width="34.25" style="6" customWidth="1"/>
    <col min="12266" max="12266" width="7.375" style="6" customWidth="1"/>
    <col min="12267" max="12267" width="6.375" style="6" customWidth="1"/>
    <col min="12268" max="12268" width="13.125" style="6" customWidth="1"/>
    <col min="12269" max="12269" width="15.375" style="6" customWidth="1"/>
    <col min="12270" max="12270" width="21.25" style="6" customWidth="1"/>
    <col min="12271" max="12519" width="9.125" style="6" customWidth="1"/>
    <col min="12520" max="12520" width="6.375" style="6" customWidth="1"/>
    <col min="12521" max="12521" width="34.25" style="6" customWidth="1"/>
    <col min="12522" max="12522" width="7.375" style="6" customWidth="1"/>
    <col min="12523" max="12523" width="6.375" style="6" customWidth="1"/>
    <col min="12524" max="12524" width="13.125" style="6" customWidth="1"/>
    <col min="12525" max="12525" width="15.375" style="6" customWidth="1"/>
    <col min="12526" max="12526" width="21.25" style="6" customWidth="1"/>
    <col min="12527" max="12775" width="9.125" style="6" customWidth="1"/>
    <col min="12776" max="12776" width="6.375" style="6" customWidth="1"/>
    <col min="12777" max="12777" width="34.25" style="6" customWidth="1"/>
    <col min="12778" max="12778" width="7.375" style="6" customWidth="1"/>
    <col min="12779" max="12779" width="6.375" style="6" customWidth="1"/>
    <col min="12780" max="12780" width="13.125" style="6" customWidth="1"/>
    <col min="12781" max="12781" width="15.375" style="6" customWidth="1"/>
    <col min="12782" max="12782" width="21.25" style="6" customWidth="1"/>
    <col min="12783" max="13031" width="9.125" style="6" customWidth="1"/>
    <col min="13032" max="13032" width="6.375" style="6" customWidth="1"/>
    <col min="13033" max="13033" width="34.25" style="6" customWidth="1"/>
    <col min="13034" max="13034" width="7.375" style="6" customWidth="1"/>
    <col min="13035" max="13035" width="6.375" style="6" customWidth="1"/>
    <col min="13036" max="13036" width="13.125" style="6" customWidth="1"/>
    <col min="13037" max="13037" width="15.375" style="6" customWidth="1"/>
    <col min="13038" max="13038" width="21.25" style="6" customWidth="1"/>
    <col min="13039" max="13287" width="9.125" style="6" customWidth="1"/>
    <col min="13288" max="13288" width="6.375" style="6" customWidth="1"/>
    <col min="13289" max="13289" width="34.25" style="6" customWidth="1"/>
    <col min="13290" max="13290" width="7.375" style="6" customWidth="1"/>
    <col min="13291" max="13291" width="6.375" style="6" customWidth="1"/>
    <col min="13292" max="13292" width="13.125" style="6" customWidth="1"/>
    <col min="13293" max="13293" width="15.375" style="6" customWidth="1"/>
    <col min="13294" max="13294" width="21.25" style="6" customWidth="1"/>
    <col min="13295" max="13543" width="9.125" style="6" customWidth="1"/>
    <col min="13544" max="13544" width="6.375" style="6" customWidth="1"/>
    <col min="13545" max="13545" width="34.25" style="6" customWidth="1"/>
    <col min="13546" max="13546" width="7.375" style="6" customWidth="1"/>
    <col min="13547" max="13547" width="6.375" style="6" customWidth="1"/>
    <col min="13548" max="13548" width="13.125" style="6" customWidth="1"/>
    <col min="13549" max="13549" width="15.375" style="6" customWidth="1"/>
    <col min="13550" max="13550" width="21.25" style="6" customWidth="1"/>
    <col min="13551" max="13799" width="9.125" style="6" customWidth="1"/>
    <col min="13800" max="13800" width="6.375" style="6" customWidth="1"/>
    <col min="13801" max="13801" width="34.25" style="6" customWidth="1"/>
    <col min="13802" max="13802" width="7.375" style="6" customWidth="1"/>
    <col min="13803" max="13803" width="6.375" style="6" customWidth="1"/>
    <col min="13804" max="13804" width="13.125" style="6" customWidth="1"/>
    <col min="13805" max="13805" width="15.375" style="6" customWidth="1"/>
    <col min="13806" max="13806" width="21.25" style="6" customWidth="1"/>
    <col min="13807" max="14055" width="9.125" style="6" customWidth="1"/>
    <col min="14056" max="14056" width="6.375" style="6" customWidth="1"/>
    <col min="14057" max="14057" width="34.25" style="6" customWidth="1"/>
    <col min="14058" max="14058" width="7.375" style="6" customWidth="1"/>
    <col min="14059" max="14059" width="6.375" style="6" customWidth="1"/>
    <col min="14060" max="14060" width="13.125" style="6" customWidth="1"/>
    <col min="14061" max="14061" width="15.375" style="6" customWidth="1"/>
    <col min="14062" max="14062" width="21.25" style="6" customWidth="1"/>
    <col min="14063" max="14311" width="9.125" style="6" customWidth="1"/>
    <col min="14312" max="14312" width="6.375" style="6" customWidth="1"/>
    <col min="14313" max="14313" width="34.25" style="6" customWidth="1"/>
    <col min="14314" max="14314" width="7.375" style="6" customWidth="1"/>
    <col min="14315" max="14315" width="6.375" style="6" customWidth="1"/>
    <col min="14316" max="14316" width="13.125" style="6" customWidth="1"/>
    <col min="14317" max="14317" width="15.375" style="6" customWidth="1"/>
    <col min="14318" max="14318" width="21.25" style="6" customWidth="1"/>
    <col min="14319" max="14567" width="9.125" style="6" customWidth="1"/>
    <col min="14568" max="14568" width="6.375" style="6" customWidth="1"/>
    <col min="14569" max="14569" width="34.25" style="6" customWidth="1"/>
    <col min="14570" max="14570" width="7.375" style="6" customWidth="1"/>
    <col min="14571" max="14571" width="6.375" style="6" customWidth="1"/>
    <col min="14572" max="14572" width="13.125" style="6" customWidth="1"/>
    <col min="14573" max="14573" width="15.375" style="6" customWidth="1"/>
    <col min="14574" max="14574" width="21.25" style="6" customWidth="1"/>
    <col min="14575" max="14823" width="9.125" style="6" customWidth="1"/>
    <col min="14824" max="14824" width="6.375" style="6" customWidth="1"/>
    <col min="14825" max="14825" width="34.25" style="6" customWidth="1"/>
    <col min="14826" max="14826" width="7.375" style="6" customWidth="1"/>
    <col min="14827" max="14827" width="6.375" style="6" customWidth="1"/>
    <col min="14828" max="14828" width="13.125" style="6" customWidth="1"/>
    <col min="14829" max="14829" width="15.375" style="6" customWidth="1"/>
    <col min="14830" max="14830" width="21.25" style="6" customWidth="1"/>
    <col min="14831" max="15079" width="9.125" style="6" customWidth="1"/>
    <col min="15080" max="15080" width="6.375" style="6" customWidth="1"/>
    <col min="15081" max="15081" width="34.25" style="6" customWidth="1"/>
    <col min="15082" max="15082" width="7.375" style="6" customWidth="1"/>
    <col min="15083" max="15083" width="6.375" style="6" customWidth="1"/>
    <col min="15084" max="15084" width="13.125" style="6" customWidth="1"/>
    <col min="15085" max="15085" width="15.375" style="6" customWidth="1"/>
    <col min="15086" max="15086" width="21.25" style="6" customWidth="1"/>
    <col min="15087" max="15335" width="9.125" style="6" customWidth="1"/>
    <col min="15336" max="15336" width="6.375" style="6" customWidth="1"/>
    <col min="15337" max="15337" width="34.25" style="6" customWidth="1"/>
    <col min="15338" max="15338" width="7.375" style="6" customWidth="1"/>
    <col min="15339" max="15339" width="6.375" style="6" customWidth="1"/>
    <col min="15340" max="15340" width="13.125" style="6" customWidth="1"/>
    <col min="15341" max="15341" width="15.375" style="6" customWidth="1"/>
    <col min="15342" max="15342" width="21.25" style="6" customWidth="1"/>
    <col min="15343" max="15591" width="9.125" style="6" customWidth="1"/>
    <col min="15592" max="15592" width="6.375" style="6" customWidth="1"/>
    <col min="15593" max="15593" width="34.25" style="6" customWidth="1"/>
    <col min="15594" max="15594" width="7.375" style="6" customWidth="1"/>
    <col min="15595" max="15595" width="6.375" style="6" customWidth="1"/>
    <col min="15596" max="15596" width="13.125" style="6" customWidth="1"/>
    <col min="15597" max="15597" width="15.375" style="6" customWidth="1"/>
    <col min="15598" max="15598" width="21.25" style="6" customWidth="1"/>
    <col min="15599" max="15847" width="9.125" style="6" customWidth="1"/>
    <col min="15848" max="15848" width="6.375" style="6" customWidth="1"/>
    <col min="15849" max="15849" width="34.25" style="6" customWidth="1"/>
    <col min="15850" max="15850" width="7.375" style="6" customWidth="1"/>
    <col min="15851" max="15851" width="6.375" style="6" customWidth="1"/>
    <col min="15852" max="15852" width="13.125" style="6" customWidth="1"/>
    <col min="15853" max="15853" width="15.375" style="6" customWidth="1"/>
    <col min="15854" max="15854" width="21.25" style="6" customWidth="1"/>
    <col min="15855" max="16103" width="9.125" style="6" customWidth="1"/>
    <col min="16104" max="16104" width="6.375" style="6" customWidth="1"/>
    <col min="16105" max="16105" width="34.25" style="6" customWidth="1"/>
    <col min="16106" max="16106" width="7.375" style="6" customWidth="1"/>
    <col min="16107" max="16107" width="6.375" style="6" customWidth="1"/>
    <col min="16108" max="16108" width="13.125" style="6" customWidth="1"/>
    <col min="16109" max="16109" width="15.375" style="6" customWidth="1"/>
    <col min="16110" max="16110" width="21.25" style="6" customWidth="1"/>
    <col min="16111" max="16384" width="9.125" style="6" customWidth="1"/>
  </cols>
  <sheetData>
    <row r="1" spans="1:13" ht="48" customHeight="1">
      <c r="F1" s="85"/>
    </row>
    <row r="2" spans="1:13" s="1" customFormat="1" ht="51" customHeight="1">
      <c r="A2" s="10" t="s">
        <v>507</v>
      </c>
      <c r="B2" s="11"/>
      <c r="C2" s="12"/>
      <c r="D2" s="11"/>
      <c r="E2" s="14"/>
      <c r="F2" s="86"/>
      <c r="G2" s="14"/>
      <c r="H2" s="14"/>
      <c r="I2" s="15"/>
      <c r="J2" s="15"/>
      <c r="K2" s="15"/>
      <c r="L2" s="15"/>
    </row>
    <row r="3" spans="1:13" ht="26.25" customHeight="1">
      <c r="A3" s="16"/>
      <c r="B3" s="17" t="s">
        <v>440</v>
      </c>
      <c r="C3" s="213"/>
      <c r="D3" s="217"/>
      <c r="E3" s="214"/>
      <c r="F3" s="214"/>
      <c r="G3" s="214"/>
      <c r="H3" s="214"/>
      <c r="I3" s="220"/>
      <c r="J3" s="220"/>
      <c r="K3" s="220"/>
      <c r="L3" s="220"/>
    </row>
    <row r="4" spans="1:13" ht="26.25" customHeight="1">
      <c r="A4" s="18"/>
      <c r="B4" s="5" t="s">
        <v>441</v>
      </c>
      <c r="C4" s="222"/>
      <c r="D4" s="217"/>
      <c r="E4" s="214"/>
      <c r="F4" s="214"/>
      <c r="G4" s="214"/>
      <c r="H4" s="214"/>
      <c r="I4" s="220"/>
      <c r="J4" s="220"/>
      <c r="K4" s="220"/>
      <c r="L4" s="220"/>
    </row>
    <row r="5" spans="1:13" ht="26.25" customHeight="1">
      <c r="A5" s="18"/>
      <c r="B5" s="5" t="s">
        <v>442</v>
      </c>
      <c r="C5" s="216"/>
      <c r="D5" s="217"/>
      <c r="E5" s="214"/>
      <c r="F5" s="214"/>
      <c r="G5" s="214"/>
      <c r="H5" s="214"/>
      <c r="I5" s="220"/>
      <c r="J5" s="220"/>
      <c r="K5" s="220"/>
      <c r="L5" s="220"/>
    </row>
    <row r="6" spans="1:13" ht="26.25" customHeight="1">
      <c r="A6" s="18"/>
      <c r="B6" s="5" t="s">
        <v>443</v>
      </c>
      <c r="C6" s="213" t="str">
        <f>INDEX(總表!$B$9:$B$47,MATCH('7A'!A9,總表!$A$9:$A$48,0))</f>
        <v>Nhà kho 2
二號倉庫</v>
      </c>
      <c r="D6" s="217"/>
      <c r="E6" s="214"/>
      <c r="F6" s="214"/>
      <c r="G6" s="214"/>
      <c r="H6" s="214"/>
      <c r="I6" s="220"/>
      <c r="J6" s="220"/>
      <c r="K6" s="220"/>
      <c r="L6" s="220"/>
    </row>
    <row r="7" spans="1:13" ht="26.25" customHeight="1">
      <c r="A7" s="18"/>
      <c r="B7" s="5" t="s">
        <v>444</v>
      </c>
      <c r="C7" s="223" t="s">
        <v>445</v>
      </c>
      <c r="D7" s="224"/>
      <c r="E7" s="224"/>
      <c r="F7" s="224"/>
      <c r="G7" s="224"/>
      <c r="H7" s="224"/>
      <c r="I7" s="224"/>
      <c r="J7" s="224"/>
      <c r="K7" s="224"/>
      <c r="L7" s="224"/>
    </row>
    <row r="8" spans="1:13" s="2" customFormat="1" ht="41.25" customHeight="1">
      <c r="A8" s="19" t="s">
        <v>446</v>
      </c>
      <c r="B8" s="19" t="s">
        <v>508</v>
      </c>
      <c r="C8" s="19" t="s">
        <v>509</v>
      </c>
      <c r="D8" s="19" t="s">
        <v>448</v>
      </c>
      <c r="E8" s="19" t="s">
        <v>449</v>
      </c>
      <c r="F8" s="84" t="s">
        <v>510</v>
      </c>
      <c r="G8" s="19" t="s">
        <v>511</v>
      </c>
      <c r="H8" s="19" t="s">
        <v>512</v>
      </c>
      <c r="I8" s="21" t="s">
        <v>450</v>
      </c>
      <c r="J8" s="21" t="s">
        <v>452</v>
      </c>
      <c r="K8" s="84" t="s">
        <v>513</v>
      </c>
      <c r="L8" s="21" t="s">
        <v>514</v>
      </c>
    </row>
    <row r="9" spans="1:13" s="3" customFormat="1" ht="25.5" customHeight="1">
      <c r="A9" s="22" t="s">
        <v>464</v>
      </c>
      <c r="B9" s="23" t="str">
        <f>C6</f>
        <v>Nhà kho 2
二號倉庫</v>
      </c>
      <c r="C9" s="23" t="s">
        <v>515</v>
      </c>
      <c r="D9" s="22"/>
      <c r="E9" s="25"/>
      <c r="F9" s="87"/>
      <c r="G9" s="25">
        <f>_xlfn.XLOOKUP(B9, Rate_Master!$A:$A, Rate_Master!$C:$C, "")</f>
        <v>0</v>
      </c>
      <c r="H9" s="25">
        <f>_xlfn.XLOOKUP(B9, Rate_Master!$A:$A, Rate_Master!$D:$D, "")</f>
        <v>0</v>
      </c>
      <c r="I9" s="26"/>
      <c r="J9" s="26">
        <f>SUBTOTAL(9,J10:J168)</f>
        <v>71761269208.254242</v>
      </c>
      <c r="K9" s="26">
        <f>SUBTOTAL(9,K10:K168)</f>
        <v>72115055044.839615</v>
      </c>
      <c r="L9" s="26"/>
      <c r="M9" s="103"/>
    </row>
    <row r="10" spans="1:13" s="3" customFormat="1" ht="25.5" customHeight="1">
      <c r="A10" s="22" t="str">
        <f>$A$9&amp;".C"</f>
        <v>7A.C</v>
      </c>
      <c r="B10" s="23" t="s">
        <v>1</v>
      </c>
      <c r="C10" s="23" t="s">
        <v>515</v>
      </c>
      <c r="D10" s="22"/>
      <c r="E10" s="25"/>
      <c r="F10" s="87"/>
      <c r="G10" s="25">
        <f>_xlfn.XLOOKUP(B10, Rate_Master!$A:$A, Rate_Master!$C:$C, "")</f>
        <v>0</v>
      </c>
      <c r="H10" s="25">
        <f>_xlfn.XLOOKUP(B10, Rate_Master!$A:$A, Rate_Master!$D:$D, "")</f>
        <v>0</v>
      </c>
      <c r="I10" s="26"/>
      <c r="J10" s="26"/>
      <c r="K10" s="26"/>
      <c r="L10" s="26"/>
    </row>
    <row r="11" spans="1:13" s="3" customFormat="1" ht="25.5" customHeight="1">
      <c r="A11" s="22" t="str">
        <f>$A$10&amp;1</f>
        <v>7A.C1</v>
      </c>
      <c r="B11" s="23" t="s">
        <v>2</v>
      </c>
      <c r="C11" s="23" t="s">
        <v>515</v>
      </c>
      <c r="D11" s="22"/>
      <c r="E11" s="25"/>
      <c r="F11" s="87"/>
      <c r="G11" s="25">
        <f>_xlfn.XLOOKUP(B11, Rate_Master!$A:$A, Rate_Master!$C:$C, "")</f>
        <v>0</v>
      </c>
      <c r="H11" s="25">
        <f>_xlfn.XLOOKUP(B11, Rate_Master!$A:$A, Rate_Master!$D:$D, "")</f>
        <v>0</v>
      </c>
      <c r="I11" s="26"/>
      <c r="J11" s="26">
        <f>SUBTOTAL(9,J12:J22)</f>
        <v>12414006199.999998</v>
      </c>
      <c r="K11" s="26">
        <f>SUBTOTAL(9,K12:K22)</f>
        <v>12414006199.999998</v>
      </c>
      <c r="L11" s="26"/>
    </row>
    <row r="12" spans="1:13" s="4" customFormat="1" ht="25.5" customHeight="1" outlineLevel="1">
      <c r="A12" s="27" t="str">
        <f t="shared" ref="A12:A22" si="0">$A$11&amp;"."&amp;ROW()-ROW($A$11)</f>
        <v>7A.C1.1</v>
      </c>
      <c r="B12" s="28" t="s">
        <v>3</v>
      </c>
      <c r="C12" s="28" t="s">
        <v>515</v>
      </c>
      <c r="D12" s="29" t="s">
        <v>516</v>
      </c>
      <c r="E12" s="31">
        <v>1</v>
      </c>
      <c r="F12" s="31">
        <v>1</v>
      </c>
      <c r="G12" s="31">
        <f>_xlfn.XLOOKUP(B12, Rate_Master!$A:$A, Rate_Master!$C:$C, "")</f>
        <v>0</v>
      </c>
      <c r="H12" s="31">
        <f>_xlfn.XLOOKUP(B12, Rate_Master!$A:$A, Rate_Master!$D:$D, "")</f>
        <v>114999999.99999999</v>
      </c>
      <c r="I12" s="66">
        <f t="shared" ref="I12:I22" si="1">+H12+G12</f>
        <v>114999999.99999999</v>
      </c>
      <c r="J12" s="32">
        <f t="shared" ref="J12:J22" si="2">I12*E12</f>
        <v>114999999.99999999</v>
      </c>
      <c r="K12" s="32">
        <f t="shared" ref="K12:K22" si="3">I12*F12</f>
        <v>114999999.99999999</v>
      </c>
      <c r="L12" s="32"/>
    </row>
    <row r="13" spans="1:13" s="4" customFormat="1" ht="25.5" customHeight="1" outlineLevel="1">
      <c r="A13" s="27" t="str">
        <f t="shared" si="0"/>
        <v>7A.C1.2</v>
      </c>
      <c r="B13" s="28" t="s">
        <v>4</v>
      </c>
      <c r="C13" s="28" t="s">
        <v>515</v>
      </c>
      <c r="D13" s="29" t="s">
        <v>517</v>
      </c>
      <c r="E13" s="31">
        <v>240</v>
      </c>
      <c r="F13" s="31">
        <v>240</v>
      </c>
      <c r="G13" s="31">
        <f>_xlfn.XLOOKUP(B13, Rate_Master!$A:$A, Rate_Master!$C:$C, "")</f>
        <v>425499.99999999994</v>
      </c>
      <c r="H13" s="31">
        <f>_xlfn.XLOOKUP(B13, Rate_Master!$A:$A, Rate_Master!$D:$D, "")</f>
        <v>0</v>
      </c>
      <c r="I13" s="66">
        <f t="shared" si="1"/>
        <v>425499.99999999994</v>
      </c>
      <c r="J13" s="32">
        <f t="shared" si="2"/>
        <v>102119999.99999999</v>
      </c>
      <c r="K13" s="32">
        <f t="shared" si="3"/>
        <v>102119999.99999999</v>
      </c>
      <c r="L13" s="32"/>
    </row>
    <row r="14" spans="1:13" s="4" customFormat="1" ht="25.5" customHeight="1" outlineLevel="1">
      <c r="A14" s="27" t="str">
        <f t="shared" si="0"/>
        <v>7A.C1.3</v>
      </c>
      <c r="B14" s="28" t="s">
        <v>5</v>
      </c>
      <c r="C14" s="28" t="s">
        <v>515</v>
      </c>
      <c r="D14" s="29" t="s">
        <v>517</v>
      </c>
      <c r="E14" s="31">
        <v>220</v>
      </c>
      <c r="F14" s="31">
        <v>220</v>
      </c>
      <c r="G14" s="31">
        <f>_xlfn.XLOOKUP(B14, Rate_Master!$A:$A, Rate_Master!$C:$C, "")</f>
        <v>0</v>
      </c>
      <c r="H14" s="31">
        <f>_xlfn.XLOOKUP(B14, Rate_Master!$A:$A, Rate_Master!$D:$D, "")</f>
        <v>69000</v>
      </c>
      <c r="I14" s="66">
        <f t="shared" si="1"/>
        <v>69000</v>
      </c>
      <c r="J14" s="32">
        <f t="shared" si="2"/>
        <v>15180000</v>
      </c>
      <c r="K14" s="32">
        <f t="shared" si="3"/>
        <v>15180000</v>
      </c>
      <c r="L14" s="32"/>
    </row>
    <row r="15" spans="1:13" s="4" customFormat="1" ht="25.5" customHeight="1" outlineLevel="1">
      <c r="A15" s="27" t="str">
        <f t="shared" si="0"/>
        <v>7A.C1.4</v>
      </c>
      <c r="B15" s="28" t="s">
        <v>6</v>
      </c>
      <c r="C15" s="28" t="s">
        <v>515</v>
      </c>
      <c r="D15" s="29" t="s">
        <v>517</v>
      </c>
      <c r="E15" s="31">
        <v>230</v>
      </c>
      <c r="F15" s="31">
        <v>230</v>
      </c>
      <c r="G15" s="31">
        <f>_xlfn.XLOOKUP(B15, Rate_Master!$A:$A, Rate_Master!$C:$C, "")</f>
        <v>0</v>
      </c>
      <c r="H15" s="31">
        <f>_xlfn.XLOOKUP(B15, Rate_Master!$A:$A, Rate_Master!$D:$D, "")</f>
        <v>57499.999999999993</v>
      </c>
      <c r="I15" s="66">
        <f t="shared" si="1"/>
        <v>57499.999999999993</v>
      </c>
      <c r="J15" s="32">
        <f t="shared" si="2"/>
        <v>13224999.999999998</v>
      </c>
      <c r="K15" s="32">
        <f t="shared" si="3"/>
        <v>13224999.999999998</v>
      </c>
      <c r="L15" s="32"/>
    </row>
    <row r="16" spans="1:13" s="4" customFormat="1" ht="102" customHeight="1" outlineLevel="1">
      <c r="A16" s="27" t="str">
        <f t="shared" si="0"/>
        <v>7A.C1.5</v>
      </c>
      <c r="B16" s="28" t="s">
        <v>7</v>
      </c>
      <c r="C16" s="28" t="s">
        <v>515</v>
      </c>
      <c r="D16" s="29" t="s">
        <v>518</v>
      </c>
      <c r="E16" s="31">
        <v>10</v>
      </c>
      <c r="F16" s="31">
        <v>10</v>
      </c>
      <c r="G16" s="31">
        <f>_xlfn.XLOOKUP(B16, Rate_Master!$A:$A, Rate_Master!$C:$C, "")</f>
        <v>0</v>
      </c>
      <c r="H16" s="31">
        <f>_xlfn.XLOOKUP(B16, Rate_Master!$A:$A, Rate_Master!$D:$D, "")</f>
        <v>13799999.999999998</v>
      </c>
      <c r="I16" s="66">
        <f t="shared" si="1"/>
        <v>13799999.999999998</v>
      </c>
      <c r="J16" s="32">
        <f t="shared" si="2"/>
        <v>137999999.99999997</v>
      </c>
      <c r="K16" s="32">
        <f t="shared" si="3"/>
        <v>137999999.99999997</v>
      </c>
      <c r="L16" s="32"/>
    </row>
    <row r="17" spans="1:12" s="4" customFormat="1" ht="25.5" customHeight="1" outlineLevel="1">
      <c r="A17" s="27" t="str">
        <f t="shared" si="0"/>
        <v>7A.C1.6</v>
      </c>
      <c r="B17" s="28" t="s">
        <v>8</v>
      </c>
      <c r="C17" s="28" t="s">
        <v>515</v>
      </c>
      <c r="D17" s="29" t="s">
        <v>518</v>
      </c>
      <c r="E17" s="31">
        <v>197</v>
      </c>
      <c r="F17" s="31">
        <v>197</v>
      </c>
      <c r="G17" s="31">
        <f>_xlfn.XLOOKUP(B17, Rate_Master!$A:$A, Rate_Master!$C:$C, "")</f>
        <v>0</v>
      </c>
      <c r="H17" s="31">
        <f>_xlfn.XLOOKUP(B17, Rate_Master!$A:$A, Rate_Master!$D:$D, "")</f>
        <v>252999.99999999997</v>
      </c>
      <c r="I17" s="66">
        <f t="shared" si="1"/>
        <v>252999.99999999997</v>
      </c>
      <c r="J17" s="32">
        <f t="shared" si="2"/>
        <v>49840999.999999993</v>
      </c>
      <c r="K17" s="32">
        <f t="shared" si="3"/>
        <v>49840999.999999993</v>
      </c>
      <c r="L17" s="32"/>
    </row>
    <row r="18" spans="1:12" s="4" customFormat="1" ht="25.5" customHeight="1" outlineLevel="1">
      <c r="A18" s="27" t="str">
        <f t="shared" si="0"/>
        <v>7A.C1.7</v>
      </c>
      <c r="B18" s="28" t="s">
        <v>9</v>
      </c>
      <c r="C18" s="28" t="s">
        <v>515</v>
      </c>
      <c r="D18" s="29" t="s">
        <v>517</v>
      </c>
      <c r="E18" s="31">
        <v>21362</v>
      </c>
      <c r="F18" s="31">
        <v>21362</v>
      </c>
      <c r="G18" s="31">
        <f>_xlfn.XLOOKUP(B18, Rate_Master!$A:$A, Rate_Master!$C:$C, "")</f>
        <v>402499.99999999994</v>
      </c>
      <c r="H18" s="31">
        <f>_xlfn.XLOOKUP(B18, Rate_Master!$A:$A, Rate_Master!$D:$D, "")</f>
        <v>0</v>
      </c>
      <c r="I18" s="66">
        <f t="shared" si="1"/>
        <v>402499.99999999994</v>
      </c>
      <c r="J18" s="32">
        <f t="shared" si="2"/>
        <v>8598204999.9999981</v>
      </c>
      <c r="K18" s="32">
        <f t="shared" si="3"/>
        <v>8598204999.9999981</v>
      </c>
      <c r="L18" s="32"/>
    </row>
    <row r="19" spans="1:12" s="4" customFormat="1" ht="25.5" customHeight="1" outlineLevel="1">
      <c r="A19" s="27" t="str">
        <f t="shared" si="0"/>
        <v>7A.C1.8</v>
      </c>
      <c r="B19" s="28" t="s">
        <v>10</v>
      </c>
      <c r="C19" s="28" t="s">
        <v>515</v>
      </c>
      <c r="D19" s="29" t="s">
        <v>518</v>
      </c>
      <c r="E19" s="31">
        <v>981</v>
      </c>
      <c r="F19" s="31">
        <v>981</v>
      </c>
      <c r="G19" s="31">
        <f>_xlfn.XLOOKUP(B19, Rate_Master!$A:$A, Rate_Master!$C:$C, "")</f>
        <v>80500</v>
      </c>
      <c r="H19" s="31">
        <f>_xlfn.XLOOKUP(B19, Rate_Master!$A:$A, Rate_Master!$D:$D, "")</f>
        <v>0</v>
      </c>
      <c r="I19" s="66">
        <f t="shared" si="1"/>
        <v>80500</v>
      </c>
      <c r="J19" s="32">
        <f t="shared" si="2"/>
        <v>78970500</v>
      </c>
      <c r="K19" s="32">
        <f t="shared" si="3"/>
        <v>78970500</v>
      </c>
      <c r="L19" s="32"/>
    </row>
    <row r="20" spans="1:12" s="4" customFormat="1" ht="25.5" customHeight="1" outlineLevel="1">
      <c r="A20" s="27" t="str">
        <f t="shared" si="0"/>
        <v>7A.C1.9</v>
      </c>
      <c r="B20" s="28" t="s">
        <v>11</v>
      </c>
      <c r="C20" s="28" t="s">
        <v>515</v>
      </c>
      <c r="D20" s="29" t="s">
        <v>517</v>
      </c>
      <c r="E20" s="31">
        <v>20678.8</v>
      </c>
      <c r="F20" s="31">
        <v>20678.8</v>
      </c>
      <c r="G20" s="31">
        <f>_xlfn.XLOOKUP(B20, Rate_Master!$A:$A, Rate_Master!$C:$C, "")</f>
        <v>0</v>
      </c>
      <c r="H20" s="31">
        <f>_xlfn.XLOOKUP(B20, Rate_Master!$A:$A, Rate_Master!$D:$D, "")</f>
        <v>69000</v>
      </c>
      <c r="I20" s="66">
        <f t="shared" si="1"/>
        <v>69000</v>
      </c>
      <c r="J20" s="32">
        <f t="shared" si="2"/>
        <v>1426837200</v>
      </c>
      <c r="K20" s="32">
        <f t="shared" si="3"/>
        <v>1426837200</v>
      </c>
      <c r="L20" s="32"/>
    </row>
    <row r="21" spans="1:12" s="4" customFormat="1" ht="25.5" customHeight="1" outlineLevel="1">
      <c r="A21" s="27" t="str">
        <f t="shared" si="0"/>
        <v>7A.C1.10</v>
      </c>
      <c r="B21" s="28" t="s">
        <v>12</v>
      </c>
      <c r="C21" s="28" t="s">
        <v>515</v>
      </c>
      <c r="D21" s="29" t="s">
        <v>517</v>
      </c>
      <c r="E21" s="31">
        <v>21649.8</v>
      </c>
      <c r="F21" s="31">
        <v>21649.8</v>
      </c>
      <c r="G21" s="31">
        <f>_xlfn.XLOOKUP(B21, Rate_Master!$A:$A, Rate_Master!$C:$C, "")</f>
        <v>0</v>
      </c>
      <c r="H21" s="31">
        <f>_xlfn.XLOOKUP(B21, Rate_Master!$A:$A, Rate_Master!$D:$D, "")</f>
        <v>57499.999999999993</v>
      </c>
      <c r="I21" s="66">
        <f t="shared" si="1"/>
        <v>57499.999999999993</v>
      </c>
      <c r="J21" s="32">
        <f t="shared" si="2"/>
        <v>1244863499.9999998</v>
      </c>
      <c r="K21" s="32">
        <f t="shared" si="3"/>
        <v>1244863499.9999998</v>
      </c>
      <c r="L21" s="32"/>
    </row>
    <row r="22" spans="1:12" s="4" customFormat="1" ht="63.75" customHeight="1" outlineLevel="1">
      <c r="A22" s="27" t="str">
        <f t="shared" si="0"/>
        <v>7A.C1.11</v>
      </c>
      <c r="B22" s="28" t="s">
        <v>13</v>
      </c>
      <c r="C22" s="28" t="s">
        <v>515</v>
      </c>
      <c r="D22" s="29" t="s">
        <v>518</v>
      </c>
      <c r="E22" s="31">
        <v>981</v>
      </c>
      <c r="F22" s="31">
        <v>981</v>
      </c>
      <c r="G22" s="31">
        <f>_xlfn.XLOOKUP(B22, Rate_Master!$A:$A, Rate_Master!$C:$C, "")</f>
        <v>482999.99999999994</v>
      </c>
      <c r="H22" s="31">
        <f>_xlfn.XLOOKUP(B22, Rate_Master!$A:$A, Rate_Master!$D:$D, "")</f>
        <v>161000</v>
      </c>
      <c r="I22" s="66">
        <f t="shared" si="1"/>
        <v>644000</v>
      </c>
      <c r="J22" s="32">
        <f t="shared" si="2"/>
        <v>631764000</v>
      </c>
      <c r="K22" s="32">
        <f t="shared" si="3"/>
        <v>631764000</v>
      </c>
      <c r="L22" s="32"/>
    </row>
    <row r="23" spans="1:12" s="3" customFormat="1" ht="25.5" customHeight="1">
      <c r="A23" s="22" t="str">
        <f>$A$10&amp;2</f>
        <v>7A.C2</v>
      </c>
      <c r="B23" s="23" t="s">
        <v>14</v>
      </c>
      <c r="C23" s="23" t="s">
        <v>515</v>
      </c>
      <c r="D23" s="22"/>
      <c r="E23" s="25"/>
      <c r="F23" s="25"/>
      <c r="G23" s="25">
        <f>_xlfn.XLOOKUP(B23, Rate_Master!$A:$A, Rate_Master!$C:$C, "")</f>
        <v>0</v>
      </c>
      <c r="H23" s="25">
        <f>_xlfn.XLOOKUP(B23, Rate_Master!$A:$A, Rate_Master!$D:$D, "")</f>
        <v>0</v>
      </c>
      <c r="I23" s="26"/>
      <c r="J23" s="26">
        <f>SUBTOTAL(9,J24:J31)</f>
        <v>3138874027.9749999</v>
      </c>
      <c r="K23" s="26">
        <f>SUBTOTAL(9,K24:K31)</f>
        <v>3138874027.9749999</v>
      </c>
      <c r="L23" s="26"/>
    </row>
    <row r="24" spans="1:12" s="4" customFormat="1" ht="25.5" customHeight="1" outlineLevel="1">
      <c r="A24" s="27" t="str">
        <f t="shared" ref="A24:A31" si="4">$A$23&amp;"."&amp;ROW()-ROW($A$23)</f>
        <v>7A.C2.1</v>
      </c>
      <c r="B24" s="28" t="s">
        <v>15</v>
      </c>
      <c r="C24" s="28" t="s">
        <v>515</v>
      </c>
      <c r="D24" s="29" t="s">
        <v>519</v>
      </c>
      <c r="E24" s="31">
        <v>3188.73</v>
      </c>
      <c r="F24" s="31">
        <v>3188.73</v>
      </c>
      <c r="G24" s="31">
        <f>_xlfn.XLOOKUP(B24, Rate_Master!$A:$A, Rate_Master!$C:$C, "")</f>
        <v>0</v>
      </c>
      <c r="H24" s="31">
        <f>_xlfn.XLOOKUP(B24, Rate_Master!$A:$A, Rate_Master!$D:$D, "")</f>
        <v>32199.999999999996</v>
      </c>
      <c r="I24" s="66">
        <f t="shared" ref="I24:I31" si="5">+H24+G24</f>
        <v>32199.999999999996</v>
      </c>
      <c r="J24" s="32">
        <f t="shared" ref="J24:J31" si="6">I24*E24</f>
        <v>102677105.99999999</v>
      </c>
      <c r="K24" s="32">
        <f t="shared" ref="K24:K31" si="7">I24*F24</f>
        <v>102677105.99999999</v>
      </c>
      <c r="L24" s="32"/>
    </row>
    <row r="25" spans="1:12" s="4" customFormat="1" ht="25.5" customHeight="1" outlineLevel="1">
      <c r="A25" s="27" t="str">
        <f t="shared" si="4"/>
        <v>7A.C2.2</v>
      </c>
      <c r="B25" s="28" t="s">
        <v>16</v>
      </c>
      <c r="C25" s="28" t="s">
        <v>515</v>
      </c>
      <c r="D25" s="29" t="s">
        <v>520</v>
      </c>
      <c r="E25" s="31">
        <v>3372.2449999999999</v>
      </c>
      <c r="F25" s="31">
        <v>3372.2449999999999</v>
      </c>
      <c r="G25" s="31">
        <f>_xlfn.XLOOKUP(B25, Rate_Master!$A:$A, Rate_Master!$C:$C, "")</f>
        <v>0</v>
      </c>
      <c r="H25" s="31">
        <f>_xlfn.XLOOKUP(B25, Rate_Master!$A:$A, Rate_Master!$D:$D, "")</f>
        <v>17250</v>
      </c>
      <c r="I25" s="66">
        <f t="shared" si="5"/>
        <v>17250</v>
      </c>
      <c r="J25" s="32">
        <f t="shared" si="6"/>
        <v>58171226.25</v>
      </c>
      <c r="K25" s="32">
        <f t="shared" si="7"/>
        <v>58171226.25</v>
      </c>
      <c r="L25" s="32"/>
    </row>
    <row r="26" spans="1:12" s="4" customFormat="1" ht="25.5" customHeight="1" outlineLevel="1">
      <c r="A26" s="27" t="str">
        <f t="shared" si="4"/>
        <v>7A.C2.3</v>
      </c>
      <c r="B26" s="28" t="s">
        <v>17</v>
      </c>
      <c r="C26" s="28" t="s">
        <v>515</v>
      </c>
      <c r="D26" s="29" t="s">
        <v>519</v>
      </c>
      <c r="E26" s="31">
        <v>2073.2199999999998</v>
      </c>
      <c r="F26" s="31">
        <v>2073.2199999999998</v>
      </c>
      <c r="G26" s="31">
        <f>_xlfn.XLOOKUP(B26, Rate_Master!$A:$A, Rate_Master!$C:$C, "")</f>
        <v>0</v>
      </c>
      <c r="H26" s="31">
        <f>_xlfn.XLOOKUP(B26, Rate_Master!$A:$A, Rate_Master!$D:$D, "")</f>
        <v>37950</v>
      </c>
      <c r="I26" s="66">
        <f t="shared" si="5"/>
        <v>37950</v>
      </c>
      <c r="J26" s="32">
        <f t="shared" si="6"/>
        <v>78678698.999999985</v>
      </c>
      <c r="K26" s="32">
        <f t="shared" si="7"/>
        <v>78678698.999999985</v>
      </c>
      <c r="L26" s="32"/>
    </row>
    <row r="27" spans="1:12" s="4" customFormat="1" ht="25.5" customHeight="1" outlineLevel="1">
      <c r="A27" s="27" t="str">
        <f t="shared" si="4"/>
        <v>7A.C2.4</v>
      </c>
      <c r="B27" s="34" t="s">
        <v>18</v>
      </c>
      <c r="C27" s="34" t="s">
        <v>521</v>
      </c>
      <c r="D27" s="29" t="s">
        <v>519</v>
      </c>
      <c r="E27" s="31">
        <v>1115.509</v>
      </c>
      <c r="F27" s="31">
        <v>1115.509</v>
      </c>
      <c r="G27" s="31">
        <f>_xlfn.XLOOKUP(B27, Rate_Master!$A:$A, Rate_Master!$C:$C, "")</f>
        <v>0</v>
      </c>
      <c r="H27" s="31">
        <f>_xlfn.XLOOKUP(B27, Rate_Master!$A:$A, Rate_Master!$D:$D, "")</f>
        <v>32199.999999999996</v>
      </c>
      <c r="I27" s="66">
        <f t="shared" si="5"/>
        <v>32199.999999999996</v>
      </c>
      <c r="J27" s="32">
        <f t="shared" si="6"/>
        <v>35919389.799999997</v>
      </c>
      <c r="K27" s="32">
        <f t="shared" si="7"/>
        <v>35919389.799999997</v>
      </c>
      <c r="L27" s="32"/>
    </row>
    <row r="28" spans="1:12" s="4" customFormat="1" ht="25.5" customHeight="1" outlineLevel="1">
      <c r="A28" s="27" t="str">
        <f t="shared" si="4"/>
        <v>7A.C2.5</v>
      </c>
      <c r="B28" s="28" t="s">
        <v>19</v>
      </c>
      <c r="C28" s="28" t="s">
        <v>515</v>
      </c>
      <c r="D28" s="29" t="s">
        <v>520</v>
      </c>
      <c r="E28" s="31">
        <v>3372.2449999999999</v>
      </c>
      <c r="F28" s="31">
        <v>3372.2449999999999</v>
      </c>
      <c r="G28" s="31">
        <f>_xlfn.XLOOKUP(B28, Rate_Master!$A:$A, Rate_Master!$C:$C, "")</f>
        <v>6899.9999999999991</v>
      </c>
      <c r="H28" s="31">
        <f>_xlfn.XLOOKUP(B28, Rate_Master!$A:$A, Rate_Master!$D:$D, "")</f>
        <v>1724.9999999999998</v>
      </c>
      <c r="I28" s="66">
        <f t="shared" si="5"/>
        <v>8624.9999999999982</v>
      </c>
      <c r="J28" s="32">
        <f t="shared" si="6"/>
        <v>29085613.124999993</v>
      </c>
      <c r="K28" s="32">
        <f t="shared" si="7"/>
        <v>29085613.124999993</v>
      </c>
      <c r="L28" s="32"/>
    </row>
    <row r="29" spans="1:12" s="4" customFormat="1" ht="38.25" customHeight="1" outlineLevel="1">
      <c r="A29" s="27" t="str">
        <f t="shared" si="4"/>
        <v>7A.C2.6</v>
      </c>
      <c r="B29" s="28" t="s">
        <v>20</v>
      </c>
      <c r="C29" s="28" t="s">
        <v>515</v>
      </c>
      <c r="D29" s="29" t="s">
        <v>520</v>
      </c>
      <c r="E29" s="31">
        <v>10468.251</v>
      </c>
      <c r="F29" s="31">
        <v>10468.251</v>
      </c>
      <c r="G29" s="31">
        <f>_xlfn.XLOOKUP(B29, Rate_Master!$A:$A, Rate_Master!$C:$C, "")</f>
        <v>34500</v>
      </c>
      <c r="H29" s="31">
        <f>_xlfn.XLOOKUP(B29, Rate_Master!$A:$A, Rate_Master!$D:$D, "")</f>
        <v>5750</v>
      </c>
      <c r="I29" s="66">
        <f t="shared" si="5"/>
        <v>40250</v>
      </c>
      <c r="J29" s="32">
        <f t="shared" si="6"/>
        <v>421347102.75</v>
      </c>
      <c r="K29" s="32">
        <f t="shared" si="7"/>
        <v>421347102.75</v>
      </c>
      <c r="L29" s="32"/>
    </row>
    <row r="30" spans="1:12" s="4" customFormat="1" ht="25.5" customHeight="1" outlineLevel="1">
      <c r="A30" s="27" t="str">
        <f t="shared" si="4"/>
        <v>7A.C2.7</v>
      </c>
      <c r="B30" s="34" t="s">
        <v>21</v>
      </c>
      <c r="C30" s="28" t="s">
        <v>515</v>
      </c>
      <c r="D30" s="29" t="s">
        <v>520</v>
      </c>
      <c r="E30" s="31">
        <v>10468.251</v>
      </c>
      <c r="F30" s="31">
        <v>10468.251</v>
      </c>
      <c r="G30" s="31">
        <f>_xlfn.XLOOKUP(B30, Rate_Master!$A:$A, Rate_Master!$C:$C, "")</f>
        <v>0</v>
      </c>
      <c r="H30" s="31">
        <f>_xlfn.XLOOKUP(B30, Rate_Master!$A:$A, Rate_Master!$D:$D, "")</f>
        <v>13799.999999999998</v>
      </c>
      <c r="I30" s="32">
        <f t="shared" si="5"/>
        <v>13799.999999999998</v>
      </c>
      <c r="J30" s="32">
        <f t="shared" si="6"/>
        <v>144461863.79999998</v>
      </c>
      <c r="K30" s="32">
        <f t="shared" si="7"/>
        <v>144461863.79999998</v>
      </c>
      <c r="L30" s="32"/>
    </row>
    <row r="31" spans="1:12" s="4" customFormat="1" ht="25.5" customHeight="1" outlineLevel="1">
      <c r="A31" s="27" t="str">
        <f t="shared" si="4"/>
        <v>7A.C2.8</v>
      </c>
      <c r="B31" s="28" t="s">
        <v>22</v>
      </c>
      <c r="C31" s="28" t="s">
        <v>515</v>
      </c>
      <c r="D31" s="29" t="s">
        <v>519</v>
      </c>
      <c r="E31" s="31">
        <v>3683.73</v>
      </c>
      <c r="F31" s="31">
        <v>3683.73</v>
      </c>
      <c r="G31" s="31">
        <f>_xlfn.XLOOKUP(B31, Rate_Master!$A:$A, Rate_Master!$C:$C, "")</f>
        <v>512325</v>
      </c>
      <c r="H31" s="31">
        <f>_xlfn.XLOOKUP(B31, Rate_Master!$A:$A, Rate_Master!$D:$D, "")</f>
        <v>103499.99999999999</v>
      </c>
      <c r="I31" s="66">
        <f t="shared" si="5"/>
        <v>615825</v>
      </c>
      <c r="J31" s="32">
        <f t="shared" si="6"/>
        <v>2268533027.25</v>
      </c>
      <c r="K31" s="32">
        <f t="shared" si="7"/>
        <v>2268533027.25</v>
      </c>
      <c r="L31" s="32"/>
    </row>
    <row r="32" spans="1:12" s="3" customFormat="1" ht="25.5" customHeight="1">
      <c r="A32" s="22" t="str">
        <f>$A$10&amp;3</f>
        <v>7A.C3</v>
      </c>
      <c r="B32" s="23" t="s">
        <v>23</v>
      </c>
      <c r="C32" s="23" t="s">
        <v>515</v>
      </c>
      <c r="D32" s="22"/>
      <c r="E32" s="25"/>
      <c r="F32" s="25"/>
      <c r="G32" s="25">
        <f>_xlfn.XLOOKUP(B32, Rate_Master!$A:$A, Rate_Master!$C:$C, "")</f>
        <v>0</v>
      </c>
      <c r="H32" s="25">
        <f>_xlfn.XLOOKUP(B32, Rate_Master!$A:$A, Rate_Master!$D:$D, "")</f>
        <v>0</v>
      </c>
      <c r="I32" s="26"/>
      <c r="J32" s="26">
        <f>SUBTOTAL(9,J33:J39)</f>
        <v>9862598144.6805553</v>
      </c>
      <c r="K32" s="26">
        <f>SUBTOTAL(9,K33:K39)</f>
        <v>9862598144.6805553</v>
      </c>
      <c r="L32" s="26"/>
    </row>
    <row r="33" spans="1:12" s="4" customFormat="1" ht="25.5" customHeight="1" outlineLevel="1">
      <c r="A33" s="27" t="str">
        <f t="shared" ref="A33:A39" si="8">$A$32&amp;"."&amp;ROW()-ROW($A$32)</f>
        <v>7A.C3.1</v>
      </c>
      <c r="B33" s="28" t="s">
        <v>24</v>
      </c>
      <c r="C33" s="28" t="s">
        <v>515</v>
      </c>
      <c r="D33" s="29" t="s">
        <v>519</v>
      </c>
      <c r="E33" s="31">
        <v>339.14600000000002</v>
      </c>
      <c r="F33" s="31">
        <v>339.14600000000002</v>
      </c>
      <c r="G33" s="30">
        <f>_xlfn.XLOOKUP(B33, Rate_Master!$A:$A, Rate_Master!$C:$C, "")</f>
        <v>1249762.5</v>
      </c>
      <c r="H33" s="30">
        <f>_xlfn.XLOOKUP(B33, Rate_Master!$A:$A, Rate_Master!$D:$D, "")</f>
        <v>206999.99999999997</v>
      </c>
      <c r="I33" s="66">
        <f t="shared" ref="I33:I39" si="9">+H33+G33</f>
        <v>1456762.5</v>
      </c>
      <c r="J33" s="32">
        <f t="shared" ref="J33:J39" si="10">I33*E33</f>
        <v>494055174.82500005</v>
      </c>
      <c r="K33" s="32">
        <f t="shared" ref="K33:K39" si="11">I33*F33</f>
        <v>494055174.82500005</v>
      </c>
      <c r="L33" s="32"/>
    </row>
    <row r="34" spans="1:12" s="4" customFormat="1" ht="51" customHeight="1" outlineLevel="1">
      <c r="A34" s="27" t="str">
        <f t="shared" si="8"/>
        <v>7A.C3.2</v>
      </c>
      <c r="B34" s="28" t="s">
        <v>25</v>
      </c>
      <c r="C34" s="28" t="s">
        <v>515</v>
      </c>
      <c r="D34" s="29" t="s">
        <v>519</v>
      </c>
      <c r="E34" s="31">
        <v>5126.5640000000003</v>
      </c>
      <c r="F34" s="31">
        <v>5126.5640000000003</v>
      </c>
      <c r="G34" s="30">
        <f>_xlfn.XLOOKUP(B34, Rate_Master!$A:$A, Rate_Master!$C:$C, "")</f>
        <v>1607444.4444444443</v>
      </c>
      <c r="H34" s="30">
        <f>_xlfn.XLOOKUP(B34, Rate_Master!$A:$A, Rate_Master!$D:$D, "")</f>
        <v>149500</v>
      </c>
      <c r="I34" s="66">
        <f t="shared" si="9"/>
        <v>1756944.4444444443</v>
      </c>
      <c r="J34" s="32">
        <f t="shared" si="10"/>
        <v>9007088138.8888893</v>
      </c>
      <c r="K34" s="32">
        <f t="shared" si="11"/>
        <v>9007088138.8888893</v>
      </c>
      <c r="L34" s="32"/>
    </row>
    <row r="35" spans="1:12" s="4" customFormat="1" ht="25.5" customHeight="1" outlineLevel="1">
      <c r="A35" s="27" t="str">
        <f t="shared" si="8"/>
        <v>7A.C3.3</v>
      </c>
      <c r="B35" s="28" t="s">
        <v>26</v>
      </c>
      <c r="C35" s="28" t="s">
        <v>515</v>
      </c>
      <c r="D35" s="29" t="s">
        <v>519</v>
      </c>
      <c r="E35" s="31">
        <v>74.33</v>
      </c>
      <c r="F35" s="31">
        <v>74.33</v>
      </c>
      <c r="G35" s="30">
        <f>_xlfn.XLOOKUP(B35, Rate_Master!$A:$A, Rate_Master!$C:$C, "")</f>
        <v>1520555.5555555553</v>
      </c>
      <c r="H35" s="30">
        <f>_xlfn.XLOOKUP(B35, Rate_Master!$A:$A, Rate_Master!$D:$D, "")</f>
        <v>252999.99999999997</v>
      </c>
      <c r="I35" s="66">
        <f t="shared" si="9"/>
        <v>1773555.5555555553</v>
      </c>
      <c r="J35" s="32">
        <f t="shared" si="10"/>
        <v>131828384.44444442</v>
      </c>
      <c r="K35" s="32">
        <f t="shared" si="11"/>
        <v>131828384.44444442</v>
      </c>
      <c r="L35" s="32"/>
    </row>
    <row r="36" spans="1:12" s="4" customFormat="1" ht="25.5" customHeight="1" outlineLevel="1">
      <c r="A36" s="27" t="str">
        <f t="shared" si="8"/>
        <v>7A.C3.4</v>
      </c>
      <c r="B36" s="28" t="s">
        <v>27</v>
      </c>
      <c r="C36" s="28" t="s">
        <v>515</v>
      </c>
      <c r="D36" s="29" t="s">
        <v>519</v>
      </c>
      <c r="E36" s="31">
        <v>57.518999999999998</v>
      </c>
      <c r="F36" s="31">
        <v>57.518999999999998</v>
      </c>
      <c r="G36" s="30">
        <f>_xlfn.XLOOKUP(B36, Rate_Master!$A:$A, Rate_Master!$C:$C, "")</f>
        <v>1520555.5555555553</v>
      </c>
      <c r="H36" s="30">
        <f>_xlfn.XLOOKUP(B36, Rate_Master!$A:$A, Rate_Master!$D:$D, "")</f>
        <v>149500</v>
      </c>
      <c r="I36" s="66">
        <f t="shared" si="9"/>
        <v>1670055.5555555553</v>
      </c>
      <c r="J36" s="32">
        <f t="shared" si="10"/>
        <v>96059925.499999985</v>
      </c>
      <c r="K36" s="32">
        <f t="shared" si="11"/>
        <v>96059925.499999985</v>
      </c>
      <c r="L36" s="32"/>
    </row>
    <row r="37" spans="1:12" s="4" customFormat="1" ht="25.5" customHeight="1" outlineLevel="1">
      <c r="A37" s="27" t="str">
        <f t="shared" si="8"/>
        <v>7A.C3.5</v>
      </c>
      <c r="B37" s="28" t="s">
        <v>28</v>
      </c>
      <c r="C37" s="28" t="s">
        <v>515</v>
      </c>
      <c r="D37" s="29" t="s">
        <v>519</v>
      </c>
      <c r="E37" s="31">
        <v>6.4584000000000001</v>
      </c>
      <c r="F37" s="31">
        <v>6.4584000000000001</v>
      </c>
      <c r="G37" s="30">
        <f>_xlfn.XLOOKUP(B37, Rate_Master!$A:$A, Rate_Master!$C:$C, "")</f>
        <v>1390222.2222222222</v>
      </c>
      <c r="H37" s="30">
        <f>_xlfn.XLOOKUP(B37, Rate_Master!$A:$A, Rate_Master!$D:$D, "")</f>
        <v>149500</v>
      </c>
      <c r="I37" s="66">
        <f t="shared" si="9"/>
        <v>1539722.2222222222</v>
      </c>
      <c r="J37" s="32">
        <f t="shared" si="10"/>
        <v>9944142</v>
      </c>
      <c r="K37" s="32">
        <f t="shared" si="11"/>
        <v>9944142</v>
      </c>
      <c r="L37" s="32"/>
    </row>
    <row r="38" spans="1:12" s="4" customFormat="1" ht="25.5" customHeight="1" outlineLevel="1">
      <c r="A38" s="27" t="str">
        <f t="shared" si="8"/>
        <v>7A.C3.6</v>
      </c>
      <c r="B38" s="28" t="s">
        <v>29</v>
      </c>
      <c r="C38" s="28" t="s">
        <v>515</v>
      </c>
      <c r="D38" s="29" t="s">
        <v>519</v>
      </c>
      <c r="E38" s="31">
        <v>40.384</v>
      </c>
      <c r="F38" s="31">
        <v>40.384</v>
      </c>
      <c r="G38" s="30">
        <f>_xlfn.XLOOKUP(B38, Rate_Master!$A:$A, Rate_Master!$C:$C, "")</f>
        <v>1390222.2222222222</v>
      </c>
      <c r="H38" s="30">
        <f>_xlfn.XLOOKUP(B38, Rate_Master!$A:$A, Rate_Master!$D:$D, "")</f>
        <v>149500</v>
      </c>
      <c r="I38" s="66">
        <f t="shared" si="9"/>
        <v>1539722.2222222222</v>
      </c>
      <c r="J38" s="32">
        <f t="shared" si="10"/>
        <v>62180142.222222224</v>
      </c>
      <c r="K38" s="32">
        <f t="shared" si="11"/>
        <v>62180142.222222224</v>
      </c>
      <c r="L38" s="32"/>
    </row>
    <row r="39" spans="1:12" s="4" customFormat="1" ht="38.25" customHeight="1" outlineLevel="1">
      <c r="A39" s="27" t="str">
        <f t="shared" si="8"/>
        <v>7A.C3.7</v>
      </c>
      <c r="B39" s="28" t="s">
        <v>30</v>
      </c>
      <c r="C39" s="28" t="s">
        <v>515</v>
      </c>
      <c r="D39" s="29" t="s">
        <v>519</v>
      </c>
      <c r="E39" s="31">
        <v>2.0192000000000001</v>
      </c>
      <c r="F39" s="31">
        <v>2.0192000000000001</v>
      </c>
      <c r="G39" s="30">
        <f>_xlfn.XLOOKUP(B39, Rate_Master!$A:$A, Rate_Master!$C:$C, "")</f>
        <v>22425000</v>
      </c>
      <c r="H39" s="30">
        <f>_xlfn.XLOOKUP(B39, Rate_Master!$A:$A, Rate_Master!$D:$D, "")</f>
        <v>8003999.9999999991</v>
      </c>
      <c r="I39" s="66">
        <f t="shared" si="9"/>
        <v>30429000</v>
      </c>
      <c r="J39" s="32">
        <f t="shared" si="10"/>
        <v>61442236.800000004</v>
      </c>
      <c r="K39" s="32">
        <f t="shared" si="11"/>
        <v>61442236.800000004</v>
      </c>
      <c r="L39" s="32"/>
    </row>
    <row r="40" spans="1:12" s="3" customFormat="1" ht="25.5" customHeight="1">
      <c r="A40" s="22" t="str">
        <f>$A$10&amp;4</f>
        <v>7A.C4</v>
      </c>
      <c r="B40" s="23" t="s">
        <v>31</v>
      </c>
      <c r="C40" s="23" t="s">
        <v>515</v>
      </c>
      <c r="D40" s="22"/>
      <c r="E40" s="25"/>
      <c r="F40" s="25"/>
      <c r="G40" s="25">
        <f>_xlfn.XLOOKUP(B40, Rate_Master!$A:$A, Rate_Master!$C:$C, "")</f>
        <v>0</v>
      </c>
      <c r="H40" s="25">
        <f>_xlfn.XLOOKUP(B40, Rate_Master!$A:$A, Rate_Master!$D:$D, "")</f>
        <v>0</v>
      </c>
      <c r="I40" s="26"/>
      <c r="J40" s="26">
        <f>SUBTOTAL(9,J41:J45)</f>
        <v>2148046187.5</v>
      </c>
      <c r="K40" s="26">
        <f>SUBTOTAL(9,K41:K45)</f>
        <v>2148046187.5</v>
      </c>
      <c r="L40" s="26"/>
    </row>
    <row r="41" spans="1:12" s="4" customFormat="1" ht="25.5" customHeight="1" outlineLevel="1">
      <c r="A41" s="27" t="str">
        <f>$A$40&amp;"."&amp;ROW()-ROW($A$40)</f>
        <v>7A.C4.1</v>
      </c>
      <c r="B41" s="28" t="s">
        <v>32</v>
      </c>
      <c r="C41" s="28" t="s">
        <v>515</v>
      </c>
      <c r="D41" s="29" t="s">
        <v>520</v>
      </c>
      <c r="E41" s="31">
        <v>897.85</v>
      </c>
      <c r="F41" s="31">
        <v>897.85</v>
      </c>
      <c r="G41" s="30">
        <f>_xlfn.XLOOKUP(B41, Rate_Master!$A:$A, Rate_Master!$C:$C, "")</f>
        <v>80500</v>
      </c>
      <c r="H41" s="30">
        <f>_xlfn.XLOOKUP(B41, Rate_Master!$A:$A, Rate_Master!$D:$D, "")</f>
        <v>92000</v>
      </c>
      <c r="I41" s="66">
        <f>+H41+G41</f>
        <v>172500</v>
      </c>
      <c r="J41" s="32">
        <f>I41*E41</f>
        <v>154879125</v>
      </c>
      <c r="K41" s="32">
        <f>I41*F41</f>
        <v>154879125</v>
      </c>
      <c r="L41" s="32"/>
    </row>
    <row r="42" spans="1:12" s="4" customFormat="1" ht="38.25" customHeight="1" outlineLevel="1">
      <c r="A42" s="27" t="str">
        <f>$A$40&amp;"."&amp;ROW()-ROW($A$40)</f>
        <v>7A.C4.2</v>
      </c>
      <c r="B42" s="28" t="s">
        <v>33</v>
      </c>
      <c r="C42" s="28" t="s">
        <v>515</v>
      </c>
      <c r="D42" s="29" t="s">
        <v>520</v>
      </c>
      <c r="E42" s="31">
        <v>6740.9930000000004</v>
      </c>
      <c r="F42" s="31">
        <v>6740.9930000000004</v>
      </c>
      <c r="G42" s="30">
        <f>_xlfn.XLOOKUP(B42, Rate_Master!$A:$A, Rate_Master!$C:$C, "")</f>
        <v>126499.99999999999</v>
      </c>
      <c r="H42" s="30">
        <f>_xlfn.XLOOKUP(B42, Rate_Master!$A:$A, Rate_Master!$D:$D, "")</f>
        <v>103499.99999999999</v>
      </c>
      <c r="I42" s="66">
        <f>+H42+G42</f>
        <v>229999.99999999997</v>
      </c>
      <c r="J42" s="32">
        <f>I42*E42</f>
        <v>1550428390</v>
      </c>
      <c r="K42" s="32">
        <f>I42*F42</f>
        <v>1550428390</v>
      </c>
      <c r="L42" s="32"/>
    </row>
    <row r="43" spans="1:12" s="4" customFormat="1" ht="25.5" customHeight="1" outlineLevel="1">
      <c r="A43" s="27" t="str">
        <f>$A$40&amp;"."&amp;ROW()-ROW($A$40)</f>
        <v>7A.C4.3</v>
      </c>
      <c r="B43" s="28" t="s">
        <v>34</v>
      </c>
      <c r="C43" s="28" t="s">
        <v>515</v>
      </c>
      <c r="D43" s="29" t="s">
        <v>520</v>
      </c>
      <c r="E43" s="31">
        <v>981.90099999999995</v>
      </c>
      <c r="F43" s="31">
        <v>981.90099999999995</v>
      </c>
      <c r="G43" s="30">
        <f>_xlfn.XLOOKUP(B43, Rate_Master!$A:$A, Rate_Master!$C:$C, "")</f>
        <v>126499.99999999999</v>
      </c>
      <c r="H43" s="30">
        <f>_xlfn.XLOOKUP(B43, Rate_Master!$A:$A, Rate_Master!$D:$D, "")</f>
        <v>149500</v>
      </c>
      <c r="I43" s="66">
        <f>+H43+G43</f>
        <v>276000</v>
      </c>
      <c r="J43" s="32">
        <f>I43*E43</f>
        <v>271004676</v>
      </c>
      <c r="K43" s="32">
        <f>I43*F43</f>
        <v>271004676</v>
      </c>
      <c r="L43" s="32"/>
    </row>
    <row r="44" spans="1:12" s="4" customFormat="1" ht="25.5" customHeight="1" outlineLevel="1">
      <c r="A44" s="27" t="str">
        <f>$A$40&amp;"."&amp;ROW()-ROW($A$40)</f>
        <v>7A.C4.4</v>
      </c>
      <c r="B44" s="28" t="s">
        <v>35</v>
      </c>
      <c r="C44" s="28" t="s">
        <v>515</v>
      </c>
      <c r="D44" s="29" t="s">
        <v>520</v>
      </c>
      <c r="E44" s="31">
        <v>467.63499999999999</v>
      </c>
      <c r="F44" s="31">
        <v>467.63499999999999</v>
      </c>
      <c r="G44" s="30">
        <f>_xlfn.XLOOKUP(B44, Rate_Master!$A:$A, Rate_Master!$C:$C, "")</f>
        <v>126499.99999999999</v>
      </c>
      <c r="H44" s="30">
        <f>_xlfn.XLOOKUP(B44, Rate_Master!$A:$A, Rate_Master!$D:$D, "")</f>
        <v>114999.99999999999</v>
      </c>
      <c r="I44" s="66">
        <f>+H44+G44</f>
        <v>241499.99999999997</v>
      </c>
      <c r="J44" s="32">
        <f>I44*E44</f>
        <v>112933852.49999999</v>
      </c>
      <c r="K44" s="32">
        <f>I44*F44</f>
        <v>112933852.49999999</v>
      </c>
      <c r="L44" s="32"/>
    </row>
    <row r="45" spans="1:12" s="4" customFormat="1" ht="25.5" customHeight="1" outlineLevel="1">
      <c r="A45" s="27" t="str">
        <f>$A$40&amp;"."&amp;ROW()-ROW($A$40)</f>
        <v>7A.C4.5</v>
      </c>
      <c r="B45" s="28" t="s">
        <v>36</v>
      </c>
      <c r="C45" s="28" t="s">
        <v>515</v>
      </c>
      <c r="D45" s="29" t="s">
        <v>520</v>
      </c>
      <c r="E45" s="31">
        <v>262.20800000000003</v>
      </c>
      <c r="F45" s="31">
        <v>262.20800000000003</v>
      </c>
      <c r="G45" s="30">
        <f>_xlfn.XLOOKUP(B45, Rate_Master!$A:$A, Rate_Master!$C:$C, "")</f>
        <v>126499.99999999999</v>
      </c>
      <c r="H45" s="30">
        <f>_xlfn.XLOOKUP(B45, Rate_Master!$A:$A, Rate_Master!$D:$D, "")</f>
        <v>97749.999999999985</v>
      </c>
      <c r="I45" s="66">
        <f>+H45+G45</f>
        <v>224249.99999999997</v>
      </c>
      <c r="J45" s="32">
        <f>I45*E45</f>
        <v>58800144</v>
      </c>
      <c r="K45" s="32">
        <f>I45*F45</f>
        <v>58800144</v>
      </c>
      <c r="L45" s="32"/>
    </row>
    <row r="46" spans="1:12" s="3" customFormat="1" ht="25.5" customHeight="1">
      <c r="A46" s="22" t="str">
        <f>$A$10&amp;5</f>
        <v>7A.C5</v>
      </c>
      <c r="B46" s="23" t="s">
        <v>37</v>
      </c>
      <c r="C46" s="23" t="s">
        <v>515</v>
      </c>
      <c r="D46" s="22"/>
      <c r="E46" s="25"/>
      <c r="F46" s="25"/>
      <c r="G46" s="25">
        <f>_xlfn.XLOOKUP(B46, Rate_Master!$A:$A, Rate_Master!$C:$C, "")</f>
        <v>0</v>
      </c>
      <c r="H46" s="25">
        <f>_xlfn.XLOOKUP(B46, Rate_Master!$A:$A, Rate_Master!$D:$D, "")</f>
        <v>0</v>
      </c>
      <c r="I46" s="26"/>
      <c r="J46" s="26">
        <f>SUBTOTAL(9,J47:J51)</f>
        <v>13745378119.233721</v>
      </c>
      <c r="K46" s="26">
        <f>SUBTOTAL(9,K47:K51)</f>
        <v>13745378119.233721</v>
      </c>
      <c r="L46" s="26"/>
    </row>
    <row r="47" spans="1:12" s="4" customFormat="1" ht="38.25" customHeight="1" outlineLevel="1">
      <c r="A47" s="27" t="str">
        <f>$A$46&amp;"."&amp;ROW()-ROW($A$46)</f>
        <v>7A.C5.1</v>
      </c>
      <c r="B47" s="28" t="s">
        <v>38</v>
      </c>
      <c r="C47" s="28" t="s">
        <v>522</v>
      </c>
      <c r="D47" s="29" t="s">
        <v>523</v>
      </c>
      <c r="E47" s="31">
        <v>641679.94775969605</v>
      </c>
      <c r="F47" s="31">
        <v>641679.94775969605</v>
      </c>
      <c r="G47" s="30">
        <f>_xlfn.XLOOKUP(B47, Rate_Master!$A:$A, Rate_Master!$C:$C, "")</f>
        <v>16770.564999999999</v>
      </c>
      <c r="H47" s="30">
        <f>_xlfn.XLOOKUP(B47, Rate_Master!$A:$A, Rate_Master!$D:$D, "")</f>
        <v>2875</v>
      </c>
      <c r="I47" s="66">
        <f>+H47+G47</f>
        <v>19645.564999999999</v>
      </c>
      <c r="J47" s="32">
        <f>I47*E47</f>
        <v>12606165122.909712</v>
      </c>
      <c r="K47" s="32">
        <f>I47*F47</f>
        <v>12606165122.909712</v>
      </c>
      <c r="L47" s="32"/>
    </row>
    <row r="48" spans="1:12" s="4" customFormat="1" ht="25.5" customHeight="1" outlineLevel="1">
      <c r="A48" s="27" t="str">
        <f>$A$46&amp;"."&amp;ROW()-ROW($A$46)</f>
        <v>7A.C5.2</v>
      </c>
      <c r="B48" s="28" t="s">
        <v>39</v>
      </c>
      <c r="C48" s="28" t="s">
        <v>522</v>
      </c>
      <c r="D48" s="29" t="s">
        <v>523</v>
      </c>
      <c r="E48" s="31">
        <v>20631.458060334098</v>
      </c>
      <c r="F48" s="31">
        <v>20631.458060334098</v>
      </c>
      <c r="G48" s="30">
        <f>_xlfn.XLOOKUP(B48, Rate_Master!$A:$A, Rate_Master!$C:$C, "")</f>
        <v>16770.564999999999</v>
      </c>
      <c r="H48" s="30">
        <f>_xlfn.XLOOKUP(B48, Rate_Master!$A:$A, Rate_Master!$D:$D, "")</f>
        <v>3679.9999999999995</v>
      </c>
      <c r="I48" s="66">
        <f>+H48+G48</f>
        <v>20450.564999999999</v>
      </c>
      <c r="J48" s="32">
        <f>I48*E48</f>
        <v>421924974.10763639</v>
      </c>
      <c r="K48" s="32">
        <f>I48*F48</f>
        <v>421924974.10763639</v>
      </c>
      <c r="L48" s="32"/>
    </row>
    <row r="49" spans="1:16" s="4" customFormat="1" ht="25.5" customHeight="1" outlineLevel="1">
      <c r="A49" s="27" t="str">
        <f>$A$46&amp;"."&amp;ROW()-ROW($A$46)</f>
        <v>7A.C5.3</v>
      </c>
      <c r="B49" s="28" t="s">
        <v>40</v>
      </c>
      <c r="C49" s="28" t="s">
        <v>522</v>
      </c>
      <c r="D49" s="29" t="s">
        <v>523</v>
      </c>
      <c r="E49" s="31">
        <v>8539.4928543155602</v>
      </c>
      <c r="F49" s="31">
        <v>8539.4928543155602</v>
      </c>
      <c r="G49" s="30">
        <f>_xlfn.XLOOKUP(B49, Rate_Master!$A:$A, Rate_Master!$C:$C, "")</f>
        <v>16770.564999999999</v>
      </c>
      <c r="H49" s="30">
        <f>_xlfn.XLOOKUP(B49, Rate_Master!$A:$A, Rate_Master!$D:$D, "")</f>
        <v>3449.9999999999995</v>
      </c>
      <c r="I49" s="66">
        <f>+H49+G49</f>
        <v>20220.564999999999</v>
      </c>
      <c r="J49" s="32">
        <f>I49*E49</f>
        <v>172673370.32772329</v>
      </c>
      <c r="K49" s="32">
        <f>I49*F49</f>
        <v>172673370.32772329</v>
      </c>
      <c r="L49" s="32"/>
    </row>
    <row r="50" spans="1:16" s="4" customFormat="1" ht="25.5" customHeight="1" outlineLevel="1">
      <c r="A50" s="27" t="str">
        <f>$A$46&amp;"."&amp;ROW()-ROW($A$46)</f>
        <v>7A.C5.4</v>
      </c>
      <c r="B50" s="28" t="s">
        <v>41</v>
      </c>
      <c r="C50" s="28" t="s">
        <v>522</v>
      </c>
      <c r="D50" s="29" t="s">
        <v>523</v>
      </c>
      <c r="E50" s="31">
        <v>26482.907696167898</v>
      </c>
      <c r="F50" s="31">
        <v>26482.907696167898</v>
      </c>
      <c r="G50" s="30">
        <f>_xlfn.XLOOKUP(B50, Rate_Master!$A:$A, Rate_Master!$C:$C, "")</f>
        <v>16770.564999999999</v>
      </c>
      <c r="H50" s="30">
        <f>_xlfn.XLOOKUP(B50, Rate_Master!$A:$A, Rate_Master!$D:$D, "")</f>
        <v>3679.9999999999995</v>
      </c>
      <c r="I50" s="66">
        <f>+H50+G50</f>
        <v>20450.564999999999</v>
      </c>
      <c r="J50" s="32">
        <f>I50*E50</f>
        <v>541590425.22948182</v>
      </c>
      <c r="K50" s="32">
        <f>I50*F50</f>
        <v>541590425.22948182</v>
      </c>
      <c r="L50" s="32"/>
    </row>
    <row r="51" spans="1:16" s="4" customFormat="1" ht="25.5" customHeight="1" outlineLevel="1">
      <c r="A51" s="27" t="str">
        <f>$A$46&amp;"."&amp;ROW()-ROW($A$46)</f>
        <v>7A.C5.5</v>
      </c>
      <c r="B51" s="28" t="s">
        <v>42</v>
      </c>
      <c r="C51" s="28" t="s">
        <v>524</v>
      </c>
      <c r="D51" s="29" t="s">
        <v>523</v>
      </c>
      <c r="E51" s="31">
        <v>142.0848</v>
      </c>
      <c r="F51" s="31">
        <v>142.0848</v>
      </c>
      <c r="G51" s="30">
        <f>_xlfn.XLOOKUP(B51, Rate_Master!$A:$A, Rate_Master!$C:$C, "")</f>
        <v>17834.66</v>
      </c>
      <c r="H51" s="30">
        <f>_xlfn.XLOOKUP(B51, Rate_Master!$A:$A, Rate_Master!$D:$D, "")</f>
        <v>3449.9999999999995</v>
      </c>
      <c r="I51" s="66">
        <f>+H51+G51</f>
        <v>21284.66</v>
      </c>
      <c r="J51" s="32">
        <f>I51*E51</f>
        <v>3024226.6591679999</v>
      </c>
      <c r="K51" s="32">
        <f>I51*F51</f>
        <v>3024226.6591679999</v>
      </c>
      <c r="L51" s="32"/>
    </row>
    <row r="52" spans="1:16" s="3" customFormat="1" ht="25.5" customHeight="1">
      <c r="A52" s="22" t="str">
        <f>$A$10&amp;6</f>
        <v>7A.C6</v>
      </c>
      <c r="B52" s="23" t="s">
        <v>43</v>
      </c>
      <c r="C52" s="23" t="s">
        <v>515</v>
      </c>
      <c r="D52" s="22"/>
      <c r="E52" s="25"/>
      <c r="F52" s="25"/>
      <c r="G52" s="25">
        <f>_xlfn.XLOOKUP(B52, Rate_Master!$A:$A, Rate_Master!$C:$C, "")</f>
        <v>0</v>
      </c>
      <c r="H52" s="25">
        <f>_xlfn.XLOOKUP(B52, Rate_Master!$A:$A, Rate_Master!$D:$D, "")</f>
        <v>0</v>
      </c>
      <c r="I52" s="26">
        <f>G52+H52</f>
        <v>0</v>
      </c>
      <c r="J52" s="26">
        <f>SUBTOTAL(9,J53:J55)</f>
        <v>702724234.79999995</v>
      </c>
      <c r="K52" s="26">
        <f>SUBTOTAL(9,K53:K55)</f>
        <v>702724234.79999995</v>
      </c>
      <c r="L52" s="26"/>
    </row>
    <row r="53" spans="1:16" s="4" customFormat="1" ht="25.5" customHeight="1" outlineLevel="1">
      <c r="A53" s="27" t="str">
        <f>$A$52&amp;"."&amp;ROW()-ROW($A$52)</f>
        <v>7A.C6.1</v>
      </c>
      <c r="B53" s="28" t="s">
        <v>44</v>
      </c>
      <c r="C53" s="28" t="s">
        <v>515</v>
      </c>
      <c r="D53" s="29" t="s">
        <v>520</v>
      </c>
      <c r="E53" s="31">
        <v>12968.734</v>
      </c>
      <c r="F53" s="31">
        <v>12968.734</v>
      </c>
      <c r="G53" s="30">
        <f>_xlfn.XLOOKUP(B53, Rate_Master!$A:$A, Rate_Master!$C:$C, "")</f>
        <v>14949.999999999998</v>
      </c>
      <c r="H53" s="30">
        <f>_xlfn.XLOOKUP(B53, Rate_Master!$A:$A, Rate_Master!$D:$D, "")</f>
        <v>17250</v>
      </c>
      <c r="I53" s="32">
        <f>+H53+G53</f>
        <v>32200</v>
      </c>
      <c r="J53" s="32">
        <f>I53*E53</f>
        <v>417593234.80000001</v>
      </c>
      <c r="K53" s="32">
        <f>I53*F53</f>
        <v>417593234.80000001</v>
      </c>
      <c r="L53" s="32"/>
    </row>
    <row r="54" spans="1:16" s="4" customFormat="1" ht="51" customHeight="1" outlineLevel="1">
      <c r="A54" s="27" t="str">
        <f>$A$52&amp;"."&amp;ROW()-ROW($A$52)</f>
        <v>7A.C6.2</v>
      </c>
      <c r="B54" s="34" t="s">
        <v>45</v>
      </c>
      <c r="C54" s="28" t="s">
        <v>515</v>
      </c>
      <c r="D54" s="29" t="s">
        <v>517</v>
      </c>
      <c r="E54" s="31">
        <v>9917.6</v>
      </c>
      <c r="F54" s="31">
        <v>9917.6</v>
      </c>
      <c r="G54" s="30">
        <f>_xlfn.XLOOKUP(B54, Rate_Master!$A:$A, Rate_Master!$C:$C, "")</f>
        <v>5750</v>
      </c>
      <c r="H54" s="30">
        <f>_xlfn.XLOOKUP(B54, Rate_Master!$A:$A, Rate_Master!$D:$D, "")</f>
        <v>23000</v>
      </c>
      <c r="I54" s="32">
        <f>+H54+G54</f>
        <v>28750</v>
      </c>
      <c r="J54" s="32">
        <f>I54*E54</f>
        <v>285131000</v>
      </c>
      <c r="K54" s="32">
        <f>I54*F54</f>
        <v>285131000</v>
      </c>
      <c r="L54" s="32"/>
    </row>
    <row r="55" spans="1:16" s="4" customFormat="1" ht="38.25" customHeight="1" outlineLevel="1">
      <c r="A55" s="27" t="str">
        <f>$A$52&amp;"."&amp;ROW()-ROW($A$52)</f>
        <v>7A.C6.3</v>
      </c>
      <c r="B55" s="28" t="s">
        <v>46</v>
      </c>
      <c r="C55" s="28" t="s">
        <v>515</v>
      </c>
      <c r="D55" s="29" t="s">
        <v>517</v>
      </c>
      <c r="E55" s="31">
        <v>0</v>
      </c>
      <c r="F55" s="31">
        <v>0</v>
      </c>
      <c r="G55" s="30">
        <f>_xlfn.XLOOKUP(B55, Rate_Master!$A:$A, Rate_Master!$C:$C, "")</f>
        <v>172500</v>
      </c>
      <c r="H55" s="30">
        <f>_xlfn.XLOOKUP(B55, Rate_Master!$A:$A, Rate_Master!$D:$D, "")</f>
        <v>57499.999999999993</v>
      </c>
      <c r="I55" s="32">
        <f>+H55+G55</f>
        <v>230000</v>
      </c>
      <c r="J55" s="32">
        <f>I55*E55</f>
        <v>0</v>
      </c>
      <c r="K55" s="32">
        <f>I55*F55</f>
        <v>0</v>
      </c>
      <c r="L55" s="32"/>
    </row>
    <row r="56" spans="1:16" s="3" customFormat="1" ht="25.5" customHeight="1">
      <c r="A56" s="22" t="str">
        <f>$A$9&amp;".S"</f>
        <v>7A.S</v>
      </c>
      <c r="B56" s="23" t="s">
        <v>47</v>
      </c>
      <c r="C56" s="23" t="s">
        <v>515</v>
      </c>
      <c r="D56" s="22"/>
      <c r="E56" s="25"/>
      <c r="F56" s="87"/>
      <c r="G56" s="25">
        <f>_xlfn.XLOOKUP(B56, Rate_Master!$A:$A, Rate_Master!$C:$C, "")</f>
        <v>0</v>
      </c>
      <c r="H56" s="25">
        <f>_xlfn.XLOOKUP(B56, Rate_Master!$A:$A, Rate_Master!$D:$D, "")</f>
        <v>0</v>
      </c>
      <c r="I56" s="26"/>
      <c r="J56" s="26"/>
      <c r="K56" s="26"/>
      <c r="L56" s="26"/>
    </row>
    <row r="57" spans="1:16" s="3" customFormat="1" ht="25.5" customHeight="1">
      <c r="A57" s="22" t="str">
        <f>$A$56&amp;1</f>
        <v>7A.S1</v>
      </c>
      <c r="B57" s="23" t="s">
        <v>48</v>
      </c>
      <c r="C57" s="23" t="s">
        <v>515</v>
      </c>
      <c r="D57" s="22"/>
      <c r="E57" s="25"/>
      <c r="F57" s="87"/>
      <c r="G57" s="25">
        <f>_xlfn.XLOOKUP(B57, Rate_Master!$A:$A, Rate_Master!$C:$C, "")</f>
        <v>0</v>
      </c>
      <c r="H57" s="25">
        <f>_xlfn.XLOOKUP(B57, Rate_Master!$A:$A, Rate_Master!$D:$D, "")</f>
        <v>0</v>
      </c>
      <c r="I57" s="26"/>
      <c r="J57" s="26">
        <f>SUBTOTAL(9,J58:J72)</f>
        <v>13491501736.842358</v>
      </c>
      <c r="K57" s="26">
        <f>SUBTOTAL(9,K58:K72)</f>
        <v>14077823555.217133</v>
      </c>
      <c r="L57" s="26"/>
    </row>
    <row r="58" spans="1:16" s="4" customFormat="1" ht="51" customHeight="1" outlineLevel="1">
      <c r="A58" s="27" t="str">
        <f t="shared" ref="A58:A72" si="12">$A$57&amp;"."&amp;ROW()-ROW($A$57)</f>
        <v>7A.S1.1</v>
      </c>
      <c r="B58" s="28" t="s">
        <v>49</v>
      </c>
      <c r="C58" s="28" t="s">
        <v>525</v>
      </c>
      <c r="D58" s="29" t="s">
        <v>523</v>
      </c>
      <c r="E58" s="31">
        <v>325342.91150799999</v>
      </c>
      <c r="F58" s="36">
        <v>330170.64925239992</v>
      </c>
      <c r="G58" s="93">
        <f>_xlfn.XLOOKUP(B58, Rate_Master!$A:$A, Rate_Master!$C:$C, "")</f>
        <v>20475</v>
      </c>
      <c r="H58" s="93">
        <f>_xlfn.XLOOKUP(B58, Rate_Master!$A:$A, Rate_Master!$D:$D, "")</f>
        <v>0</v>
      </c>
      <c r="I58" s="67">
        <f t="shared" ref="I58:I72" si="13">+SUM(G58:H58)</f>
        <v>20475</v>
      </c>
      <c r="J58" s="32">
        <f t="shared" ref="J58:J72" si="14">I58*E58</f>
        <v>6661396113.1262999</v>
      </c>
      <c r="K58" s="58">
        <f t="shared" ref="K58:K72" si="15">+F58*I58</f>
        <v>6760244043.4428883</v>
      </c>
      <c r="L58" s="32"/>
      <c r="N58" s="104"/>
      <c r="O58" s="104"/>
      <c r="P58" s="104"/>
    </row>
    <row r="59" spans="1:16" s="4" customFormat="1" ht="76.5" customHeight="1" outlineLevel="1">
      <c r="A59" s="27" t="str">
        <f t="shared" si="12"/>
        <v>7A.S1.2</v>
      </c>
      <c r="B59" s="28" t="s">
        <v>50</v>
      </c>
      <c r="C59" s="28" t="s">
        <v>526</v>
      </c>
      <c r="D59" s="29" t="s">
        <v>523</v>
      </c>
      <c r="E59" s="31">
        <v>55420.441079999997</v>
      </c>
      <c r="F59" s="36">
        <v>58146.751615999987</v>
      </c>
      <c r="G59" s="93">
        <f>_xlfn.XLOOKUP(B59, Rate_Master!$A:$A, Rate_Master!$C:$C, "")</f>
        <v>26775</v>
      </c>
      <c r="H59" s="93">
        <f>_xlfn.XLOOKUP(B59, Rate_Master!$A:$A, Rate_Master!$D:$D, "")</f>
        <v>0</v>
      </c>
      <c r="I59" s="67">
        <f t="shared" si="13"/>
        <v>26775</v>
      </c>
      <c r="J59" s="32">
        <f t="shared" si="14"/>
        <v>1483882309.9169998</v>
      </c>
      <c r="K59" s="58">
        <f t="shared" si="15"/>
        <v>1556879274.5183997</v>
      </c>
      <c r="L59" s="32"/>
      <c r="N59" s="104"/>
      <c r="O59" s="104"/>
      <c r="P59" s="104"/>
    </row>
    <row r="60" spans="1:16" s="4" customFormat="1" ht="76.5" customHeight="1" outlineLevel="1">
      <c r="A60" s="27" t="str">
        <f t="shared" si="12"/>
        <v>7A.S1.3</v>
      </c>
      <c r="B60" s="28" t="s">
        <v>51</v>
      </c>
      <c r="C60" s="28" t="s">
        <v>527</v>
      </c>
      <c r="D60" s="29" t="s">
        <v>523</v>
      </c>
      <c r="E60" s="31">
        <v>3133.6877781548301</v>
      </c>
      <c r="F60" s="36">
        <v>3439.8840000000009</v>
      </c>
      <c r="G60" s="93">
        <f>_xlfn.XLOOKUP(B60, Rate_Master!$A:$A, Rate_Master!$C:$C, "")</f>
        <v>36750</v>
      </c>
      <c r="H60" s="93">
        <f>_xlfn.XLOOKUP(B60, Rate_Master!$A:$A, Rate_Master!$D:$D, "")</f>
        <v>0</v>
      </c>
      <c r="I60" s="67">
        <f t="shared" si="13"/>
        <v>36750</v>
      </c>
      <c r="J60" s="32">
        <f t="shared" si="14"/>
        <v>115163025.84719001</v>
      </c>
      <c r="K60" s="58">
        <f t="shared" si="15"/>
        <v>126415737.00000003</v>
      </c>
      <c r="L60" s="32"/>
      <c r="N60" s="104"/>
      <c r="O60" s="104"/>
      <c r="P60" s="104"/>
    </row>
    <row r="61" spans="1:16" s="4" customFormat="1" ht="76.5" customHeight="1" outlineLevel="1">
      <c r="A61" s="27" t="str">
        <f t="shared" si="12"/>
        <v>7A.S1.4</v>
      </c>
      <c r="B61" s="28" t="s">
        <v>52</v>
      </c>
      <c r="C61" s="28" t="s">
        <v>527</v>
      </c>
      <c r="D61" s="29" t="s">
        <v>523</v>
      </c>
      <c r="E61" s="31">
        <v>7705.56</v>
      </c>
      <c r="F61" s="36">
        <v>7960.1183999999994</v>
      </c>
      <c r="G61" s="93">
        <f>_xlfn.XLOOKUP(B61, Rate_Master!$A:$A, Rate_Master!$C:$C, "")</f>
        <v>26775</v>
      </c>
      <c r="H61" s="93">
        <f>_xlfn.XLOOKUP(B61, Rate_Master!$A:$A, Rate_Master!$D:$D, "")</f>
        <v>0</v>
      </c>
      <c r="I61" s="67">
        <f t="shared" si="13"/>
        <v>26775</v>
      </c>
      <c r="J61" s="32">
        <f t="shared" si="14"/>
        <v>206316369</v>
      </c>
      <c r="K61" s="58">
        <f t="shared" si="15"/>
        <v>213132170.16</v>
      </c>
      <c r="L61" s="32"/>
      <c r="N61" s="104"/>
      <c r="O61" s="104"/>
      <c r="P61" s="104"/>
    </row>
    <row r="62" spans="1:16" s="4" customFormat="1" ht="25.5" customHeight="1" outlineLevel="1">
      <c r="A62" s="27" t="str">
        <f t="shared" si="12"/>
        <v>7A.S1.5</v>
      </c>
      <c r="B62" s="28" t="s">
        <v>53</v>
      </c>
      <c r="C62" s="28" t="s">
        <v>528</v>
      </c>
      <c r="D62" s="29" t="s">
        <v>523</v>
      </c>
      <c r="E62" s="31">
        <v>73284.020399999994</v>
      </c>
      <c r="F62" s="36">
        <v>89883.941259999992</v>
      </c>
      <c r="G62" s="93">
        <f>_xlfn.XLOOKUP(B62, Rate_Master!$A:$A, Rate_Master!$C:$C, "")</f>
        <v>22365</v>
      </c>
      <c r="H62" s="93">
        <f>_xlfn.XLOOKUP(B62, Rate_Master!$A:$A, Rate_Master!$D:$D, "")</f>
        <v>0</v>
      </c>
      <c r="I62" s="67">
        <f t="shared" si="13"/>
        <v>22365</v>
      </c>
      <c r="J62" s="32">
        <f t="shared" si="14"/>
        <v>1638997116.2459998</v>
      </c>
      <c r="K62" s="58">
        <f t="shared" si="15"/>
        <v>2010254346.2798998</v>
      </c>
      <c r="L62" s="32"/>
      <c r="N62" s="104"/>
      <c r="O62" s="104"/>
      <c r="P62" s="104"/>
    </row>
    <row r="63" spans="1:16" s="4" customFormat="1" ht="38.25" customHeight="1" outlineLevel="1">
      <c r="A63" s="27" t="str">
        <f t="shared" si="12"/>
        <v>7A.S1.6</v>
      </c>
      <c r="B63" s="28" t="s">
        <v>54</v>
      </c>
      <c r="C63" s="28" t="s">
        <v>529</v>
      </c>
      <c r="D63" s="29" t="s">
        <v>523</v>
      </c>
      <c r="E63" s="31">
        <v>7587.69466197166</v>
      </c>
      <c r="F63" s="36">
        <v>6839.1680000000006</v>
      </c>
      <c r="G63" s="93">
        <f>_xlfn.XLOOKUP(B63, Rate_Master!$A:$A, Rate_Master!$C:$C, "")</f>
        <v>36750</v>
      </c>
      <c r="H63" s="93">
        <f>_xlfn.XLOOKUP(B63, Rate_Master!$A:$A, Rate_Master!$D:$D, "")</f>
        <v>0</v>
      </c>
      <c r="I63" s="67">
        <f t="shared" si="13"/>
        <v>36750</v>
      </c>
      <c r="J63" s="32">
        <f t="shared" si="14"/>
        <v>278847778.8274585</v>
      </c>
      <c r="K63" s="58">
        <f t="shared" si="15"/>
        <v>251339424.00000003</v>
      </c>
      <c r="L63" s="32"/>
      <c r="N63" s="104"/>
      <c r="O63" s="104"/>
      <c r="P63" s="104"/>
    </row>
    <row r="64" spans="1:16" s="4" customFormat="1" ht="25.5" customHeight="1" outlineLevel="1">
      <c r="A64" s="27" t="str">
        <f t="shared" si="12"/>
        <v>7A.S1.7</v>
      </c>
      <c r="B64" s="28" t="s">
        <v>55</v>
      </c>
      <c r="C64" s="28" t="s">
        <v>530</v>
      </c>
      <c r="D64" s="29" t="s">
        <v>523</v>
      </c>
      <c r="E64" s="31">
        <v>5605.7791999999999</v>
      </c>
      <c r="F64" s="36">
        <v>7394.2588174462871</v>
      </c>
      <c r="G64" s="93">
        <f>_xlfn.XLOOKUP(B64, Rate_Master!$A:$A, Rate_Master!$C:$C, "")</f>
        <v>27930</v>
      </c>
      <c r="H64" s="93">
        <f>_xlfn.XLOOKUP(B64, Rate_Master!$A:$A, Rate_Master!$D:$D, "")</f>
        <v>0</v>
      </c>
      <c r="I64" s="67">
        <f t="shared" si="13"/>
        <v>27930</v>
      </c>
      <c r="J64" s="32">
        <f t="shared" si="14"/>
        <v>156569413.05599999</v>
      </c>
      <c r="K64" s="58">
        <f t="shared" si="15"/>
        <v>206521648.77127481</v>
      </c>
      <c r="L64" s="32"/>
      <c r="N64" s="104"/>
      <c r="O64" s="104"/>
      <c r="P64" s="104"/>
    </row>
    <row r="65" spans="1:16" s="4" customFormat="1" ht="25.5" customHeight="1" outlineLevel="1">
      <c r="A65" s="27" t="str">
        <f t="shared" si="12"/>
        <v>7A.S1.8</v>
      </c>
      <c r="B65" s="28" t="s">
        <v>56</v>
      </c>
      <c r="C65" s="28" t="s">
        <v>531</v>
      </c>
      <c r="D65" s="29" t="s">
        <v>523</v>
      </c>
      <c r="E65" s="31">
        <v>8980.6</v>
      </c>
      <c r="F65" s="36">
        <v>8353.0399999999991</v>
      </c>
      <c r="G65" s="93">
        <f>_xlfn.XLOOKUP(B65, Rate_Master!$A:$A, Rate_Master!$C:$C, "")</f>
        <v>52500</v>
      </c>
      <c r="H65" s="93">
        <f>_xlfn.XLOOKUP(B65, Rate_Master!$A:$A, Rate_Master!$D:$D, "")</f>
        <v>0</v>
      </c>
      <c r="I65" s="67">
        <f t="shared" si="13"/>
        <v>52500</v>
      </c>
      <c r="J65" s="32">
        <f t="shared" si="14"/>
        <v>471481500</v>
      </c>
      <c r="K65" s="58">
        <f t="shared" si="15"/>
        <v>438534599.99999994</v>
      </c>
      <c r="L65" s="32"/>
      <c r="N65" s="104"/>
      <c r="O65" s="104"/>
      <c r="P65" s="104"/>
    </row>
    <row r="66" spans="1:16" s="4" customFormat="1" ht="25.5" customHeight="1" outlineLevel="1">
      <c r="A66" s="27" t="str">
        <f t="shared" si="12"/>
        <v>7A.S1.9</v>
      </c>
      <c r="B66" s="28" t="s">
        <v>57</v>
      </c>
      <c r="C66" s="28" t="s">
        <v>532</v>
      </c>
      <c r="D66" s="29" t="s">
        <v>523</v>
      </c>
      <c r="E66" s="31">
        <v>3542.4</v>
      </c>
      <c r="F66" s="36">
        <v>3818.612000000001</v>
      </c>
      <c r="G66" s="93">
        <f>_xlfn.XLOOKUP(B66, Rate_Master!$A:$A, Rate_Master!$C:$C, "")</f>
        <v>60900</v>
      </c>
      <c r="H66" s="93">
        <f>_xlfn.XLOOKUP(B66, Rate_Master!$A:$A, Rate_Master!$D:$D, "")</f>
        <v>0</v>
      </c>
      <c r="I66" s="67">
        <f t="shared" si="13"/>
        <v>60900</v>
      </c>
      <c r="J66" s="32">
        <f t="shared" si="14"/>
        <v>215732160</v>
      </c>
      <c r="K66" s="58">
        <f t="shared" si="15"/>
        <v>232553470.80000007</v>
      </c>
      <c r="L66" s="32"/>
      <c r="N66" s="104"/>
      <c r="O66" s="104"/>
      <c r="P66" s="104"/>
    </row>
    <row r="67" spans="1:16" s="4" customFormat="1" ht="25.5" customHeight="1" outlineLevel="1">
      <c r="A67" s="27" t="str">
        <f t="shared" si="12"/>
        <v>7A.S1.10</v>
      </c>
      <c r="B67" s="28" t="s">
        <v>58</v>
      </c>
      <c r="C67" s="28" t="s">
        <v>533</v>
      </c>
      <c r="D67" s="29" t="s">
        <v>523</v>
      </c>
      <c r="E67" s="31">
        <v>1209.1500000000001</v>
      </c>
      <c r="F67" s="36">
        <v>880.94999999999993</v>
      </c>
      <c r="G67" s="93">
        <f>_xlfn.XLOOKUP(B67, Rate_Master!$A:$A, Rate_Master!$C:$C, "")</f>
        <v>60900</v>
      </c>
      <c r="H67" s="93">
        <f>_xlfn.XLOOKUP(B67, Rate_Master!$A:$A, Rate_Master!$D:$D, "")</f>
        <v>0</v>
      </c>
      <c r="I67" s="67">
        <f t="shared" si="13"/>
        <v>60900</v>
      </c>
      <c r="J67" s="32">
        <f t="shared" si="14"/>
        <v>73637235</v>
      </c>
      <c r="K67" s="58">
        <f t="shared" si="15"/>
        <v>53649854.999999993</v>
      </c>
      <c r="L67" s="32"/>
      <c r="N67" s="104"/>
      <c r="O67" s="104"/>
      <c r="P67" s="104"/>
    </row>
    <row r="68" spans="1:16" s="4" customFormat="1" ht="25.5" customHeight="1" outlineLevel="1">
      <c r="A68" s="27" t="str">
        <f t="shared" si="12"/>
        <v>7A.S1.11</v>
      </c>
      <c r="B68" s="28" t="s">
        <v>59</v>
      </c>
      <c r="C68" s="28" t="s">
        <v>534</v>
      </c>
      <c r="D68" s="29" t="s">
        <v>518</v>
      </c>
      <c r="E68" s="31">
        <v>5412</v>
      </c>
      <c r="F68" s="36">
        <v>5780</v>
      </c>
      <c r="G68" s="93">
        <f>_xlfn.XLOOKUP(B68, Rate_Master!$A:$A, Rate_Master!$C:$C, "")</f>
        <v>21000</v>
      </c>
      <c r="H68" s="93">
        <f>_xlfn.XLOOKUP(B68, Rate_Master!$A:$A, Rate_Master!$D:$D, "")</f>
        <v>0</v>
      </c>
      <c r="I68" s="67">
        <f t="shared" si="13"/>
        <v>21000</v>
      </c>
      <c r="J68" s="32">
        <f t="shared" si="14"/>
        <v>113652000</v>
      </c>
      <c r="K68" s="58">
        <f t="shared" si="15"/>
        <v>121380000</v>
      </c>
      <c r="L68" s="32"/>
      <c r="N68" s="104"/>
      <c r="O68" s="104"/>
      <c r="P68" s="104"/>
    </row>
    <row r="69" spans="1:16" s="4" customFormat="1" ht="25.5" customHeight="1" outlineLevel="1">
      <c r="A69" s="27" t="str">
        <f t="shared" si="12"/>
        <v>7A.S1.12</v>
      </c>
      <c r="B69" s="28" t="s">
        <v>60</v>
      </c>
      <c r="C69" s="28" t="s">
        <v>515</v>
      </c>
      <c r="D69" s="29" t="s">
        <v>523</v>
      </c>
      <c r="E69" s="31">
        <v>8980.6</v>
      </c>
      <c r="F69" s="36">
        <v>8353.0399999999991</v>
      </c>
      <c r="G69" s="93">
        <f>_xlfn.XLOOKUP(B69, Rate_Master!$A:$A, Rate_Master!$C:$C, "")</f>
        <v>630</v>
      </c>
      <c r="H69" s="93">
        <f>_xlfn.XLOOKUP(B69, Rate_Master!$A:$A, Rate_Master!$D:$D, "")</f>
        <v>0</v>
      </c>
      <c r="I69" s="67">
        <f t="shared" si="13"/>
        <v>630</v>
      </c>
      <c r="J69" s="32">
        <f t="shared" si="14"/>
        <v>5657778</v>
      </c>
      <c r="K69" s="58">
        <f t="shared" si="15"/>
        <v>5262415.1999999993</v>
      </c>
      <c r="L69" s="32"/>
      <c r="N69" s="104"/>
      <c r="O69" s="104"/>
      <c r="P69" s="104"/>
    </row>
    <row r="70" spans="1:16" s="4" customFormat="1" ht="25.5" customHeight="1" outlineLevel="1">
      <c r="A70" s="27" t="str">
        <f t="shared" si="12"/>
        <v>7A.S1.13</v>
      </c>
      <c r="B70" s="28" t="s">
        <v>61</v>
      </c>
      <c r="C70" s="28" t="s">
        <v>515</v>
      </c>
      <c r="D70" s="29" t="s">
        <v>523</v>
      </c>
      <c r="E70" s="31">
        <v>478080.09462812601</v>
      </c>
      <c r="F70" s="36">
        <v>508534.33334584621</v>
      </c>
      <c r="G70" s="93">
        <f>_xlfn.XLOOKUP(B70, Rate_Master!$A:$A, Rate_Master!$C:$C, "")</f>
        <v>630</v>
      </c>
      <c r="H70" s="93">
        <f>_xlfn.XLOOKUP(B70, Rate_Master!$A:$A, Rate_Master!$D:$D, "")</f>
        <v>0</v>
      </c>
      <c r="I70" s="67">
        <f t="shared" si="13"/>
        <v>630</v>
      </c>
      <c r="J70" s="32">
        <f t="shared" si="14"/>
        <v>301190459.61571938</v>
      </c>
      <c r="K70" s="58">
        <f t="shared" si="15"/>
        <v>320376630.00788313</v>
      </c>
      <c r="L70" s="32"/>
      <c r="N70" s="104"/>
      <c r="O70" s="104"/>
      <c r="P70" s="104"/>
    </row>
    <row r="71" spans="1:16" s="4" customFormat="1" ht="25.5" customHeight="1" outlineLevel="1">
      <c r="A71" s="27" t="str">
        <f t="shared" si="12"/>
        <v>7A.S1.14</v>
      </c>
      <c r="B71" s="28" t="s">
        <v>62</v>
      </c>
      <c r="C71" s="28" t="s">
        <v>515</v>
      </c>
      <c r="D71" s="29" t="s">
        <v>518</v>
      </c>
      <c r="E71" s="31">
        <v>1374</v>
      </c>
      <c r="F71" s="36">
        <v>1082</v>
      </c>
      <c r="G71" s="93">
        <f>_xlfn.XLOOKUP(B71, Rate_Master!$A:$A, Rate_Master!$C:$C, "")</f>
        <v>0</v>
      </c>
      <c r="H71" s="93">
        <f>_xlfn.XLOOKUP(B71, Rate_Master!$A:$A, Rate_Master!$D:$D, "")</f>
        <v>264500</v>
      </c>
      <c r="I71" s="67">
        <f t="shared" si="13"/>
        <v>264500</v>
      </c>
      <c r="J71" s="32">
        <f t="shared" si="14"/>
        <v>363423000</v>
      </c>
      <c r="K71" s="58">
        <f t="shared" si="15"/>
        <v>286189000</v>
      </c>
      <c r="L71" s="32"/>
      <c r="N71" s="104"/>
      <c r="O71" s="104"/>
      <c r="P71" s="104"/>
    </row>
    <row r="72" spans="1:16" s="4" customFormat="1" ht="25.5" customHeight="1" outlineLevel="1">
      <c r="A72" s="27" t="str">
        <f t="shared" si="12"/>
        <v>7A.S1.15</v>
      </c>
      <c r="B72" s="28" t="s">
        <v>63</v>
      </c>
      <c r="C72" s="28" t="s">
        <v>515</v>
      </c>
      <c r="D72" s="29" t="s">
        <v>523</v>
      </c>
      <c r="E72" s="31">
        <v>478080.09462812601</v>
      </c>
      <c r="F72" s="36">
        <v>508534.33334584621</v>
      </c>
      <c r="G72" s="93">
        <f>_xlfn.XLOOKUP(B72, Rate_Master!$A:$A, Rate_Master!$C:$C, "")</f>
        <v>2940</v>
      </c>
      <c r="H72" s="93">
        <f>_xlfn.XLOOKUP(B72, Rate_Master!$A:$A, Rate_Master!$D:$D, "")</f>
        <v>0</v>
      </c>
      <c r="I72" s="67">
        <f t="shared" si="13"/>
        <v>2940</v>
      </c>
      <c r="J72" s="32">
        <f t="shared" si="14"/>
        <v>1405555478.2066905</v>
      </c>
      <c r="K72" s="58">
        <f t="shared" si="15"/>
        <v>1495090940.036788</v>
      </c>
      <c r="L72" s="32"/>
      <c r="N72" s="104"/>
      <c r="O72" s="104"/>
      <c r="P72" s="104"/>
    </row>
    <row r="73" spans="1:16" s="3" customFormat="1" ht="25.5" customHeight="1">
      <c r="A73" s="22" t="str">
        <f>$A$56&amp;2</f>
        <v>7A.S2</v>
      </c>
      <c r="B73" s="23" t="s">
        <v>64</v>
      </c>
      <c r="C73" s="23" t="s">
        <v>515</v>
      </c>
      <c r="D73" s="22"/>
      <c r="E73" s="25"/>
      <c r="F73" s="87"/>
      <c r="G73" s="25">
        <f>_xlfn.XLOOKUP(B73, Rate_Master!$A:$A, Rate_Master!$C:$C, "")</f>
        <v>0</v>
      </c>
      <c r="H73" s="25">
        <f>_xlfn.XLOOKUP(B73, Rate_Master!$A:$A, Rate_Master!$D:$D, "")</f>
        <v>0</v>
      </c>
      <c r="I73" s="26"/>
      <c r="J73" s="26">
        <f>SUBTOTAL(9,J74:J78)</f>
        <v>0</v>
      </c>
      <c r="K73" s="26">
        <f>SUBTOTAL(9,K74:K78)</f>
        <v>0</v>
      </c>
      <c r="L73" s="26"/>
      <c r="N73" s="104"/>
      <c r="O73" s="104"/>
      <c r="P73" s="104"/>
    </row>
    <row r="74" spans="1:16" s="4" customFormat="1" ht="25.5" customHeight="1" outlineLevel="1">
      <c r="A74" s="37" t="str">
        <f>$A$73&amp;"."&amp;ROW()-ROW($A$73)</f>
        <v>7A.S2.1</v>
      </c>
      <c r="B74" s="38" t="s">
        <v>65</v>
      </c>
      <c r="C74" s="38" t="s">
        <v>535</v>
      </c>
      <c r="D74" s="39" t="s">
        <v>520</v>
      </c>
      <c r="E74" s="40">
        <v>0</v>
      </c>
      <c r="F74" s="88"/>
      <c r="G74" s="42">
        <f>_xlfn.XLOOKUP(B74, Rate_Master!$A:$A, Rate_Master!$C:$C, "")</f>
        <v>0</v>
      </c>
      <c r="H74" s="42">
        <f>_xlfn.XLOOKUP(B74, Rate_Master!$A:$A, Rate_Master!$D:$D, "")</f>
        <v>0</v>
      </c>
      <c r="I74" s="26">
        <f>+SUM(G74:H74)</f>
        <v>0</v>
      </c>
      <c r="J74" s="41">
        <f>I74*E74</f>
        <v>0</v>
      </c>
      <c r="K74" s="41"/>
      <c r="L74" s="41"/>
      <c r="N74" s="104"/>
      <c r="O74" s="104"/>
      <c r="P74" s="104"/>
    </row>
    <row r="75" spans="1:16" s="4" customFormat="1" ht="25.5" customHeight="1" outlineLevel="1">
      <c r="A75" s="37" t="str">
        <f>$A$73&amp;"."&amp;ROW()-ROW($A$73)</f>
        <v>7A.S2.2</v>
      </c>
      <c r="B75" s="38" t="s">
        <v>66</v>
      </c>
      <c r="C75" s="38" t="s">
        <v>536</v>
      </c>
      <c r="D75" s="39" t="s">
        <v>518</v>
      </c>
      <c r="E75" s="40">
        <v>0</v>
      </c>
      <c r="F75" s="88"/>
      <c r="G75" s="42">
        <f>_xlfn.XLOOKUP(B75, Rate_Master!$A:$A, Rate_Master!$C:$C, "")</f>
        <v>0</v>
      </c>
      <c r="H75" s="42">
        <f>_xlfn.XLOOKUP(B75, Rate_Master!$A:$A, Rate_Master!$D:$D, "")</f>
        <v>0</v>
      </c>
      <c r="I75" s="26">
        <f>+SUM(G75:H75)</f>
        <v>0</v>
      </c>
      <c r="J75" s="41">
        <f>I75*E75</f>
        <v>0</v>
      </c>
      <c r="K75" s="41"/>
      <c r="L75" s="41"/>
      <c r="N75" s="104"/>
      <c r="O75" s="104"/>
      <c r="P75" s="104"/>
    </row>
    <row r="76" spans="1:16" s="4" customFormat="1" ht="25.5" customHeight="1" outlineLevel="1">
      <c r="A76" s="37" t="str">
        <f>$A$73&amp;"."&amp;ROW()-ROW($A$73)</f>
        <v>7A.S2.3</v>
      </c>
      <c r="B76" s="38" t="s">
        <v>67</v>
      </c>
      <c r="C76" s="38" t="s">
        <v>515</v>
      </c>
      <c r="D76" s="39" t="s">
        <v>520</v>
      </c>
      <c r="E76" s="40">
        <v>0</v>
      </c>
      <c r="F76" s="88"/>
      <c r="G76" s="42">
        <f>_xlfn.XLOOKUP(B76, Rate_Master!$A:$A, Rate_Master!$C:$C, "")</f>
        <v>0</v>
      </c>
      <c r="H76" s="42">
        <f>_xlfn.XLOOKUP(B76, Rate_Master!$A:$A, Rate_Master!$D:$D, "")</f>
        <v>0</v>
      </c>
      <c r="I76" s="26">
        <f>+SUM(G76:H76)</f>
        <v>0</v>
      </c>
      <c r="J76" s="41">
        <f>I76*E76</f>
        <v>0</v>
      </c>
      <c r="K76" s="41"/>
      <c r="L76" s="41"/>
      <c r="N76" s="104"/>
      <c r="O76" s="104"/>
      <c r="P76" s="104"/>
    </row>
    <row r="77" spans="1:16" s="4" customFormat="1" ht="25.5" customHeight="1" outlineLevel="1">
      <c r="A77" s="37" t="str">
        <f>$A$73&amp;"."&amp;ROW()-ROW($A$73)</f>
        <v>7A.S2.4</v>
      </c>
      <c r="B77" s="38" t="s">
        <v>68</v>
      </c>
      <c r="C77" s="38" t="s">
        <v>515</v>
      </c>
      <c r="D77" s="39" t="s">
        <v>457</v>
      </c>
      <c r="E77" s="40">
        <v>0</v>
      </c>
      <c r="F77" s="88"/>
      <c r="G77" s="42">
        <f>_xlfn.XLOOKUP(B77, Rate_Master!$A:$A, Rate_Master!$C:$C, "")</f>
        <v>0</v>
      </c>
      <c r="H77" s="42">
        <f>_xlfn.XLOOKUP(B77, Rate_Master!$A:$A, Rate_Master!$D:$D, "")</f>
        <v>0</v>
      </c>
      <c r="I77" s="26">
        <f>+SUM(G77:H77)</f>
        <v>0</v>
      </c>
      <c r="J77" s="41">
        <f>I77*E77</f>
        <v>0</v>
      </c>
      <c r="K77" s="41"/>
      <c r="L77" s="41"/>
      <c r="N77" s="104"/>
      <c r="O77" s="104"/>
      <c r="P77" s="104"/>
    </row>
    <row r="78" spans="1:16" s="4" customFormat="1" ht="25.5" customHeight="1" outlineLevel="1">
      <c r="A78" s="37" t="str">
        <f>$A$73&amp;"."&amp;ROW()-ROW($A$73)</f>
        <v>7A.S2.5</v>
      </c>
      <c r="B78" s="38" t="s">
        <v>69</v>
      </c>
      <c r="C78" s="38" t="s">
        <v>515</v>
      </c>
      <c r="D78" s="39" t="s">
        <v>520</v>
      </c>
      <c r="E78" s="40">
        <v>0</v>
      </c>
      <c r="F78" s="88"/>
      <c r="G78" s="42">
        <f>_xlfn.XLOOKUP(B78, Rate_Master!$A:$A, Rate_Master!$C:$C, "")</f>
        <v>0</v>
      </c>
      <c r="H78" s="42">
        <f>_xlfn.XLOOKUP(B78, Rate_Master!$A:$A, Rate_Master!$D:$D, "")</f>
        <v>0</v>
      </c>
      <c r="I78" s="26">
        <f>+SUM(G78:H78)</f>
        <v>0</v>
      </c>
      <c r="J78" s="41">
        <f>I78*E78</f>
        <v>0</v>
      </c>
      <c r="K78" s="41"/>
      <c r="L78" s="41"/>
      <c r="N78" s="104"/>
      <c r="O78" s="104"/>
      <c r="P78" s="104"/>
    </row>
    <row r="79" spans="1:16" s="3" customFormat="1" ht="25.5" customHeight="1">
      <c r="A79" s="22" t="str">
        <f>$A$56&amp;3</f>
        <v>7A.S3</v>
      </c>
      <c r="B79" s="23" t="s">
        <v>70</v>
      </c>
      <c r="C79" s="23" t="s">
        <v>515</v>
      </c>
      <c r="D79" s="22"/>
      <c r="E79" s="25"/>
      <c r="F79" s="87"/>
      <c r="G79" s="25">
        <f>_xlfn.XLOOKUP(B79, Rate_Master!$A:$A, Rate_Master!$C:$C, "")</f>
        <v>0</v>
      </c>
      <c r="H79" s="25">
        <f>_xlfn.XLOOKUP(B79, Rate_Master!$A:$A, Rate_Master!$D:$D, "")</f>
        <v>0</v>
      </c>
      <c r="I79" s="26"/>
      <c r="J79" s="26">
        <f>SUBTOTAL(9,J80:J93)</f>
        <v>6769737104.0942879</v>
      </c>
      <c r="K79" s="26">
        <f>SUBTOTAL(9,K80:K93)</f>
        <v>6713193476.0642872</v>
      </c>
      <c r="L79" s="26"/>
      <c r="N79" s="104"/>
      <c r="O79" s="104"/>
      <c r="P79" s="104"/>
    </row>
    <row r="80" spans="1:16" s="4" customFormat="1" ht="51" customHeight="1" outlineLevel="1">
      <c r="A80" s="27" t="str">
        <f t="shared" ref="A80:A93" si="16">$A$79&amp;"."&amp;ROW()-ROW($A$79)</f>
        <v>7A.S3.1</v>
      </c>
      <c r="B80" s="28" t="s">
        <v>71</v>
      </c>
      <c r="C80" s="28" t="str">
        <f>+'6A'!C80</f>
        <v xml:space="preserve">Tôn liên doanh Việt hàn, AZ170
</v>
      </c>
      <c r="D80" s="29" t="s">
        <v>520</v>
      </c>
      <c r="E80" s="31">
        <v>13627.88</v>
      </c>
      <c r="F80" s="36">
        <v>13557.531999999999</v>
      </c>
      <c r="G80" s="93">
        <f>_xlfn.XLOOKUP(B80, Rate_Master!$A:$A, Rate_Master!$C:$C, "")</f>
        <v>248399.99999999997</v>
      </c>
      <c r="H80" s="93">
        <f>_xlfn.XLOOKUP(B80, Rate_Master!$A:$A, Rate_Master!$D:$D, "")</f>
        <v>34500</v>
      </c>
      <c r="I80" s="26">
        <f t="shared" ref="I80:I93" si="17">+SUM(G80:H80)</f>
        <v>282900</v>
      </c>
      <c r="J80" s="32">
        <f t="shared" ref="J80:J93" si="18">I80*E80</f>
        <v>3855327252</v>
      </c>
      <c r="K80" s="58">
        <f t="shared" ref="K80:K93" si="19">+F80*I80</f>
        <v>3835425802.7999997</v>
      </c>
      <c r="L80" s="32"/>
      <c r="N80" s="104"/>
      <c r="O80" s="104"/>
      <c r="P80" s="104"/>
    </row>
    <row r="81" spans="1:16" s="4" customFormat="1" ht="51" customHeight="1" outlineLevel="1">
      <c r="A81" s="27" t="str">
        <f t="shared" si="16"/>
        <v>7A.S3.2</v>
      </c>
      <c r="B81" s="28" t="s">
        <v>72</v>
      </c>
      <c r="C81" s="28" t="str">
        <f>+'6A'!C81</f>
        <v xml:space="preserve">Tôn liên doanh Việt hàn, AZ170
</v>
      </c>
      <c r="D81" s="29" t="s">
        <v>520</v>
      </c>
      <c r="E81" s="31">
        <v>672.70425</v>
      </c>
      <c r="F81" s="36">
        <v>525.15599999999995</v>
      </c>
      <c r="G81" s="93">
        <f>_xlfn.XLOOKUP(B81, Rate_Master!$A:$A, Rate_Master!$C:$C, "")</f>
        <v>206999.99999999997</v>
      </c>
      <c r="H81" s="93">
        <f>_xlfn.XLOOKUP(B81, Rate_Master!$A:$A, Rate_Master!$D:$D, "")</f>
        <v>34500</v>
      </c>
      <c r="I81" s="26">
        <f t="shared" si="17"/>
        <v>241499.99999999997</v>
      </c>
      <c r="J81" s="32">
        <f t="shared" si="18"/>
        <v>162458076.37499997</v>
      </c>
      <c r="K81" s="58">
        <f t="shared" si="19"/>
        <v>126825173.99999997</v>
      </c>
      <c r="L81" s="32"/>
      <c r="N81" s="104"/>
      <c r="O81" s="104"/>
      <c r="P81" s="104"/>
    </row>
    <row r="82" spans="1:16" s="4" customFormat="1" ht="63.75" customHeight="1" outlineLevel="1">
      <c r="A82" s="27" t="str">
        <f t="shared" si="16"/>
        <v>7A.S3.3</v>
      </c>
      <c r="B82" s="28" t="s">
        <v>73</v>
      </c>
      <c r="C82" s="28" t="str">
        <f>+'6A'!C82</f>
        <v xml:space="preserve">Tôn liên doanh Việt hàn, AZ170
</v>
      </c>
      <c r="D82" s="29" t="s">
        <v>520</v>
      </c>
      <c r="E82" s="31">
        <v>340.93799999999999</v>
      </c>
      <c r="F82" s="36">
        <v>305.00799999999998</v>
      </c>
      <c r="G82" s="93">
        <f>_xlfn.XLOOKUP(B82, Rate_Master!$A:$A, Rate_Master!$C:$C, "")</f>
        <v>195499.99999999997</v>
      </c>
      <c r="H82" s="93">
        <f>_xlfn.XLOOKUP(B82, Rate_Master!$A:$A, Rate_Master!$D:$D, "")</f>
        <v>34500</v>
      </c>
      <c r="I82" s="26">
        <f t="shared" si="17"/>
        <v>229999.99999999997</v>
      </c>
      <c r="J82" s="32">
        <f t="shared" si="18"/>
        <v>78415739.999999985</v>
      </c>
      <c r="K82" s="58">
        <f t="shared" si="19"/>
        <v>70151839.999999985</v>
      </c>
      <c r="L82" s="32"/>
      <c r="N82" s="104"/>
      <c r="O82" s="104"/>
      <c r="P82" s="104"/>
    </row>
    <row r="83" spans="1:16" s="4" customFormat="1" ht="25.5" customHeight="1" outlineLevel="1">
      <c r="A83" s="27" t="str">
        <f t="shared" si="16"/>
        <v>7A.S3.4</v>
      </c>
      <c r="B83" s="28" t="s">
        <v>74</v>
      </c>
      <c r="C83" s="28" t="s">
        <v>515</v>
      </c>
      <c r="D83" s="29" t="s">
        <v>520</v>
      </c>
      <c r="E83" s="31">
        <v>13627.88</v>
      </c>
      <c r="F83" s="36">
        <v>13557.531999999999</v>
      </c>
      <c r="G83" s="93">
        <f>_xlfn.XLOOKUP(B83, Rate_Master!$A:$A, Rate_Master!$C:$C, "")</f>
        <v>23000</v>
      </c>
      <c r="H83" s="93">
        <f>_xlfn.XLOOKUP(B83, Rate_Master!$A:$A, Rate_Master!$D:$D, "")</f>
        <v>11500</v>
      </c>
      <c r="I83" s="26">
        <f t="shared" si="17"/>
        <v>34500</v>
      </c>
      <c r="J83" s="32">
        <f t="shared" si="18"/>
        <v>470161860</v>
      </c>
      <c r="K83" s="58">
        <f t="shared" si="19"/>
        <v>467734854</v>
      </c>
      <c r="L83" s="32"/>
      <c r="N83" s="104"/>
      <c r="O83" s="104"/>
      <c r="P83" s="104"/>
    </row>
    <row r="84" spans="1:16" s="4" customFormat="1" ht="25.5" customHeight="1" outlineLevel="1">
      <c r="A84" s="27" t="str">
        <f t="shared" si="16"/>
        <v>7A.S3.5</v>
      </c>
      <c r="B84" s="28" t="s">
        <v>75</v>
      </c>
      <c r="C84" s="28" t="s">
        <v>538</v>
      </c>
      <c r="D84" s="29" t="s">
        <v>517</v>
      </c>
      <c r="E84" s="31">
        <v>824</v>
      </c>
      <c r="F84" s="36">
        <v>857.6</v>
      </c>
      <c r="G84" s="93">
        <f>_xlfn.XLOOKUP(B84, Rate_Master!$A:$A, Rate_Master!$C:$C, "")</f>
        <v>110399.99999999999</v>
      </c>
      <c r="H84" s="93">
        <f>_xlfn.XLOOKUP(B84, Rate_Master!$A:$A, Rate_Master!$D:$D, "")</f>
        <v>17250</v>
      </c>
      <c r="I84" s="26">
        <f t="shared" si="17"/>
        <v>127649.99999999999</v>
      </c>
      <c r="J84" s="32">
        <f t="shared" si="18"/>
        <v>105183599.99999999</v>
      </c>
      <c r="K84" s="58">
        <f t="shared" si="19"/>
        <v>109472639.99999999</v>
      </c>
      <c r="L84" s="32"/>
      <c r="N84" s="104"/>
      <c r="O84" s="104"/>
      <c r="P84" s="104"/>
    </row>
    <row r="85" spans="1:16" s="4" customFormat="1" ht="25.5" customHeight="1" outlineLevel="1">
      <c r="A85" s="27" t="str">
        <f t="shared" si="16"/>
        <v>7A.S3.6</v>
      </c>
      <c r="B85" s="28" t="s">
        <v>75</v>
      </c>
      <c r="C85" s="28" t="s">
        <v>539</v>
      </c>
      <c r="D85" s="29" t="s">
        <v>517</v>
      </c>
      <c r="E85" s="31">
        <v>2186.1999999999998</v>
      </c>
      <c r="F85" s="36">
        <v>2290.8000000000002</v>
      </c>
      <c r="G85" s="93">
        <f>_xlfn.XLOOKUP(B85, Rate_Master!$A:$A, Rate_Master!$C:$C, "")</f>
        <v>110399.99999999999</v>
      </c>
      <c r="H85" s="93">
        <f>_xlfn.XLOOKUP(B85, Rate_Master!$A:$A, Rate_Master!$D:$D, "")</f>
        <v>17250</v>
      </c>
      <c r="I85" s="26">
        <f t="shared" si="17"/>
        <v>127649.99999999999</v>
      </c>
      <c r="J85" s="32">
        <f t="shared" si="18"/>
        <v>279068429.99999994</v>
      </c>
      <c r="K85" s="58">
        <f t="shared" si="19"/>
        <v>292420620</v>
      </c>
      <c r="L85" s="32"/>
      <c r="N85" s="104"/>
      <c r="O85" s="104"/>
      <c r="P85" s="104"/>
    </row>
    <row r="86" spans="1:16" s="4" customFormat="1" ht="25.5" customHeight="1" outlineLevel="1">
      <c r="A86" s="27" t="str">
        <f t="shared" si="16"/>
        <v>7A.S3.7</v>
      </c>
      <c r="B86" s="28" t="s">
        <v>76</v>
      </c>
      <c r="C86" s="28" t="s">
        <v>540</v>
      </c>
      <c r="D86" s="29" t="s">
        <v>517</v>
      </c>
      <c r="E86" s="31">
        <v>327.2</v>
      </c>
      <c r="F86" s="36">
        <v>327.2</v>
      </c>
      <c r="G86" s="93">
        <f>_xlfn.XLOOKUP(B86, Rate_Master!$A:$A, Rate_Master!$C:$C, "")</f>
        <v>1976115.3983999996</v>
      </c>
      <c r="H86" s="93">
        <f>_xlfn.XLOOKUP(B86, Rate_Master!$A:$A, Rate_Master!$D:$D, "")</f>
        <v>28749.999999999996</v>
      </c>
      <c r="I86" s="26">
        <f t="shared" si="17"/>
        <v>2004865.3983999996</v>
      </c>
      <c r="J86" s="32">
        <f t="shared" si="18"/>
        <v>655991958.35647988</v>
      </c>
      <c r="K86" s="58">
        <f t="shared" si="19"/>
        <v>655991958.35647988</v>
      </c>
      <c r="L86" s="32"/>
      <c r="N86" s="104"/>
      <c r="O86" s="104"/>
      <c r="P86" s="104"/>
    </row>
    <row r="87" spans="1:16" s="4" customFormat="1" ht="25.5" customHeight="1" outlineLevel="1">
      <c r="A87" s="27" t="str">
        <f t="shared" si="16"/>
        <v>7A.S3.8</v>
      </c>
      <c r="B87" s="28" t="s">
        <v>77</v>
      </c>
      <c r="C87" s="28" t="s">
        <v>541</v>
      </c>
      <c r="D87" s="29" t="s">
        <v>517</v>
      </c>
      <c r="E87" s="31">
        <v>163.6</v>
      </c>
      <c r="F87" s="36">
        <v>163.6</v>
      </c>
      <c r="G87" s="93">
        <f>_xlfn.XLOOKUP(B87, Rate_Master!$A:$A, Rate_Master!$C:$C, "")</f>
        <v>1077881.1263999997</v>
      </c>
      <c r="H87" s="93">
        <f>_xlfn.XLOOKUP(B87, Rate_Master!$A:$A, Rate_Master!$D:$D, "")</f>
        <v>23000</v>
      </c>
      <c r="I87" s="26">
        <f t="shared" si="17"/>
        <v>1100881.1263999997</v>
      </c>
      <c r="J87" s="32">
        <f t="shared" si="18"/>
        <v>180104152.27903995</v>
      </c>
      <c r="K87" s="58">
        <f t="shared" si="19"/>
        <v>180104152.27903995</v>
      </c>
      <c r="L87" s="32"/>
      <c r="N87" s="104"/>
      <c r="O87" s="104"/>
      <c r="P87" s="104"/>
    </row>
    <row r="88" spans="1:16" s="4" customFormat="1" ht="25.5" customHeight="1" outlineLevel="1">
      <c r="A88" s="27" t="str">
        <f t="shared" si="16"/>
        <v>7A.S3.9</v>
      </c>
      <c r="B88" s="28" t="s">
        <v>78</v>
      </c>
      <c r="C88" s="28" t="s">
        <v>515</v>
      </c>
      <c r="D88" s="29" t="s">
        <v>518</v>
      </c>
      <c r="E88" s="31">
        <v>20</v>
      </c>
      <c r="F88" s="36">
        <v>32</v>
      </c>
      <c r="G88" s="93">
        <f>_xlfn.XLOOKUP(B88, Rate_Master!$A:$A, Rate_Master!$C:$C, "")</f>
        <v>92000</v>
      </c>
      <c r="H88" s="93">
        <f>_xlfn.XLOOKUP(B88, Rate_Master!$A:$A, Rate_Master!$D:$D, "")</f>
        <v>11500</v>
      </c>
      <c r="I88" s="26">
        <f t="shared" si="17"/>
        <v>103500</v>
      </c>
      <c r="J88" s="32">
        <f t="shared" si="18"/>
        <v>2070000</v>
      </c>
      <c r="K88" s="58">
        <f t="shared" si="19"/>
        <v>3312000</v>
      </c>
      <c r="L88" s="32"/>
      <c r="N88" s="104"/>
      <c r="O88" s="104"/>
      <c r="P88" s="104"/>
    </row>
    <row r="89" spans="1:16" s="4" customFormat="1" ht="63.75" customHeight="1" outlineLevel="1">
      <c r="A89" s="27" t="str">
        <f t="shared" si="16"/>
        <v>7A.S3.10</v>
      </c>
      <c r="B89" s="28" t="s">
        <v>79</v>
      </c>
      <c r="C89" s="28" t="s">
        <v>542</v>
      </c>
      <c r="D89" s="29" t="s">
        <v>517</v>
      </c>
      <c r="E89" s="31">
        <v>313.5</v>
      </c>
      <c r="F89" s="36">
        <v>307.2</v>
      </c>
      <c r="G89" s="93">
        <f>_xlfn.XLOOKUP(B89, Rate_Master!$A:$A, Rate_Master!$C:$C, "")</f>
        <v>297443.47499999998</v>
      </c>
      <c r="H89" s="93">
        <f>_xlfn.XLOOKUP(B89, Rate_Master!$A:$A, Rate_Master!$D:$D, "")</f>
        <v>23000</v>
      </c>
      <c r="I89" s="26">
        <f t="shared" si="17"/>
        <v>320443.47499999998</v>
      </c>
      <c r="J89" s="32">
        <f t="shared" si="18"/>
        <v>100459029.41249999</v>
      </c>
      <c r="K89" s="58">
        <f t="shared" si="19"/>
        <v>98440235.519999996</v>
      </c>
      <c r="L89" s="32"/>
      <c r="N89" s="104"/>
      <c r="O89" s="104"/>
      <c r="P89" s="104"/>
    </row>
    <row r="90" spans="1:16" s="4" customFormat="1" ht="25.5" customHeight="1" outlineLevel="1">
      <c r="A90" s="27" t="str">
        <f t="shared" si="16"/>
        <v>7A.S3.11</v>
      </c>
      <c r="B90" s="28" t="s">
        <v>80</v>
      </c>
      <c r="C90" s="28" t="s">
        <v>515</v>
      </c>
      <c r="D90" s="29" t="s">
        <v>457</v>
      </c>
      <c r="E90" s="31">
        <v>1</v>
      </c>
      <c r="F90" s="36">
        <v>1</v>
      </c>
      <c r="G90" s="93">
        <f>_xlfn.XLOOKUP(B90, Rate_Master!$A:$A, Rate_Master!$C:$C, "")</f>
        <v>0</v>
      </c>
      <c r="H90" s="93">
        <f>_xlfn.XLOOKUP(B90, Rate_Master!$A:$A, Rate_Master!$D:$D, "")</f>
        <v>57499999.999999993</v>
      </c>
      <c r="I90" s="26">
        <f t="shared" si="17"/>
        <v>57499999.999999993</v>
      </c>
      <c r="J90" s="32">
        <f t="shared" si="18"/>
        <v>57499999.999999993</v>
      </c>
      <c r="K90" s="58">
        <f t="shared" si="19"/>
        <v>57499999.999999993</v>
      </c>
      <c r="L90" s="32"/>
      <c r="N90" s="104"/>
      <c r="O90" s="104"/>
      <c r="P90" s="104"/>
    </row>
    <row r="91" spans="1:16" s="4" customFormat="1" ht="25.5" customHeight="1" outlineLevel="1">
      <c r="A91" s="27" t="str">
        <f t="shared" si="16"/>
        <v>7A.S3.12</v>
      </c>
      <c r="B91" s="28" t="s">
        <v>81</v>
      </c>
      <c r="C91" s="28" t="s">
        <v>515</v>
      </c>
      <c r="D91" s="29" t="s">
        <v>520</v>
      </c>
      <c r="E91" s="31">
        <v>14641.52225</v>
      </c>
      <c r="F91" s="36">
        <v>14387.696</v>
      </c>
      <c r="G91" s="93">
        <f>_xlfn.XLOOKUP(B91, Rate_Master!$A:$A, Rate_Master!$C:$C, "")</f>
        <v>0</v>
      </c>
      <c r="H91" s="93">
        <f>_xlfn.XLOOKUP(B91, Rate_Master!$A:$A, Rate_Master!$D:$D, "")</f>
        <v>40250</v>
      </c>
      <c r="I91" s="26">
        <f t="shared" si="17"/>
        <v>40250</v>
      </c>
      <c r="J91" s="32">
        <f t="shared" si="18"/>
        <v>589321270.5625</v>
      </c>
      <c r="K91" s="58">
        <f t="shared" si="19"/>
        <v>579104764</v>
      </c>
      <c r="L91" s="32"/>
      <c r="N91" s="104"/>
      <c r="O91" s="104"/>
      <c r="P91" s="104"/>
    </row>
    <row r="92" spans="1:16" s="4" customFormat="1" ht="38.25" customHeight="1" outlineLevel="1">
      <c r="A92" s="27" t="str">
        <f t="shared" si="16"/>
        <v>7A.S3.13</v>
      </c>
      <c r="B92" s="28" t="s">
        <v>82</v>
      </c>
      <c r="C92" s="28" t="s">
        <v>515</v>
      </c>
      <c r="D92" s="29" t="s">
        <v>517</v>
      </c>
      <c r="E92" s="31">
        <v>3814.5</v>
      </c>
      <c r="F92" s="36">
        <v>3946.4</v>
      </c>
      <c r="G92" s="93">
        <f>_xlfn.XLOOKUP(B92, Rate_Master!$A:$A, Rate_Master!$C:$C, "")</f>
        <v>0</v>
      </c>
      <c r="H92" s="93">
        <f>_xlfn.XLOOKUP(B92, Rate_Master!$A:$A, Rate_Master!$D:$D, "")</f>
        <v>23000</v>
      </c>
      <c r="I92" s="26">
        <f t="shared" si="17"/>
        <v>23000</v>
      </c>
      <c r="J92" s="32">
        <f t="shared" si="18"/>
        <v>87733500</v>
      </c>
      <c r="K92" s="58">
        <f t="shared" si="19"/>
        <v>90767200</v>
      </c>
      <c r="L92" s="32"/>
      <c r="N92" s="104"/>
      <c r="O92" s="104"/>
      <c r="P92" s="104"/>
    </row>
    <row r="93" spans="1:16" s="4" customFormat="1" ht="25.5" customHeight="1" outlineLevel="1">
      <c r="A93" s="27" t="str">
        <f t="shared" si="16"/>
        <v>7A.S3.14</v>
      </c>
      <c r="B93" s="28" t="s">
        <v>83</v>
      </c>
      <c r="C93" s="28" t="s">
        <v>543</v>
      </c>
      <c r="D93" s="29" t="s">
        <v>457</v>
      </c>
      <c r="E93" s="31">
        <v>1</v>
      </c>
      <c r="F93" s="36">
        <v>1</v>
      </c>
      <c r="G93" s="93">
        <f>_xlfn.XLOOKUP(B93, Rate_Master!$A:$A, Rate_Master!$C:$C, "")</f>
        <v>145942235.10876715</v>
      </c>
      <c r="H93" s="93">
        <f>_xlfn.XLOOKUP(B93, Rate_Master!$A:$A, Rate_Master!$D:$D, "")</f>
        <v>0</v>
      </c>
      <c r="I93" s="26">
        <f t="shared" si="17"/>
        <v>145942235.10876715</v>
      </c>
      <c r="J93" s="32">
        <f t="shared" si="18"/>
        <v>145942235.10876715</v>
      </c>
      <c r="K93" s="58">
        <f t="shared" si="19"/>
        <v>145942235.10876715</v>
      </c>
      <c r="L93" s="32"/>
      <c r="N93" s="104"/>
      <c r="O93" s="104"/>
      <c r="P93" s="104"/>
    </row>
    <row r="94" spans="1:16" s="3" customFormat="1" ht="25.5" customHeight="1">
      <c r="A94" s="22" t="str">
        <f>$A$56&amp;4</f>
        <v>7A.S4</v>
      </c>
      <c r="B94" s="23" t="s">
        <v>84</v>
      </c>
      <c r="C94" s="23" t="s">
        <v>515</v>
      </c>
      <c r="D94" s="22"/>
      <c r="E94" s="25"/>
      <c r="F94" s="87"/>
      <c r="G94" s="25">
        <f>_xlfn.XLOOKUP(B94, Rate_Master!$A:$A, Rate_Master!$C:$C, "")</f>
        <v>0</v>
      </c>
      <c r="H94" s="25">
        <f>_xlfn.XLOOKUP(B94, Rate_Master!$A:$A, Rate_Master!$D:$D, "")</f>
        <v>0</v>
      </c>
      <c r="I94" s="26"/>
      <c r="J94" s="26">
        <f>SUBTOTAL(9,J95:J102)</f>
        <v>537234953.75939989</v>
      </c>
      <c r="K94" s="26">
        <f>SUBTOTAL(9,K95:K102)</f>
        <v>361242600</v>
      </c>
      <c r="L94" s="26"/>
      <c r="N94" s="104"/>
      <c r="O94" s="104"/>
      <c r="P94" s="104"/>
    </row>
    <row r="95" spans="1:16" s="4" customFormat="1" ht="38.25" customHeight="1" outlineLevel="1">
      <c r="A95" s="27" t="str">
        <f t="shared" ref="A95:A102" si="20">$A$94&amp;"."&amp;ROW()-ROW($A$94)</f>
        <v>7A.S4.1</v>
      </c>
      <c r="B95" s="28" t="s">
        <v>85</v>
      </c>
      <c r="C95" s="28" t="s">
        <v>544</v>
      </c>
      <c r="D95" s="29" t="s">
        <v>517</v>
      </c>
      <c r="E95" s="31">
        <v>17.995000000000001</v>
      </c>
      <c r="F95" s="36">
        <v>12</v>
      </c>
      <c r="G95" s="93">
        <f>_xlfn.XLOOKUP(B95, Rate_Master!$A:$A, Rate_Master!$C:$C, "")</f>
        <v>5175000</v>
      </c>
      <c r="H95" s="93">
        <f>_xlfn.XLOOKUP(B95, Rate_Master!$A:$A, Rate_Master!$D:$D, "")</f>
        <v>0</v>
      </c>
      <c r="I95" s="67">
        <f t="shared" ref="I95:I102" si="21">+SUM(G95:H95)</f>
        <v>5175000</v>
      </c>
      <c r="J95" s="32">
        <f t="shared" ref="J95:J102" si="22">I95*E95</f>
        <v>93124125</v>
      </c>
      <c r="K95" s="58">
        <f t="shared" ref="K95:K102" si="23">+F95*I95</f>
        <v>62100000</v>
      </c>
      <c r="L95" s="32"/>
      <c r="N95" s="104"/>
      <c r="O95" s="104"/>
      <c r="P95" s="104"/>
    </row>
    <row r="96" spans="1:16" s="4" customFormat="1" ht="38.25" customHeight="1" outlineLevel="1">
      <c r="A96" s="27" t="str">
        <f t="shared" si="20"/>
        <v>7A.S4.2</v>
      </c>
      <c r="B96" s="28" t="s">
        <v>86</v>
      </c>
      <c r="C96" s="28" t="s">
        <v>545</v>
      </c>
      <c r="D96" s="29" t="s">
        <v>517</v>
      </c>
      <c r="E96" s="31">
        <v>0</v>
      </c>
      <c r="F96" s="36"/>
      <c r="G96" s="93">
        <f>_xlfn.XLOOKUP(B96, Rate_Master!$A:$A, Rate_Master!$C:$C, "")</f>
        <v>0</v>
      </c>
      <c r="H96" s="93">
        <f>_xlfn.XLOOKUP(B96, Rate_Master!$A:$A, Rate_Master!$D:$D, "")</f>
        <v>0</v>
      </c>
      <c r="I96" s="67">
        <f t="shared" si="21"/>
        <v>0</v>
      </c>
      <c r="J96" s="32">
        <f t="shared" si="22"/>
        <v>0</v>
      </c>
      <c r="K96" s="58">
        <f t="shared" si="23"/>
        <v>0</v>
      </c>
      <c r="L96" s="32"/>
      <c r="N96" s="104"/>
      <c r="O96" s="104"/>
      <c r="P96" s="104"/>
    </row>
    <row r="97" spans="1:16" s="4" customFormat="1" ht="38.25" customHeight="1" outlineLevel="1">
      <c r="A97" s="27" t="str">
        <f t="shared" si="20"/>
        <v>7A.S4.3</v>
      </c>
      <c r="B97" s="28" t="s">
        <v>87</v>
      </c>
      <c r="C97" s="28" t="s">
        <v>546</v>
      </c>
      <c r="D97" s="29" t="s">
        <v>517</v>
      </c>
      <c r="E97" s="31">
        <v>0</v>
      </c>
      <c r="F97" s="36"/>
      <c r="G97" s="93">
        <f>_xlfn.XLOOKUP(B97, Rate_Master!$A:$A, Rate_Master!$C:$C, "")</f>
        <v>0</v>
      </c>
      <c r="H97" s="93">
        <f>_xlfn.XLOOKUP(B97, Rate_Master!$A:$A, Rate_Master!$D:$D, "")</f>
        <v>0</v>
      </c>
      <c r="I97" s="67">
        <f t="shared" si="21"/>
        <v>0</v>
      </c>
      <c r="J97" s="32">
        <f t="shared" si="22"/>
        <v>0</v>
      </c>
      <c r="K97" s="58">
        <f t="shared" si="23"/>
        <v>0</v>
      </c>
      <c r="L97" s="32"/>
      <c r="N97" s="104"/>
      <c r="O97" s="104"/>
      <c r="P97" s="104"/>
    </row>
    <row r="98" spans="1:16" s="4" customFormat="1" ht="25.5" customHeight="1" outlineLevel="1">
      <c r="A98" s="27" t="str">
        <f t="shared" si="20"/>
        <v>7A.S4.4</v>
      </c>
      <c r="B98" s="28" t="s">
        <v>88</v>
      </c>
      <c r="C98" s="28" t="s">
        <v>546</v>
      </c>
      <c r="D98" s="29" t="s">
        <v>517</v>
      </c>
      <c r="E98" s="31">
        <v>0</v>
      </c>
      <c r="F98" s="36"/>
      <c r="G98" s="93">
        <f>_xlfn.XLOOKUP(B98, Rate_Master!$A:$A, Rate_Master!$C:$C, "")</f>
        <v>0</v>
      </c>
      <c r="H98" s="93">
        <f>_xlfn.XLOOKUP(B98, Rate_Master!$A:$A, Rate_Master!$D:$D, "")</f>
        <v>0</v>
      </c>
      <c r="I98" s="67">
        <f t="shared" si="21"/>
        <v>0</v>
      </c>
      <c r="J98" s="32">
        <f t="shared" si="22"/>
        <v>0</v>
      </c>
      <c r="K98" s="58">
        <f t="shared" si="23"/>
        <v>0</v>
      </c>
      <c r="L98" s="32"/>
      <c r="N98" s="104"/>
      <c r="O98" s="104"/>
      <c r="P98" s="104"/>
    </row>
    <row r="99" spans="1:16" s="4" customFormat="1" ht="51" customHeight="1" outlineLevel="1">
      <c r="A99" s="27" t="str">
        <f t="shared" si="20"/>
        <v>7A.S4.5</v>
      </c>
      <c r="B99" s="28" t="s">
        <v>89</v>
      </c>
      <c r="C99" s="28" t="s">
        <v>547</v>
      </c>
      <c r="D99" s="29" t="s">
        <v>520</v>
      </c>
      <c r="E99" s="31">
        <v>13006.2</v>
      </c>
      <c r="F99" s="105">
        <v>13006.2</v>
      </c>
      <c r="G99" s="93">
        <f>_xlfn.XLOOKUP(B99, Rate_Master!$A:$A, Rate_Master!$C:$C, "")</f>
        <v>17250</v>
      </c>
      <c r="H99" s="93">
        <f>_xlfn.XLOOKUP(B99, Rate_Master!$A:$A, Rate_Master!$D:$D, "")</f>
        <v>5750</v>
      </c>
      <c r="I99" s="67">
        <f t="shared" si="21"/>
        <v>23000</v>
      </c>
      <c r="J99" s="32">
        <f t="shared" si="22"/>
        <v>299142600</v>
      </c>
      <c r="K99" s="58">
        <f t="shared" si="23"/>
        <v>299142600</v>
      </c>
      <c r="L99" s="32"/>
      <c r="N99" s="104"/>
      <c r="O99" s="104"/>
      <c r="P99" s="104"/>
    </row>
    <row r="100" spans="1:16" s="4" customFormat="1" ht="38.25" customHeight="1" outlineLevel="1">
      <c r="A100" s="27" t="str">
        <f t="shared" si="20"/>
        <v>7A.S4.6</v>
      </c>
      <c r="B100" s="28" t="s">
        <v>90</v>
      </c>
      <c r="C100" s="28" t="s">
        <v>548</v>
      </c>
      <c r="D100" s="29" t="s">
        <v>520</v>
      </c>
      <c r="E100" s="31">
        <v>7415.2546679999996</v>
      </c>
      <c r="F100" s="36"/>
      <c r="G100" s="93">
        <f>_xlfn.XLOOKUP(B100, Rate_Master!$A:$A, Rate_Master!$C:$C, "")</f>
        <v>0</v>
      </c>
      <c r="H100" s="93">
        <f>_xlfn.XLOOKUP(B100, Rate_Master!$A:$A, Rate_Master!$D:$D, "")</f>
        <v>0</v>
      </c>
      <c r="I100" s="67">
        <f t="shared" si="21"/>
        <v>0</v>
      </c>
      <c r="J100" s="32">
        <f t="shared" si="22"/>
        <v>0</v>
      </c>
      <c r="K100" s="58">
        <f t="shared" si="23"/>
        <v>0</v>
      </c>
      <c r="L100" s="75" t="s">
        <v>549</v>
      </c>
      <c r="N100" s="104"/>
      <c r="O100" s="104"/>
      <c r="P100" s="104"/>
    </row>
    <row r="101" spans="1:16" s="4" customFormat="1" ht="25.5" customHeight="1" outlineLevel="1">
      <c r="A101" s="27" t="str">
        <f t="shared" si="20"/>
        <v>7A.S4.7</v>
      </c>
      <c r="B101" s="28" t="s">
        <v>91</v>
      </c>
      <c r="C101" s="28" t="s">
        <v>515</v>
      </c>
      <c r="D101" s="29" t="s">
        <v>457</v>
      </c>
      <c r="E101" s="31">
        <v>1</v>
      </c>
      <c r="F101" s="36"/>
      <c r="G101" s="93">
        <f>_xlfn.XLOOKUP(B101, Rate_Master!$A:$A, Rate_Master!$C:$C, "")</f>
        <v>0</v>
      </c>
      <c r="H101" s="93">
        <f>_xlfn.XLOOKUP(B101, Rate_Master!$A:$A, Rate_Master!$D:$D, "")</f>
        <v>0</v>
      </c>
      <c r="I101" s="67">
        <f t="shared" si="21"/>
        <v>0</v>
      </c>
      <c r="J101" s="32">
        <f t="shared" si="22"/>
        <v>0</v>
      </c>
      <c r="K101" s="58">
        <f t="shared" si="23"/>
        <v>0</v>
      </c>
      <c r="L101" s="75" t="s">
        <v>549</v>
      </c>
      <c r="N101" s="104"/>
      <c r="O101" s="104"/>
      <c r="P101" s="104"/>
    </row>
    <row r="102" spans="1:16" s="4" customFormat="1" ht="51" customHeight="1" outlineLevel="1">
      <c r="A102" s="27" t="str">
        <f t="shared" si="20"/>
        <v>7A.S4.8</v>
      </c>
      <c r="B102" s="28" t="s">
        <v>92</v>
      </c>
      <c r="C102" s="28" t="s">
        <v>550</v>
      </c>
      <c r="D102" s="29" t="s">
        <v>520</v>
      </c>
      <c r="E102" s="31">
        <v>7415.2546679999996</v>
      </c>
      <c r="F102" s="36"/>
      <c r="G102" s="93">
        <f>_xlfn.XLOOKUP(B102, Rate_Master!$A:$A, Rate_Master!$C:$C, "")</f>
        <v>16099.999999999998</v>
      </c>
      <c r="H102" s="93">
        <f>_xlfn.XLOOKUP(B102, Rate_Master!$A:$A, Rate_Master!$D:$D, "")</f>
        <v>3449.9999999999995</v>
      </c>
      <c r="I102" s="67">
        <f t="shared" si="21"/>
        <v>19549.999999999996</v>
      </c>
      <c r="J102" s="32">
        <f t="shared" si="22"/>
        <v>144968228.75939995</v>
      </c>
      <c r="K102" s="58">
        <f t="shared" si="23"/>
        <v>0</v>
      </c>
      <c r="L102" s="75" t="s">
        <v>549</v>
      </c>
      <c r="N102" s="104"/>
      <c r="O102" s="104"/>
      <c r="P102" s="104"/>
    </row>
    <row r="103" spans="1:16" s="3" customFormat="1" ht="25.5" customHeight="1">
      <c r="A103" s="22" t="str">
        <f>$A$9&amp;".F"</f>
        <v>7A.F</v>
      </c>
      <c r="B103" s="23" t="s">
        <v>93</v>
      </c>
      <c r="C103" s="23" t="s">
        <v>515</v>
      </c>
      <c r="D103" s="22"/>
      <c r="E103" s="25"/>
      <c r="F103" s="87"/>
      <c r="G103" s="25">
        <f>_xlfn.XLOOKUP(B103, Rate_Master!$A:$A, Rate_Master!$C:$C, "")</f>
        <v>0</v>
      </c>
      <c r="H103" s="25">
        <f>_xlfn.XLOOKUP(B103, Rate_Master!$A:$A, Rate_Master!$D:$D, "")</f>
        <v>0</v>
      </c>
      <c r="I103" s="26">
        <f>G103+H103</f>
        <v>0</v>
      </c>
      <c r="J103" s="26"/>
      <c r="K103" s="26"/>
      <c r="L103" s="26"/>
    </row>
    <row r="104" spans="1:16" s="3" customFormat="1" ht="25.5" customHeight="1">
      <c r="A104" s="22" t="str">
        <f>$A$103&amp;1</f>
        <v>7A.F1</v>
      </c>
      <c r="B104" s="23" t="s">
        <v>94</v>
      </c>
      <c r="C104" s="23" t="s">
        <v>515</v>
      </c>
      <c r="D104" s="22"/>
      <c r="E104" s="25"/>
      <c r="F104" s="87"/>
      <c r="G104" s="25">
        <f>_xlfn.XLOOKUP(B104, Rate_Master!$A:$A, Rate_Master!$C:$C, "")</f>
        <v>0</v>
      </c>
      <c r="H104" s="25">
        <f>_xlfn.XLOOKUP(B104, Rate_Master!$A:$A, Rate_Master!$D:$D, "")</f>
        <v>0</v>
      </c>
      <c r="I104" s="26">
        <f>G104+H104</f>
        <v>0</v>
      </c>
      <c r="J104" s="26">
        <f>SUBTOTAL(9,J105:J122)</f>
        <v>6637154030.8189144</v>
      </c>
      <c r="K104" s="26">
        <f>SUBTOTAL(9,K105:K122)</f>
        <v>6637154030.8189144</v>
      </c>
      <c r="L104" s="26"/>
    </row>
    <row r="105" spans="1:16" s="4" customFormat="1" ht="25.5" customHeight="1" outlineLevel="1">
      <c r="A105" s="27" t="str">
        <f t="shared" ref="A105:A122" si="24">$A$104&amp;"."&amp;ROW()-ROW($A$104)</f>
        <v>7A.F1.1</v>
      </c>
      <c r="B105" s="35" t="s">
        <v>95</v>
      </c>
      <c r="C105" s="34" t="s">
        <v>551</v>
      </c>
      <c r="D105" s="29" t="s">
        <v>519</v>
      </c>
      <c r="E105" s="31">
        <v>898.95399999999995</v>
      </c>
      <c r="F105" s="31">
        <v>898.95399999999995</v>
      </c>
      <c r="G105" s="30">
        <f>_xlfn.XLOOKUP(B105, Rate_Master!$A:$A, Rate_Master!$C:$C, "")</f>
        <v>1587600.0077618286</v>
      </c>
      <c r="H105" s="30">
        <f>_xlfn.XLOOKUP(B105, Rate_Master!$A:$A, Rate_Master!$D:$D, "")</f>
        <v>1086539.80861244</v>
      </c>
      <c r="I105" s="32">
        <f t="shared" ref="I105:I122" si="25">+H105+G105</f>
        <v>2674139.8163742684</v>
      </c>
      <c r="J105" s="32">
        <f t="shared" ref="J105:J122" si="26">I105*E105</f>
        <v>2403928684.488914</v>
      </c>
      <c r="K105" s="32">
        <f t="shared" ref="K105:K122" si="27">I105*F105</f>
        <v>2403928684.488914</v>
      </c>
      <c r="L105" s="32"/>
    </row>
    <row r="106" spans="1:16" s="4" customFormat="1" ht="25.5" customHeight="1" outlineLevel="1">
      <c r="A106" s="27" t="str">
        <f t="shared" si="24"/>
        <v>7A.F1.2</v>
      </c>
      <c r="B106" s="35" t="s">
        <v>96</v>
      </c>
      <c r="C106" s="34" t="s">
        <v>551</v>
      </c>
      <c r="D106" s="29" t="s">
        <v>519</v>
      </c>
      <c r="E106" s="31">
        <v>6.2130000000000001</v>
      </c>
      <c r="F106" s="31">
        <v>6.2130000000000001</v>
      </c>
      <c r="G106" s="30">
        <f>_xlfn.XLOOKUP(B106, Rate_Master!$A:$A, Rate_Master!$C:$C, "")</f>
        <v>1368500</v>
      </c>
      <c r="H106" s="30">
        <f>_xlfn.XLOOKUP(B106, Rate_Master!$A:$A, Rate_Master!$D:$D, "")</f>
        <v>948749.99999999988</v>
      </c>
      <c r="I106" s="32">
        <f t="shared" si="25"/>
        <v>2317250</v>
      </c>
      <c r="J106" s="32">
        <f t="shared" si="26"/>
        <v>14397074.25</v>
      </c>
      <c r="K106" s="32">
        <f t="shared" si="27"/>
        <v>14397074.25</v>
      </c>
      <c r="L106" s="32"/>
    </row>
    <row r="107" spans="1:16" s="4" customFormat="1" ht="63.75" customHeight="1" outlineLevel="1">
      <c r="A107" s="27" t="str">
        <f t="shared" si="24"/>
        <v>7A.F1.3</v>
      </c>
      <c r="B107" s="28" t="s">
        <v>97</v>
      </c>
      <c r="C107" s="34" t="s">
        <v>552</v>
      </c>
      <c r="D107" s="29" t="s">
        <v>520</v>
      </c>
      <c r="E107" s="31">
        <v>0</v>
      </c>
      <c r="F107" s="31">
        <v>0</v>
      </c>
      <c r="G107" s="31">
        <f>_xlfn.XLOOKUP(B107, Rate_Master!$A:$A, Rate_Master!$C:$C, "")</f>
        <v>229999.99999999997</v>
      </c>
      <c r="H107" s="31">
        <f>_xlfn.XLOOKUP(B107, Rate_Master!$A:$A, Rate_Master!$D:$D, "")</f>
        <v>46000</v>
      </c>
      <c r="I107" s="32">
        <f t="shared" si="25"/>
        <v>276000</v>
      </c>
      <c r="J107" s="32">
        <f t="shared" si="26"/>
        <v>0</v>
      </c>
      <c r="K107" s="32">
        <f t="shared" si="27"/>
        <v>0</v>
      </c>
      <c r="L107" s="32"/>
    </row>
    <row r="108" spans="1:16" s="4" customFormat="1" ht="51" customHeight="1" outlineLevel="1">
      <c r="A108" s="27" t="str">
        <f t="shared" si="24"/>
        <v>7A.F1.4</v>
      </c>
      <c r="B108" s="28" t="s">
        <v>98</v>
      </c>
      <c r="C108" s="34" t="s">
        <v>553</v>
      </c>
      <c r="D108" s="29" t="s">
        <v>520</v>
      </c>
      <c r="E108" s="31">
        <v>0</v>
      </c>
      <c r="F108" s="31">
        <v>0</v>
      </c>
      <c r="G108" s="31">
        <f>_xlfn.XLOOKUP(B108, Rate_Master!$A:$A, Rate_Master!$C:$C, "")</f>
        <v>0</v>
      </c>
      <c r="H108" s="31">
        <f>_xlfn.XLOOKUP(B108, Rate_Master!$A:$A, Rate_Master!$D:$D, "")</f>
        <v>0</v>
      </c>
      <c r="I108" s="32">
        <f t="shared" si="25"/>
        <v>0</v>
      </c>
      <c r="J108" s="32">
        <f t="shared" si="26"/>
        <v>0</v>
      </c>
      <c r="K108" s="32">
        <f t="shared" si="27"/>
        <v>0</v>
      </c>
      <c r="L108" s="32"/>
    </row>
    <row r="109" spans="1:16" s="4" customFormat="1" ht="51" customHeight="1" outlineLevel="1">
      <c r="A109" s="27" t="str">
        <f t="shared" si="24"/>
        <v>7A.F1.5</v>
      </c>
      <c r="B109" s="28" t="s">
        <v>99</v>
      </c>
      <c r="C109" s="34" t="s">
        <v>553</v>
      </c>
      <c r="D109" s="29" t="s">
        <v>520</v>
      </c>
      <c r="E109" s="31">
        <v>0</v>
      </c>
      <c r="F109" s="31">
        <v>0</v>
      </c>
      <c r="G109" s="31">
        <f>_xlfn.XLOOKUP(B109, Rate_Master!$A:$A, Rate_Master!$C:$C, "")</f>
        <v>931499.99999999988</v>
      </c>
      <c r="H109" s="31">
        <f>_xlfn.XLOOKUP(B109, Rate_Master!$A:$A, Rate_Master!$D:$D, "")</f>
        <v>114999.99999999999</v>
      </c>
      <c r="I109" s="32">
        <f t="shared" si="25"/>
        <v>1046499.9999999999</v>
      </c>
      <c r="J109" s="32">
        <f t="shared" si="26"/>
        <v>0</v>
      </c>
      <c r="K109" s="32">
        <f t="shared" si="27"/>
        <v>0</v>
      </c>
      <c r="L109" s="32"/>
    </row>
    <row r="110" spans="1:16" s="4" customFormat="1" ht="25.5" customHeight="1" outlineLevel="1">
      <c r="A110" s="27" t="str">
        <f t="shared" si="24"/>
        <v>7A.F1.6</v>
      </c>
      <c r="B110" s="28" t="s">
        <v>100</v>
      </c>
      <c r="C110" s="34" t="s">
        <v>554</v>
      </c>
      <c r="D110" s="29" t="s">
        <v>520</v>
      </c>
      <c r="E110" s="31">
        <v>684.80899999999997</v>
      </c>
      <c r="F110" s="31">
        <v>684.80899999999997</v>
      </c>
      <c r="G110" s="31">
        <f>_xlfn.XLOOKUP(B110, Rate_Master!$A:$A, Rate_Master!$C:$C, "")</f>
        <v>1586790</v>
      </c>
      <c r="H110" s="31">
        <f>_xlfn.XLOOKUP(B110, Rate_Master!$A:$A, Rate_Master!$D:$D, "")</f>
        <v>372210</v>
      </c>
      <c r="I110" s="32">
        <f t="shared" si="25"/>
        <v>1959000</v>
      </c>
      <c r="J110" s="32">
        <f t="shared" si="26"/>
        <v>1341540831</v>
      </c>
      <c r="K110" s="32">
        <f t="shared" si="27"/>
        <v>1341540831</v>
      </c>
      <c r="L110" s="32"/>
    </row>
    <row r="111" spans="1:16" s="4" customFormat="1" ht="51" customHeight="1" outlineLevel="1">
      <c r="A111" s="27" t="str">
        <f t="shared" si="24"/>
        <v>7A.F1.7</v>
      </c>
      <c r="B111" s="28" t="s">
        <v>101</v>
      </c>
      <c r="C111" s="28" t="s">
        <v>515</v>
      </c>
      <c r="D111" s="29" t="s">
        <v>520</v>
      </c>
      <c r="E111" s="31">
        <v>67.248000000000005</v>
      </c>
      <c r="F111" s="31">
        <v>67.248000000000005</v>
      </c>
      <c r="G111" s="31">
        <f>_xlfn.XLOOKUP(B111, Rate_Master!$A:$A, Rate_Master!$C:$C, "")</f>
        <v>1121250</v>
      </c>
      <c r="H111" s="31">
        <f>_xlfn.XLOOKUP(B111, Rate_Master!$A:$A, Rate_Master!$D:$D, "")</f>
        <v>114999.99999999999</v>
      </c>
      <c r="I111" s="32">
        <f t="shared" si="25"/>
        <v>1236250</v>
      </c>
      <c r="J111" s="32">
        <f t="shared" si="26"/>
        <v>83135340</v>
      </c>
      <c r="K111" s="32">
        <f t="shared" si="27"/>
        <v>83135340</v>
      </c>
      <c r="L111" s="32"/>
    </row>
    <row r="112" spans="1:16" s="4" customFormat="1" ht="51" customHeight="1" outlineLevel="1">
      <c r="A112" s="27" t="str">
        <f t="shared" si="24"/>
        <v>7A.F1.8</v>
      </c>
      <c r="B112" s="28" t="s">
        <v>102</v>
      </c>
      <c r="C112" s="34" t="s">
        <v>555</v>
      </c>
      <c r="D112" s="29" t="s">
        <v>520</v>
      </c>
      <c r="E112" s="31">
        <v>0</v>
      </c>
      <c r="F112" s="31">
        <v>0</v>
      </c>
      <c r="G112" s="31">
        <f>_xlfn.XLOOKUP(B112, Rate_Master!$A:$A, Rate_Master!$C:$C, "")</f>
        <v>0</v>
      </c>
      <c r="H112" s="31">
        <f>_xlfn.XLOOKUP(B112, Rate_Master!$A:$A, Rate_Master!$D:$D, "")</f>
        <v>0</v>
      </c>
      <c r="I112" s="32">
        <f t="shared" si="25"/>
        <v>0</v>
      </c>
      <c r="J112" s="32">
        <f t="shared" si="26"/>
        <v>0</v>
      </c>
      <c r="K112" s="32">
        <f t="shared" si="27"/>
        <v>0</v>
      </c>
      <c r="L112" s="32"/>
    </row>
    <row r="113" spans="1:12" s="4" customFormat="1" ht="51" customHeight="1" outlineLevel="1">
      <c r="A113" s="27" t="str">
        <f t="shared" si="24"/>
        <v>7A.F1.9</v>
      </c>
      <c r="B113" s="28" t="s">
        <v>103</v>
      </c>
      <c r="C113" s="34" t="s">
        <v>555</v>
      </c>
      <c r="D113" s="29" t="s">
        <v>520</v>
      </c>
      <c r="E113" s="31">
        <v>0</v>
      </c>
      <c r="F113" s="31">
        <v>0</v>
      </c>
      <c r="G113" s="31">
        <f>_xlfn.XLOOKUP(B113, Rate_Master!$A:$A, Rate_Master!$C:$C, "")</f>
        <v>0</v>
      </c>
      <c r="H113" s="31">
        <f>_xlfn.XLOOKUP(B113, Rate_Master!$A:$A, Rate_Master!$D:$D, "")</f>
        <v>0</v>
      </c>
      <c r="I113" s="32">
        <f t="shared" si="25"/>
        <v>0</v>
      </c>
      <c r="J113" s="32">
        <f t="shared" si="26"/>
        <v>0</v>
      </c>
      <c r="K113" s="32">
        <f t="shared" si="27"/>
        <v>0</v>
      </c>
      <c r="L113" s="32"/>
    </row>
    <row r="114" spans="1:12" s="4" customFormat="1" ht="25.5" customHeight="1" outlineLevel="1">
      <c r="A114" s="27" t="str">
        <f t="shared" si="24"/>
        <v>7A.F1.10</v>
      </c>
      <c r="B114" s="28" t="s">
        <v>104</v>
      </c>
      <c r="C114" s="28" t="s">
        <v>515</v>
      </c>
      <c r="D114" s="29" t="s">
        <v>520</v>
      </c>
      <c r="E114" s="31">
        <v>5771.5</v>
      </c>
      <c r="F114" s="31">
        <v>5771.5</v>
      </c>
      <c r="G114" s="30">
        <f>_xlfn.XLOOKUP(B114, Rate_Master!$A:$A, Rate_Master!$C:$C, "")</f>
        <v>46000</v>
      </c>
      <c r="H114" s="30">
        <f>_xlfn.XLOOKUP(B114, Rate_Master!$A:$A, Rate_Master!$D:$D, "")</f>
        <v>34500</v>
      </c>
      <c r="I114" s="32">
        <f t="shared" si="25"/>
        <v>80500</v>
      </c>
      <c r="J114" s="32">
        <f t="shared" si="26"/>
        <v>464605750</v>
      </c>
      <c r="K114" s="32">
        <f t="shared" si="27"/>
        <v>464605750</v>
      </c>
      <c r="L114" s="32"/>
    </row>
    <row r="115" spans="1:12" s="4" customFormat="1" ht="25.5" customHeight="1" outlineLevel="1">
      <c r="A115" s="27" t="str">
        <f t="shared" si="24"/>
        <v>7A.F1.11</v>
      </c>
      <c r="B115" s="28" t="s">
        <v>105</v>
      </c>
      <c r="C115" s="34" t="s">
        <v>556</v>
      </c>
      <c r="D115" s="29" t="s">
        <v>520</v>
      </c>
      <c r="E115" s="31">
        <v>4456.3429999999998</v>
      </c>
      <c r="F115" s="31">
        <v>4456.3429999999998</v>
      </c>
      <c r="G115" s="30">
        <f>_xlfn.XLOOKUP(B115, Rate_Master!$A:$A, Rate_Master!$C:$C, "")</f>
        <v>26565.000000000004</v>
      </c>
      <c r="H115" s="30">
        <f>_xlfn.XLOOKUP(B115, Rate_Master!$A:$A, Rate_Master!$D:$D, "")</f>
        <v>132250</v>
      </c>
      <c r="I115" s="32">
        <f t="shared" si="25"/>
        <v>158815</v>
      </c>
      <c r="J115" s="32">
        <f t="shared" si="26"/>
        <v>707734113.54499996</v>
      </c>
      <c r="K115" s="32">
        <f t="shared" si="27"/>
        <v>707734113.54499996</v>
      </c>
      <c r="L115" s="32"/>
    </row>
    <row r="116" spans="1:12" s="4" customFormat="1" ht="25.5" customHeight="1" outlineLevel="1">
      <c r="A116" s="27" t="str">
        <f t="shared" si="24"/>
        <v>7A.F1.12</v>
      </c>
      <c r="B116" s="28" t="s">
        <v>106</v>
      </c>
      <c r="C116" s="34" t="s">
        <v>556</v>
      </c>
      <c r="D116" s="29" t="s">
        <v>520</v>
      </c>
      <c r="E116" s="31">
        <v>5115.7389999999996</v>
      </c>
      <c r="F116" s="31">
        <v>5115.7389999999996</v>
      </c>
      <c r="G116" s="30">
        <f>_xlfn.XLOOKUP(B116, Rate_Master!$A:$A, Rate_Master!$C:$C, "")</f>
        <v>26565.000000000004</v>
      </c>
      <c r="H116" s="30">
        <f>_xlfn.XLOOKUP(B116, Rate_Master!$A:$A, Rate_Master!$D:$D, "")</f>
        <v>117299.99999999999</v>
      </c>
      <c r="I116" s="32">
        <f t="shared" si="25"/>
        <v>143865</v>
      </c>
      <c r="J116" s="32">
        <f t="shared" si="26"/>
        <v>735975791.2349999</v>
      </c>
      <c r="K116" s="32">
        <f t="shared" si="27"/>
        <v>735975791.2349999</v>
      </c>
      <c r="L116" s="32"/>
    </row>
    <row r="117" spans="1:12" s="4" customFormat="1" ht="38.25" customHeight="1" outlineLevel="1">
      <c r="A117" s="27" t="str">
        <f t="shared" si="24"/>
        <v>7A.F1.13</v>
      </c>
      <c r="B117" s="28" t="s">
        <v>107</v>
      </c>
      <c r="C117" s="28" t="s">
        <v>515</v>
      </c>
      <c r="D117" s="29" t="s">
        <v>520</v>
      </c>
      <c r="E117" s="31">
        <v>212.94499999999999</v>
      </c>
      <c r="F117" s="31">
        <v>212.94499999999999</v>
      </c>
      <c r="G117" s="31">
        <f>_xlfn.XLOOKUP(B117, Rate_Master!$A:$A, Rate_Master!$C:$C, "")</f>
        <v>218499.99999999997</v>
      </c>
      <c r="H117" s="31">
        <f>_xlfn.XLOOKUP(B117, Rate_Master!$A:$A, Rate_Master!$D:$D, "")</f>
        <v>138000</v>
      </c>
      <c r="I117" s="32">
        <f t="shared" si="25"/>
        <v>356500</v>
      </c>
      <c r="J117" s="32">
        <f t="shared" si="26"/>
        <v>75914892.5</v>
      </c>
      <c r="K117" s="32">
        <f t="shared" si="27"/>
        <v>75914892.5</v>
      </c>
      <c r="L117" s="32"/>
    </row>
    <row r="118" spans="1:12" s="4" customFormat="1" ht="25.5" customHeight="1" outlineLevel="1">
      <c r="A118" s="27" t="str">
        <f t="shared" si="24"/>
        <v>7A.F1.14</v>
      </c>
      <c r="B118" s="34" t="s">
        <v>108</v>
      </c>
      <c r="C118" s="28" t="s">
        <v>515</v>
      </c>
      <c r="D118" s="29" t="s">
        <v>520</v>
      </c>
      <c r="E118" s="31">
        <v>4456.3429999999998</v>
      </c>
      <c r="F118" s="31">
        <v>4456.3429999999998</v>
      </c>
      <c r="G118" s="30">
        <f>_xlfn.XLOOKUP(B118, Rate_Master!$A:$A, Rate_Master!$C:$C, "")</f>
        <v>51749.999999999993</v>
      </c>
      <c r="H118" s="30">
        <f>_xlfn.XLOOKUP(B118, Rate_Master!$A:$A, Rate_Master!$D:$D, "")</f>
        <v>34500</v>
      </c>
      <c r="I118" s="32">
        <f t="shared" si="25"/>
        <v>86250</v>
      </c>
      <c r="J118" s="32">
        <f t="shared" si="26"/>
        <v>384359583.75</v>
      </c>
      <c r="K118" s="32">
        <f t="shared" si="27"/>
        <v>384359583.75</v>
      </c>
      <c r="L118" s="32"/>
    </row>
    <row r="119" spans="1:12" s="4" customFormat="1" ht="25.5" customHeight="1" outlineLevel="1">
      <c r="A119" s="27" t="str">
        <f t="shared" si="24"/>
        <v>7A.F1.15</v>
      </c>
      <c r="B119" s="34" t="s">
        <v>109</v>
      </c>
      <c r="C119" s="28" t="s">
        <v>515</v>
      </c>
      <c r="D119" s="29" t="s">
        <v>520</v>
      </c>
      <c r="E119" s="31">
        <v>4740.5110000000004</v>
      </c>
      <c r="F119" s="31">
        <v>4740.5110000000004</v>
      </c>
      <c r="G119" s="31">
        <f>_xlfn.XLOOKUP(B119, Rate_Master!$A:$A, Rate_Master!$C:$C, "")</f>
        <v>46000</v>
      </c>
      <c r="H119" s="31">
        <f>_xlfn.XLOOKUP(B119, Rate_Master!$A:$A, Rate_Master!$D:$D, "")</f>
        <v>19550</v>
      </c>
      <c r="I119" s="32">
        <f t="shared" si="25"/>
        <v>65550</v>
      </c>
      <c r="J119" s="32">
        <f t="shared" si="26"/>
        <v>310740496.05000001</v>
      </c>
      <c r="K119" s="32">
        <f t="shared" si="27"/>
        <v>310740496.05000001</v>
      </c>
      <c r="L119" s="32"/>
    </row>
    <row r="120" spans="1:12" s="4" customFormat="1" ht="38.25" customHeight="1" outlineLevel="1">
      <c r="A120" s="27" t="str">
        <f t="shared" si="24"/>
        <v>7A.F1.16</v>
      </c>
      <c r="B120" s="34" t="s">
        <v>110</v>
      </c>
      <c r="C120" s="28" t="s">
        <v>515</v>
      </c>
      <c r="D120" s="29" t="s">
        <v>520</v>
      </c>
      <c r="E120" s="31">
        <v>87.710999999999999</v>
      </c>
      <c r="F120" s="31">
        <v>87.710999999999999</v>
      </c>
      <c r="G120" s="31">
        <f>_xlfn.XLOOKUP(B120, Rate_Master!$A:$A, Rate_Master!$C:$C, "")</f>
        <v>51749.999999999993</v>
      </c>
      <c r="H120" s="31">
        <f>_xlfn.XLOOKUP(B120, Rate_Master!$A:$A, Rate_Master!$D:$D, "")</f>
        <v>17250</v>
      </c>
      <c r="I120" s="32">
        <f t="shared" si="25"/>
        <v>69000</v>
      </c>
      <c r="J120" s="32">
        <f t="shared" si="26"/>
        <v>6052059</v>
      </c>
      <c r="K120" s="32">
        <f t="shared" si="27"/>
        <v>6052059</v>
      </c>
      <c r="L120" s="32"/>
    </row>
    <row r="121" spans="1:12" s="4" customFormat="1" ht="25.5" customHeight="1" outlineLevel="1">
      <c r="A121" s="27" t="str">
        <f t="shared" si="24"/>
        <v>7A.F1.17</v>
      </c>
      <c r="B121" s="34" t="s">
        <v>111</v>
      </c>
      <c r="C121" s="28" t="s">
        <v>515</v>
      </c>
      <c r="D121" s="29" t="s">
        <v>520</v>
      </c>
      <c r="E121" s="31">
        <v>74.572000000000003</v>
      </c>
      <c r="F121" s="31">
        <v>74.572000000000003</v>
      </c>
      <c r="G121" s="31">
        <f>_xlfn.XLOOKUP(B121, Rate_Master!$A:$A, Rate_Master!$C:$C, "")</f>
        <v>172500</v>
      </c>
      <c r="H121" s="31">
        <f>_xlfn.XLOOKUP(B121, Rate_Master!$A:$A, Rate_Master!$D:$D, "")</f>
        <v>28749.999999999996</v>
      </c>
      <c r="I121" s="32">
        <f t="shared" si="25"/>
        <v>201250</v>
      </c>
      <c r="J121" s="32">
        <f t="shared" si="26"/>
        <v>15007615</v>
      </c>
      <c r="K121" s="32">
        <f t="shared" si="27"/>
        <v>15007615</v>
      </c>
      <c r="L121" s="32"/>
    </row>
    <row r="122" spans="1:12" s="4" customFormat="1" ht="38.25" customHeight="1" outlineLevel="1">
      <c r="A122" s="27" t="str">
        <f t="shared" si="24"/>
        <v>7A.F1.18</v>
      </c>
      <c r="B122" s="34" t="s">
        <v>112</v>
      </c>
      <c r="C122" s="34" t="s">
        <v>557</v>
      </c>
      <c r="D122" s="29" t="s">
        <v>517</v>
      </c>
      <c r="E122" s="31">
        <v>436</v>
      </c>
      <c r="F122" s="31">
        <v>436</v>
      </c>
      <c r="G122" s="31">
        <f>_xlfn.XLOOKUP(B122, Rate_Master!$A:$A, Rate_Master!$C:$C, "")</f>
        <v>163300</v>
      </c>
      <c r="H122" s="31">
        <f>_xlfn.XLOOKUP(B122, Rate_Master!$A:$A, Rate_Master!$D:$D, "")</f>
        <v>51749.999999999993</v>
      </c>
      <c r="I122" s="32">
        <f t="shared" si="25"/>
        <v>215050</v>
      </c>
      <c r="J122" s="32">
        <f t="shared" si="26"/>
        <v>93761800</v>
      </c>
      <c r="K122" s="32">
        <f t="shared" si="27"/>
        <v>93761800</v>
      </c>
      <c r="L122" s="32"/>
    </row>
    <row r="123" spans="1:12" s="3" customFormat="1" ht="25.5" customHeight="1">
      <c r="A123" s="22" t="str">
        <f>$A$103&amp;2</f>
        <v>7A.F2</v>
      </c>
      <c r="B123" s="23" t="s">
        <v>113</v>
      </c>
      <c r="C123" s="23" t="s">
        <v>515</v>
      </c>
      <c r="D123" s="22"/>
      <c r="E123" s="25"/>
      <c r="F123" s="25"/>
      <c r="G123" s="25">
        <f>_xlfn.XLOOKUP(B123, Rate_Master!$A:$A, Rate_Master!$C:$C, "")</f>
        <v>0</v>
      </c>
      <c r="H123" s="25">
        <f>_xlfn.XLOOKUP(B123, Rate_Master!$A:$A, Rate_Master!$D:$D, "")</f>
        <v>0</v>
      </c>
      <c r="I123" s="26">
        <v>0</v>
      </c>
      <c r="J123" s="26">
        <f>SUBTOTAL(9,J124:J128)</f>
        <v>1029530107.7999997</v>
      </c>
      <c r="K123" s="26">
        <f>SUBTOTAL(9,K124:K128)</f>
        <v>1029530107.7999997</v>
      </c>
      <c r="L123" s="26"/>
    </row>
    <row r="124" spans="1:12" s="4" customFormat="1" ht="51" customHeight="1" outlineLevel="1">
      <c r="A124" s="27" t="str">
        <f>$A$123&amp;"."&amp;ROW()-ROW($A$123)</f>
        <v>7A.F2.1</v>
      </c>
      <c r="B124" s="34" t="s">
        <v>114</v>
      </c>
      <c r="C124" s="28" t="s">
        <v>515</v>
      </c>
      <c r="D124" s="29" t="s">
        <v>520</v>
      </c>
      <c r="E124" s="31">
        <v>71.341999999999999</v>
      </c>
      <c r="F124" s="31">
        <v>71.341999999999999</v>
      </c>
      <c r="G124" s="30">
        <f>_xlfn.XLOOKUP(B124, Rate_Master!$A:$A, Rate_Master!$C:$C, "")</f>
        <v>206999.99999999997</v>
      </c>
      <c r="H124" s="30">
        <f>_xlfn.XLOOKUP(B124, Rate_Master!$A:$A, Rate_Master!$D:$D, "")</f>
        <v>126499.99999999999</v>
      </c>
      <c r="I124" s="32">
        <f>+H124+G124</f>
        <v>333499.99999999994</v>
      </c>
      <c r="J124" s="32">
        <f>I124*E124</f>
        <v>23792556.999999996</v>
      </c>
      <c r="K124" s="32">
        <f>I124*F124</f>
        <v>23792556.999999996</v>
      </c>
      <c r="L124" s="32"/>
    </row>
    <row r="125" spans="1:12" s="4" customFormat="1" ht="51" customHeight="1" outlineLevel="1">
      <c r="A125" s="27" t="str">
        <f>$A$123&amp;"."&amp;ROW()-ROW($A$123)</f>
        <v>7A.F2.2</v>
      </c>
      <c r="B125" s="28" t="s">
        <v>115</v>
      </c>
      <c r="C125" s="28" t="s">
        <v>515</v>
      </c>
      <c r="D125" s="29" t="s">
        <v>520</v>
      </c>
      <c r="E125" s="31">
        <v>12861.093999999999</v>
      </c>
      <c r="F125" s="31">
        <v>12861.093999999999</v>
      </c>
      <c r="G125" s="30">
        <f>_xlfn.XLOOKUP(B125, Rate_Master!$A:$A, Rate_Master!$C:$C, "")</f>
        <v>28749.999999999996</v>
      </c>
      <c r="H125" s="30">
        <f>_xlfn.XLOOKUP(B125, Rate_Master!$A:$A, Rate_Master!$D:$D, "")</f>
        <v>49449.999999999993</v>
      </c>
      <c r="I125" s="32">
        <f>+H125+G125</f>
        <v>78199.999999999985</v>
      </c>
      <c r="J125" s="32">
        <f>I125*E125</f>
        <v>1005737550.7999997</v>
      </c>
      <c r="K125" s="32">
        <f>I125*F125</f>
        <v>1005737550.7999997</v>
      </c>
      <c r="L125" s="32"/>
    </row>
    <row r="126" spans="1:12" s="4" customFormat="1" ht="51" customHeight="1" outlineLevel="1">
      <c r="A126" s="27" t="str">
        <f>$A$123&amp;"."&amp;ROW()-ROW($A$123)</f>
        <v>7A.F2.3</v>
      </c>
      <c r="B126" s="34" t="s">
        <v>116</v>
      </c>
      <c r="C126" s="28" t="s">
        <v>515</v>
      </c>
      <c r="D126" s="29" t="s">
        <v>520</v>
      </c>
      <c r="E126" s="31">
        <v>0</v>
      </c>
      <c r="F126" s="31">
        <v>0</v>
      </c>
      <c r="G126" s="31">
        <f>_xlfn.XLOOKUP(B126, Rate_Master!$A:$A, Rate_Master!$C:$C, "")</f>
        <v>0</v>
      </c>
      <c r="H126" s="31">
        <f>_xlfn.XLOOKUP(B126, Rate_Master!$A:$A, Rate_Master!$D:$D, "")</f>
        <v>0</v>
      </c>
      <c r="I126" s="32">
        <v>0</v>
      </c>
      <c r="J126" s="32">
        <f>I126*E126</f>
        <v>0</v>
      </c>
      <c r="K126" s="32">
        <f>I126*F126</f>
        <v>0</v>
      </c>
      <c r="L126" s="32"/>
    </row>
    <row r="127" spans="1:12" s="4" customFormat="1" ht="51" customHeight="1" outlineLevel="1">
      <c r="A127" s="27" t="str">
        <f>$A$123&amp;"."&amp;ROW()-ROW($A$123)</f>
        <v>7A.F2.4</v>
      </c>
      <c r="B127" s="34" t="s">
        <v>117</v>
      </c>
      <c r="C127" s="28" t="s">
        <v>515</v>
      </c>
      <c r="D127" s="29" t="s">
        <v>520</v>
      </c>
      <c r="E127" s="31">
        <v>0</v>
      </c>
      <c r="F127" s="31">
        <v>0</v>
      </c>
      <c r="G127" s="31">
        <f>_xlfn.XLOOKUP(B127, Rate_Master!$A:$A, Rate_Master!$C:$C, "")</f>
        <v>0</v>
      </c>
      <c r="H127" s="31">
        <f>_xlfn.XLOOKUP(B127, Rate_Master!$A:$A, Rate_Master!$D:$D, "")</f>
        <v>0</v>
      </c>
      <c r="I127" s="32">
        <v>0</v>
      </c>
      <c r="J127" s="32">
        <f>I127*E127</f>
        <v>0</v>
      </c>
      <c r="K127" s="32">
        <f>I127*F127</f>
        <v>0</v>
      </c>
      <c r="L127" s="32"/>
    </row>
    <row r="128" spans="1:12" s="4" customFormat="1" ht="38.25" customHeight="1" outlineLevel="1">
      <c r="A128" s="27" t="str">
        <f>$A$123&amp;"."&amp;ROW()-ROW($A$123)</f>
        <v>7A.F2.5</v>
      </c>
      <c r="B128" s="34" t="s">
        <v>118</v>
      </c>
      <c r="C128" s="28" t="s">
        <v>515</v>
      </c>
      <c r="D128" s="29" t="s">
        <v>520</v>
      </c>
      <c r="E128" s="31">
        <v>0</v>
      </c>
      <c r="F128" s="31">
        <v>0</v>
      </c>
      <c r="G128" s="31">
        <f>_xlfn.XLOOKUP(B128, Rate_Master!$A:$A, Rate_Master!$C:$C, "")</f>
        <v>0</v>
      </c>
      <c r="H128" s="31">
        <f>_xlfn.XLOOKUP(B128, Rate_Master!$A:$A, Rate_Master!$D:$D, "")</f>
        <v>0</v>
      </c>
      <c r="I128" s="32">
        <v>0</v>
      </c>
      <c r="J128" s="32">
        <f>I128*E128</f>
        <v>0</v>
      </c>
      <c r="K128" s="32">
        <f>I128*F128</f>
        <v>0</v>
      </c>
      <c r="L128" s="32"/>
    </row>
    <row r="129" spans="1:12" s="3" customFormat="1" ht="25.5" customHeight="1">
      <c r="A129" s="22" t="str">
        <f>$A$103&amp;3</f>
        <v>7A.F3</v>
      </c>
      <c r="B129" s="23" t="s">
        <v>119</v>
      </c>
      <c r="C129" s="23" t="s">
        <v>515</v>
      </c>
      <c r="D129" s="22"/>
      <c r="E129" s="25"/>
      <c r="F129" s="25"/>
      <c r="G129" s="25">
        <f>_xlfn.XLOOKUP(B129, Rate_Master!$A:$A, Rate_Master!$C:$C, "")</f>
        <v>0</v>
      </c>
      <c r="H129" s="25">
        <f>_xlfn.XLOOKUP(B129, Rate_Master!$A:$A, Rate_Master!$D:$D, "")</f>
        <v>0</v>
      </c>
      <c r="I129" s="26">
        <v>0</v>
      </c>
      <c r="J129" s="26">
        <f>SUBTOTAL(9,J130:J137)</f>
        <v>13689835.75</v>
      </c>
      <c r="K129" s="26">
        <f>SUBTOTAL(9,K130:K137)</f>
        <v>13689835.75</v>
      </c>
      <c r="L129" s="26"/>
    </row>
    <row r="130" spans="1:12" s="4" customFormat="1" ht="25.5" customHeight="1" outlineLevel="1">
      <c r="A130" s="27" t="str">
        <f t="shared" ref="A130:A137" si="28">$A$129&amp;"."&amp;ROW()-ROW($A$129)</f>
        <v>7A.F3.1</v>
      </c>
      <c r="B130" s="34" t="s">
        <v>120</v>
      </c>
      <c r="C130" s="28" t="s">
        <v>515</v>
      </c>
      <c r="D130" s="29" t="s">
        <v>520</v>
      </c>
      <c r="E130" s="31">
        <v>96.816999999999993</v>
      </c>
      <c r="F130" s="31">
        <v>96.816999999999993</v>
      </c>
      <c r="G130" s="31">
        <f>_xlfn.XLOOKUP(B130, Rate_Master!$A:$A, Rate_Master!$C:$C, "")</f>
        <v>28749.999999999996</v>
      </c>
      <c r="H130" s="31">
        <f>_xlfn.XLOOKUP(B130, Rate_Master!$A:$A, Rate_Master!$D:$D, "")</f>
        <v>0</v>
      </c>
      <c r="I130" s="32">
        <f>+H130+G130</f>
        <v>28749.999999999996</v>
      </c>
      <c r="J130" s="32">
        <f t="shared" ref="J130:J137" si="29">I130*E130</f>
        <v>2783488.7499999995</v>
      </c>
      <c r="K130" s="32">
        <f t="shared" ref="K130:K137" si="30">I130*F130</f>
        <v>2783488.7499999995</v>
      </c>
      <c r="L130" s="32"/>
    </row>
    <row r="131" spans="1:12" s="4" customFormat="1" ht="25.5" customHeight="1" outlineLevel="1">
      <c r="A131" s="27" t="str">
        <f t="shared" si="28"/>
        <v>7A.F3.2</v>
      </c>
      <c r="B131" s="34" t="s">
        <v>121</v>
      </c>
      <c r="C131" s="28" t="s">
        <v>515</v>
      </c>
      <c r="D131" s="29" t="s">
        <v>520</v>
      </c>
      <c r="E131" s="31">
        <v>0</v>
      </c>
      <c r="F131" s="31">
        <v>0</v>
      </c>
      <c r="G131" s="31">
        <f>_xlfn.XLOOKUP(B131, Rate_Master!$A:$A, Rate_Master!$C:$C, "")</f>
        <v>0</v>
      </c>
      <c r="H131" s="31">
        <f>_xlfn.XLOOKUP(B131, Rate_Master!$A:$A, Rate_Master!$D:$D, "")</f>
        <v>0</v>
      </c>
      <c r="I131" s="32">
        <v>0</v>
      </c>
      <c r="J131" s="32">
        <f t="shared" si="29"/>
        <v>0</v>
      </c>
      <c r="K131" s="32">
        <f t="shared" si="30"/>
        <v>0</v>
      </c>
      <c r="L131" s="32"/>
    </row>
    <row r="132" spans="1:12" s="4" customFormat="1" ht="38.25" customHeight="1" outlineLevel="1">
      <c r="A132" s="27" t="str">
        <f t="shared" si="28"/>
        <v>7A.F3.3</v>
      </c>
      <c r="B132" s="34" t="s">
        <v>122</v>
      </c>
      <c r="C132" s="28" t="s">
        <v>515</v>
      </c>
      <c r="D132" s="29" t="s">
        <v>520</v>
      </c>
      <c r="E132" s="31">
        <v>69.072000000000003</v>
      </c>
      <c r="F132" s="31">
        <v>69.072000000000003</v>
      </c>
      <c r="G132" s="31">
        <f>_xlfn.XLOOKUP(B132, Rate_Master!$A:$A, Rate_Master!$C:$C, "")</f>
        <v>51749.999999999993</v>
      </c>
      <c r="H132" s="31">
        <f>_xlfn.XLOOKUP(B132, Rate_Master!$A:$A, Rate_Master!$D:$D, "")</f>
        <v>23000</v>
      </c>
      <c r="I132" s="32">
        <f>+H132+G132</f>
        <v>74750</v>
      </c>
      <c r="J132" s="32">
        <f t="shared" si="29"/>
        <v>5163132</v>
      </c>
      <c r="K132" s="32">
        <f t="shared" si="30"/>
        <v>5163132</v>
      </c>
      <c r="L132" s="32"/>
    </row>
    <row r="133" spans="1:12" s="4" customFormat="1" ht="25.5" customHeight="1" outlineLevel="1">
      <c r="A133" s="27" t="str">
        <f t="shared" si="28"/>
        <v>7A.F3.4</v>
      </c>
      <c r="B133" s="34" t="s">
        <v>123</v>
      </c>
      <c r="C133" s="28" t="s">
        <v>515</v>
      </c>
      <c r="D133" s="29" t="s">
        <v>520</v>
      </c>
      <c r="E133" s="31">
        <v>27.745000000000001</v>
      </c>
      <c r="F133" s="31">
        <v>27.745000000000001</v>
      </c>
      <c r="G133" s="31">
        <f>_xlfn.XLOOKUP(B133, Rate_Master!$A:$A, Rate_Master!$C:$C, "")</f>
        <v>172500</v>
      </c>
      <c r="H133" s="31">
        <f>_xlfn.XLOOKUP(B133, Rate_Master!$A:$A, Rate_Master!$D:$D, "")</f>
        <v>34500</v>
      </c>
      <c r="I133" s="32">
        <f>+H133+G133</f>
        <v>207000</v>
      </c>
      <c r="J133" s="32">
        <f t="shared" si="29"/>
        <v>5743215</v>
      </c>
      <c r="K133" s="32">
        <f t="shared" si="30"/>
        <v>5743215</v>
      </c>
      <c r="L133" s="32"/>
    </row>
    <row r="134" spans="1:12" s="4" customFormat="1" ht="51" customHeight="1" outlineLevel="1">
      <c r="A134" s="27" t="str">
        <f t="shared" si="28"/>
        <v>7A.F3.5</v>
      </c>
      <c r="B134" s="28" t="s">
        <v>124</v>
      </c>
      <c r="C134" s="34" t="s">
        <v>553</v>
      </c>
      <c r="D134" s="29" t="s">
        <v>520</v>
      </c>
      <c r="E134" s="31">
        <v>0</v>
      </c>
      <c r="F134" s="31">
        <v>0</v>
      </c>
      <c r="G134" s="30">
        <f>_xlfn.XLOOKUP(B134, Rate_Master!$A:$A, Rate_Master!$C:$C, "")</f>
        <v>1069500</v>
      </c>
      <c r="H134" s="30">
        <f>_xlfn.XLOOKUP(B134, Rate_Master!$A:$A, Rate_Master!$D:$D, "")</f>
        <v>172500</v>
      </c>
      <c r="I134" s="32">
        <v>0</v>
      </c>
      <c r="J134" s="32">
        <f t="shared" si="29"/>
        <v>0</v>
      </c>
      <c r="K134" s="32">
        <f t="shared" si="30"/>
        <v>0</v>
      </c>
      <c r="L134" s="32"/>
    </row>
    <row r="135" spans="1:12" s="4" customFormat="1" ht="51" customHeight="1" outlineLevel="1">
      <c r="A135" s="27" t="str">
        <f t="shared" si="28"/>
        <v>7A.F3.6</v>
      </c>
      <c r="B135" s="34" t="s">
        <v>125</v>
      </c>
      <c r="C135" s="28" t="s">
        <v>515</v>
      </c>
      <c r="D135" s="29" t="s">
        <v>520</v>
      </c>
      <c r="E135" s="31">
        <v>0</v>
      </c>
      <c r="F135" s="31">
        <v>0</v>
      </c>
      <c r="G135" s="30">
        <f>_xlfn.XLOOKUP(B135, Rate_Master!$A:$A, Rate_Master!$C:$C, "")</f>
        <v>965999.99999999988</v>
      </c>
      <c r="H135" s="30">
        <f>_xlfn.XLOOKUP(B135, Rate_Master!$A:$A, Rate_Master!$D:$D, "")</f>
        <v>138000</v>
      </c>
      <c r="I135" s="32">
        <v>0</v>
      </c>
      <c r="J135" s="32">
        <f t="shared" si="29"/>
        <v>0</v>
      </c>
      <c r="K135" s="32">
        <f t="shared" si="30"/>
        <v>0</v>
      </c>
      <c r="L135" s="32"/>
    </row>
    <row r="136" spans="1:12" s="4" customFormat="1" ht="25.5" customHeight="1" outlineLevel="1">
      <c r="A136" s="27" t="str">
        <f t="shared" si="28"/>
        <v>7A.F3.7</v>
      </c>
      <c r="B136" s="28" t="s">
        <v>126</v>
      </c>
      <c r="C136" s="28" t="s">
        <v>515</v>
      </c>
      <c r="D136" s="29" t="s">
        <v>520</v>
      </c>
      <c r="E136" s="31">
        <v>0</v>
      </c>
      <c r="F136" s="31">
        <v>0</v>
      </c>
      <c r="G136" s="30">
        <f>_xlfn.XLOOKUP(B136, Rate_Master!$A:$A, Rate_Master!$C:$C, "")</f>
        <v>0</v>
      </c>
      <c r="H136" s="30">
        <f>_xlfn.XLOOKUP(B136, Rate_Master!$A:$A, Rate_Master!$D:$D, "")</f>
        <v>0</v>
      </c>
      <c r="I136" s="32">
        <v>0</v>
      </c>
      <c r="J136" s="32">
        <f t="shared" si="29"/>
        <v>0</v>
      </c>
      <c r="K136" s="32">
        <f t="shared" si="30"/>
        <v>0</v>
      </c>
      <c r="L136" s="32"/>
    </row>
    <row r="137" spans="1:12" s="4" customFormat="1" ht="25.5" customHeight="1" outlineLevel="1">
      <c r="A137" s="27" t="str">
        <f t="shared" si="28"/>
        <v>7A.F3.8</v>
      </c>
      <c r="B137" s="34" t="s">
        <v>127</v>
      </c>
      <c r="C137" s="28" t="s">
        <v>515</v>
      </c>
      <c r="D137" s="29" t="s">
        <v>520</v>
      </c>
      <c r="E137" s="31">
        <v>0</v>
      </c>
      <c r="F137" s="31">
        <v>0</v>
      </c>
      <c r="G137" s="30">
        <f>_xlfn.XLOOKUP(B137, Rate_Master!$A:$A, Rate_Master!$C:$C, "")</f>
        <v>0</v>
      </c>
      <c r="H137" s="30">
        <f>_xlfn.XLOOKUP(B137, Rate_Master!$A:$A, Rate_Master!$D:$D, "")</f>
        <v>0</v>
      </c>
      <c r="I137" s="32">
        <v>0</v>
      </c>
      <c r="J137" s="32">
        <f t="shared" si="29"/>
        <v>0</v>
      </c>
      <c r="K137" s="32">
        <f t="shared" si="30"/>
        <v>0</v>
      </c>
      <c r="L137" s="32"/>
    </row>
    <row r="138" spans="1:12" s="3" customFormat="1" ht="25.5" customHeight="1">
      <c r="A138" s="22" t="str">
        <f>$A$103&amp;4</f>
        <v>7A.F4</v>
      </c>
      <c r="B138" s="23" t="s">
        <v>128</v>
      </c>
      <c r="C138" s="23" t="s">
        <v>515</v>
      </c>
      <c r="D138" s="22"/>
      <c r="E138" s="25"/>
      <c r="F138" s="25"/>
      <c r="G138" s="25">
        <f>_xlfn.XLOOKUP(B138, Rate_Master!$A:$A, Rate_Master!$C:$C, "")</f>
        <v>0</v>
      </c>
      <c r="H138" s="25">
        <f>_xlfn.XLOOKUP(B138, Rate_Master!$A:$A, Rate_Master!$D:$D, "")</f>
        <v>0</v>
      </c>
      <c r="I138" s="26">
        <v>0</v>
      </c>
      <c r="J138" s="26">
        <f>SUBTOTAL(9,J139:J144)</f>
        <v>871090500</v>
      </c>
      <c r="K138" s="26">
        <f>SUBTOTAL(9,K139:K144)</f>
        <v>871090500</v>
      </c>
      <c r="L138" s="26"/>
    </row>
    <row r="139" spans="1:12" s="4" customFormat="1" ht="63.75" customHeight="1" outlineLevel="1">
      <c r="A139" s="27" t="str">
        <f t="shared" ref="A139:A144" si="31">$A$138&amp;"."&amp;ROW()-ROW($A$138)</f>
        <v>7A.F4.1</v>
      </c>
      <c r="B139" s="28" t="s">
        <v>164</v>
      </c>
      <c r="C139" s="28" t="s">
        <v>515</v>
      </c>
      <c r="D139" s="29" t="s">
        <v>516</v>
      </c>
      <c r="E139" s="31">
        <v>2</v>
      </c>
      <c r="F139" s="31">
        <v>2</v>
      </c>
      <c r="G139" s="31">
        <f>_xlfn.XLOOKUP(B139, Rate_Master!$A:$A, Rate_Master!$C:$C, "")</f>
        <v>6209999.9999999991</v>
      </c>
      <c r="H139" s="31">
        <f>_xlfn.XLOOKUP(B139, Rate_Master!$A:$A, Rate_Master!$D:$D, "")</f>
        <v>413999.99999999994</v>
      </c>
      <c r="I139" s="32">
        <f t="shared" ref="I139:I144" si="32">+H139+G139</f>
        <v>6623999.9999999991</v>
      </c>
      <c r="J139" s="32">
        <f t="shared" ref="J139:J144" si="33">I139*E139</f>
        <v>13247999.999999998</v>
      </c>
      <c r="K139" s="32">
        <f t="shared" ref="K139:K144" si="34">I139*F139</f>
        <v>13247999.999999998</v>
      </c>
      <c r="L139" s="32"/>
    </row>
    <row r="140" spans="1:12" s="4" customFormat="1" ht="76.5" customHeight="1" outlineLevel="1">
      <c r="A140" s="27" t="str">
        <f t="shared" si="31"/>
        <v>7A.F4.2</v>
      </c>
      <c r="B140" s="28" t="s">
        <v>130</v>
      </c>
      <c r="C140" s="28" t="s">
        <v>515</v>
      </c>
      <c r="D140" s="29" t="s">
        <v>516</v>
      </c>
      <c r="E140" s="31">
        <v>7</v>
      </c>
      <c r="F140" s="31">
        <v>7</v>
      </c>
      <c r="G140" s="31">
        <f>_xlfn.XLOOKUP(B140, Rate_Master!$A:$A, Rate_Master!$C:$C, "")</f>
        <v>3104999.9999999995</v>
      </c>
      <c r="H140" s="31">
        <f>_xlfn.XLOOKUP(B140, Rate_Master!$A:$A, Rate_Master!$D:$D, "")</f>
        <v>206999.99999999997</v>
      </c>
      <c r="I140" s="32">
        <f t="shared" si="32"/>
        <v>3311999.9999999995</v>
      </c>
      <c r="J140" s="32">
        <f t="shared" si="33"/>
        <v>23183999.999999996</v>
      </c>
      <c r="K140" s="32">
        <f t="shared" si="34"/>
        <v>23183999.999999996</v>
      </c>
      <c r="L140" s="32"/>
    </row>
    <row r="141" spans="1:12" s="4" customFormat="1" ht="76.5" customHeight="1" outlineLevel="1">
      <c r="A141" s="27" t="str">
        <f t="shared" si="31"/>
        <v>7A.F4.3</v>
      </c>
      <c r="B141" s="28" t="s">
        <v>131</v>
      </c>
      <c r="C141" s="28" t="s">
        <v>515</v>
      </c>
      <c r="D141" s="29" t="s">
        <v>516</v>
      </c>
      <c r="E141" s="31">
        <v>92</v>
      </c>
      <c r="F141" s="31">
        <v>92</v>
      </c>
      <c r="G141" s="31">
        <f>_xlfn.XLOOKUP(B141, Rate_Master!$A:$A, Rate_Master!$C:$C, "")</f>
        <v>5037000</v>
      </c>
      <c r="H141" s="31">
        <f>_xlfn.XLOOKUP(B141, Rate_Master!$A:$A, Rate_Master!$D:$D, "")</f>
        <v>206999.99999999997</v>
      </c>
      <c r="I141" s="32">
        <f t="shared" si="32"/>
        <v>5244000</v>
      </c>
      <c r="J141" s="32">
        <f t="shared" si="33"/>
        <v>482448000</v>
      </c>
      <c r="K141" s="32">
        <f t="shared" si="34"/>
        <v>482448000</v>
      </c>
      <c r="L141" s="32"/>
    </row>
    <row r="142" spans="1:12" s="4" customFormat="1" ht="38.25" customHeight="1" outlineLevel="1">
      <c r="A142" s="27" t="str">
        <f t="shared" si="31"/>
        <v>7A.F4.4</v>
      </c>
      <c r="B142" s="28" t="s">
        <v>166</v>
      </c>
      <c r="C142" s="28" t="s">
        <v>515</v>
      </c>
      <c r="D142" s="29" t="s">
        <v>516</v>
      </c>
      <c r="E142" s="31">
        <v>1</v>
      </c>
      <c r="F142" s="31">
        <v>1</v>
      </c>
      <c r="G142" s="31">
        <f>_xlfn.XLOOKUP(B142, Rate_Master!$A:$A, Rate_Master!$C:$C, "")</f>
        <v>5692500</v>
      </c>
      <c r="H142" s="31">
        <f>_xlfn.XLOOKUP(B142, Rate_Master!$A:$A, Rate_Master!$D:$D, "")</f>
        <v>569250</v>
      </c>
      <c r="I142" s="32">
        <f t="shared" si="32"/>
        <v>6261750</v>
      </c>
      <c r="J142" s="32">
        <f t="shared" si="33"/>
        <v>6261750</v>
      </c>
      <c r="K142" s="32">
        <f t="shared" si="34"/>
        <v>6261750</v>
      </c>
      <c r="L142" s="71" t="s">
        <v>559</v>
      </c>
    </row>
    <row r="143" spans="1:12" s="4" customFormat="1" ht="51" customHeight="1" outlineLevel="1">
      <c r="A143" s="27" t="str">
        <f t="shared" si="31"/>
        <v>7A.F4.5</v>
      </c>
      <c r="B143" s="28" t="s">
        <v>139</v>
      </c>
      <c r="C143" s="28" t="s">
        <v>515</v>
      </c>
      <c r="D143" s="29" t="s">
        <v>516</v>
      </c>
      <c r="E143" s="31">
        <v>10</v>
      </c>
      <c r="F143" s="31">
        <v>10</v>
      </c>
      <c r="G143" s="31">
        <f>_xlfn.XLOOKUP(B143, Rate_Master!$A:$A, Rate_Master!$C:$C, "")</f>
        <v>19923750</v>
      </c>
      <c r="H143" s="31">
        <f>_xlfn.XLOOKUP(B143, Rate_Master!$A:$A, Rate_Master!$D:$D, "")</f>
        <v>2716875</v>
      </c>
      <c r="I143" s="32">
        <f t="shared" si="32"/>
        <v>22640625</v>
      </c>
      <c r="J143" s="32">
        <f t="shared" si="33"/>
        <v>226406250</v>
      </c>
      <c r="K143" s="32">
        <f t="shared" si="34"/>
        <v>226406250</v>
      </c>
      <c r="L143" s="32"/>
    </row>
    <row r="144" spans="1:12" s="4" customFormat="1" ht="51" customHeight="1" outlineLevel="1">
      <c r="A144" s="27" t="str">
        <f t="shared" si="31"/>
        <v>7A.F4.6</v>
      </c>
      <c r="B144" s="28" t="s">
        <v>140</v>
      </c>
      <c r="C144" s="28" t="s">
        <v>515</v>
      </c>
      <c r="D144" s="29" t="s">
        <v>516</v>
      </c>
      <c r="E144" s="31">
        <v>4</v>
      </c>
      <c r="F144" s="31">
        <v>4</v>
      </c>
      <c r="G144" s="31">
        <f>_xlfn.XLOOKUP(B144, Rate_Master!$A:$A, Rate_Master!$C:$C, "")</f>
        <v>27168749.999999996</v>
      </c>
      <c r="H144" s="31">
        <f>_xlfn.XLOOKUP(B144, Rate_Master!$A:$A, Rate_Master!$D:$D, "")</f>
        <v>2716875</v>
      </c>
      <c r="I144" s="32">
        <f t="shared" si="32"/>
        <v>29885624.999999996</v>
      </c>
      <c r="J144" s="32">
        <f t="shared" si="33"/>
        <v>119542499.99999999</v>
      </c>
      <c r="K144" s="32">
        <f t="shared" si="34"/>
        <v>119542499.99999999</v>
      </c>
      <c r="L144" s="32"/>
    </row>
    <row r="145" spans="1:12" s="3" customFormat="1" ht="25.5" customHeight="1">
      <c r="A145" s="22" t="str">
        <f>$A$103&amp;5</f>
        <v>7A.F5</v>
      </c>
      <c r="B145" s="23" t="s">
        <v>143</v>
      </c>
      <c r="C145" s="23" t="s">
        <v>515</v>
      </c>
      <c r="D145" s="22"/>
      <c r="E145" s="25"/>
      <c r="F145" s="25"/>
      <c r="G145" s="25">
        <f>_xlfn.XLOOKUP(B145, Rate_Master!$A:$A, Rate_Master!$C:$C, "")</f>
        <v>0</v>
      </c>
      <c r="H145" s="25">
        <f>_xlfn.XLOOKUP(B145, Rate_Master!$A:$A, Rate_Master!$D:$D, "")</f>
        <v>0</v>
      </c>
      <c r="I145" s="26">
        <v>0</v>
      </c>
      <c r="J145" s="26">
        <f>SUBTOTAL(9,J146:J148)</f>
        <v>201757265</v>
      </c>
      <c r="K145" s="26">
        <f>SUBTOTAL(9,K146:K148)</f>
        <v>201757265</v>
      </c>
      <c r="L145" s="26"/>
    </row>
    <row r="146" spans="1:12" s="4" customFormat="1" ht="51" customHeight="1" outlineLevel="1">
      <c r="A146" s="27" t="str">
        <f>$A$145&amp;"."&amp;ROW()-ROW($A$145)</f>
        <v>7A.F5.1</v>
      </c>
      <c r="B146" s="34" t="s">
        <v>144</v>
      </c>
      <c r="C146" s="28" t="s">
        <v>515</v>
      </c>
      <c r="D146" s="29" t="s">
        <v>517</v>
      </c>
      <c r="E146" s="31">
        <v>753.92</v>
      </c>
      <c r="F146" s="31">
        <v>753.92</v>
      </c>
      <c r="G146" s="31">
        <f>_xlfn.XLOOKUP(B146, Rate_Master!$A:$A, Rate_Master!$C:$C, "")</f>
        <v>161000</v>
      </c>
      <c r="H146" s="31">
        <f>_xlfn.XLOOKUP(B146, Rate_Master!$A:$A, Rate_Master!$D:$D, "")</f>
        <v>34500</v>
      </c>
      <c r="I146" s="32">
        <f>+H146+G146</f>
        <v>195500</v>
      </c>
      <c r="J146" s="32">
        <f>I146*E146</f>
        <v>147391360</v>
      </c>
      <c r="K146" s="32">
        <f>I146*F146</f>
        <v>147391360</v>
      </c>
      <c r="L146" s="32"/>
    </row>
    <row r="147" spans="1:12" s="4" customFormat="1" ht="38.25" customHeight="1" outlineLevel="1">
      <c r="A147" s="27" t="str">
        <f>$A$145&amp;"."&amp;ROW()-ROW($A$145)</f>
        <v>7A.F5.2</v>
      </c>
      <c r="B147" s="34" t="s">
        <v>145</v>
      </c>
      <c r="C147" s="28" t="s">
        <v>515</v>
      </c>
      <c r="D147" s="29" t="s">
        <v>517</v>
      </c>
      <c r="E147" s="31">
        <v>42.976999999999997</v>
      </c>
      <c r="F147" s="31">
        <v>42.976999999999997</v>
      </c>
      <c r="G147" s="31">
        <f>_xlfn.XLOOKUP(B147, Rate_Master!$A:$A, Rate_Master!$C:$C, "")</f>
        <v>517499.99999999994</v>
      </c>
      <c r="H147" s="31">
        <f>_xlfn.XLOOKUP(B147, Rate_Master!$A:$A, Rate_Master!$D:$D, "")</f>
        <v>57499.999999999993</v>
      </c>
      <c r="I147" s="32">
        <f>+H147+G147</f>
        <v>574999.99999999988</v>
      </c>
      <c r="J147" s="32">
        <f>I147*E147</f>
        <v>24711774.999999993</v>
      </c>
      <c r="K147" s="32">
        <f>I147*F147</f>
        <v>24711774.999999993</v>
      </c>
      <c r="L147" s="32"/>
    </row>
    <row r="148" spans="1:12" s="4" customFormat="1" ht="38.25" customHeight="1" outlineLevel="1">
      <c r="A148" s="27" t="str">
        <f>$A$145&amp;"."&amp;ROW()-ROW($A$145)</f>
        <v>7A.F5.3</v>
      </c>
      <c r="B148" s="34" t="s">
        <v>146</v>
      </c>
      <c r="C148" s="28" t="s">
        <v>515</v>
      </c>
      <c r="D148" s="29" t="s">
        <v>517</v>
      </c>
      <c r="E148" s="31">
        <v>42.976999999999997</v>
      </c>
      <c r="F148" s="31">
        <v>42.976999999999997</v>
      </c>
      <c r="G148" s="31">
        <f>_xlfn.XLOOKUP(B148, Rate_Master!$A:$A, Rate_Master!$C:$C, "")</f>
        <v>632500</v>
      </c>
      <c r="H148" s="31">
        <f>_xlfn.XLOOKUP(B148, Rate_Master!$A:$A, Rate_Master!$D:$D, "")</f>
        <v>57499.999999999993</v>
      </c>
      <c r="I148" s="32">
        <f>+H148+G148</f>
        <v>690000</v>
      </c>
      <c r="J148" s="32">
        <f>I148*E148</f>
        <v>29654129.999999996</v>
      </c>
      <c r="K148" s="32">
        <f>I148*F148</f>
        <v>29654129.999999996</v>
      </c>
      <c r="L148" s="32"/>
    </row>
    <row r="149" spans="1:12" s="3" customFormat="1" ht="25.5" customHeight="1">
      <c r="A149" s="22" t="str">
        <f>$A$103&amp;6</f>
        <v>7A.F6</v>
      </c>
      <c r="B149" s="23" t="s">
        <v>147</v>
      </c>
      <c r="C149" s="23" t="s">
        <v>515</v>
      </c>
      <c r="D149" s="22"/>
      <c r="E149" s="25"/>
      <c r="F149" s="25"/>
      <c r="G149" s="25">
        <f>_xlfn.XLOOKUP(B149, Rate_Master!$A:$A, Rate_Master!$C:$C, "")</f>
        <v>0</v>
      </c>
      <c r="H149" s="25">
        <f>_xlfn.XLOOKUP(B149, Rate_Master!$A:$A, Rate_Master!$D:$D, "")</f>
        <v>0</v>
      </c>
      <c r="I149" s="26">
        <v>0</v>
      </c>
      <c r="J149" s="26">
        <f>SUBTOTAL(9,J150:J154)</f>
        <v>131062760</v>
      </c>
      <c r="K149" s="26">
        <f>SUBTOTAL(9,K150:K154)</f>
        <v>131062760</v>
      </c>
      <c r="L149" s="26"/>
    </row>
    <row r="150" spans="1:12" s="4" customFormat="1" ht="51" customHeight="1" outlineLevel="1">
      <c r="A150" s="27" t="str">
        <f>$A$149&amp;"."&amp;ROW()-ROW($A$149)</f>
        <v>7A.F6.1</v>
      </c>
      <c r="B150" s="34" t="s">
        <v>148</v>
      </c>
      <c r="C150" s="34" t="s">
        <v>515</v>
      </c>
      <c r="D150" s="29" t="s">
        <v>520</v>
      </c>
      <c r="E150" s="31">
        <v>149.99</v>
      </c>
      <c r="F150" s="31">
        <v>149.99</v>
      </c>
      <c r="G150" s="31">
        <f>_xlfn.XLOOKUP(B150, Rate_Master!$A:$A, Rate_Master!$C:$C, "")</f>
        <v>155000</v>
      </c>
      <c r="H150" s="31">
        <f>_xlfn.XLOOKUP(B150, Rate_Master!$A:$A, Rate_Master!$D:$D, "")</f>
        <v>45000</v>
      </c>
      <c r="I150" s="32">
        <f>+H150+G150</f>
        <v>200000</v>
      </c>
      <c r="J150" s="32">
        <f>I150*E150</f>
        <v>29998000</v>
      </c>
      <c r="K150" s="32">
        <f>I150*F150</f>
        <v>29998000</v>
      </c>
      <c r="L150" s="32"/>
    </row>
    <row r="151" spans="1:12" s="4" customFormat="1" ht="25.5" customHeight="1" outlineLevel="1">
      <c r="A151" s="27" t="str">
        <f>$A$149&amp;"."&amp;ROW()-ROW($A$149)</f>
        <v>7A.F6.2</v>
      </c>
      <c r="B151" s="34" t="s">
        <v>149</v>
      </c>
      <c r="C151" s="34" t="s">
        <v>515</v>
      </c>
      <c r="D151" s="29" t="s">
        <v>520</v>
      </c>
      <c r="E151" s="31">
        <v>107.64</v>
      </c>
      <c r="F151" s="31">
        <v>107.64</v>
      </c>
      <c r="G151" s="31">
        <f>_xlfn.XLOOKUP(B151, Rate_Master!$A:$A, Rate_Master!$C:$C, "")</f>
        <v>310500</v>
      </c>
      <c r="H151" s="31">
        <f>_xlfn.XLOOKUP(B151, Rate_Master!$A:$A, Rate_Master!$D:$D, "")</f>
        <v>34500</v>
      </c>
      <c r="I151" s="32">
        <f>+H151+G151</f>
        <v>345000</v>
      </c>
      <c r="J151" s="32">
        <f>I151*E151</f>
        <v>37135800</v>
      </c>
      <c r="K151" s="32">
        <f>I151*F151</f>
        <v>37135800</v>
      </c>
      <c r="L151" s="32"/>
    </row>
    <row r="152" spans="1:12" s="4" customFormat="1" ht="51" customHeight="1" outlineLevel="1">
      <c r="A152" s="27" t="str">
        <f>$A$149&amp;"."&amp;ROW()-ROW($A$149)</f>
        <v>7A.F6.3</v>
      </c>
      <c r="B152" s="34" t="s">
        <v>150</v>
      </c>
      <c r="C152" s="34" t="s">
        <v>515</v>
      </c>
      <c r="D152" s="29" t="s">
        <v>520</v>
      </c>
      <c r="E152" s="31">
        <v>107.64</v>
      </c>
      <c r="F152" s="31">
        <v>107.64</v>
      </c>
      <c r="G152" s="31">
        <f>_xlfn.XLOOKUP(B152, Rate_Master!$A:$A, Rate_Master!$C:$C, "")</f>
        <v>287500</v>
      </c>
      <c r="H152" s="31">
        <f>_xlfn.XLOOKUP(B152, Rate_Master!$A:$A, Rate_Master!$D:$D, "")</f>
        <v>69000</v>
      </c>
      <c r="I152" s="32">
        <f>+H152+G152</f>
        <v>356500</v>
      </c>
      <c r="J152" s="32">
        <f>I152*E152</f>
        <v>38373660</v>
      </c>
      <c r="K152" s="32">
        <f>I152*F152</f>
        <v>38373660</v>
      </c>
      <c r="L152" s="32"/>
    </row>
    <row r="153" spans="1:12" s="4" customFormat="1" ht="51" customHeight="1" outlineLevel="1">
      <c r="A153" s="27" t="str">
        <f>$A$149&amp;"."&amp;ROW()-ROW($A$149)</f>
        <v>7A.F6.4</v>
      </c>
      <c r="B153" s="34" t="s">
        <v>151</v>
      </c>
      <c r="C153" s="34" t="s">
        <v>515</v>
      </c>
      <c r="D153" s="29" t="s">
        <v>520</v>
      </c>
      <c r="E153" s="31">
        <v>107.64</v>
      </c>
      <c r="F153" s="31">
        <v>107.64</v>
      </c>
      <c r="G153" s="31">
        <f>_xlfn.XLOOKUP(B153, Rate_Master!$A:$A, Rate_Master!$C:$C, "")</f>
        <v>23000</v>
      </c>
      <c r="H153" s="31">
        <f>_xlfn.XLOOKUP(B153, Rate_Master!$A:$A, Rate_Master!$D:$D, "")</f>
        <v>126499.99999999999</v>
      </c>
      <c r="I153" s="32">
        <f>+H153+G153</f>
        <v>149500</v>
      </c>
      <c r="J153" s="32">
        <f>I153*E153</f>
        <v>16092180</v>
      </c>
      <c r="K153" s="32">
        <f>I153*F153</f>
        <v>16092180</v>
      </c>
      <c r="L153" s="32"/>
    </row>
    <row r="154" spans="1:12" s="4" customFormat="1" ht="63.75" customHeight="1" outlineLevel="1">
      <c r="A154" s="27" t="str">
        <f>$A$149&amp;"."&amp;ROW()-ROW($A$149)</f>
        <v>7A.F6.5</v>
      </c>
      <c r="B154" s="34" t="s">
        <v>152</v>
      </c>
      <c r="C154" s="34" t="s">
        <v>560</v>
      </c>
      <c r="D154" s="29" t="s">
        <v>517</v>
      </c>
      <c r="E154" s="31">
        <v>44.48</v>
      </c>
      <c r="F154" s="31">
        <v>44.48</v>
      </c>
      <c r="G154" s="31">
        <f>_xlfn.XLOOKUP(B154, Rate_Master!$A:$A, Rate_Master!$C:$C, "")</f>
        <v>155250</v>
      </c>
      <c r="H154" s="31">
        <f>_xlfn.XLOOKUP(B154, Rate_Master!$A:$A, Rate_Master!$D:$D, "")</f>
        <v>57499.999999999993</v>
      </c>
      <c r="I154" s="32">
        <f>+H154+G154</f>
        <v>212750</v>
      </c>
      <c r="J154" s="32">
        <f>I154*E154</f>
        <v>9463120</v>
      </c>
      <c r="K154" s="32">
        <f>I154*F154</f>
        <v>9463120</v>
      </c>
      <c r="L154" s="32"/>
    </row>
    <row r="155" spans="1:12" s="3" customFormat="1" ht="25.5" customHeight="1">
      <c r="A155" s="22" t="str">
        <f>$A$103&amp;7</f>
        <v>7A.F7</v>
      </c>
      <c r="B155" s="23" t="s">
        <v>84</v>
      </c>
      <c r="C155" s="23" t="s">
        <v>515</v>
      </c>
      <c r="D155" s="22"/>
      <c r="E155" s="25"/>
      <c r="F155" s="25"/>
      <c r="G155" s="25">
        <f>_xlfn.XLOOKUP(B155, Rate_Master!$A:$A, Rate_Master!$C:$C, "")</f>
        <v>0</v>
      </c>
      <c r="H155" s="25">
        <f>_xlfn.XLOOKUP(B155, Rate_Master!$A:$A, Rate_Master!$D:$D, "")</f>
        <v>0</v>
      </c>
      <c r="I155" s="26">
        <v>0</v>
      </c>
      <c r="J155" s="26">
        <f>SUBTOTAL(9,J156:J167)</f>
        <v>66883999.999999993</v>
      </c>
      <c r="K155" s="26">
        <f>SUBTOTAL(9,K156:K167)</f>
        <v>66883999.999999993</v>
      </c>
      <c r="L155" s="26"/>
    </row>
    <row r="156" spans="1:12" s="4" customFormat="1" ht="38.25" customHeight="1" outlineLevel="1">
      <c r="A156" s="27" t="str">
        <f t="shared" ref="A156:A167" si="35">$A$155&amp;"."&amp;ROW()-ROW($A$155)</f>
        <v>7A.F7.1</v>
      </c>
      <c r="B156" s="48" t="s">
        <v>153</v>
      </c>
      <c r="C156" s="34" t="s">
        <v>561</v>
      </c>
      <c r="D156" s="29" t="s">
        <v>517</v>
      </c>
      <c r="E156" s="31">
        <v>3.39</v>
      </c>
      <c r="F156" s="31">
        <v>3.39</v>
      </c>
      <c r="G156" s="31">
        <f>_xlfn.XLOOKUP(B156, Rate_Master!$A:$A, Rate_Master!$C:$C, "")</f>
        <v>4024999.9999999995</v>
      </c>
      <c r="H156" s="31">
        <f>_xlfn.XLOOKUP(B156, Rate_Master!$A:$A, Rate_Master!$D:$D, "")</f>
        <v>1380000</v>
      </c>
      <c r="I156" s="32">
        <f>+H156+G156</f>
        <v>5405000</v>
      </c>
      <c r="J156" s="32">
        <f t="shared" ref="J156:J167" si="36">I156*E156</f>
        <v>18322950</v>
      </c>
      <c r="K156" s="32">
        <f t="shared" ref="K156:K167" si="37">I156*F156</f>
        <v>18322950</v>
      </c>
      <c r="L156" s="32"/>
    </row>
    <row r="157" spans="1:12" s="4" customFormat="1" ht="38.25" customHeight="1" outlineLevel="1">
      <c r="A157" s="27" t="str">
        <f t="shared" si="35"/>
        <v>7A.F7.2</v>
      </c>
      <c r="B157" s="48" t="s">
        <v>167</v>
      </c>
      <c r="C157" s="34"/>
      <c r="D157" s="29" t="s">
        <v>517</v>
      </c>
      <c r="E157" s="31">
        <v>0</v>
      </c>
      <c r="F157" s="31">
        <v>0</v>
      </c>
      <c r="G157" s="31">
        <f>_xlfn.XLOOKUP(B157, Rate_Master!$A:$A, Rate_Master!$C:$C, "")</f>
        <v>0</v>
      </c>
      <c r="H157" s="31">
        <f>_xlfn.XLOOKUP(B157, Rate_Master!$A:$A, Rate_Master!$D:$D, "")</f>
        <v>0</v>
      </c>
      <c r="I157" s="32">
        <v>0</v>
      </c>
      <c r="J157" s="32">
        <f t="shared" si="36"/>
        <v>0</v>
      </c>
      <c r="K157" s="32">
        <f t="shared" si="37"/>
        <v>0</v>
      </c>
      <c r="L157" s="32"/>
    </row>
    <row r="158" spans="1:12" s="4" customFormat="1" ht="38.25" customHeight="1" outlineLevel="1">
      <c r="A158" s="27" t="str">
        <f t="shared" si="35"/>
        <v>7A.F7.3</v>
      </c>
      <c r="B158" s="48" t="s">
        <v>154</v>
      </c>
      <c r="C158" s="28" t="s">
        <v>515</v>
      </c>
      <c r="D158" s="50" t="s">
        <v>517</v>
      </c>
      <c r="E158" s="31">
        <v>3</v>
      </c>
      <c r="F158" s="31">
        <v>3</v>
      </c>
      <c r="G158" s="31">
        <f>_xlfn.XLOOKUP(B158, Rate_Master!$A:$A, Rate_Master!$C:$C, "")</f>
        <v>359375</v>
      </c>
      <c r="H158" s="31">
        <f>_xlfn.XLOOKUP(B158, Rate_Master!$A:$A, Rate_Master!$D:$D, "")</f>
        <v>71875</v>
      </c>
      <c r="I158" s="32">
        <f>+H158+G158</f>
        <v>431250</v>
      </c>
      <c r="J158" s="32">
        <f t="shared" si="36"/>
        <v>1293750</v>
      </c>
      <c r="K158" s="32">
        <f t="shared" si="37"/>
        <v>1293750</v>
      </c>
      <c r="L158" s="32"/>
    </row>
    <row r="159" spans="1:12" s="4" customFormat="1" ht="25.5" customHeight="1" outlineLevel="1">
      <c r="A159" s="27" t="str">
        <f t="shared" si="35"/>
        <v>7A.F7.4</v>
      </c>
      <c r="B159" s="51" t="s">
        <v>155</v>
      </c>
      <c r="C159" s="28" t="s">
        <v>515</v>
      </c>
      <c r="D159" s="50" t="s">
        <v>517</v>
      </c>
      <c r="E159" s="31">
        <v>3.39</v>
      </c>
      <c r="F159" s="31">
        <v>3.39</v>
      </c>
      <c r="G159" s="31">
        <f>_xlfn.XLOOKUP(B159, Rate_Master!$A:$A, Rate_Master!$C:$C, "")</f>
        <v>1954999.9999999998</v>
      </c>
      <c r="H159" s="31">
        <f>_xlfn.XLOOKUP(B159, Rate_Master!$A:$A, Rate_Master!$D:$D, "")</f>
        <v>114999.99999999999</v>
      </c>
      <c r="I159" s="32">
        <f>+H159+G159</f>
        <v>2069999.9999999998</v>
      </c>
      <c r="J159" s="32">
        <f t="shared" si="36"/>
        <v>7017299.9999999991</v>
      </c>
      <c r="K159" s="32">
        <f t="shared" si="37"/>
        <v>7017299.9999999991</v>
      </c>
      <c r="L159" s="32"/>
    </row>
    <row r="160" spans="1:12" s="4" customFormat="1" ht="51" customHeight="1" outlineLevel="1">
      <c r="A160" s="27" t="str">
        <f t="shared" si="35"/>
        <v>7A.F7.5</v>
      </c>
      <c r="B160" s="51" t="s">
        <v>168</v>
      </c>
      <c r="C160" s="28"/>
      <c r="D160" s="50" t="s">
        <v>517</v>
      </c>
      <c r="E160" s="31">
        <v>0</v>
      </c>
      <c r="F160" s="31">
        <v>0</v>
      </c>
      <c r="G160" s="31">
        <f>_xlfn.XLOOKUP(B160, Rate_Master!$A:$A, Rate_Master!$C:$C, "")</f>
        <v>0</v>
      </c>
      <c r="H160" s="31">
        <f>_xlfn.XLOOKUP(B160, Rate_Master!$A:$A, Rate_Master!$D:$D, "")</f>
        <v>0</v>
      </c>
      <c r="I160" s="32">
        <v>0</v>
      </c>
      <c r="J160" s="32">
        <f t="shared" si="36"/>
        <v>0</v>
      </c>
      <c r="K160" s="32">
        <f t="shared" si="37"/>
        <v>0</v>
      </c>
      <c r="L160" s="32"/>
    </row>
    <row r="161" spans="1:12" s="4" customFormat="1" ht="51" customHeight="1" outlineLevel="1">
      <c r="A161" s="27" t="str">
        <f t="shared" si="35"/>
        <v>7A.F7.6</v>
      </c>
      <c r="B161" s="48" t="s">
        <v>156</v>
      </c>
      <c r="C161" s="28" t="s">
        <v>515</v>
      </c>
      <c r="D161" s="54" t="s">
        <v>518</v>
      </c>
      <c r="E161" s="31">
        <v>20</v>
      </c>
      <c r="F161" s="31">
        <v>20</v>
      </c>
      <c r="G161" s="31">
        <f>_xlfn.XLOOKUP(B161, Rate_Master!$A:$A, Rate_Master!$C:$C, "")</f>
        <v>1724999.9999999998</v>
      </c>
      <c r="H161" s="31">
        <f>_xlfn.XLOOKUP(B161, Rate_Master!$A:$A, Rate_Master!$D:$D, "")</f>
        <v>287500</v>
      </c>
      <c r="I161" s="32">
        <f>+H161+G161</f>
        <v>2012499.9999999998</v>
      </c>
      <c r="J161" s="32">
        <f t="shared" si="36"/>
        <v>40249999.999999993</v>
      </c>
      <c r="K161" s="32">
        <f t="shared" si="37"/>
        <v>40249999.999999993</v>
      </c>
      <c r="L161" s="32"/>
    </row>
    <row r="162" spans="1:12" s="4" customFormat="1" ht="25.5" customHeight="1" outlineLevel="1">
      <c r="A162" s="27" t="str">
        <f t="shared" si="35"/>
        <v>7A.F7.7</v>
      </c>
      <c r="B162" s="48" t="s">
        <v>157</v>
      </c>
      <c r="C162" s="28" t="s">
        <v>515</v>
      </c>
      <c r="D162" s="29" t="s">
        <v>517</v>
      </c>
      <c r="E162" s="31">
        <v>0</v>
      </c>
      <c r="F162" s="31">
        <v>0</v>
      </c>
      <c r="G162" s="31">
        <f>_xlfn.XLOOKUP(B162, Rate_Master!$A:$A, Rate_Master!$C:$C, "")</f>
        <v>632500</v>
      </c>
      <c r="H162" s="31">
        <f>_xlfn.XLOOKUP(B162, Rate_Master!$A:$A, Rate_Master!$D:$D, "")</f>
        <v>57499.999999999993</v>
      </c>
      <c r="I162" s="32">
        <v>0</v>
      </c>
      <c r="J162" s="32">
        <f t="shared" si="36"/>
        <v>0</v>
      </c>
      <c r="K162" s="32">
        <f t="shared" si="37"/>
        <v>0</v>
      </c>
      <c r="L162" s="32"/>
    </row>
    <row r="163" spans="1:12" s="4" customFormat="1" ht="25.5" customHeight="1" outlineLevel="1">
      <c r="A163" s="27" t="str">
        <f t="shared" si="35"/>
        <v>7A.F7.8</v>
      </c>
      <c r="B163" s="34" t="s">
        <v>158</v>
      </c>
      <c r="C163" s="56" t="s">
        <v>562</v>
      </c>
      <c r="D163" s="29" t="s">
        <v>516</v>
      </c>
      <c r="E163" s="31">
        <v>0</v>
      </c>
      <c r="F163" s="31">
        <v>0</v>
      </c>
      <c r="G163" s="31">
        <f>_xlfn.XLOOKUP(B163, Rate_Master!$A:$A, Rate_Master!$C:$C, "")</f>
        <v>68400000</v>
      </c>
      <c r="H163" s="31">
        <f>_xlfn.XLOOKUP(B163, Rate_Master!$A:$A, Rate_Master!$D:$D, "")</f>
        <v>26600000</v>
      </c>
      <c r="I163" s="32">
        <v>0</v>
      </c>
      <c r="J163" s="32">
        <f t="shared" si="36"/>
        <v>0</v>
      </c>
      <c r="K163" s="32">
        <f t="shared" si="37"/>
        <v>0</v>
      </c>
      <c r="L163" s="32"/>
    </row>
    <row r="164" spans="1:12" s="4" customFormat="1" ht="25.5" customHeight="1" outlineLevel="1">
      <c r="A164" s="27" t="str">
        <f t="shared" si="35"/>
        <v>7A.F7.9</v>
      </c>
      <c r="B164" s="34" t="s">
        <v>159</v>
      </c>
      <c r="C164" s="28" t="s">
        <v>515</v>
      </c>
      <c r="D164" s="29" t="s">
        <v>516</v>
      </c>
      <c r="E164" s="31">
        <v>0</v>
      </c>
      <c r="F164" s="31">
        <v>0</v>
      </c>
      <c r="G164" s="31">
        <f>_xlfn.XLOOKUP(B164, Rate_Master!$A:$A, Rate_Master!$C:$C, "")</f>
        <v>25200000</v>
      </c>
      <c r="H164" s="31">
        <f>_xlfn.XLOOKUP(B164, Rate_Master!$A:$A, Rate_Master!$D:$D, "")</f>
        <v>9800000.0000000019</v>
      </c>
      <c r="I164" s="32">
        <v>0</v>
      </c>
      <c r="J164" s="32">
        <f t="shared" si="36"/>
        <v>0</v>
      </c>
      <c r="K164" s="32">
        <f t="shared" si="37"/>
        <v>0</v>
      </c>
      <c r="L164" s="32"/>
    </row>
    <row r="165" spans="1:12" s="4" customFormat="1" ht="25.5" customHeight="1" outlineLevel="1">
      <c r="A165" s="27" t="str">
        <f t="shared" si="35"/>
        <v>7A.F7.10</v>
      </c>
      <c r="B165" s="34" t="s">
        <v>160</v>
      </c>
      <c r="C165" s="28" t="s">
        <v>515</v>
      </c>
      <c r="D165" s="29" t="s">
        <v>518</v>
      </c>
      <c r="E165" s="31">
        <v>0</v>
      </c>
      <c r="F165" s="31">
        <v>0</v>
      </c>
      <c r="G165" s="31">
        <f>_xlfn.XLOOKUP(B165, Rate_Master!$A:$A, Rate_Master!$C:$C, "")</f>
        <v>1440000</v>
      </c>
      <c r="H165" s="31">
        <f>_xlfn.XLOOKUP(B165, Rate_Master!$A:$A, Rate_Master!$D:$D, "")</f>
        <v>560000</v>
      </c>
      <c r="I165" s="32">
        <v>0</v>
      </c>
      <c r="J165" s="32">
        <f t="shared" si="36"/>
        <v>0</v>
      </c>
      <c r="K165" s="32">
        <f t="shared" si="37"/>
        <v>0</v>
      </c>
      <c r="L165" s="32"/>
    </row>
    <row r="166" spans="1:12" s="4" customFormat="1" ht="25.5" customHeight="1" outlineLevel="1">
      <c r="A166" s="27" t="str">
        <f t="shared" si="35"/>
        <v>7A.F7.11</v>
      </c>
      <c r="B166" s="48" t="s">
        <v>161</v>
      </c>
      <c r="C166" s="28" t="s">
        <v>515</v>
      </c>
      <c r="D166" s="29" t="s">
        <v>517</v>
      </c>
      <c r="E166" s="31">
        <v>0</v>
      </c>
      <c r="F166" s="31">
        <v>0</v>
      </c>
      <c r="G166" s="31">
        <f>_xlfn.XLOOKUP(B166, Rate_Master!$A:$A, Rate_Master!$C:$C, "")</f>
        <v>149500</v>
      </c>
      <c r="H166" s="31">
        <f>_xlfn.XLOOKUP(B166, Rate_Master!$A:$A, Rate_Master!$D:$D, "")</f>
        <v>34500</v>
      </c>
      <c r="I166" s="32">
        <v>0</v>
      </c>
      <c r="J166" s="32">
        <f t="shared" si="36"/>
        <v>0</v>
      </c>
      <c r="K166" s="32">
        <f t="shared" si="37"/>
        <v>0</v>
      </c>
      <c r="L166" s="32"/>
    </row>
    <row r="167" spans="1:12" s="4" customFormat="1" ht="38.25" customHeight="1" outlineLevel="1">
      <c r="A167" s="27" t="str">
        <f t="shared" si="35"/>
        <v>7A.F7.12</v>
      </c>
      <c r="B167" s="34" t="s">
        <v>162</v>
      </c>
      <c r="C167" s="28" t="s">
        <v>515</v>
      </c>
      <c r="D167" s="29" t="s">
        <v>517</v>
      </c>
      <c r="E167" s="31">
        <v>0</v>
      </c>
      <c r="F167" s="31">
        <v>0</v>
      </c>
      <c r="G167" s="31">
        <f>_xlfn.XLOOKUP(B167, Rate_Master!$A:$A, Rate_Master!$C:$C, "")</f>
        <v>252000</v>
      </c>
      <c r="H167" s="31">
        <f>_xlfn.XLOOKUP(B167, Rate_Master!$A:$A, Rate_Master!$D:$D, "")</f>
        <v>98000</v>
      </c>
      <c r="I167" s="32">
        <v>0</v>
      </c>
      <c r="J167" s="32">
        <f t="shared" si="36"/>
        <v>0</v>
      </c>
      <c r="K167" s="32">
        <f t="shared" si="37"/>
        <v>0</v>
      </c>
      <c r="L167" s="32"/>
    </row>
  </sheetData>
  <mergeCells count="5">
    <mergeCell ref="C5:L5"/>
    <mergeCell ref="C4:L4"/>
    <mergeCell ref="C3:L3"/>
    <mergeCell ref="C7:L7"/>
    <mergeCell ref="C6:L6"/>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pageSetUpPr fitToPage="1"/>
  </sheetPr>
  <dimension ref="A1:P173"/>
  <sheetViews>
    <sheetView topLeftCell="A8" zoomScale="85" zoomScaleNormal="85" workbookViewId="0">
      <pane ySplit="1" topLeftCell="A177" activePane="bottomLeft" state="frozen"/>
      <selection activeCell="A8" sqref="A8"/>
      <selection pane="bottomLeft" activeCell="H52" sqref="H52"/>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6" width="10.125" style="8" bestFit="1" customWidth="1"/>
    <col min="7" max="8" width="14" style="8" customWidth="1" outlineLevel="1"/>
    <col min="9" max="12" width="14" style="9" customWidth="1"/>
    <col min="13" max="13" width="14.75" style="6" bestFit="1" customWidth="1"/>
    <col min="14" max="231" width="9.125" style="6" customWidth="1"/>
    <col min="232" max="232" width="6.375" style="6" customWidth="1"/>
    <col min="233" max="233" width="34.25" style="6" customWidth="1"/>
    <col min="234" max="234" width="7.375" style="6" customWidth="1"/>
    <col min="235" max="235" width="6.375" style="6" customWidth="1"/>
    <col min="236" max="236" width="13.125" style="6" customWidth="1"/>
    <col min="237" max="237" width="15.375" style="6" customWidth="1"/>
    <col min="238" max="238" width="21.25" style="6" customWidth="1"/>
    <col min="239" max="487" width="9.125" style="6" customWidth="1"/>
    <col min="488" max="488" width="6.375" style="6" customWidth="1"/>
    <col min="489" max="489" width="34.25" style="6" customWidth="1"/>
    <col min="490" max="490" width="7.375" style="6" customWidth="1"/>
    <col min="491" max="491" width="6.375" style="6" customWidth="1"/>
    <col min="492" max="492" width="13.125" style="6" customWidth="1"/>
    <col min="493" max="493" width="15.375" style="6" customWidth="1"/>
    <col min="494" max="494" width="21.25" style="6" customWidth="1"/>
    <col min="495" max="743" width="9.125" style="6" customWidth="1"/>
    <col min="744" max="744" width="6.375" style="6" customWidth="1"/>
    <col min="745" max="745" width="34.25" style="6" customWidth="1"/>
    <col min="746" max="746" width="7.375" style="6" customWidth="1"/>
    <col min="747" max="747" width="6.375" style="6" customWidth="1"/>
    <col min="748" max="748" width="13.125" style="6" customWidth="1"/>
    <col min="749" max="749" width="15.375" style="6" customWidth="1"/>
    <col min="750" max="750" width="21.25" style="6" customWidth="1"/>
    <col min="751" max="999" width="9.125" style="6" customWidth="1"/>
    <col min="1000" max="1000" width="6.375" style="6" customWidth="1"/>
    <col min="1001" max="1001" width="34.25" style="6" customWidth="1"/>
    <col min="1002" max="1002" width="7.375" style="6" customWidth="1"/>
    <col min="1003" max="1003" width="6.375" style="6" customWidth="1"/>
    <col min="1004" max="1004" width="13.125" style="6" customWidth="1"/>
    <col min="1005" max="1005" width="15.375" style="6" customWidth="1"/>
    <col min="1006" max="1006" width="21.25" style="6" customWidth="1"/>
    <col min="1007" max="1255" width="9.125" style="6" customWidth="1"/>
    <col min="1256" max="1256" width="6.375" style="6" customWidth="1"/>
    <col min="1257" max="1257" width="34.25" style="6" customWidth="1"/>
    <col min="1258" max="1258" width="7.375" style="6" customWidth="1"/>
    <col min="1259" max="1259" width="6.375" style="6" customWidth="1"/>
    <col min="1260" max="1260" width="13.125" style="6" customWidth="1"/>
    <col min="1261" max="1261" width="15.375" style="6" customWidth="1"/>
    <col min="1262" max="1262" width="21.25" style="6" customWidth="1"/>
    <col min="1263" max="1511" width="9.125" style="6" customWidth="1"/>
    <col min="1512" max="1512" width="6.375" style="6" customWidth="1"/>
    <col min="1513" max="1513" width="34.25" style="6" customWidth="1"/>
    <col min="1514" max="1514" width="7.375" style="6" customWidth="1"/>
    <col min="1515" max="1515" width="6.375" style="6" customWidth="1"/>
    <col min="1516" max="1516" width="13.125" style="6" customWidth="1"/>
    <col min="1517" max="1517" width="15.375" style="6" customWidth="1"/>
    <col min="1518" max="1518" width="21.25" style="6" customWidth="1"/>
    <col min="1519" max="1767" width="9.125" style="6" customWidth="1"/>
    <col min="1768" max="1768" width="6.375" style="6" customWidth="1"/>
    <col min="1769" max="1769" width="34.25" style="6" customWidth="1"/>
    <col min="1770" max="1770" width="7.375" style="6" customWidth="1"/>
    <col min="1771" max="1771" width="6.375" style="6" customWidth="1"/>
    <col min="1772" max="1772" width="13.125" style="6" customWidth="1"/>
    <col min="1773" max="1773" width="15.375" style="6" customWidth="1"/>
    <col min="1774" max="1774" width="21.25" style="6" customWidth="1"/>
    <col min="1775" max="2023" width="9.125" style="6" customWidth="1"/>
    <col min="2024" max="2024" width="6.375" style="6" customWidth="1"/>
    <col min="2025" max="2025" width="34.25" style="6" customWidth="1"/>
    <col min="2026" max="2026" width="7.375" style="6" customWidth="1"/>
    <col min="2027" max="2027" width="6.375" style="6" customWidth="1"/>
    <col min="2028" max="2028" width="13.125" style="6" customWidth="1"/>
    <col min="2029" max="2029" width="15.375" style="6" customWidth="1"/>
    <col min="2030" max="2030" width="21.25" style="6" customWidth="1"/>
    <col min="2031" max="2279" width="9.125" style="6" customWidth="1"/>
    <col min="2280" max="2280" width="6.375" style="6" customWidth="1"/>
    <col min="2281" max="2281" width="34.25" style="6" customWidth="1"/>
    <col min="2282" max="2282" width="7.375" style="6" customWidth="1"/>
    <col min="2283" max="2283" width="6.375" style="6" customWidth="1"/>
    <col min="2284" max="2284" width="13.125" style="6" customWidth="1"/>
    <col min="2285" max="2285" width="15.375" style="6" customWidth="1"/>
    <col min="2286" max="2286" width="21.25" style="6" customWidth="1"/>
    <col min="2287" max="2535" width="9.125" style="6" customWidth="1"/>
    <col min="2536" max="2536" width="6.375" style="6" customWidth="1"/>
    <col min="2537" max="2537" width="34.25" style="6" customWidth="1"/>
    <col min="2538" max="2538" width="7.375" style="6" customWidth="1"/>
    <col min="2539" max="2539" width="6.375" style="6" customWidth="1"/>
    <col min="2540" max="2540" width="13.125" style="6" customWidth="1"/>
    <col min="2541" max="2541" width="15.375" style="6" customWidth="1"/>
    <col min="2542" max="2542" width="21.25" style="6" customWidth="1"/>
    <col min="2543" max="2791" width="9.125" style="6" customWidth="1"/>
    <col min="2792" max="2792" width="6.375" style="6" customWidth="1"/>
    <col min="2793" max="2793" width="34.25" style="6" customWidth="1"/>
    <col min="2794" max="2794" width="7.375" style="6" customWidth="1"/>
    <col min="2795" max="2795" width="6.375" style="6" customWidth="1"/>
    <col min="2796" max="2796" width="13.125" style="6" customWidth="1"/>
    <col min="2797" max="2797" width="15.375" style="6" customWidth="1"/>
    <col min="2798" max="2798" width="21.25" style="6" customWidth="1"/>
    <col min="2799" max="3047" width="9.125" style="6" customWidth="1"/>
    <col min="3048" max="3048" width="6.375" style="6" customWidth="1"/>
    <col min="3049" max="3049" width="34.25" style="6" customWidth="1"/>
    <col min="3050" max="3050" width="7.375" style="6" customWidth="1"/>
    <col min="3051" max="3051" width="6.375" style="6" customWidth="1"/>
    <col min="3052" max="3052" width="13.125" style="6" customWidth="1"/>
    <col min="3053" max="3053" width="15.375" style="6" customWidth="1"/>
    <col min="3054" max="3054" width="21.25" style="6" customWidth="1"/>
    <col min="3055" max="3303" width="9.125" style="6" customWidth="1"/>
    <col min="3304" max="3304" width="6.375" style="6" customWidth="1"/>
    <col min="3305" max="3305" width="34.25" style="6" customWidth="1"/>
    <col min="3306" max="3306" width="7.375" style="6" customWidth="1"/>
    <col min="3307" max="3307" width="6.375" style="6" customWidth="1"/>
    <col min="3308" max="3308" width="13.125" style="6" customWidth="1"/>
    <col min="3309" max="3309" width="15.375" style="6" customWidth="1"/>
    <col min="3310" max="3310" width="21.25" style="6" customWidth="1"/>
    <col min="3311" max="3559" width="9.125" style="6" customWidth="1"/>
    <col min="3560" max="3560" width="6.375" style="6" customWidth="1"/>
    <col min="3561" max="3561" width="34.25" style="6" customWidth="1"/>
    <col min="3562" max="3562" width="7.375" style="6" customWidth="1"/>
    <col min="3563" max="3563" width="6.375" style="6" customWidth="1"/>
    <col min="3564" max="3564" width="13.125" style="6" customWidth="1"/>
    <col min="3565" max="3565" width="15.375" style="6" customWidth="1"/>
    <col min="3566" max="3566" width="21.25" style="6" customWidth="1"/>
    <col min="3567" max="3815" width="9.125" style="6" customWidth="1"/>
    <col min="3816" max="3816" width="6.375" style="6" customWidth="1"/>
    <col min="3817" max="3817" width="34.25" style="6" customWidth="1"/>
    <col min="3818" max="3818" width="7.375" style="6" customWidth="1"/>
    <col min="3819" max="3819" width="6.375" style="6" customWidth="1"/>
    <col min="3820" max="3820" width="13.125" style="6" customWidth="1"/>
    <col min="3821" max="3821" width="15.375" style="6" customWidth="1"/>
    <col min="3822" max="3822" width="21.25" style="6" customWidth="1"/>
    <col min="3823" max="4071" width="9.125" style="6" customWidth="1"/>
    <col min="4072" max="4072" width="6.375" style="6" customWidth="1"/>
    <col min="4073" max="4073" width="34.25" style="6" customWidth="1"/>
    <col min="4074" max="4074" width="7.375" style="6" customWidth="1"/>
    <col min="4075" max="4075" width="6.375" style="6" customWidth="1"/>
    <col min="4076" max="4076" width="13.125" style="6" customWidth="1"/>
    <col min="4077" max="4077" width="15.375" style="6" customWidth="1"/>
    <col min="4078" max="4078" width="21.25" style="6" customWidth="1"/>
    <col min="4079" max="4327" width="9.125" style="6" customWidth="1"/>
    <col min="4328" max="4328" width="6.375" style="6" customWidth="1"/>
    <col min="4329" max="4329" width="34.25" style="6" customWidth="1"/>
    <col min="4330" max="4330" width="7.375" style="6" customWidth="1"/>
    <col min="4331" max="4331" width="6.375" style="6" customWidth="1"/>
    <col min="4332" max="4332" width="13.125" style="6" customWidth="1"/>
    <col min="4333" max="4333" width="15.375" style="6" customWidth="1"/>
    <col min="4334" max="4334" width="21.25" style="6" customWidth="1"/>
    <col min="4335" max="4583" width="9.125" style="6" customWidth="1"/>
    <col min="4584" max="4584" width="6.375" style="6" customWidth="1"/>
    <col min="4585" max="4585" width="34.25" style="6" customWidth="1"/>
    <col min="4586" max="4586" width="7.375" style="6" customWidth="1"/>
    <col min="4587" max="4587" width="6.375" style="6" customWidth="1"/>
    <col min="4588" max="4588" width="13.125" style="6" customWidth="1"/>
    <col min="4589" max="4589" width="15.375" style="6" customWidth="1"/>
    <col min="4590" max="4590" width="21.25" style="6" customWidth="1"/>
    <col min="4591" max="4839" width="9.125" style="6" customWidth="1"/>
    <col min="4840" max="4840" width="6.375" style="6" customWidth="1"/>
    <col min="4841" max="4841" width="34.25" style="6" customWidth="1"/>
    <col min="4842" max="4842" width="7.375" style="6" customWidth="1"/>
    <col min="4843" max="4843" width="6.375" style="6" customWidth="1"/>
    <col min="4844" max="4844" width="13.125" style="6" customWidth="1"/>
    <col min="4845" max="4845" width="15.375" style="6" customWidth="1"/>
    <col min="4846" max="4846" width="21.25" style="6" customWidth="1"/>
    <col min="4847" max="5095" width="9.125" style="6" customWidth="1"/>
    <col min="5096" max="5096" width="6.375" style="6" customWidth="1"/>
    <col min="5097" max="5097" width="34.25" style="6" customWidth="1"/>
    <col min="5098" max="5098" width="7.375" style="6" customWidth="1"/>
    <col min="5099" max="5099" width="6.375" style="6" customWidth="1"/>
    <col min="5100" max="5100" width="13.125" style="6" customWidth="1"/>
    <col min="5101" max="5101" width="15.375" style="6" customWidth="1"/>
    <col min="5102" max="5102" width="21.25" style="6" customWidth="1"/>
    <col min="5103" max="5351" width="9.125" style="6" customWidth="1"/>
    <col min="5352" max="5352" width="6.375" style="6" customWidth="1"/>
    <col min="5353" max="5353" width="34.25" style="6" customWidth="1"/>
    <col min="5354" max="5354" width="7.375" style="6" customWidth="1"/>
    <col min="5355" max="5355" width="6.375" style="6" customWidth="1"/>
    <col min="5356" max="5356" width="13.125" style="6" customWidth="1"/>
    <col min="5357" max="5357" width="15.375" style="6" customWidth="1"/>
    <col min="5358" max="5358" width="21.25" style="6" customWidth="1"/>
    <col min="5359" max="5607" width="9.125" style="6" customWidth="1"/>
    <col min="5608" max="5608" width="6.375" style="6" customWidth="1"/>
    <col min="5609" max="5609" width="34.25" style="6" customWidth="1"/>
    <col min="5610" max="5610" width="7.375" style="6" customWidth="1"/>
    <col min="5611" max="5611" width="6.375" style="6" customWidth="1"/>
    <col min="5612" max="5612" width="13.125" style="6" customWidth="1"/>
    <col min="5613" max="5613" width="15.375" style="6" customWidth="1"/>
    <col min="5614" max="5614" width="21.25" style="6" customWidth="1"/>
    <col min="5615" max="5863" width="9.125" style="6" customWidth="1"/>
    <col min="5864" max="5864" width="6.375" style="6" customWidth="1"/>
    <col min="5865" max="5865" width="34.25" style="6" customWidth="1"/>
    <col min="5866" max="5866" width="7.375" style="6" customWidth="1"/>
    <col min="5867" max="5867" width="6.375" style="6" customWidth="1"/>
    <col min="5868" max="5868" width="13.125" style="6" customWidth="1"/>
    <col min="5869" max="5869" width="15.375" style="6" customWidth="1"/>
    <col min="5870" max="5870" width="21.25" style="6" customWidth="1"/>
    <col min="5871" max="6119" width="9.125" style="6" customWidth="1"/>
    <col min="6120" max="6120" width="6.375" style="6" customWidth="1"/>
    <col min="6121" max="6121" width="34.25" style="6" customWidth="1"/>
    <col min="6122" max="6122" width="7.375" style="6" customWidth="1"/>
    <col min="6123" max="6123" width="6.375" style="6" customWidth="1"/>
    <col min="6124" max="6124" width="13.125" style="6" customWidth="1"/>
    <col min="6125" max="6125" width="15.375" style="6" customWidth="1"/>
    <col min="6126" max="6126" width="21.25" style="6" customWidth="1"/>
    <col min="6127" max="6375" width="9.125" style="6" customWidth="1"/>
    <col min="6376" max="6376" width="6.375" style="6" customWidth="1"/>
    <col min="6377" max="6377" width="34.25" style="6" customWidth="1"/>
    <col min="6378" max="6378" width="7.375" style="6" customWidth="1"/>
    <col min="6379" max="6379" width="6.375" style="6" customWidth="1"/>
    <col min="6380" max="6380" width="13.125" style="6" customWidth="1"/>
    <col min="6381" max="6381" width="15.375" style="6" customWidth="1"/>
    <col min="6382" max="6382" width="21.25" style="6" customWidth="1"/>
    <col min="6383" max="6631" width="9.125" style="6" customWidth="1"/>
    <col min="6632" max="6632" width="6.375" style="6" customWidth="1"/>
    <col min="6633" max="6633" width="34.25" style="6" customWidth="1"/>
    <col min="6634" max="6634" width="7.375" style="6" customWidth="1"/>
    <col min="6635" max="6635" width="6.375" style="6" customWidth="1"/>
    <col min="6636" max="6636" width="13.125" style="6" customWidth="1"/>
    <col min="6637" max="6637" width="15.375" style="6" customWidth="1"/>
    <col min="6638" max="6638" width="21.25" style="6" customWidth="1"/>
    <col min="6639" max="6887" width="9.125" style="6" customWidth="1"/>
    <col min="6888" max="6888" width="6.375" style="6" customWidth="1"/>
    <col min="6889" max="6889" width="34.25" style="6" customWidth="1"/>
    <col min="6890" max="6890" width="7.375" style="6" customWidth="1"/>
    <col min="6891" max="6891" width="6.375" style="6" customWidth="1"/>
    <col min="6892" max="6892" width="13.125" style="6" customWidth="1"/>
    <col min="6893" max="6893" width="15.375" style="6" customWidth="1"/>
    <col min="6894" max="6894" width="21.25" style="6" customWidth="1"/>
    <col min="6895" max="7143" width="9.125" style="6" customWidth="1"/>
    <col min="7144" max="7144" width="6.375" style="6" customWidth="1"/>
    <col min="7145" max="7145" width="34.25" style="6" customWidth="1"/>
    <col min="7146" max="7146" width="7.375" style="6" customWidth="1"/>
    <col min="7147" max="7147" width="6.375" style="6" customWidth="1"/>
    <col min="7148" max="7148" width="13.125" style="6" customWidth="1"/>
    <col min="7149" max="7149" width="15.375" style="6" customWidth="1"/>
    <col min="7150" max="7150" width="21.25" style="6" customWidth="1"/>
    <col min="7151" max="7399" width="9.125" style="6" customWidth="1"/>
    <col min="7400" max="7400" width="6.375" style="6" customWidth="1"/>
    <col min="7401" max="7401" width="34.25" style="6" customWidth="1"/>
    <col min="7402" max="7402" width="7.375" style="6" customWidth="1"/>
    <col min="7403" max="7403" width="6.375" style="6" customWidth="1"/>
    <col min="7404" max="7404" width="13.125" style="6" customWidth="1"/>
    <col min="7405" max="7405" width="15.375" style="6" customWidth="1"/>
    <col min="7406" max="7406" width="21.25" style="6" customWidth="1"/>
    <col min="7407" max="7655" width="9.125" style="6" customWidth="1"/>
    <col min="7656" max="7656" width="6.375" style="6" customWidth="1"/>
    <col min="7657" max="7657" width="34.25" style="6" customWidth="1"/>
    <col min="7658" max="7658" width="7.375" style="6" customWidth="1"/>
    <col min="7659" max="7659" width="6.375" style="6" customWidth="1"/>
    <col min="7660" max="7660" width="13.125" style="6" customWidth="1"/>
    <col min="7661" max="7661" width="15.375" style="6" customWidth="1"/>
    <col min="7662" max="7662" width="21.25" style="6" customWidth="1"/>
    <col min="7663" max="7911" width="9.125" style="6" customWidth="1"/>
    <col min="7912" max="7912" width="6.375" style="6" customWidth="1"/>
    <col min="7913" max="7913" width="34.25" style="6" customWidth="1"/>
    <col min="7914" max="7914" width="7.375" style="6" customWidth="1"/>
    <col min="7915" max="7915" width="6.375" style="6" customWidth="1"/>
    <col min="7916" max="7916" width="13.125" style="6" customWidth="1"/>
    <col min="7917" max="7917" width="15.375" style="6" customWidth="1"/>
    <col min="7918" max="7918" width="21.25" style="6" customWidth="1"/>
    <col min="7919" max="8167" width="9.125" style="6" customWidth="1"/>
    <col min="8168" max="8168" width="6.375" style="6" customWidth="1"/>
    <col min="8169" max="8169" width="34.25" style="6" customWidth="1"/>
    <col min="8170" max="8170" width="7.375" style="6" customWidth="1"/>
    <col min="8171" max="8171" width="6.375" style="6" customWidth="1"/>
    <col min="8172" max="8172" width="13.125" style="6" customWidth="1"/>
    <col min="8173" max="8173" width="15.375" style="6" customWidth="1"/>
    <col min="8174" max="8174" width="21.25" style="6" customWidth="1"/>
    <col min="8175" max="8423" width="9.125" style="6" customWidth="1"/>
    <col min="8424" max="8424" width="6.375" style="6" customWidth="1"/>
    <col min="8425" max="8425" width="34.25" style="6" customWidth="1"/>
    <col min="8426" max="8426" width="7.375" style="6" customWidth="1"/>
    <col min="8427" max="8427" width="6.375" style="6" customWidth="1"/>
    <col min="8428" max="8428" width="13.125" style="6" customWidth="1"/>
    <col min="8429" max="8429" width="15.375" style="6" customWidth="1"/>
    <col min="8430" max="8430" width="21.25" style="6" customWidth="1"/>
    <col min="8431" max="8679" width="9.125" style="6" customWidth="1"/>
    <col min="8680" max="8680" width="6.375" style="6" customWidth="1"/>
    <col min="8681" max="8681" width="34.25" style="6" customWidth="1"/>
    <col min="8682" max="8682" width="7.375" style="6" customWidth="1"/>
    <col min="8683" max="8683" width="6.375" style="6" customWidth="1"/>
    <col min="8684" max="8684" width="13.125" style="6" customWidth="1"/>
    <col min="8685" max="8685" width="15.375" style="6" customWidth="1"/>
    <col min="8686" max="8686" width="21.25" style="6" customWidth="1"/>
    <col min="8687" max="8935" width="9.125" style="6" customWidth="1"/>
    <col min="8936" max="8936" width="6.375" style="6" customWidth="1"/>
    <col min="8937" max="8937" width="34.25" style="6" customWidth="1"/>
    <col min="8938" max="8938" width="7.375" style="6" customWidth="1"/>
    <col min="8939" max="8939" width="6.375" style="6" customWidth="1"/>
    <col min="8940" max="8940" width="13.125" style="6" customWidth="1"/>
    <col min="8941" max="8941" width="15.375" style="6" customWidth="1"/>
    <col min="8942" max="8942" width="21.25" style="6" customWidth="1"/>
    <col min="8943" max="9191" width="9.125" style="6" customWidth="1"/>
    <col min="9192" max="9192" width="6.375" style="6" customWidth="1"/>
    <col min="9193" max="9193" width="34.25" style="6" customWidth="1"/>
    <col min="9194" max="9194" width="7.375" style="6" customWidth="1"/>
    <col min="9195" max="9195" width="6.375" style="6" customWidth="1"/>
    <col min="9196" max="9196" width="13.125" style="6" customWidth="1"/>
    <col min="9197" max="9197" width="15.375" style="6" customWidth="1"/>
    <col min="9198" max="9198" width="21.25" style="6" customWidth="1"/>
    <col min="9199" max="9447" width="9.125" style="6" customWidth="1"/>
    <col min="9448" max="9448" width="6.375" style="6" customWidth="1"/>
    <col min="9449" max="9449" width="34.25" style="6" customWidth="1"/>
    <col min="9450" max="9450" width="7.375" style="6" customWidth="1"/>
    <col min="9451" max="9451" width="6.375" style="6" customWidth="1"/>
    <col min="9452" max="9452" width="13.125" style="6" customWidth="1"/>
    <col min="9453" max="9453" width="15.375" style="6" customWidth="1"/>
    <col min="9454" max="9454" width="21.25" style="6" customWidth="1"/>
    <col min="9455" max="9703" width="9.125" style="6" customWidth="1"/>
    <col min="9704" max="9704" width="6.375" style="6" customWidth="1"/>
    <col min="9705" max="9705" width="34.25" style="6" customWidth="1"/>
    <col min="9706" max="9706" width="7.375" style="6" customWidth="1"/>
    <col min="9707" max="9707" width="6.375" style="6" customWidth="1"/>
    <col min="9708" max="9708" width="13.125" style="6" customWidth="1"/>
    <col min="9709" max="9709" width="15.375" style="6" customWidth="1"/>
    <col min="9710" max="9710" width="21.25" style="6" customWidth="1"/>
    <col min="9711" max="9959" width="9.125" style="6" customWidth="1"/>
    <col min="9960" max="9960" width="6.375" style="6" customWidth="1"/>
    <col min="9961" max="9961" width="34.25" style="6" customWidth="1"/>
    <col min="9962" max="9962" width="7.375" style="6" customWidth="1"/>
    <col min="9963" max="9963" width="6.375" style="6" customWidth="1"/>
    <col min="9964" max="9964" width="13.125" style="6" customWidth="1"/>
    <col min="9965" max="9965" width="15.375" style="6" customWidth="1"/>
    <col min="9966" max="9966" width="21.25" style="6" customWidth="1"/>
    <col min="9967" max="10215" width="9.125" style="6" customWidth="1"/>
    <col min="10216" max="10216" width="6.375" style="6" customWidth="1"/>
    <col min="10217" max="10217" width="34.25" style="6" customWidth="1"/>
    <col min="10218" max="10218" width="7.375" style="6" customWidth="1"/>
    <col min="10219" max="10219" width="6.375" style="6" customWidth="1"/>
    <col min="10220" max="10220" width="13.125" style="6" customWidth="1"/>
    <col min="10221" max="10221" width="15.375" style="6" customWidth="1"/>
    <col min="10222" max="10222" width="21.25" style="6" customWidth="1"/>
    <col min="10223" max="10471" width="9.125" style="6" customWidth="1"/>
    <col min="10472" max="10472" width="6.375" style="6" customWidth="1"/>
    <col min="10473" max="10473" width="34.25" style="6" customWidth="1"/>
    <col min="10474" max="10474" width="7.375" style="6" customWidth="1"/>
    <col min="10475" max="10475" width="6.375" style="6" customWidth="1"/>
    <col min="10476" max="10476" width="13.125" style="6" customWidth="1"/>
    <col min="10477" max="10477" width="15.375" style="6" customWidth="1"/>
    <col min="10478" max="10478" width="21.25" style="6" customWidth="1"/>
    <col min="10479" max="10727" width="9.125" style="6" customWidth="1"/>
    <col min="10728" max="10728" width="6.375" style="6" customWidth="1"/>
    <col min="10729" max="10729" width="34.25" style="6" customWidth="1"/>
    <col min="10730" max="10730" width="7.375" style="6" customWidth="1"/>
    <col min="10731" max="10731" width="6.375" style="6" customWidth="1"/>
    <col min="10732" max="10732" width="13.125" style="6" customWidth="1"/>
    <col min="10733" max="10733" width="15.375" style="6" customWidth="1"/>
    <col min="10734" max="10734" width="21.25" style="6" customWidth="1"/>
    <col min="10735" max="10983" width="9.125" style="6" customWidth="1"/>
    <col min="10984" max="10984" width="6.375" style="6" customWidth="1"/>
    <col min="10985" max="10985" width="34.25" style="6" customWidth="1"/>
    <col min="10986" max="10986" width="7.375" style="6" customWidth="1"/>
    <col min="10987" max="10987" width="6.375" style="6" customWidth="1"/>
    <col min="10988" max="10988" width="13.125" style="6" customWidth="1"/>
    <col min="10989" max="10989" width="15.375" style="6" customWidth="1"/>
    <col min="10990" max="10990" width="21.25" style="6" customWidth="1"/>
    <col min="10991" max="11239" width="9.125" style="6" customWidth="1"/>
    <col min="11240" max="11240" width="6.375" style="6" customWidth="1"/>
    <col min="11241" max="11241" width="34.25" style="6" customWidth="1"/>
    <col min="11242" max="11242" width="7.375" style="6" customWidth="1"/>
    <col min="11243" max="11243" width="6.375" style="6" customWidth="1"/>
    <col min="11244" max="11244" width="13.125" style="6" customWidth="1"/>
    <col min="11245" max="11245" width="15.375" style="6" customWidth="1"/>
    <col min="11246" max="11246" width="21.25" style="6" customWidth="1"/>
    <col min="11247" max="11495" width="9.125" style="6" customWidth="1"/>
    <col min="11496" max="11496" width="6.375" style="6" customWidth="1"/>
    <col min="11497" max="11497" width="34.25" style="6" customWidth="1"/>
    <col min="11498" max="11498" width="7.375" style="6" customWidth="1"/>
    <col min="11499" max="11499" width="6.375" style="6" customWidth="1"/>
    <col min="11500" max="11500" width="13.125" style="6" customWidth="1"/>
    <col min="11501" max="11501" width="15.375" style="6" customWidth="1"/>
    <col min="11502" max="11502" width="21.25" style="6" customWidth="1"/>
    <col min="11503" max="11751" width="9.125" style="6" customWidth="1"/>
    <col min="11752" max="11752" width="6.375" style="6" customWidth="1"/>
    <col min="11753" max="11753" width="34.25" style="6" customWidth="1"/>
    <col min="11754" max="11754" width="7.375" style="6" customWidth="1"/>
    <col min="11755" max="11755" width="6.375" style="6" customWidth="1"/>
    <col min="11756" max="11756" width="13.125" style="6" customWidth="1"/>
    <col min="11757" max="11757" width="15.375" style="6" customWidth="1"/>
    <col min="11758" max="11758" width="21.25" style="6" customWidth="1"/>
    <col min="11759" max="12007" width="9.125" style="6" customWidth="1"/>
    <col min="12008" max="12008" width="6.375" style="6" customWidth="1"/>
    <col min="12009" max="12009" width="34.25" style="6" customWidth="1"/>
    <col min="12010" max="12010" width="7.375" style="6" customWidth="1"/>
    <col min="12011" max="12011" width="6.375" style="6" customWidth="1"/>
    <col min="12012" max="12012" width="13.125" style="6" customWidth="1"/>
    <col min="12013" max="12013" width="15.375" style="6" customWidth="1"/>
    <col min="12014" max="12014" width="21.25" style="6" customWidth="1"/>
    <col min="12015" max="12263" width="9.125" style="6" customWidth="1"/>
    <col min="12264" max="12264" width="6.375" style="6" customWidth="1"/>
    <col min="12265" max="12265" width="34.25" style="6" customWidth="1"/>
    <col min="12266" max="12266" width="7.375" style="6" customWidth="1"/>
    <col min="12267" max="12267" width="6.375" style="6" customWidth="1"/>
    <col min="12268" max="12268" width="13.125" style="6" customWidth="1"/>
    <col min="12269" max="12269" width="15.375" style="6" customWidth="1"/>
    <col min="12270" max="12270" width="21.25" style="6" customWidth="1"/>
    <col min="12271" max="12519" width="9.125" style="6" customWidth="1"/>
    <col min="12520" max="12520" width="6.375" style="6" customWidth="1"/>
    <col min="12521" max="12521" width="34.25" style="6" customWidth="1"/>
    <col min="12522" max="12522" width="7.375" style="6" customWidth="1"/>
    <col min="12523" max="12523" width="6.375" style="6" customWidth="1"/>
    <col min="12524" max="12524" width="13.125" style="6" customWidth="1"/>
    <col min="12525" max="12525" width="15.375" style="6" customWidth="1"/>
    <col min="12526" max="12526" width="21.25" style="6" customWidth="1"/>
    <col min="12527" max="12775" width="9.125" style="6" customWidth="1"/>
    <col min="12776" max="12776" width="6.375" style="6" customWidth="1"/>
    <col min="12777" max="12777" width="34.25" style="6" customWidth="1"/>
    <col min="12778" max="12778" width="7.375" style="6" customWidth="1"/>
    <col min="12779" max="12779" width="6.375" style="6" customWidth="1"/>
    <col min="12780" max="12780" width="13.125" style="6" customWidth="1"/>
    <col min="12781" max="12781" width="15.375" style="6" customWidth="1"/>
    <col min="12782" max="12782" width="21.25" style="6" customWidth="1"/>
    <col min="12783" max="13031" width="9.125" style="6" customWidth="1"/>
    <col min="13032" max="13032" width="6.375" style="6" customWidth="1"/>
    <col min="13033" max="13033" width="34.25" style="6" customWidth="1"/>
    <col min="13034" max="13034" width="7.375" style="6" customWidth="1"/>
    <col min="13035" max="13035" width="6.375" style="6" customWidth="1"/>
    <col min="13036" max="13036" width="13.125" style="6" customWidth="1"/>
    <col min="13037" max="13037" width="15.375" style="6" customWidth="1"/>
    <col min="13038" max="13038" width="21.25" style="6" customWidth="1"/>
    <col min="13039" max="13287" width="9.125" style="6" customWidth="1"/>
    <col min="13288" max="13288" width="6.375" style="6" customWidth="1"/>
    <col min="13289" max="13289" width="34.25" style="6" customWidth="1"/>
    <col min="13290" max="13290" width="7.375" style="6" customWidth="1"/>
    <col min="13291" max="13291" width="6.375" style="6" customWidth="1"/>
    <col min="13292" max="13292" width="13.125" style="6" customWidth="1"/>
    <col min="13293" max="13293" width="15.375" style="6" customWidth="1"/>
    <col min="13294" max="13294" width="21.25" style="6" customWidth="1"/>
    <col min="13295" max="13543" width="9.125" style="6" customWidth="1"/>
    <col min="13544" max="13544" width="6.375" style="6" customWidth="1"/>
    <col min="13545" max="13545" width="34.25" style="6" customWidth="1"/>
    <col min="13546" max="13546" width="7.375" style="6" customWidth="1"/>
    <col min="13547" max="13547" width="6.375" style="6" customWidth="1"/>
    <col min="13548" max="13548" width="13.125" style="6" customWidth="1"/>
    <col min="13549" max="13549" width="15.375" style="6" customWidth="1"/>
    <col min="13550" max="13550" width="21.25" style="6" customWidth="1"/>
    <col min="13551" max="13799" width="9.125" style="6" customWidth="1"/>
    <col min="13800" max="13800" width="6.375" style="6" customWidth="1"/>
    <col min="13801" max="13801" width="34.25" style="6" customWidth="1"/>
    <col min="13802" max="13802" width="7.375" style="6" customWidth="1"/>
    <col min="13803" max="13803" width="6.375" style="6" customWidth="1"/>
    <col min="13804" max="13804" width="13.125" style="6" customWidth="1"/>
    <col min="13805" max="13805" width="15.375" style="6" customWidth="1"/>
    <col min="13806" max="13806" width="21.25" style="6" customWidth="1"/>
    <col min="13807" max="14055" width="9.125" style="6" customWidth="1"/>
    <col min="14056" max="14056" width="6.375" style="6" customWidth="1"/>
    <col min="14057" max="14057" width="34.25" style="6" customWidth="1"/>
    <col min="14058" max="14058" width="7.375" style="6" customWidth="1"/>
    <col min="14059" max="14059" width="6.375" style="6" customWidth="1"/>
    <col min="14060" max="14060" width="13.125" style="6" customWidth="1"/>
    <col min="14061" max="14061" width="15.375" style="6" customWidth="1"/>
    <col min="14062" max="14062" width="21.25" style="6" customWidth="1"/>
    <col min="14063" max="14311" width="9.125" style="6" customWidth="1"/>
    <col min="14312" max="14312" width="6.375" style="6" customWidth="1"/>
    <col min="14313" max="14313" width="34.25" style="6" customWidth="1"/>
    <col min="14314" max="14314" width="7.375" style="6" customWidth="1"/>
    <col min="14315" max="14315" width="6.375" style="6" customWidth="1"/>
    <col min="14316" max="14316" width="13.125" style="6" customWidth="1"/>
    <col min="14317" max="14317" width="15.375" style="6" customWidth="1"/>
    <col min="14318" max="14318" width="21.25" style="6" customWidth="1"/>
    <col min="14319" max="14567" width="9.125" style="6" customWidth="1"/>
    <col min="14568" max="14568" width="6.375" style="6" customWidth="1"/>
    <col min="14569" max="14569" width="34.25" style="6" customWidth="1"/>
    <col min="14570" max="14570" width="7.375" style="6" customWidth="1"/>
    <col min="14571" max="14571" width="6.375" style="6" customWidth="1"/>
    <col min="14572" max="14572" width="13.125" style="6" customWidth="1"/>
    <col min="14573" max="14573" width="15.375" style="6" customWidth="1"/>
    <col min="14574" max="14574" width="21.25" style="6" customWidth="1"/>
    <col min="14575" max="14823" width="9.125" style="6" customWidth="1"/>
    <col min="14824" max="14824" width="6.375" style="6" customWidth="1"/>
    <col min="14825" max="14825" width="34.25" style="6" customWidth="1"/>
    <col min="14826" max="14826" width="7.375" style="6" customWidth="1"/>
    <col min="14827" max="14827" width="6.375" style="6" customWidth="1"/>
    <col min="14828" max="14828" width="13.125" style="6" customWidth="1"/>
    <col min="14829" max="14829" width="15.375" style="6" customWidth="1"/>
    <col min="14830" max="14830" width="21.25" style="6" customWidth="1"/>
    <col min="14831" max="15079" width="9.125" style="6" customWidth="1"/>
    <col min="15080" max="15080" width="6.375" style="6" customWidth="1"/>
    <col min="15081" max="15081" width="34.25" style="6" customWidth="1"/>
    <col min="15082" max="15082" width="7.375" style="6" customWidth="1"/>
    <col min="15083" max="15083" width="6.375" style="6" customWidth="1"/>
    <col min="15084" max="15084" width="13.125" style="6" customWidth="1"/>
    <col min="15085" max="15085" width="15.375" style="6" customWidth="1"/>
    <col min="15086" max="15086" width="21.25" style="6" customWidth="1"/>
    <col min="15087" max="15335" width="9.125" style="6" customWidth="1"/>
    <col min="15336" max="15336" width="6.375" style="6" customWidth="1"/>
    <col min="15337" max="15337" width="34.25" style="6" customWidth="1"/>
    <col min="15338" max="15338" width="7.375" style="6" customWidth="1"/>
    <col min="15339" max="15339" width="6.375" style="6" customWidth="1"/>
    <col min="15340" max="15340" width="13.125" style="6" customWidth="1"/>
    <col min="15341" max="15341" width="15.375" style="6" customWidth="1"/>
    <col min="15342" max="15342" width="21.25" style="6" customWidth="1"/>
    <col min="15343" max="15591" width="9.125" style="6" customWidth="1"/>
    <col min="15592" max="15592" width="6.375" style="6" customWidth="1"/>
    <col min="15593" max="15593" width="34.25" style="6" customWidth="1"/>
    <col min="15594" max="15594" width="7.375" style="6" customWidth="1"/>
    <col min="15595" max="15595" width="6.375" style="6" customWidth="1"/>
    <col min="15596" max="15596" width="13.125" style="6" customWidth="1"/>
    <col min="15597" max="15597" width="15.375" style="6" customWidth="1"/>
    <col min="15598" max="15598" width="21.25" style="6" customWidth="1"/>
    <col min="15599" max="15847" width="9.125" style="6" customWidth="1"/>
    <col min="15848" max="15848" width="6.375" style="6" customWidth="1"/>
    <col min="15849" max="15849" width="34.25" style="6" customWidth="1"/>
    <col min="15850" max="15850" width="7.375" style="6" customWidth="1"/>
    <col min="15851" max="15851" width="6.375" style="6" customWidth="1"/>
    <col min="15852" max="15852" width="13.125" style="6" customWidth="1"/>
    <col min="15853" max="15853" width="15.375" style="6" customWidth="1"/>
    <col min="15854" max="15854" width="21.25" style="6" customWidth="1"/>
    <col min="15855" max="16103" width="9.125" style="6" customWidth="1"/>
    <col min="16104" max="16104" width="6.375" style="6" customWidth="1"/>
    <col min="16105" max="16105" width="34.25" style="6" customWidth="1"/>
    <col min="16106" max="16106" width="7.375" style="6" customWidth="1"/>
    <col min="16107" max="16107" width="6.375" style="6" customWidth="1"/>
    <col min="16108" max="16108" width="13.125" style="6" customWidth="1"/>
    <col min="16109" max="16109" width="15.375" style="6" customWidth="1"/>
    <col min="16110" max="16110" width="21.25" style="6" customWidth="1"/>
    <col min="16111" max="16384" width="9.125" style="6" customWidth="1"/>
  </cols>
  <sheetData>
    <row r="1" spans="1:13" ht="48" customHeight="1">
      <c r="F1" s="85"/>
    </row>
    <row r="2" spans="1:13" s="1" customFormat="1" ht="51" customHeight="1">
      <c r="A2" s="10" t="s">
        <v>507</v>
      </c>
      <c r="B2" s="11"/>
      <c r="C2" s="12"/>
      <c r="D2" s="11"/>
      <c r="E2" s="14"/>
      <c r="F2" s="86"/>
      <c r="G2" s="14"/>
      <c r="H2" s="14"/>
      <c r="I2" s="15"/>
      <c r="J2" s="15"/>
      <c r="K2" s="15"/>
      <c r="L2" s="15"/>
    </row>
    <row r="3" spans="1:13" ht="26.25" customHeight="1">
      <c r="A3" s="16"/>
      <c r="B3" s="17" t="s">
        <v>440</v>
      </c>
      <c r="C3" s="213"/>
      <c r="D3" s="217"/>
      <c r="E3" s="214"/>
      <c r="F3" s="214"/>
      <c r="G3" s="214"/>
      <c r="H3" s="214"/>
      <c r="I3" s="220"/>
      <c r="J3" s="220"/>
      <c r="K3" s="220"/>
      <c r="L3" s="220"/>
    </row>
    <row r="4" spans="1:13" ht="26.25" customHeight="1">
      <c r="A4" s="18"/>
      <c r="B4" s="5" t="s">
        <v>441</v>
      </c>
      <c r="C4" s="222"/>
      <c r="D4" s="217"/>
      <c r="E4" s="214"/>
      <c r="F4" s="214"/>
      <c r="G4" s="214"/>
      <c r="H4" s="214"/>
      <c r="I4" s="220"/>
      <c r="J4" s="220"/>
      <c r="K4" s="220"/>
      <c r="L4" s="220"/>
    </row>
    <row r="5" spans="1:13" ht="26.25" customHeight="1">
      <c r="A5" s="18"/>
      <c r="B5" s="5" t="s">
        <v>442</v>
      </c>
      <c r="C5" s="216"/>
      <c r="D5" s="217"/>
      <c r="E5" s="214"/>
      <c r="F5" s="214"/>
      <c r="G5" s="214"/>
      <c r="H5" s="214"/>
      <c r="I5" s="220"/>
      <c r="J5" s="220"/>
      <c r="K5" s="220"/>
      <c r="L5" s="220"/>
    </row>
    <row r="6" spans="1:13" ht="26.25" customHeight="1">
      <c r="A6" s="18"/>
      <c r="B6" s="5" t="s">
        <v>443</v>
      </c>
      <c r="C6" s="213" t="str">
        <f>INDEX(總表!$B$9:$B$47,MATCH('8A'!A9,總表!$A$9:$A$48,0))</f>
        <v>Nhà kho 3
三號倉庫</v>
      </c>
      <c r="D6" s="217"/>
      <c r="E6" s="214"/>
      <c r="F6" s="214"/>
      <c r="G6" s="214"/>
      <c r="H6" s="214"/>
      <c r="I6" s="220"/>
      <c r="J6" s="220"/>
      <c r="K6" s="220"/>
      <c r="L6" s="220"/>
    </row>
    <row r="7" spans="1:13" ht="26.25" customHeight="1">
      <c r="A7" s="18"/>
      <c r="B7" s="5" t="s">
        <v>444</v>
      </c>
      <c r="C7" s="223" t="s">
        <v>445</v>
      </c>
      <c r="D7" s="224"/>
      <c r="E7" s="224"/>
      <c r="F7" s="224"/>
      <c r="G7" s="224"/>
      <c r="H7" s="224"/>
      <c r="I7" s="224"/>
      <c r="J7" s="224"/>
      <c r="K7" s="224"/>
      <c r="L7" s="224"/>
    </row>
    <row r="8" spans="1:13" s="2" customFormat="1" ht="41.25" customHeight="1">
      <c r="A8" s="19" t="s">
        <v>446</v>
      </c>
      <c r="B8" s="19" t="s">
        <v>508</v>
      </c>
      <c r="C8" s="19" t="s">
        <v>509</v>
      </c>
      <c r="D8" s="19" t="s">
        <v>448</v>
      </c>
      <c r="E8" s="19" t="s">
        <v>449</v>
      </c>
      <c r="F8" s="84" t="s">
        <v>510</v>
      </c>
      <c r="G8" s="19" t="s">
        <v>511</v>
      </c>
      <c r="H8" s="19" t="s">
        <v>512</v>
      </c>
      <c r="I8" s="21" t="s">
        <v>450</v>
      </c>
      <c r="J8" s="21" t="s">
        <v>452</v>
      </c>
      <c r="K8" s="84" t="s">
        <v>513</v>
      </c>
      <c r="L8" s="21" t="s">
        <v>514</v>
      </c>
    </row>
    <row r="9" spans="1:13" s="3" customFormat="1" ht="25.5" customHeight="1">
      <c r="A9" s="22" t="s">
        <v>465</v>
      </c>
      <c r="B9" s="23" t="str">
        <f>C6</f>
        <v>Nhà kho 3
三號倉庫</v>
      </c>
      <c r="C9" s="23" t="s">
        <v>515</v>
      </c>
      <c r="D9" s="22"/>
      <c r="E9" s="25"/>
      <c r="F9" s="87"/>
      <c r="G9" s="25">
        <f>_xlfn.XLOOKUP(B9, Rate_Master!$A:$A, Rate_Master!$C:$C, "")</f>
        <v>0</v>
      </c>
      <c r="H9" s="25">
        <f>_xlfn.XLOOKUP(B9, Rate_Master!$A:$A, Rate_Master!$D:$D, "")</f>
        <v>0</v>
      </c>
      <c r="I9" s="26"/>
      <c r="J9" s="26">
        <f>SUBTOTAL(9,J10:J174)</f>
        <v>75544945444.270844</v>
      </c>
      <c r="K9" s="26">
        <f>SUBTOTAL(9,K10:K174)</f>
        <v>76319241943.360397</v>
      </c>
      <c r="L9" s="26"/>
      <c r="M9" s="103"/>
    </row>
    <row r="10" spans="1:13" s="3" customFormat="1" ht="25.5" customHeight="1">
      <c r="A10" s="22" t="str">
        <f>$A$9&amp;".C"</f>
        <v>8A.C</v>
      </c>
      <c r="B10" s="23" t="s">
        <v>1</v>
      </c>
      <c r="C10" s="23" t="s">
        <v>515</v>
      </c>
      <c r="D10" s="22"/>
      <c r="E10" s="25"/>
      <c r="F10" s="87"/>
      <c r="G10" s="25">
        <f>_xlfn.XLOOKUP(B10, Rate_Master!$A:$A, Rate_Master!$C:$C, "")</f>
        <v>0</v>
      </c>
      <c r="H10" s="25">
        <f>_xlfn.XLOOKUP(B10, Rate_Master!$A:$A, Rate_Master!$D:$D, "")</f>
        <v>0</v>
      </c>
      <c r="I10" s="26"/>
      <c r="J10" s="26"/>
      <c r="K10" s="26"/>
      <c r="L10" s="26"/>
    </row>
    <row r="11" spans="1:13" s="3" customFormat="1" ht="25.5" customHeight="1">
      <c r="A11" s="22" t="str">
        <f>$A$10&amp;1</f>
        <v>8A.C1</v>
      </c>
      <c r="B11" s="23" t="s">
        <v>2</v>
      </c>
      <c r="C11" s="23" t="s">
        <v>515</v>
      </c>
      <c r="D11" s="22"/>
      <c r="E11" s="25"/>
      <c r="F11" s="87"/>
      <c r="G11" s="25">
        <f>_xlfn.XLOOKUP(B11, Rate_Master!$A:$A, Rate_Master!$C:$C, "")</f>
        <v>0</v>
      </c>
      <c r="H11" s="25">
        <f>_xlfn.XLOOKUP(B11, Rate_Master!$A:$A, Rate_Master!$D:$D, "")</f>
        <v>0</v>
      </c>
      <c r="I11" s="26"/>
      <c r="J11" s="26">
        <f>SUBTOTAL(9,J12:J22)</f>
        <v>12490628399.999998</v>
      </c>
      <c r="K11" s="26">
        <f>SUBTOTAL(9,K12:K22)</f>
        <v>12490628399.999998</v>
      </c>
      <c r="L11" s="26"/>
    </row>
    <row r="12" spans="1:13" s="4" customFormat="1" ht="25.5" customHeight="1" outlineLevel="1">
      <c r="A12" s="27" t="str">
        <f t="shared" ref="A12:A22" si="0">$A$11&amp;"."&amp;ROW()-ROW($A$11)</f>
        <v>8A.C1.1</v>
      </c>
      <c r="B12" s="28" t="s">
        <v>3</v>
      </c>
      <c r="C12" s="28" t="s">
        <v>515</v>
      </c>
      <c r="D12" s="29" t="s">
        <v>516</v>
      </c>
      <c r="E12" s="31">
        <v>1</v>
      </c>
      <c r="F12" s="31">
        <v>1</v>
      </c>
      <c r="G12" s="31">
        <f>_xlfn.XLOOKUP(B12, Rate_Master!$A:$A, Rate_Master!$C:$C, "")</f>
        <v>0</v>
      </c>
      <c r="H12" s="31">
        <f>_xlfn.XLOOKUP(B12, Rate_Master!$A:$A, Rate_Master!$D:$D, "")</f>
        <v>114999999.99999999</v>
      </c>
      <c r="I12" s="66">
        <f t="shared" ref="I12:I22" si="1">+H12+G12</f>
        <v>114999999.99999999</v>
      </c>
      <c r="J12" s="32">
        <f t="shared" ref="J12:J22" si="2">I12*E12</f>
        <v>114999999.99999999</v>
      </c>
      <c r="K12" s="32">
        <f t="shared" ref="K12:K22" si="3">I12*F12</f>
        <v>114999999.99999999</v>
      </c>
      <c r="L12" s="32"/>
    </row>
    <row r="13" spans="1:13" s="4" customFormat="1" ht="25.5" customHeight="1" outlineLevel="1">
      <c r="A13" s="27" t="str">
        <f t="shared" si="0"/>
        <v>8A.C1.2</v>
      </c>
      <c r="B13" s="28" t="s">
        <v>4</v>
      </c>
      <c r="C13" s="28" t="s">
        <v>515</v>
      </c>
      <c r="D13" s="29" t="s">
        <v>517</v>
      </c>
      <c r="E13" s="31">
        <v>240</v>
      </c>
      <c r="F13" s="31">
        <v>240</v>
      </c>
      <c r="G13" s="31">
        <f>_xlfn.XLOOKUP(B13, Rate_Master!$A:$A, Rate_Master!$C:$C, "")</f>
        <v>425499.99999999994</v>
      </c>
      <c r="H13" s="31">
        <f>_xlfn.XLOOKUP(B13, Rate_Master!$A:$A, Rate_Master!$D:$D, "")</f>
        <v>0</v>
      </c>
      <c r="I13" s="66">
        <f t="shared" si="1"/>
        <v>425499.99999999994</v>
      </c>
      <c r="J13" s="32">
        <f t="shared" si="2"/>
        <v>102119999.99999999</v>
      </c>
      <c r="K13" s="32">
        <f t="shared" si="3"/>
        <v>102119999.99999999</v>
      </c>
      <c r="L13" s="32"/>
    </row>
    <row r="14" spans="1:13" s="4" customFormat="1" ht="25.5" customHeight="1" outlineLevel="1">
      <c r="A14" s="27" t="str">
        <f t="shared" si="0"/>
        <v>8A.C1.3</v>
      </c>
      <c r="B14" s="28" t="s">
        <v>5</v>
      </c>
      <c r="C14" s="28" t="s">
        <v>515</v>
      </c>
      <c r="D14" s="29" t="s">
        <v>517</v>
      </c>
      <c r="E14" s="31">
        <v>220</v>
      </c>
      <c r="F14" s="31">
        <v>220</v>
      </c>
      <c r="G14" s="31">
        <f>_xlfn.XLOOKUP(B14, Rate_Master!$A:$A, Rate_Master!$C:$C, "")</f>
        <v>0</v>
      </c>
      <c r="H14" s="31">
        <f>_xlfn.XLOOKUP(B14, Rate_Master!$A:$A, Rate_Master!$D:$D, "")</f>
        <v>69000</v>
      </c>
      <c r="I14" s="66">
        <f t="shared" si="1"/>
        <v>69000</v>
      </c>
      <c r="J14" s="32">
        <f t="shared" si="2"/>
        <v>15180000</v>
      </c>
      <c r="K14" s="32">
        <f t="shared" si="3"/>
        <v>15180000</v>
      </c>
      <c r="L14" s="32"/>
    </row>
    <row r="15" spans="1:13" s="4" customFormat="1" ht="25.5" customHeight="1" outlineLevel="1">
      <c r="A15" s="27" t="str">
        <f t="shared" si="0"/>
        <v>8A.C1.4</v>
      </c>
      <c r="B15" s="28" t="s">
        <v>6</v>
      </c>
      <c r="C15" s="28" t="s">
        <v>515</v>
      </c>
      <c r="D15" s="29" t="s">
        <v>517</v>
      </c>
      <c r="E15" s="31">
        <v>230</v>
      </c>
      <c r="F15" s="31">
        <v>230</v>
      </c>
      <c r="G15" s="31">
        <f>_xlfn.XLOOKUP(B15, Rate_Master!$A:$A, Rate_Master!$C:$C, "")</f>
        <v>0</v>
      </c>
      <c r="H15" s="31">
        <f>_xlfn.XLOOKUP(B15, Rate_Master!$A:$A, Rate_Master!$D:$D, "")</f>
        <v>57499.999999999993</v>
      </c>
      <c r="I15" s="66">
        <f t="shared" si="1"/>
        <v>57499.999999999993</v>
      </c>
      <c r="J15" s="32">
        <f t="shared" si="2"/>
        <v>13224999.999999998</v>
      </c>
      <c r="K15" s="32">
        <f t="shared" si="3"/>
        <v>13224999.999999998</v>
      </c>
      <c r="L15" s="32"/>
    </row>
    <row r="16" spans="1:13" s="4" customFormat="1" ht="102" customHeight="1" outlineLevel="1">
      <c r="A16" s="27" t="str">
        <f t="shared" si="0"/>
        <v>8A.C1.5</v>
      </c>
      <c r="B16" s="28" t="s">
        <v>7</v>
      </c>
      <c r="C16" s="28" t="s">
        <v>515</v>
      </c>
      <c r="D16" s="29" t="s">
        <v>518</v>
      </c>
      <c r="E16" s="31">
        <v>10</v>
      </c>
      <c r="F16" s="31">
        <v>10</v>
      </c>
      <c r="G16" s="31">
        <f>_xlfn.XLOOKUP(B16, Rate_Master!$A:$A, Rate_Master!$C:$C, "")</f>
        <v>0</v>
      </c>
      <c r="H16" s="31">
        <f>_xlfn.XLOOKUP(B16, Rate_Master!$A:$A, Rate_Master!$D:$D, "")</f>
        <v>13799999.999999998</v>
      </c>
      <c r="I16" s="66">
        <f t="shared" si="1"/>
        <v>13799999.999999998</v>
      </c>
      <c r="J16" s="32">
        <f t="shared" si="2"/>
        <v>137999999.99999997</v>
      </c>
      <c r="K16" s="32">
        <f t="shared" si="3"/>
        <v>137999999.99999997</v>
      </c>
      <c r="L16" s="32"/>
    </row>
    <row r="17" spans="1:12" s="4" customFormat="1" ht="25.5" customHeight="1" outlineLevel="1">
      <c r="A17" s="27" t="str">
        <f t="shared" si="0"/>
        <v>8A.C1.6</v>
      </c>
      <c r="B17" s="28" t="s">
        <v>8</v>
      </c>
      <c r="C17" s="28" t="s">
        <v>515</v>
      </c>
      <c r="D17" s="29" t="s">
        <v>518</v>
      </c>
      <c r="E17" s="31">
        <v>198</v>
      </c>
      <c r="F17" s="31">
        <v>198</v>
      </c>
      <c r="G17" s="31">
        <f>_xlfn.XLOOKUP(B17, Rate_Master!$A:$A, Rate_Master!$C:$C, "")</f>
        <v>0</v>
      </c>
      <c r="H17" s="31">
        <f>_xlfn.XLOOKUP(B17, Rate_Master!$A:$A, Rate_Master!$D:$D, "")</f>
        <v>252999.99999999997</v>
      </c>
      <c r="I17" s="66">
        <f t="shared" si="1"/>
        <v>252999.99999999997</v>
      </c>
      <c r="J17" s="32">
        <f t="shared" si="2"/>
        <v>50093999.999999993</v>
      </c>
      <c r="K17" s="32">
        <f t="shared" si="3"/>
        <v>50093999.999999993</v>
      </c>
      <c r="L17" s="32"/>
    </row>
    <row r="18" spans="1:12" s="4" customFormat="1" ht="25.5" customHeight="1" outlineLevel="1">
      <c r="A18" s="27" t="str">
        <f t="shared" si="0"/>
        <v>8A.C1.7</v>
      </c>
      <c r="B18" s="28" t="s">
        <v>9</v>
      </c>
      <c r="C18" s="28" t="s">
        <v>515</v>
      </c>
      <c r="D18" s="29" t="s">
        <v>517</v>
      </c>
      <c r="E18" s="31">
        <v>21472</v>
      </c>
      <c r="F18" s="31">
        <v>21472</v>
      </c>
      <c r="G18" s="31">
        <f>_xlfn.XLOOKUP(B18, Rate_Master!$A:$A, Rate_Master!$C:$C, "")</f>
        <v>402499.99999999994</v>
      </c>
      <c r="H18" s="31">
        <f>_xlfn.XLOOKUP(B18, Rate_Master!$A:$A, Rate_Master!$D:$D, "")</f>
        <v>0</v>
      </c>
      <c r="I18" s="66">
        <f t="shared" si="1"/>
        <v>402499.99999999994</v>
      </c>
      <c r="J18" s="32">
        <f t="shared" si="2"/>
        <v>8642479999.9999981</v>
      </c>
      <c r="K18" s="32">
        <f t="shared" si="3"/>
        <v>8642479999.9999981</v>
      </c>
      <c r="L18" s="32"/>
    </row>
    <row r="19" spans="1:12" s="4" customFormat="1" ht="25.5" customHeight="1" outlineLevel="1">
      <c r="A19" s="27" t="str">
        <f t="shared" si="0"/>
        <v>8A.C1.8</v>
      </c>
      <c r="B19" s="28" t="s">
        <v>10</v>
      </c>
      <c r="C19" s="28" t="s">
        <v>515</v>
      </c>
      <c r="D19" s="29" t="s">
        <v>518</v>
      </c>
      <c r="E19" s="31">
        <v>986</v>
      </c>
      <c r="F19" s="31">
        <v>986</v>
      </c>
      <c r="G19" s="31">
        <f>_xlfn.XLOOKUP(B19, Rate_Master!$A:$A, Rate_Master!$C:$C, "")</f>
        <v>80500</v>
      </c>
      <c r="H19" s="31">
        <f>_xlfn.XLOOKUP(B19, Rate_Master!$A:$A, Rate_Master!$D:$D, "")</f>
        <v>0</v>
      </c>
      <c r="I19" s="66">
        <f t="shared" si="1"/>
        <v>80500</v>
      </c>
      <c r="J19" s="32">
        <f t="shared" si="2"/>
        <v>79373000</v>
      </c>
      <c r="K19" s="32">
        <f t="shared" si="3"/>
        <v>79373000</v>
      </c>
      <c r="L19" s="32"/>
    </row>
    <row r="20" spans="1:12" s="4" customFormat="1" ht="25.5" customHeight="1" outlineLevel="1">
      <c r="A20" s="27" t="str">
        <f t="shared" si="0"/>
        <v>8A.C1.9</v>
      </c>
      <c r="B20" s="28" t="s">
        <v>11</v>
      </c>
      <c r="C20" s="28" t="s">
        <v>515</v>
      </c>
      <c r="D20" s="29" t="s">
        <v>517</v>
      </c>
      <c r="E20" s="31">
        <v>20901.599999999999</v>
      </c>
      <c r="F20" s="31">
        <v>20901.599999999999</v>
      </c>
      <c r="G20" s="31">
        <f>_xlfn.XLOOKUP(B20, Rate_Master!$A:$A, Rate_Master!$C:$C, "")</f>
        <v>0</v>
      </c>
      <c r="H20" s="31">
        <f>_xlfn.XLOOKUP(B20, Rate_Master!$A:$A, Rate_Master!$D:$D, "")</f>
        <v>69000</v>
      </c>
      <c r="I20" s="66">
        <f t="shared" si="1"/>
        <v>69000</v>
      </c>
      <c r="J20" s="32">
        <f t="shared" si="2"/>
        <v>1442210400</v>
      </c>
      <c r="K20" s="32">
        <f t="shared" si="3"/>
        <v>1442210400</v>
      </c>
      <c r="L20" s="32"/>
    </row>
    <row r="21" spans="1:12" s="4" customFormat="1" ht="25.5" customHeight="1" outlineLevel="1">
      <c r="A21" s="27" t="str">
        <f t="shared" si="0"/>
        <v>8A.C1.10</v>
      </c>
      <c r="B21" s="28" t="s">
        <v>12</v>
      </c>
      <c r="C21" s="28" t="s">
        <v>515</v>
      </c>
      <c r="D21" s="29" t="s">
        <v>517</v>
      </c>
      <c r="E21" s="31">
        <v>21877.599999999999</v>
      </c>
      <c r="F21" s="31">
        <v>21877.599999999999</v>
      </c>
      <c r="G21" s="31">
        <f>_xlfn.XLOOKUP(B21, Rate_Master!$A:$A, Rate_Master!$C:$C, "")</f>
        <v>0</v>
      </c>
      <c r="H21" s="31">
        <f>_xlfn.XLOOKUP(B21, Rate_Master!$A:$A, Rate_Master!$D:$D, "")</f>
        <v>57499.999999999993</v>
      </c>
      <c r="I21" s="66">
        <f t="shared" si="1"/>
        <v>57499.999999999993</v>
      </c>
      <c r="J21" s="32">
        <f t="shared" si="2"/>
        <v>1257961999.9999998</v>
      </c>
      <c r="K21" s="32">
        <f t="shared" si="3"/>
        <v>1257961999.9999998</v>
      </c>
      <c r="L21" s="32"/>
    </row>
    <row r="22" spans="1:12" s="4" customFormat="1" ht="63.75" customHeight="1" outlineLevel="1">
      <c r="A22" s="27" t="str">
        <f t="shared" si="0"/>
        <v>8A.C1.11</v>
      </c>
      <c r="B22" s="28" t="s">
        <v>13</v>
      </c>
      <c r="C22" s="28" t="s">
        <v>515</v>
      </c>
      <c r="D22" s="29" t="s">
        <v>518</v>
      </c>
      <c r="E22" s="31">
        <v>986</v>
      </c>
      <c r="F22" s="31">
        <v>986</v>
      </c>
      <c r="G22" s="31">
        <f>_xlfn.XLOOKUP(B22, Rate_Master!$A:$A, Rate_Master!$C:$C, "")</f>
        <v>482999.99999999994</v>
      </c>
      <c r="H22" s="31">
        <f>_xlfn.XLOOKUP(B22, Rate_Master!$A:$A, Rate_Master!$D:$D, "")</f>
        <v>161000</v>
      </c>
      <c r="I22" s="66">
        <f t="shared" si="1"/>
        <v>644000</v>
      </c>
      <c r="J22" s="32">
        <f t="shared" si="2"/>
        <v>634984000</v>
      </c>
      <c r="K22" s="32">
        <f t="shared" si="3"/>
        <v>634984000</v>
      </c>
      <c r="L22" s="32"/>
    </row>
    <row r="23" spans="1:12" s="3" customFormat="1" ht="25.5" customHeight="1">
      <c r="A23" s="22" t="str">
        <f>$A$10&amp;2</f>
        <v>8A.C2</v>
      </c>
      <c r="B23" s="23" t="s">
        <v>14</v>
      </c>
      <c r="C23" s="23" t="s">
        <v>515</v>
      </c>
      <c r="D23" s="22"/>
      <c r="E23" s="25"/>
      <c r="F23" s="25"/>
      <c r="G23" s="25">
        <f>_xlfn.XLOOKUP(B23, Rate_Master!$A:$A, Rate_Master!$C:$C, "")</f>
        <v>0</v>
      </c>
      <c r="H23" s="25">
        <f>_xlfn.XLOOKUP(B23, Rate_Master!$A:$A, Rate_Master!$D:$D, "")</f>
        <v>0</v>
      </c>
      <c r="I23" s="26"/>
      <c r="J23" s="26">
        <f>SUBTOTAL(9,J24:J31)</f>
        <v>3281125385.3499999</v>
      </c>
      <c r="K23" s="26">
        <f>SUBTOTAL(9,K24:K31)</f>
        <v>3281125385.3499999</v>
      </c>
      <c r="L23" s="26"/>
    </row>
    <row r="24" spans="1:12" s="4" customFormat="1" ht="25.5" customHeight="1" outlineLevel="1">
      <c r="A24" s="27" t="str">
        <f t="shared" ref="A24:A31" si="4">$A$23&amp;"."&amp;ROW()-ROW($A$23)</f>
        <v>8A.C2.1</v>
      </c>
      <c r="B24" s="28" t="s">
        <v>15</v>
      </c>
      <c r="C24" s="28" t="s">
        <v>515</v>
      </c>
      <c r="D24" s="29" t="s">
        <v>519</v>
      </c>
      <c r="E24" s="31">
        <v>4833.5550000000003</v>
      </c>
      <c r="F24" s="31">
        <v>4833.5550000000003</v>
      </c>
      <c r="G24" s="31">
        <f>_xlfn.XLOOKUP(B24, Rate_Master!$A:$A, Rate_Master!$C:$C, "")</f>
        <v>0</v>
      </c>
      <c r="H24" s="31">
        <f>_xlfn.XLOOKUP(B24, Rate_Master!$A:$A, Rate_Master!$D:$D, "")</f>
        <v>32199.999999999996</v>
      </c>
      <c r="I24" s="66">
        <f t="shared" ref="I24:I31" si="5">+H24+G24</f>
        <v>32199.999999999996</v>
      </c>
      <c r="J24" s="32">
        <f t="shared" ref="J24:J31" si="6">I24*E24</f>
        <v>155640471</v>
      </c>
      <c r="K24" s="32">
        <f t="shared" ref="K24:K31" si="7">I24*F24</f>
        <v>155640471</v>
      </c>
      <c r="L24" s="32"/>
    </row>
    <row r="25" spans="1:12" s="4" customFormat="1" ht="25.5" customHeight="1" outlineLevel="1">
      <c r="A25" s="27" t="str">
        <f t="shared" si="4"/>
        <v>8A.C2.2</v>
      </c>
      <c r="B25" s="28" t="s">
        <v>16</v>
      </c>
      <c r="C25" s="28" t="s">
        <v>515</v>
      </c>
      <c r="D25" s="29" t="s">
        <v>520</v>
      </c>
      <c r="E25" s="31">
        <v>3360.4479999999999</v>
      </c>
      <c r="F25" s="31">
        <v>3360.4479999999999</v>
      </c>
      <c r="G25" s="31">
        <f>_xlfn.XLOOKUP(B25, Rate_Master!$A:$A, Rate_Master!$C:$C, "")</f>
        <v>0</v>
      </c>
      <c r="H25" s="31">
        <f>_xlfn.XLOOKUP(B25, Rate_Master!$A:$A, Rate_Master!$D:$D, "")</f>
        <v>17250</v>
      </c>
      <c r="I25" s="66">
        <f t="shared" si="5"/>
        <v>17250</v>
      </c>
      <c r="J25" s="32">
        <f t="shared" si="6"/>
        <v>57967728</v>
      </c>
      <c r="K25" s="32">
        <f t="shared" si="7"/>
        <v>57967728</v>
      </c>
      <c r="L25" s="32"/>
    </row>
    <row r="26" spans="1:12" s="4" customFormat="1" ht="25.5" customHeight="1" outlineLevel="1">
      <c r="A26" s="27" t="str">
        <f t="shared" si="4"/>
        <v>8A.C2.3</v>
      </c>
      <c r="B26" s="28" t="s">
        <v>17</v>
      </c>
      <c r="C26" s="28" t="s">
        <v>515</v>
      </c>
      <c r="D26" s="29" t="s">
        <v>519</v>
      </c>
      <c r="E26" s="31">
        <v>3535.9090000000001</v>
      </c>
      <c r="F26" s="31">
        <v>3535.9090000000001</v>
      </c>
      <c r="G26" s="31">
        <f>_xlfn.XLOOKUP(B26, Rate_Master!$A:$A, Rate_Master!$C:$C, "")</f>
        <v>0</v>
      </c>
      <c r="H26" s="31">
        <f>_xlfn.XLOOKUP(B26, Rate_Master!$A:$A, Rate_Master!$D:$D, "")</f>
        <v>37950</v>
      </c>
      <c r="I26" s="66">
        <f t="shared" si="5"/>
        <v>37950</v>
      </c>
      <c r="J26" s="32">
        <f t="shared" si="6"/>
        <v>134187746.55</v>
      </c>
      <c r="K26" s="32">
        <f t="shared" si="7"/>
        <v>134187746.55</v>
      </c>
      <c r="L26" s="32"/>
    </row>
    <row r="27" spans="1:12" s="4" customFormat="1" ht="25.5" customHeight="1" outlineLevel="1">
      <c r="A27" s="27" t="str">
        <f t="shared" si="4"/>
        <v>8A.C2.4</v>
      </c>
      <c r="B27" s="34" t="s">
        <v>18</v>
      </c>
      <c r="C27" s="34" t="s">
        <v>521</v>
      </c>
      <c r="D27" s="29" t="s">
        <v>519</v>
      </c>
      <c r="E27" s="31">
        <v>1297.643</v>
      </c>
      <c r="F27" s="31">
        <v>1297.643</v>
      </c>
      <c r="G27" s="31">
        <f>_xlfn.XLOOKUP(B27, Rate_Master!$A:$A, Rate_Master!$C:$C, "")</f>
        <v>0</v>
      </c>
      <c r="H27" s="31">
        <f>_xlfn.XLOOKUP(B27, Rate_Master!$A:$A, Rate_Master!$D:$D, "")</f>
        <v>32199.999999999996</v>
      </c>
      <c r="I27" s="66">
        <f t="shared" si="5"/>
        <v>32199.999999999996</v>
      </c>
      <c r="J27" s="32">
        <f t="shared" si="6"/>
        <v>41784104.599999994</v>
      </c>
      <c r="K27" s="32">
        <f t="shared" si="7"/>
        <v>41784104.599999994</v>
      </c>
      <c r="L27" s="32"/>
    </row>
    <row r="28" spans="1:12" s="4" customFormat="1" ht="25.5" customHeight="1" outlineLevel="1">
      <c r="A28" s="27" t="str">
        <f t="shared" si="4"/>
        <v>8A.C2.5</v>
      </c>
      <c r="B28" s="28" t="s">
        <v>19</v>
      </c>
      <c r="C28" s="28" t="s">
        <v>515</v>
      </c>
      <c r="D28" s="29" t="s">
        <v>520</v>
      </c>
      <c r="E28" s="31">
        <v>3360.4479999999999</v>
      </c>
      <c r="F28" s="31">
        <v>3360.4479999999999</v>
      </c>
      <c r="G28" s="31">
        <f>_xlfn.XLOOKUP(B28, Rate_Master!$A:$A, Rate_Master!$C:$C, "")</f>
        <v>6899.9999999999991</v>
      </c>
      <c r="H28" s="31">
        <f>_xlfn.XLOOKUP(B28, Rate_Master!$A:$A, Rate_Master!$D:$D, "")</f>
        <v>1724.9999999999998</v>
      </c>
      <c r="I28" s="66">
        <f t="shared" si="5"/>
        <v>8624.9999999999982</v>
      </c>
      <c r="J28" s="32">
        <f t="shared" si="6"/>
        <v>28983863.999999993</v>
      </c>
      <c r="K28" s="32">
        <f t="shared" si="7"/>
        <v>28983863.999999993</v>
      </c>
      <c r="L28" s="32"/>
    </row>
    <row r="29" spans="1:12" s="4" customFormat="1" ht="38.25" customHeight="1" outlineLevel="1">
      <c r="A29" s="27" t="str">
        <f t="shared" si="4"/>
        <v>8A.C2.6</v>
      </c>
      <c r="B29" s="28" t="s">
        <v>20</v>
      </c>
      <c r="C29" s="28" t="s">
        <v>515</v>
      </c>
      <c r="D29" s="29" t="s">
        <v>520</v>
      </c>
      <c r="E29" s="31">
        <v>10581.388000000001</v>
      </c>
      <c r="F29" s="31">
        <v>10581.388000000001</v>
      </c>
      <c r="G29" s="31">
        <f>_xlfn.XLOOKUP(B29, Rate_Master!$A:$A, Rate_Master!$C:$C, "")</f>
        <v>34500</v>
      </c>
      <c r="H29" s="31">
        <f>_xlfn.XLOOKUP(B29, Rate_Master!$A:$A, Rate_Master!$D:$D, "")</f>
        <v>5750</v>
      </c>
      <c r="I29" s="66">
        <f t="shared" si="5"/>
        <v>40250</v>
      </c>
      <c r="J29" s="32">
        <f t="shared" si="6"/>
        <v>425900867.00000006</v>
      </c>
      <c r="K29" s="32">
        <f t="shared" si="7"/>
        <v>425900867.00000006</v>
      </c>
      <c r="L29" s="32"/>
    </row>
    <row r="30" spans="1:12" s="4" customFormat="1" ht="25.5" customHeight="1" outlineLevel="1">
      <c r="A30" s="27" t="str">
        <f t="shared" si="4"/>
        <v>8A.C2.7</v>
      </c>
      <c r="B30" s="34" t="s">
        <v>21</v>
      </c>
      <c r="C30" s="28" t="s">
        <v>515</v>
      </c>
      <c r="D30" s="29" t="s">
        <v>520</v>
      </c>
      <c r="E30" s="31">
        <v>10581.388000000001</v>
      </c>
      <c r="F30" s="31">
        <v>10581.388000000001</v>
      </c>
      <c r="G30" s="31">
        <f>_xlfn.XLOOKUP(B30, Rate_Master!$A:$A, Rate_Master!$C:$C, "")</f>
        <v>0</v>
      </c>
      <c r="H30" s="31">
        <f>_xlfn.XLOOKUP(B30, Rate_Master!$A:$A, Rate_Master!$D:$D, "")</f>
        <v>13799.999999999998</v>
      </c>
      <c r="I30" s="32">
        <f t="shared" si="5"/>
        <v>13799.999999999998</v>
      </c>
      <c r="J30" s="32">
        <f t="shared" si="6"/>
        <v>146023154.40000001</v>
      </c>
      <c r="K30" s="32">
        <f t="shared" si="7"/>
        <v>146023154.40000001</v>
      </c>
      <c r="L30" s="32"/>
    </row>
    <row r="31" spans="1:12" s="4" customFormat="1" ht="25.5" customHeight="1" outlineLevel="1">
      <c r="A31" s="27" t="str">
        <f t="shared" si="4"/>
        <v>8A.C2.8</v>
      </c>
      <c r="B31" s="28" t="s">
        <v>22</v>
      </c>
      <c r="C31" s="28" t="s">
        <v>515</v>
      </c>
      <c r="D31" s="29" t="s">
        <v>519</v>
      </c>
      <c r="E31" s="31">
        <v>3719.6239999999998</v>
      </c>
      <c r="F31" s="31">
        <v>3719.6239999999998</v>
      </c>
      <c r="G31" s="31">
        <f>_xlfn.XLOOKUP(B31, Rate_Master!$A:$A, Rate_Master!$C:$C, "")</f>
        <v>512325</v>
      </c>
      <c r="H31" s="31">
        <f>_xlfn.XLOOKUP(B31, Rate_Master!$A:$A, Rate_Master!$D:$D, "")</f>
        <v>103499.99999999999</v>
      </c>
      <c r="I31" s="66">
        <f t="shared" si="5"/>
        <v>615825</v>
      </c>
      <c r="J31" s="32">
        <f t="shared" si="6"/>
        <v>2290637449.7999997</v>
      </c>
      <c r="K31" s="32">
        <f t="shared" si="7"/>
        <v>2290637449.7999997</v>
      </c>
      <c r="L31" s="32"/>
    </row>
    <row r="32" spans="1:12" s="3" customFormat="1" ht="25.5" customHeight="1">
      <c r="A32" s="22" t="str">
        <f>$A$10&amp;3</f>
        <v>8A.C3</v>
      </c>
      <c r="B32" s="23" t="s">
        <v>23</v>
      </c>
      <c r="C32" s="23" t="s">
        <v>515</v>
      </c>
      <c r="D32" s="22"/>
      <c r="E32" s="25"/>
      <c r="F32" s="25"/>
      <c r="G32" s="25">
        <f>_xlfn.XLOOKUP(B32, Rate_Master!$A:$A, Rate_Master!$C:$C, "")</f>
        <v>0</v>
      </c>
      <c r="H32" s="25">
        <f>_xlfn.XLOOKUP(B32, Rate_Master!$A:$A, Rate_Master!$D:$D, "")</f>
        <v>0</v>
      </c>
      <c r="I32" s="26"/>
      <c r="J32" s="26">
        <f>SUBTOTAL(9,J33:J39)</f>
        <v>10048498454.737499</v>
      </c>
      <c r="K32" s="26">
        <f>SUBTOTAL(9,K33:K39)</f>
        <v>10048498454.737499</v>
      </c>
      <c r="L32" s="26"/>
    </row>
    <row r="33" spans="1:12" s="4" customFormat="1" ht="25.5" customHeight="1" outlineLevel="1">
      <c r="A33" s="27" t="str">
        <f t="shared" ref="A33:A39" si="8">$A$32&amp;"."&amp;ROW()-ROW($A$32)</f>
        <v>8A.C3.1</v>
      </c>
      <c r="B33" s="28" t="s">
        <v>24</v>
      </c>
      <c r="C33" s="28" t="s">
        <v>515</v>
      </c>
      <c r="D33" s="29" t="s">
        <v>519</v>
      </c>
      <c r="E33" s="31">
        <v>338.41899999999998</v>
      </c>
      <c r="F33" s="31">
        <v>338.41899999999998</v>
      </c>
      <c r="G33" s="30">
        <f>_xlfn.XLOOKUP(B33, Rate_Master!$A:$A, Rate_Master!$C:$C, "")</f>
        <v>1249762.5</v>
      </c>
      <c r="H33" s="30">
        <f>_xlfn.XLOOKUP(B33, Rate_Master!$A:$A, Rate_Master!$D:$D, "")</f>
        <v>206999.99999999997</v>
      </c>
      <c r="I33" s="66">
        <f t="shared" ref="I33:I39" si="9">+H33+G33</f>
        <v>1456762.5</v>
      </c>
      <c r="J33" s="32">
        <f t="shared" ref="J33:J39" si="10">I33*E33</f>
        <v>492996108.48749995</v>
      </c>
      <c r="K33" s="32">
        <f t="shared" ref="K33:K39" si="11">I33*F33</f>
        <v>492996108.48749995</v>
      </c>
      <c r="L33" s="32"/>
    </row>
    <row r="34" spans="1:12" s="4" customFormat="1" ht="51" customHeight="1" outlineLevel="1">
      <c r="A34" s="27" t="str">
        <f t="shared" si="8"/>
        <v>8A.C3.2</v>
      </c>
      <c r="B34" s="28" t="s">
        <v>25</v>
      </c>
      <c r="C34" s="28" t="s">
        <v>515</v>
      </c>
      <c r="D34" s="29" t="s">
        <v>519</v>
      </c>
      <c r="E34" s="31">
        <v>5241.4880000000003</v>
      </c>
      <c r="F34" s="31">
        <v>5241.4880000000003</v>
      </c>
      <c r="G34" s="30">
        <f>_xlfn.XLOOKUP(B34, Rate_Master!$A:$A, Rate_Master!$C:$C, "")</f>
        <v>1607444.4444444443</v>
      </c>
      <c r="H34" s="30">
        <f>_xlfn.XLOOKUP(B34, Rate_Master!$A:$A, Rate_Master!$D:$D, "")</f>
        <v>149500</v>
      </c>
      <c r="I34" s="66">
        <f t="shared" si="9"/>
        <v>1756944.4444444443</v>
      </c>
      <c r="J34" s="32">
        <f t="shared" si="10"/>
        <v>9209003222.2222214</v>
      </c>
      <c r="K34" s="32">
        <f t="shared" si="11"/>
        <v>9209003222.2222214</v>
      </c>
      <c r="L34" s="32"/>
    </row>
    <row r="35" spans="1:12" s="4" customFormat="1" ht="25.5" customHeight="1" outlineLevel="1">
      <c r="A35" s="27" t="str">
        <f t="shared" si="8"/>
        <v>8A.C3.3</v>
      </c>
      <c r="B35" s="28" t="s">
        <v>26</v>
      </c>
      <c r="C35" s="28" t="s">
        <v>515</v>
      </c>
      <c r="D35" s="29" t="s">
        <v>519</v>
      </c>
      <c r="E35" s="31">
        <v>74.03</v>
      </c>
      <c r="F35" s="31">
        <v>74.03</v>
      </c>
      <c r="G35" s="30">
        <f>_xlfn.XLOOKUP(B35, Rate_Master!$A:$A, Rate_Master!$C:$C, "")</f>
        <v>1520555.5555555553</v>
      </c>
      <c r="H35" s="30">
        <f>_xlfn.XLOOKUP(B35, Rate_Master!$A:$A, Rate_Master!$D:$D, "")</f>
        <v>252999.99999999997</v>
      </c>
      <c r="I35" s="66">
        <f t="shared" si="9"/>
        <v>1773555.5555555553</v>
      </c>
      <c r="J35" s="32">
        <f t="shared" si="10"/>
        <v>131296317.77777776</v>
      </c>
      <c r="K35" s="32">
        <f t="shared" si="11"/>
        <v>131296317.77777776</v>
      </c>
      <c r="L35" s="32"/>
    </row>
    <row r="36" spans="1:12" s="4" customFormat="1" ht="25.5" customHeight="1" outlineLevel="1">
      <c r="A36" s="27" t="str">
        <f t="shared" si="8"/>
        <v>8A.C3.4</v>
      </c>
      <c r="B36" s="28" t="s">
        <v>27</v>
      </c>
      <c r="C36" s="28" t="s">
        <v>515</v>
      </c>
      <c r="D36" s="29" t="s">
        <v>519</v>
      </c>
      <c r="E36" s="31">
        <v>49.052</v>
      </c>
      <c r="F36" s="31">
        <v>49.052</v>
      </c>
      <c r="G36" s="30">
        <f>_xlfn.XLOOKUP(B36, Rate_Master!$A:$A, Rate_Master!$C:$C, "")</f>
        <v>1520555.5555555553</v>
      </c>
      <c r="H36" s="30">
        <f>_xlfn.XLOOKUP(B36, Rate_Master!$A:$A, Rate_Master!$D:$D, "")</f>
        <v>149500</v>
      </c>
      <c r="I36" s="66">
        <f t="shared" si="9"/>
        <v>1670055.5555555553</v>
      </c>
      <c r="J36" s="32">
        <f t="shared" si="10"/>
        <v>81919565.11111109</v>
      </c>
      <c r="K36" s="32">
        <f t="shared" si="11"/>
        <v>81919565.11111109</v>
      </c>
      <c r="L36" s="32"/>
    </row>
    <row r="37" spans="1:12" s="4" customFormat="1" ht="25.5" customHeight="1" outlineLevel="1">
      <c r="A37" s="27" t="str">
        <f t="shared" si="8"/>
        <v>8A.C3.5</v>
      </c>
      <c r="B37" s="28" t="s">
        <v>28</v>
      </c>
      <c r="C37" s="28" t="s">
        <v>515</v>
      </c>
      <c r="D37" s="29" t="s">
        <v>519</v>
      </c>
      <c r="E37" s="31">
        <v>6.4116</v>
      </c>
      <c r="F37" s="31">
        <v>6.4116</v>
      </c>
      <c r="G37" s="30">
        <f>_xlfn.XLOOKUP(B37, Rate_Master!$A:$A, Rate_Master!$C:$C, "")</f>
        <v>1390222.2222222222</v>
      </c>
      <c r="H37" s="30">
        <f>_xlfn.XLOOKUP(B37, Rate_Master!$A:$A, Rate_Master!$D:$D, "")</f>
        <v>149500</v>
      </c>
      <c r="I37" s="66">
        <f t="shared" si="9"/>
        <v>1539722.2222222222</v>
      </c>
      <c r="J37" s="32">
        <f t="shared" si="10"/>
        <v>9872083</v>
      </c>
      <c r="K37" s="32">
        <f t="shared" si="11"/>
        <v>9872083</v>
      </c>
      <c r="L37" s="32"/>
    </row>
    <row r="38" spans="1:12" s="4" customFormat="1" ht="25.5" customHeight="1" outlineLevel="1">
      <c r="A38" s="27" t="str">
        <f t="shared" si="8"/>
        <v>8A.C3.6</v>
      </c>
      <c r="B38" s="28" t="s">
        <v>29</v>
      </c>
      <c r="C38" s="28" t="s">
        <v>515</v>
      </c>
      <c r="D38" s="29" t="s">
        <v>519</v>
      </c>
      <c r="E38" s="31">
        <v>40.314999999999998</v>
      </c>
      <c r="F38" s="31">
        <v>40.314999999999998</v>
      </c>
      <c r="G38" s="30">
        <f>_xlfn.XLOOKUP(B38, Rate_Master!$A:$A, Rate_Master!$C:$C, "")</f>
        <v>1390222.2222222222</v>
      </c>
      <c r="H38" s="30">
        <f>_xlfn.XLOOKUP(B38, Rate_Master!$A:$A, Rate_Master!$D:$D, "")</f>
        <v>149500</v>
      </c>
      <c r="I38" s="66">
        <f t="shared" si="9"/>
        <v>1539722.2222222222</v>
      </c>
      <c r="J38" s="32">
        <f t="shared" si="10"/>
        <v>62073901.388888888</v>
      </c>
      <c r="K38" s="32">
        <f t="shared" si="11"/>
        <v>62073901.388888888</v>
      </c>
      <c r="L38" s="32"/>
    </row>
    <row r="39" spans="1:12" s="4" customFormat="1" ht="38.25" customHeight="1" outlineLevel="1">
      <c r="A39" s="27" t="str">
        <f t="shared" si="8"/>
        <v>8A.C3.7</v>
      </c>
      <c r="B39" s="28" t="s">
        <v>30</v>
      </c>
      <c r="C39" s="28" t="s">
        <v>515</v>
      </c>
      <c r="D39" s="29" t="s">
        <v>519</v>
      </c>
      <c r="E39" s="31">
        <v>2.0157500000000002</v>
      </c>
      <c r="F39" s="31">
        <v>2.0157500000000002</v>
      </c>
      <c r="G39" s="30">
        <f>_xlfn.XLOOKUP(B39, Rate_Master!$A:$A, Rate_Master!$C:$C, "")</f>
        <v>22425000</v>
      </c>
      <c r="H39" s="30">
        <f>_xlfn.XLOOKUP(B39, Rate_Master!$A:$A, Rate_Master!$D:$D, "")</f>
        <v>8003999.9999999991</v>
      </c>
      <c r="I39" s="66">
        <f t="shared" si="9"/>
        <v>30429000</v>
      </c>
      <c r="J39" s="32">
        <f t="shared" si="10"/>
        <v>61337256.750000007</v>
      </c>
      <c r="K39" s="32">
        <f t="shared" si="11"/>
        <v>61337256.750000007</v>
      </c>
      <c r="L39" s="32"/>
    </row>
    <row r="40" spans="1:12" s="3" customFormat="1" ht="25.5" customHeight="1">
      <c r="A40" s="22" t="str">
        <f>$A$10&amp;4</f>
        <v>8A.C4</v>
      </c>
      <c r="B40" s="23" t="s">
        <v>31</v>
      </c>
      <c r="C40" s="23" t="s">
        <v>515</v>
      </c>
      <c r="D40" s="22"/>
      <c r="E40" s="25"/>
      <c r="F40" s="25"/>
      <c r="G40" s="25">
        <f>_xlfn.XLOOKUP(B40, Rate_Master!$A:$A, Rate_Master!$C:$C, "")</f>
        <v>0</v>
      </c>
      <c r="H40" s="25">
        <f>_xlfn.XLOOKUP(B40, Rate_Master!$A:$A, Rate_Master!$D:$D, "")</f>
        <v>0</v>
      </c>
      <c r="I40" s="26"/>
      <c r="J40" s="26">
        <f>SUBTOTAL(9,J41:J45)</f>
        <v>2314072251</v>
      </c>
      <c r="K40" s="26">
        <f>SUBTOTAL(9,K41:K45)</f>
        <v>2314072251</v>
      </c>
      <c r="L40" s="26"/>
    </row>
    <row r="41" spans="1:12" s="4" customFormat="1" ht="25.5" customHeight="1" outlineLevel="1">
      <c r="A41" s="27" t="str">
        <f>$A$40&amp;"."&amp;ROW()-ROW($A$40)</f>
        <v>8A.C4.1</v>
      </c>
      <c r="B41" s="28" t="s">
        <v>32</v>
      </c>
      <c r="C41" s="28" t="s">
        <v>515</v>
      </c>
      <c r="D41" s="29" t="s">
        <v>520</v>
      </c>
      <c r="E41" s="31">
        <v>900.85299999999995</v>
      </c>
      <c r="F41" s="31">
        <v>900.85299999999995</v>
      </c>
      <c r="G41" s="30">
        <f>_xlfn.XLOOKUP(B41, Rate_Master!$A:$A, Rate_Master!$C:$C, "")</f>
        <v>80500</v>
      </c>
      <c r="H41" s="30">
        <f>_xlfn.XLOOKUP(B41, Rate_Master!$A:$A, Rate_Master!$D:$D, "")</f>
        <v>92000</v>
      </c>
      <c r="I41" s="66">
        <f>+H41+G41</f>
        <v>172500</v>
      </c>
      <c r="J41" s="32">
        <f>I41*E41</f>
        <v>155397142.5</v>
      </c>
      <c r="K41" s="32">
        <f>I41*F41</f>
        <v>155397142.5</v>
      </c>
      <c r="L41" s="32"/>
    </row>
    <row r="42" spans="1:12" s="4" customFormat="1" ht="38.25" customHeight="1" outlineLevel="1">
      <c r="A42" s="27" t="str">
        <f>$A$40&amp;"."&amp;ROW()-ROW($A$40)</f>
        <v>8A.C4.2</v>
      </c>
      <c r="B42" s="28" t="s">
        <v>33</v>
      </c>
      <c r="C42" s="28" t="s">
        <v>515</v>
      </c>
      <c r="D42" s="29" t="s">
        <v>520</v>
      </c>
      <c r="E42" s="31">
        <v>7528.674</v>
      </c>
      <c r="F42" s="31">
        <v>7528.674</v>
      </c>
      <c r="G42" s="30">
        <f>_xlfn.XLOOKUP(B42, Rate_Master!$A:$A, Rate_Master!$C:$C, "")</f>
        <v>126499.99999999999</v>
      </c>
      <c r="H42" s="30">
        <f>_xlfn.XLOOKUP(B42, Rate_Master!$A:$A, Rate_Master!$D:$D, "")</f>
        <v>103499.99999999999</v>
      </c>
      <c r="I42" s="66">
        <f>+H42+G42</f>
        <v>229999.99999999997</v>
      </c>
      <c r="J42" s="32">
        <f>I42*E42</f>
        <v>1731595019.9999998</v>
      </c>
      <c r="K42" s="32">
        <f>I42*F42</f>
        <v>1731595019.9999998</v>
      </c>
      <c r="L42" s="32"/>
    </row>
    <row r="43" spans="1:12" s="4" customFormat="1" ht="25.5" customHeight="1" outlineLevel="1">
      <c r="A43" s="27" t="str">
        <f>$A$40&amp;"."&amp;ROW()-ROW($A$40)</f>
        <v>8A.C4.3</v>
      </c>
      <c r="B43" s="28" t="s">
        <v>34</v>
      </c>
      <c r="C43" s="28" t="s">
        <v>515</v>
      </c>
      <c r="D43" s="29" t="s">
        <v>520</v>
      </c>
      <c r="E43" s="31">
        <v>978.375</v>
      </c>
      <c r="F43" s="31">
        <v>978.375</v>
      </c>
      <c r="G43" s="30">
        <f>_xlfn.XLOOKUP(B43, Rate_Master!$A:$A, Rate_Master!$C:$C, "")</f>
        <v>126499.99999999999</v>
      </c>
      <c r="H43" s="30">
        <f>_xlfn.XLOOKUP(B43, Rate_Master!$A:$A, Rate_Master!$D:$D, "")</f>
        <v>149500</v>
      </c>
      <c r="I43" s="66">
        <f>+H43+G43</f>
        <v>276000</v>
      </c>
      <c r="J43" s="32">
        <f>I43*E43</f>
        <v>270031500</v>
      </c>
      <c r="K43" s="32">
        <f>I43*F43</f>
        <v>270031500</v>
      </c>
      <c r="L43" s="32"/>
    </row>
    <row r="44" spans="1:12" s="4" customFormat="1" ht="25.5" customHeight="1" outlineLevel="1">
      <c r="A44" s="27" t="str">
        <f>$A$40&amp;"."&amp;ROW()-ROW($A$40)</f>
        <v>8A.C4.4</v>
      </c>
      <c r="B44" s="28" t="s">
        <v>35</v>
      </c>
      <c r="C44" s="28" t="s">
        <v>515</v>
      </c>
      <c r="D44" s="29" t="s">
        <v>520</v>
      </c>
      <c r="E44" s="31">
        <v>407.04500000000002</v>
      </c>
      <c r="F44" s="31">
        <v>407.04500000000002</v>
      </c>
      <c r="G44" s="30">
        <f>_xlfn.XLOOKUP(B44, Rate_Master!$A:$A, Rate_Master!$C:$C, "")</f>
        <v>126499.99999999999</v>
      </c>
      <c r="H44" s="30">
        <f>_xlfn.XLOOKUP(B44, Rate_Master!$A:$A, Rate_Master!$D:$D, "")</f>
        <v>114999.99999999999</v>
      </c>
      <c r="I44" s="66">
        <f>+H44+G44</f>
        <v>241499.99999999997</v>
      </c>
      <c r="J44" s="32">
        <f>I44*E44</f>
        <v>98301367.499999985</v>
      </c>
      <c r="K44" s="32">
        <f>I44*F44</f>
        <v>98301367.499999985</v>
      </c>
      <c r="L44" s="32"/>
    </row>
    <row r="45" spans="1:12" s="4" customFormat="1" ht="25.5" customHeight="1" outlineLevel="1">
      <c r="A45" s="27" t="str">
        <f>$A$40&amp;"."&amp;ROW()-ROW($A$40)</f>
        <v>8A.C4.5</v>
      </c>
      <c r="B45" s="28" t="s">
        <v>36</v>
      </c>
      <c r="C45" s="28" t="s">
        <v>515</v>
      </c>
      <c r="D45" s="29" t="s">
        <v>520</v>
      </c>
      <c r="E45" s="31">
        <v>261.97199999999998</v>
      </c>
      <c r="F45" s="31">
        <v>261.97199999999998</v>
      </c>
      <c r="G45" s="30">
        <f>_xlfn.XLOOKUP(B45, Rate_Master!$A:$A, Rate_Master!$C:$C, "")</f>
        <v>126499.99999999999</v>
      </c>
      <c r="H45" s="30">
        <f>_xlfn.XLOOKUP(B45, Rate_Master!$A:$A, Rate_Master!$D:$D, "")</f>
        <v>97749.999999999985</v>
      </c>
      <c r="I45" s="66">
        <f>+H45+G45</f>
        <v>224249.99999999997</v>
      </c>
      <c r="J45" s="32">
        <f>I45*E45</f>
        <v>58747220.999999985</v>
      </c>
      <c r="K45" s="32">
        <f>I45*F45</f>
        <v>58747220.999999985</v>
      </c>
      <c r="L45" s="32"/>
    </row>
    <row r="46" spans="1:12" s="3" customFormat="1" ht="25.5" customHeight="1">
      <c r="A46" s="22" t="str">
        <f>$A$10&amp;5</f>
        <v>8A.C5</v>
      </c>
      <c r="B46" s="23" t="s">
        <v>37</v>
      </c>
      <c r="C46" s="23" t="s">
        <v>515</v>
      </c>
      <c r="D46" s="22"/>
      <c r="E46" s="25"/>
      <c r="F46" s="25"/>
      <c r="G46" s="25">
        <f>_xlfn.XLOOKUP(B46, Rate_Master!$A:$A, Rate_Master!$C:$C, "")</f>
        <v>0</v>
      </c>
      <c r="H46" s="25">
        <f>_xlfn.XLOOKUP(B46, Rate_Master!$A:$A, Rate_Master!$D:$D, "")</f>
        <v>0</v>
      </c>
      <c r="I46" s="26"/>
      <c r="J46" s="26">
        <f>SUBTOTAL(9,J47:J51)</f>
        <v>14052203602.32122</v>
      </c>
      <c r="K46" s="26">
        <f>SUBTOTAL(9,K47:K51)</f>
        <v>14052203602.32122</v>
      </c>
      <c r="L46" s="26"/>
    </row>
    <row r="47" spans="1:12" s="4" customFormat="1" ht="38.25" customHeight="1" outlineLevel="1">
      <c r="A47" s="27" t="str">
        <f>$A$46&amp;"."&amp;ROW()-ROW($A$46)</f>
        <v>8A.C5.1</v>
      </c>
      <c r="B47" s="28" t="s">
        <v>38</v>
      </c>
      <c r="C47" s="28" t="s">
        <v>522</v>
      </c>
      <c r="D47" s="29" t="s">
        <v>523</v>
      </c>
      <c r="E47" s="31">
        <v>656064.71430437104</v>
      </c>
      <c r="F47" s="31">
        <v>656064.71430437104</v>
      </c>
      <c r="G47" s="30">
        <f>_xlfn.XLOOKUP(B47, Rate_Master!$A:$A, Rate_Master!$C:$C, "")</f>
        <v>16770.564999999999</v>
      </c>
      <c r="H47" s="30">
        <f>_xlfn.XLOOKUP(B47, Rate_Master!$A:$A, Rate_Master!$D:$D, "")</f>
        <v>2875</v>
      </c>
      <c r="I47" s="66">
        <f>+H47+G47</f>
        <v>19645.564999999999</v>
      </c>
      <c r="J47" s="32">
        <f>I47*E47</f>
        <v>12888761989.07295</v>
      </c>
      <c r="K47" s="32">
        <f>I47*F47</f>
        <v>12888761989.07295</v>
      </c>
      <c r="L47" s="32"/>
    </row>
    <row r="48" spans="1:12" s="4" customFormat="1" ht="25.5" customHeight="1" outlineLevel="1">
      <c r="A48" s="27" t="str">
        <f>$A$46&amp;"."&amp;ROW()-ROW($A$46)</f>
        <v>8A.C5.2</v>
      </c>
      <c r="B48" s="28" t="s">
        <v>39</v>
      </c>
      <c r="C48" s="28" t="s">
        <v>522</v>
      </c>
      <c r="D48" s="29" t="s">
        <v>523</v>
      </c>
      <c r="E48" s="31">
        <v>20548.188352031899</v>
      </c>
      <c r="F48" s="31">
        <v>20548.188352031899</v>
      </c>
      <c r="G48" s="30">
        <f>_xlfn.XLOOKUP(B48, Rate_Master!$A:$A, Rate_Master!$C:$C, "")</f>
        <v>16770.564999999999</v>
      </c>
      <c r="H48" s="30">
        <f>_xlfn.XLOOKUP(B48, Rate_Master!$A:$A, Rate_Master!$D:$D, "")</f>
        <v>3679.9999999999995</v>
      </c>
      <c r="I48" s="66">
        <f>+H48+G48</f>
        <v>20450.564999999999</v>
      </c>
      <c r="J48" s="32">
        <f>I48*E48</f>
        <v>420222061.52547121</v>
      </c>
      <c r="K48" s="32">
        <f>I48*F48</f>
        <v>420222061.52547121</v>
      </c>
      <c r="L48" s="32"/>
    </row>
    <row r="49" spans="1:16" s="4" customFormat="1" ht="25.5" customHeight="1" outlineLevel="1">
      <c r="A49" s="27" t="str">
        <f>$A$46&amp;"."&amp;ROW()-ROW($A$46)</f>
        <v>8A.C5.3</v>
      </c>
      <c r="B49" s="28" t="s">
        <v>40</v>
      </c>
      <c r="C49" s="28" t="s">
        <v>522</v>
      </c>
      <c r="D49" s="29" t="s">
        <v>523</v>
      </c>
      <c r="E49" s="31">
        <v>7282.4493383036397</v>
      </c>
      <c r="F49" s="31">
        <v>7282.4493383036397</v>
      </c>
      <c r="G49" s="30">
        <f>_xlfn.XLOOKUP(B49, Rate_Master!$A:$A, Rate_Master!$C:$C, "")</f>
        <v>16770.564999999999</v>
      </c>
      <c r="H49" s="30">
        <f>_xlfn.XLOOKUP(B49, Rate_Master!$A:$A, Rate_Master!$D:$D, "")</f>
        <v>3449.9999999999995</v>
      </c>
      <c r="I49" s="66">
        <f>+H49+G49</f>
        <v>20220.564999999999</v>
      </c>
      <c r="J49" s="32">
        <f>I49*E49</f>
        <v>147255240.20437571</v>
      </c>
      <c r="K49" s="32">
        <f>I49*F49</f>
        <v>147255240.20437571</v>
      </c>
      <c r="L49" s="32"/>
    </row>
    <row r="50" spans="1:16" s="4" customFormat="1" ht="25.5" customHeight="1" outlineLevel="1">
      <c r="A50" s="27" t="str">
        <f>$A$46&amp;"."&amp;ROW()-ROW($A$46)</f>
        <v>8A.C5.4</v>
      </c>
      <c r="B50" s="28" t="s">
        <v>41</v>
      </c>
      <c r="C50" s="28" t="s">
        <v>522</v>
      </c>
      <c r="D50" s="29" t="s">
        <v>523</v>
      </c>
      <c r="E50" s="31">
        <v>27908.0792017372</v>
      </c>
      <c r="F50" s="31">
        <v>27908.0792017372</v>
      </c>
      <c r="G50" s="30">
        <f>_xlfn.XLOOKUP(B50, Rate_Master!$A:$A, Rate_Master!$C:$C, "")</f>
        <v>16770.564999999999</v>
      </c>
      <c r="H50" s="30">
        <f>_xlfn.XLOOKUP(B50, Rate_Master!$A:$A, Rate_Master!$D:$D, "")</f>
        <v>3679.9999999999995</v>
      </c>
      <c r="I50" s="66">
        <f>+H50+G50</f>
        <v>20450.564999999999</v>
      </c>
      <c r="J50" s="32">
        <f>I50*E50</f>
        <v>570735987.74027467</v>
      </c>
      <c r="K50" s="32">
        <f>I50*F50</f>
        <v>570735987.74027467</v>
      </c>
      <c r="L50" s="32"/>
    </row>
    <row r="51" spans="1:16" s="4" customFormat="1" ht="25.5" customHeight="1" outlineLevel="1">
      <c r="A51" s="27" t="str">
        <f>$A$46&amp;"."&amp;ROW()-ROW($A$46)</f>
        <v>8A.C5.5</v>
      </c>
      <c r="B51" s="28" t="s">
        <v>42</v>
      </c>
      <c r="C51" s="28" t="s">
        <v>524</v>
      </c>
      <c r="D51" s="29" t="s">
        <v>523</v>
      </c>
      <c r="E51" s="31">
        <v>1185.281972</v>
      </c>
      <c r="F51" s="31">
        <v>1185.281972</v>
      </c>
      <c r="G51" s="30">
        <f>_xlfn.XLOOKUP(B51, Rate_Master!$A:$A, Rate_Master!$C:$C, "")</f>
        <v>17834.66</v>
      </c>
      <c r="H51" s="30">
        <f>_xlfn.XLOOKUP(B51, Rate_Master!$A:$A, Rate_Master!$D:$D, "")</f>
        <v>3449.9999999999995</v>
      </c>
      <c r="I51" s="66">
        <f>+H51+G51</f>
        <v>21284.66</v>
      </c>
      <c r="J51" s="32">
        <f>I51*E51</f>
        <v>25228323.778149519</v>
      </c>
      <c r="K51" s="32">
        <f>I51*F51</f>
        <v>25228323.778149519</v>
      </c>
      <c r="L51" s="32"/>
    </row>
    <row r="52" spans="1:16" s="3" customFormat="1" ht="25.5" customHeight="1">
      <c r="A52" s="22" t="str">
        <f>$A$10&amp;6</f>
        <v>8A.C6</v>
      </c>
      <c r="B52" s="23" t="s">
        <v>43</v>
      </c>
      <c r="C52" s="23" t="s">
        <v>515</v>
      </c>
      <c r="D52" s="22"/>
      <c r="E52" s="25"/>
      <c r="F52" s="25"/>
      <c r="G52" s="25">
        <f>_xlfn.XLOOKUP(B52, Rate_Master!$A:$A, Rate_Master!$C:$C, "")</f>
        <v>0</v>
      </c>
      <c r="H52" s="25">
        <f>_xlfn.XLOOKUP(B52, Rate_Master!$A:$A, Rate_Master!$D:$D, "")</f>
        <v>0</v>
      </c>
      <c r="I52" s="26">
        <f>G52+H52</f>
        <v>0</v>
      </c>
      <c r="J52" s="26">
        <f>SUBTOTAL(9,J53:J55)</f>
        <v>700385935.20000005</v>
      </c>
      <c r="K52" s="26">
        <f>SUBTOTAL(9,K53:K55)</f>
        <v>700385935.20000005</v>
      </c>
      <c r="L52" s="26"/>
    </row>
    <row r="53" spans="1:16" s="4" customFormat="1" ht="25.5" customHeight="1" outlineLevel="1">
      <c r="A53" s="27" t="str">
        <f>$A$52&amp;"."&amp;ROW()-ROW($A$52)</f>
        <v>8A.C6.1</v>
      </c>
      <c r="B53" s="28" t="s">
        <v>44</v>
      </c>
      <c r="C53" s="28" t="s">
        <v>515</v>
      </c>
      <c r="D53" s="29" t="s">
        <v>520</v>
      </c>
      <c r="E53" s="31">
        <v>12896.116</v>
      </c>
      <c r="F53" s="31">
        <v>12896.116</v>
      </c>
      <c r="G53" s="30">
        <f>_xlfn.XLOOKUP(B53, Rate_Master!$A:$A, Rate_Master!$C:$C, "")</f>
        <v>14949.999999999998</v>
      </c>
      <c r="H53" s="30">
        <f>_xlfn.XLOOKUP(B53, Rate_Master!$A:$A, Rate_Master!$D:$D, "")</f>
        <v>17250</v>
      </c>
      <c r="I53" s="32">
        <f>+H53+G53</f>
        <v>32200</v>
      </c>
      <c r="J53" s="32">
        <f>I53*E53</f>
        <v>415254935.19999999</v>
      </c>
      <c r="K53" s="32">
        <f>I53*F53</f>
        <v>415254935.19999999</v>
      </c>
      <c r="L53" s="32"/>
    </row>
    <row r="54" spans="1:16" s="4" customFormat="1" ht="51" customHeight="1" outlineLevel="1">
      <c r="A54" s="27" t="str">
        <f>$A$52&amp;"."&amp;ROW()-ROW($A$52)</f>
        <v>8A.C6.2</v>
      </c>
      <c r="B54" s="34" t="s">
        <v>45</v>
      </c>
      <c r="C54" s="28" t="s">
        <v>515</v>
      </c>
      <c r="D54" s="29" t="s">
        <v>517</v>
      </c>
      <c r="E54" s="31">
        <v>9917.6</v>
      </c>
      <c r="F54" s="31">
        <v>9917.6</v>
      </c>
      <c r="G54" s="30">
        <f>_xlfn.XLOOKUP(B54, Rate_Master!$A:$A, Rate_Master!$C:$C, "")</f>
        <v>5750</v>
      </c>
      <c r="H54" s="30">
        <f>_xlfn.XLOOKUP(B54, Rate_Master!$A:$A, Rate_Master!$D:$D, "")</f>
        <v>23000</v>
      </c>
      <c r="I54" s="32">
        <f>+H54+G54</f>
        <v>28750</v>
      </c>
      <c r="J54" s="32">
        <f>I54*E54</f>
        <v>285131000</v>
      </c>
      <c r="K54" s="32">
        <f>I54*F54</f>
        <v>285131000</v>
      </c>
      <c r="L54" s="32"/>
    </row>
    <row r="55" spans="1:16" s="4" customFormat="1" ht="38.25" customHeight="1" outlineLevel="1">
      <c r="A55" s="27" t="str">
        <f>$A$52&amp;"."&amp;ROW()-ROW($A$52)</f>
        <v>8A.C6.3</v>
      </c>
      <c r="B55" s="28" t="s">
        <v>46</v>
      </c>
      <c r="C55" s="28" t="s">
        <v>515</v>
      </c>
      <c r="D55" s="29" t="s">
        <v>517</v>
      </c>
      <c r="E55" s="31">
        <v>0</v>
      </c>
      <c r="F55" s="31">
        <v>0</v>
      </c>
      <c r="G55" s="30">
        <f>_xlfn.XLOOKUP(B55, Rate_Master!$A:$A, Rate_Master!$C:$C, "")</f>
        <v>172500</v>
      </c>
      <c r="H55" s="30">
        <f>_xlfn.XLOOKUP(B55, Rate_Master!$A:$A, Rate_Master!$D:$D, "")</f>
        <v>57499.999999999993</v>
      </c>
      <c r="I55" s="32">
        <f>+H55+G55</f>
        <v>230000</v>
      </c>
      <c r="J55" s="32">
        <f>I55*E55</f>
        <v>0</v>
      </c>
      <c r="K55" s="32">
        <f>I55*F55</f>
        <v>0</v>
      </c>
      <c r="L55" s="32"/>
    </row>
    <row r="56" spans="1:16" s="3" customFormat="1" ht="25.5" customHeight="1">
      <c r="A56" s="22" t="str">
        <f>$A$9&amp;".S"</f>
        <v>8A.S</v>
      </c>
      <c r="B56" s="23" t="s">
        <v>47</v>
      </c>
      <c r="C56" s="23" t="s">
        <v>515</v>
      </c>
      <c r="D56" s="22"/>
      <c r="E56" s="25"/>
      <c r="F56" s="87"/>
      <c r="G56" s="25">
        <f>_xlfn.XLOOKUP(B56, Rate_Master!$A:$A, Rate_Master!$C:$C, "")</f>
        <v>0</v>
      </c>
      <c r="H56" s="25">
        <f>_xlfn.XLOOKUP(B56, Rate_Master!$A:$A, Rate_Master!$D:$D, "")</f>
        <v>0</v>
      </c>
      <c r="I56" s="26"/>
      <c r="J56" s="26"/>
      <c r="K56" s="26"/>
      <c r="L56" s="26"/>
    </row>
    <row r="57" spans="1:16" s="3" customFormat="1" ht="25.5" customHeight="1">
      <c r="A57" s="22" t="str">
        <f>$A$56&amp;1</f>
        <v>8A.S1</v>
      </c>
      <c r="B57" s="23" t="s">
        <v>48</v>
      </c>
      <c r="C57" s="23" t="s">
        <v>515</v>
      </c>
      <c r="D57" s="22"/>
      <c r="E57" s="25"/>
      <c r="F57" s="87"/>
      <c r="G57" s="25">
        <f>_xlfn.XLOOKUP(B57, Rate_Master!$A:$A, Rate_Master!$C:$C, "")</f>
        <v>0</v>
      </c>
      <c r="H57" s="25">
        <f>_xlfn.XLOOKUP(B57, Rate_Master!$A:$A, Rate_Master!$D:$D, "")</f>
        <v>0</v>
      </c>
      <c r="I57" s="26"/>
      <c r="J57" s="26">
        <f>SUBTOTAL(9,J58:J72)</f>
        <v>13782361672.676582</v>
      </c>
      <c r="K57" s="26">
        <f>SUBTOTAL(9,K58:K72)</f>
        <v>14748134131.146732</v>
      </c>
      <c r="L57" s="26"/>
    </row>
    <row r="58" spans="1:16" s="4" customFormat="1" ht="51" customHeight="1" outlineLevel="1">
      <c r="A58" s="27" t="str">
        <f t="shared" ref="A58:A72" si="12">$A$57&amp;"."&amp;ROW()-ROW($A$57)</f>
        <v>8A.S1.1</v>
      </c>
      <c r="B58" s="28" t="s">
        <v>49</v>
      </c>
      <c r="C58" s="28" t="s">
        <v>525</v>
      </c>
      <c r="D58" s="29" t="s">
        <v>523</v>
      </c>
      <c r="E58" s="31">
        <v>336650.65347740002</v>
      </c>
      <c r="F58" s="36">
        <v>330170.64925239992</v>
      </c>
      <c r="G58" s="93">
        <f>_xlfn.XLOOKUP(B58, Rate_Master!$A:$A, Rate_Master!$C:$C, "")</f>
        <v>20475</v>
      </c>
      <c r="H58" s="93">
        <f>_xlfn.XLOOKUP(B58, Rate_Master!$A:$A, Rate_Master!$D:$D, "")</f>
        <v>0</v>
      </c>
      <c r="I58" s="67">
        <f t="shared" ref="I58:I72" si="13">+SUM(G58:H58)</f>
        <v>20475</v>
      </c>
      <c r="J58" s="32">
        <f t="shared" ref="J58:J72" si="14">I58*E58</f>
        <v>6892922129.9497652</v>
      </c>
      <c r="K58" s="58">
        <f t="shared" ref="K58:K72" si="15">+F58*I58</f>
        <v>6760244043.4428883</v>
      </c>
      <c r="L58" s="32"/>
      <c r="N58" s="104"/>
      <c r="O58" s="104"/>
      <c r="P58" s="104"/>
    </row>
    <row r="59" spans="1:16" s="4" customFormat="1" ht="76.5" customHeight="1" outlineLevel="1">
      <c r="A59" s="27" t="str">
        <f t="shared" si="12"/>
        <v>8A.S1.2</v>
      </c>
      <c r="B59" s="28" t="s">
        <v>50</v>
      </c>
      <c r="C59" s="28" t="s">
        <v>526</v>
      </c>
      <c r="D59" s="29" t="s">
        <v>523</v>
      </c>
      <c r="E59" s="31">
        <v>55434.88508</v>
      </c>
      <c r="F59" s="36">
        <v>59595.791295999989</v>
      </c>
      <c r="G59" s="93">
        <f>_xlfn.XLOOKUP(B59, Rate_Master!$A:$A, Rate_Master!$C:$C, "")</f>
        <v>26775</v>
      </c>
      <c r="H59" s="93">
        <f>_xlfn.XLOOKUP(B59, Rate_Master!$A:$A, Rate_Master!$D:$D, "")</f>
        <v>0</v>
      </c>
      <c r="I59" s="67">
        <f t="shared" si="13"/>
        <v>26775</v>
      </c>
      <c r="J59" s="32">
        <f t="shared" si="14"/>
        <v>1484269048.017</v>
      </c>
      <c r="K59" s="58">
        <f t="shared" si="15"/>
        <v>1595677311.9503996</v>
      </c>
      <c r="L59" s="32"/>
      <c r="N59" s="104"/>
      <c r="O59" s="104"/>
      <c r="P59" s="104"/>
    </row>
    <row r="60" spans="1:16" s="4" customFormat="1" ht="76.5" customHeight="1" outlineLevel="1">
      <c r="A60" s="27" t="str">
        <f t="shared" si="12"/>
        <v>8A.S1.3</v>
      </c>
      <c r="B60" s="28" t="s">
        <v>51</v>
      </c>
      <c r="C60" s="28" t="s">
        <v>527</v>
      </c>
      <c r="D60" s="29" t="s">
        <v>523</v>
      </c>
      <c r="E60" s="31">
        <v>3133.6877781548301</v>
      </c>
      <c r="F60" s="36">
        <v>3711.8832000000011</v>
      </c>
      <c r="G60" s="93">
        <f>_xlfn.XLOOKUP(B60, Rate_Master!$A:$A, Rate_Master!$C:$C, "")</f>
        <v>36750</v>
      </c>
      <c r="H60" s="93">
        <f>_xlfn.XLOOKUP(B60, Rate_Master!$A:$A, Rate_Master!$D:$D, "")</f>
        <v>0</v>
      </c>
      <c r="I60" s="67">
        <f t="shared" si="13"/>
        <v>36750</v>
      </c>
      <c r="J60" s="32">
        <f t="shared" si="14"/>
        <v>115163025.84719001</v>
      </c>
      <c r="K60" s="58">
        <f t="shared" si="15"/>
        <v>136411707.60000005</v>
      </c>
      <c r="L60" s="32"/>
      <c r="N60" s="104"/>
      <c r="O60" s="104"/>
      <c r="P60" s="104"/>
    </row>
    <row r="61" spans="1:16" s="4" customFormat="1" ht="76.5" customHeight="1" outlineLevel="1">
      <c r="A61" s="27" t="str">
        <f t="shared" si="12"/>
        <v>8A.S1.4</v>
      </c>
      <c r="B61" s="28" t="s">
        <v>52</v>
      </c>
      <c r="C61" s="28" t="s">
        <v>527</v>
      </c>
      <c r="D61" s="29" t="s">
        <v>523</v>
      </c>
      <c r="E61" s="31">
        <v>7705.56</v>
      </c>
      <c r="F61" s="36">
        <v>9552.1420799999996</v>
      </c>
      <c r="G61" s="93">
        <f>_xlfn.XLOOKUP(B61, Rate_Master!$A:$A, Rate_Master!$C:$C, "")</f>
        <v>26775</v>
      </c>
      <c r="H61" s="93">
        <f>_xlfn.XLOOKUP(B61, Rate_Master!$A:$A, Rate_Master!$D:$D, "")</f>
        <v>0</v>
      </c>
      <c r="I61" s="67">
        <f t="shared" si="13"/>
        <v>26775</v>
      </c>
      <c r="J61" s="32">
        <f t="shared" si="14"/>
        <v>206316369</v>
      </c>
      <c r="K61" s="58">
        <f t="shared" si="15"/>
        <v>255758604.192</v>
      </c>
      <c r="L61" s="32"/>
      <c r="N61" s="104"/>
      <c r="O61" s="104"/>
      <c r="P61" s="104"/>
    </row>
    <row r="62" spans="1:16" s="4" customFormat="1" ht="25.5" customHeight="1" outlineLevel="1">
      <c r="A62" s="27" t="str">
        <f t="shared" si="12"/>
        <v>8A.S1.5</v>
      </c>
      <c r="B62" s="28" t="s">
        <v>53</v>
      </c>
      <c r="C62" s="28" t="s">
        <v>528</v>
      </c>
      <c r="D62" s="29" t="s">
        <v>523</v>
      </c>
      <c r="E62" s="31">
        <v>73284.020399999994</v>
      </c>
      <c r="F62" s="36">
        <v>108172.8587</v>
      </c>
      <c r="G62" s="93">
        <f>_xlfn.XLOOKUP(B62, Rate_Master!$A:$A, Rate_Master!$C:$C, "")</f>
        <v>22365</v>
      </c>
      <c r="H62" s="93">
        <f>_xlfn.XLOOKUP(B62, Rate_Master!$A:$A, Rate_Master!$D:$D, "")</f>
        <v>0</v>
      </c>
      <c r="I62" s="67">
        <f t="shared" si="13"/>
        <v>22365</v>
      </c>
      <c r="J62" s="32">
        <f t="shared" si="14"/>
        <v>1638997116.2459998</v>
      </c>
      <c r="K62" s="58">
        <f t="shared" si="15"/>
        <v>2419285984.8255</v>
      </c>
      <c r="L62" s="32"/>
      <c r="N62" s="104"/>
      <c r="O62" s="104"/>
      <c r="P62" s="104"/>
    </row>
    <row r="63" spans="1:16" s="4" customFormat="1" ht="38.25" customHeight="1" outlineLevel="1">
      <c r="A63" s="27" t="str">
        <f t="shared" si="12"/>
        <v>8A.S1.6</v>
      </c>
      <c r="B63" s="28" t="s">
        <v>54</v>
      </c>
      <c r="C63" s="28" t="s">
        <v>529</v>
      </c>
      <c r="D63" s="29" t="s">
        <v>523</v>
      </c>
      <c r="E63" s="31">
        <v>7587.69466197166</v>
      </c>
      <c r="F63" s="36">
        <v>5933.2124444444462</v>
      </c>
      <c r="G63" s="93">
        <f>_xlfn.XLOOKUP(B63, Rate_Master!$A:$A, Rate_Master!$C:$C, "")</f>
        <v>36750</v>
      </c>
      <c r="H63" s="93">
        <f>_xlfn.XLOOKUP(B63, Rate_Master!$A:$A, Rate_Master!$D:$D, "")</f>
        <v>0</v>
      </c>
      <c r="I63" s="67">
        <f t="shared" si="13"/>
        <v>36750</v>
      </c>
      <c r="J63" s="32">
        <f t="shared" si="14"/>
        <v>278847778.8274585</v>
      </c>
      <c r="K63" s="58">
        <f t="shared" si="15"/>
        <v>218045557.3333334</v>
      </c>
      <c r="L63" s="32"/>
      <c r="N63" s="104"/>
      <c r="O63" s="104"/>
      <c r="P63" s="104"/>
    </row>
    <row r="64" spans="1:16" s="4" customFormat="1" ht="25.5" customHeight="1" outlineLevel="1">
      <c r="A64" s="27" t="str">
        <f t="shared" si="12"/>
        <v>8A.S1.7</v>
      </c>
      <c r="B64" s="28" t="s">
        <v>55</v>
      </c>
      <c r="C64" s="28" t="s">
        <v>530</v>
      </c>
      <c r="D64" s="29" t="s">
        <v>523</v>
      </c>
      <c r="E64" s="31">
        <v>5605.7791999999999</v>
      </c>
      <c r="F64" s="36">
        <v>7394.2588174462871</v>
      </c>
      <c r="G64" s="93">
        <f>_xlfn.XLOOKUP(B64, Rate_Master!$A:$A, Rate_Master!$C:$C, "")</f>
        <v>27930</v>
      </c>
      <c r="H64" s="93">
        <f>_xlfn.XLOOKUP(B64, Rate_Master!$A:$A, Rate_Master!$D:$D, "")</f>
        <v>0</v>
      </c>
      <c r="I64" s="67">
        <f t="shared" si="13"/>
        <v>27930</v>
      </c>
      <c r="J64" s="32">
        <f t="shared" si="14"/>
        <v>156569413.05599999</v>
      </c>
      <c r="K64" s="58">
        <f t="shared" si="15"/>
        <v>206521648.77127481</v>
      </c>
      <c r="L64" s="32"/>
      <c r="N64" s="104"/>
      <c r="O64" s="104"/>
      <c r="P64" s="104"/>
    </row>
    <row r="65" spans="1:16" s="4" customFormat="1" ht="25.5" customHeight="1" outlineLevel="1">
      <c r="A65" s="27" t="str">
        <f t="shared" si="12"/>
        <v>8A.S1.8</v>
      </c>
      <c r="B65" s="28" t="s">
        <v>56</v>
      </c>
      <c r="C65" s="28" t="s">
        <v>531</v>
      </c>
      <c r="D65" s="29" t="s">
        <v>523</v>
      </c>
      <c r="E65" s="31">
        <v>9152.2000000000007</v>
      </c>
      <c r="F65" s="36">
        <v>9030.48</v>
      </c>
      <c r="G65" s="93">
        <f>_xlfn.XLOOKUP(B65, Rate_Master!$A:$A, Rate_Master!$C:$C, "")</f>
        <v>52500</v>
      </c>
      <c r="H65" s="93">
        <f>_xlfn.XLOOKUP(B65, Rate_Master!$A:$A, Rate_Master!$D:$D, "")</f>
        <v>0</v>
      </c>
      <c r="I65" s="67">
        <f t="shared" si="13"/>
        <v>52500</v>
      </c>
      <c r="J65" s="32">
        <f t="shared" si="14"/>
        <v>480490500.00000006</v>
      </c>
      <c r="K65" s="58">
        <f t="shared" si="15"/>
        <v>474100200</v>
      </c>
      <c r="L65" s="32"/>
      <c r="N65" s="104"/>
      <c r="O65" s="104"/>
      <c r="P65" s="104"/>
    </row>
    <row r="66" spans="1:16" s="4" customFormat="1" ht="25.5" customHeight="1" outlineLevel="1">
      <c r="A66" s="27" t="str">
        <f t="shared" si="12"/>
        <v>8A.S1.9</v>
      </c>
      <c r="B66" s="28" t="s">
        <v>57</v>
      </c>
      <c r="C66" s="28" t="s">
        <v>532</v>
      </c>
      <c r="D66" s="29" t="s">
        <v>523</v>
      </c>
      <c r="E66" s="31">
        <v>3643.81</v>
      </c>
      <c r="F66" s="36">
        <v>3929.715999999999</v>
      </c>
      <c r="G66" s="93">
        <f>_xlfn.XLOOKUP(B66, Rate_Master!$A:$A, Rate_Master!$C:$C, "")</f>
        <v>60900</v>
      </c>
      <c r="H66" s="93">
        <f>_xlfn.XLOOKUP(B66, Rate_Master!$A:$A, Rate_Master!$D:$D, "")</f>
        <v>0</v>
      </c>
      <c r="I66" s="67">
        <f t="shared" si="13"/>
        <v>60900</v>
      </c>
      <c r="J66" s="32">
        <f t="shared" si="14"/>
        <v>221908029</v>
      </c>
      <c r="K66" s="58">
        <f t="shared" si="15"/>
        <v>239319704.39999995</v>
      </c>
      <c r="L66" s="32"/>
      <c r="N66" s="104"/>
      <c r="O66" s="104"/>
      <c r="P66" s="104"/>
    </row>
    <row r="67" spans="1:16" s="4" customFormat="1" ht="25.5" customHeight="1" outlineLevel="1">
      <c r="A67" s="27" t="str">
        <f t="shared" si="12"/>
        <v>8A.S1.10</v>
      </c>
      <c r="B67" s="28" t="s">
        <v>58</v>
      </c>
      <c r="C67" s="28" t="s">
        <v>533</v>
      </c>
      <c r="D67" s="29" t="s">
        <v>523</v>
      </c>
      <c r="E67" s="31">
        <v>1209.1500000000001</v>
      </c>
      <c r="F67" s="36">
        <v>1018.662</v>
      </c>
      <c r="G67" s="93">
        <f>_xlfn.XLOOKUP(B67, Rate_Master!$A:$A, Rate_Master!$C:$C, "")</f>
        <v>60900</v>
      </c>
      <c r="H67" s="93">
        <f>_xlfn.XLOOKUP(B67, Rate_Master!$A:$A, Rate_Master!$D:$D, "")</f>
        <v>0</v>
      </c>
      <c r="I67" s="67">
        <f t="shared" si="13"/>
        <v>60900</v>
      </c>
      <c r="J67" s="32">
        <f t="shared" si="14"/>
        <v>73637235</v>
      </c>
      <c r="K67" s="58">
        <f t="shared" si="15"/>
        <v>62036515.800000004</v>
      </c>
      <c r="L67" s="32"/>
      <c r="N67" s="104"/>
      <c r="O67" s="104"/>
      <c r="P67" s="104"/>
    </row>
    <row r="68" spans="1:16" s="4" customFormat="1" ht="25.5" customHeight="1" outlineLevel="1">
      <c r="A68" s="27" t="str">
        <f t="shared" si="12"/>
        <v>8A.S1.11</v>
      </c>
      <c r="B68" s="28" t="s">
        <v>59</v>
      </c>
      <c r="C68" s="28" t="s">
        <v>534</v>
      </c>
      <c r="D68" s="29" t="s">
        <v>518</v>
      </c>
      <c r="E68" s="31">
        <v>5566</v>
      </c>
      <c r="F68" s="36">
        <v>5780</v>
      </c>
      <c r="G68" s="93">
        <f>_xlfn.XLOOKUP(B68, Rate_Master!$A:$A, Rate_Master!$C:$C, "")</f>
        <v>21000</v>
      </c>
      <c r="H68" s="93">
        <f>_xlfn.XLOOKUP(B68, Rate_Master!$A:$A, Rate_Master!$D:$D, "")</f>
        <v>0</v>
      </c>
      <c r="I68" s="67">
        <f t="shared" si="13"/>
        <v>21000</v>
      </c>
      <c r="J68" s="32">
        <f t="shared" si="14"/>
        <v>116886000</v>
      </c>
      <c r="K68" s="58">
        <f t="shared" si="15"/>
        <v>121380000</v>
      </c>
      <c r="L68" s="32"/>
      <c r="N68" s="104"/>
      <c r="O68" s="104"/>
      <c r="P68" s="104"/>
    </row>
    <row r="69" spans="1:16" s="4" customFormat="1" ht="25.5" customHeight="1" outlineLevel="1">
      <c r="A69" s="27" t="str">
        <f t="shared" si="12"/>
        <v>8A.S1.12</v>
      </c>
      <c r="B69" s="28" t="s">
        <v>60</v>
      </c>
      <c r="C69" s="28" t="s">
        <v>515</v>
      </c>
      <c r="D69" s="29" t="s">
        <v>523</v>
      </c>
      <c r="E69" s="31">
        <v>9152.2000000000007</v>
      </c>
      <c r="F69" s="36">
        <v>9030.48</v>
      </c>
      <c r="G69" s="93">
        <f>_xlfn.XLOOKUP(B69, Rate_Master!$A:$A, Rate_Master!$C:$C, "")</f>
        <v>630</v>
      </c>
      <c r="H69" s="93">
        <f>_xlfn.XLOOKUP(B69, Rate_Master!$A:$A, Rate_Master!$D:$D, "")</f>
        <v>0</v>
      </c>
      <c r="I69" s="67">
        <f t="shared" si="13"/>
        <v>630</v>
      </c>
      <c r="J69" s="32">
        <f t="shared" si="14"/>
        <v>5765886</v>
      </c>
      <c r="K69" s="58">
        <f t="shared" si="15"/>
        <v>5689202.3999999994</v>
      </c>
      <c r="L69" s="32"/>
      <c r="N69" s="104"/>
      <c r="O69" s="104"/>
      <c r="P69" s="104"/>
    </row>
    <row r="70" spans="1:16" s="4" customFormat="1" ht="25.5" customHeight="1" outlineLevel="1">
      <c r="A70" s="27" t="str">
        <f t="shared" si="12"/>
        <v>8A.S1.13</v>
      </c>
      <c r="B70" s="28" t="s">
        <v>61</v>
      </c>
      <c r="C70" s="28" t="s">
        <v>515</v>
      </c>
      <c r="D70" s="29" t="s">
        <v>523</v>
      </c>
      <c r="E70" s="31">
        <v>489402.280597526</v>
      </c>
      <c r="F70" s="36">
        <v>529479.1737902906</v>
      </c>
      <c r="G70" s="93">
        <f>_xlfn.XLOOKUP(B70, Rate_Master!$A:$A, Rate_Master!$C:$C, "")</f>
        <v>630</v>
      </c>
      <c r="H70" s="93">
        <f>_xlfn.XLOOKUP(B70, Rate_Master!$A:$A, Rate_Master!$D:$D, "")</f>
        <v>0</v>
      </c>
      <c r="I70" s="67">
        <f t="shared" si="13"/>
        <v>630</v>
      </c>
      <c r="J70" s="32">
        <f t="shared" si="14"/>
        <v>308323436.7764414</v>
      </c>
      <c r="K70" s="58">
        <f t="shared" si="15"/>
        <v>333571879.48788309</v>
      </c>
      <c r="L70" s="32"/>
      <c r="N70" s="104"/>
      <c r="O70" s="104"/>
      <c r="P70" s="104"/>
    </row>
    <row r="71" spans="1:16" s="4" customFormat="1" ht="25.5" customHeight="1" outlineLevel="1">
      <c r="A71" s="27" t="str">
        <f t="shared" si="12"/>
        <v>8A.S1.14</v>
      </c>
      <c r="B71" s="28" t="s">
        <v>62</v>
      </c>
      <c r="C71" s="28" t="s">
        <v>515</v>
      </c>
      <c r="D71" s="29" t="s">
        <v>518</v>
      </c>
      <c r="E71" s="31">
        <v>1374</v>
      </c>
      <c r="F71" s="36">
        <v>1374</v>
      </c>
      <c r="G71" s="93">
        <f>_xlfn.XLOOKUP(B71, Rate_Master!$A:$A, Rate_Master!$C:$C, "")</f>
        <v>0</v>
      </c>
      <c r="H71" s="93">
        <f>_xlfn.XLOOKUP(B71, Rate_Master!$A:$A, Rate_Master!$D:$D, "")</f>
        <v>264500</v>
      </c>
      <c r="I71" s="67">
        <f t="shared" si="13"/>
        <v>264500</v>
      </c>
      <c r="J71" s="32">
        <f t="shared" si="14"/>
        <v>363423000</v>
      </c>
      <c r="K71" s="58">
        <f t="shared" si="15"/>
        <v>363423000</v>
      </c>
      <c r="L71" s="32"/>
      <c r="N71" s="104"/>
      <c r="O71" s="104"/>
      <c r="P71" s="104"/>
    </row>
    <row r="72" spans="1:16" s="4" customFormat="1" ht="25.5" customHeight="1" outlineLevel="1">
      <c r="A72" s="27" t="str">
        <f t="shared" si="12"/>
        <v>8A.S1.15</v>
      </c>
      <c r="B72" s="28" t="s">
        <v>63</v>
      </c>
      <c r="C72" s="28" t="s">
        <v>515</v>
      </c>
      <c r="D72" s="29" t="s">
        <v>523</v>
      </c>
      <c r="E72" s="31">
        <v>489402.280597526</v>
      </c>
      <c r="F72" s="36">
        <v>529479.1737902906</v>
      </c>
      <c r="G72" s="93">
        <f>_xlfn.XLOOKUP(B72, Rate_Master!$A:$A, Rate_Master!$C:$C, "")</f>
        <v>2940</v>
      </c>
      <c r="H72" s="93">
        <f>_xlfn.XLOOKUP(B72, Rate_Master!$A:$A, Rate_Master!$D:$D, "")</f>
        <v>0</v>
      </c>
      <c r="I72" s="67">
        <f t="shared" si="13"/>
        <v>2940</v>
      </c>
      <c r="J72" s="32">
        <f t="shared" si="14"/>
        <v>1438842704.9567266</v>
      </c>
      <c r="K72" s="58">
        <f t="shared" si="15"/>
        <v>1556668770.9434543</v>
      </c>
      <c r="L72" s="32"/>
      <c r="N72" s="104"/>
      <c r="O72" s="104"/>
      <c r="P72" s="104"/>
    </row>
    <row r="73" spans="1:16" s="3" customFormat="1" ht="25.5" customHeight="1">
      <c r="A73" s="22" t="str">
        <f>$A$56&amp;2</f>
        <v>8A.S2</v>
      </c>
      <c r="B73" s="23" t="s">
        <v>64</v>
      </c>
      <c r="C73" s="23" t="s">
        <v>515</v>
      </c>
      <c r="D73" s="22"/>
      <c r="E73" s="25"/>
      <c r="F73" s="87"/>
      <c r="G73" s="25">
        <f>_xlfn.XLOOKUP(B73, Rate_Master!$A:$A, Rate_Master!$C:$C, "")</f>
        <v>0</v>
      </c>
      <c r="H73" s="25">
        <f>_xlfn.XLOOKUP(B73, Rate_Master!$A:$A, Rate_Master!$D:$D, "")</f>
        <v>0</v>
      </c>
      <c r="I73" s="26"/>
      <c r="J73" s="26">
        <f>SUBTOTAL(9,J74:J78)</f>
        <v>0</v>
      </c>
      <c r="K73" s="26">
        <f>SUBTOTAL(9,K74:K78)</f>
        <v>0</v>
      </c>
      <c r="L73" s="26"/>
      <c r="N73" s="104"/>
      <c r="O73" s="104"/>
      <c r="P73" s="104"/>
    </row>
    <row r="74" spans="1:16" s="4" customFormat="1" ht="25.5" customHeight="1" outlineLevel="1">
      <c r="A74" s="27" t="str">
        <f>$A$73&amp;"."&amp;ROW()-ROW($A$73)</f>
        <v>8A.S2.1</v>
      </c>
      <c r="B74" s="28" t="s">
        <v>65</v>
      </c>
      <c r="C74" s="28" t="s">
        <v>535</v>
      </c>
      <c r="D74" s="29" t="s">
        <v>520</v>
      </c>
      <c r="E74" s="31">
        <v>198.5222</v>
      </c>
      <c r="F74" s="36"/>
      <c r="G74" s="93">
        <f>_xlfn.XLOOKUP(B74, Rate_Master!$A:$A, Rate_Master!$C:$C, "")</f>
        <v>0</v>
      </c>
      <c r="H74" s="93">
        <f>_xlfn.XLOOKUP(B74, Rate_Master!$A:$A, Rate_Master!$D:$D, "")</f>
        <v>0</v>
      </c>
      <c r="I74" s="26">
        <f>+SUM(G74:H74)</f>
        <v>0</v>
      </c>
      <c r="J74" s="32">
        <f>I74*E74</f>
        <v>0</v>
      </c>
      <c r="K74" s="58">
        <f>+F74*I74</f>
        <v>0</v>
      </c>
      <c r="L74" s="32"/>
      <c r="M74" s="100"/>
      <c r="N74" s="104"/>
      <c r="O74" s="104"/>
      <c r="P74" s="104"/>
    </row>
    <row r="75" spans="1:16" s="4" customFormat="1" ht="25.5" customHeight="1" outlineLevel="1">
      <c r="A75" s="27" t="str">
        <f>$A$73&amp;"."&amp;ROW()-ROW($A$73)</f>
        <v>8A.S2.2</v>
      </c>
      <c r="B75" s="28" t="s">
        <v>66</v>
      </c>
      <c r="C75" s="28" t="s">
        <v>536</v>
      </c>
      <c r="D75" s="29" t="s">
        <v>518</v>
      </c>
      <c r="E75" s="31">
        <v>496</v>
      </c>
      <c r="F75" s="36"/>
      <c r="G75" s="93">
        <f>_xlfn.XLOOKUP(B75, Rate_Master!$A:$A, Rate_Master!$C:$C, "")</f>
        <v>0</v>
      </c>
      <c r="H75" s="93">
        <f>_xlfn.XLOOKUP(B75, Rate_Master!$A:$A, Rate_Master!$D:$D, "")</f>
        <v>0</v>
      </c>
      <c r="I75" s="26">
        <f>+SUM(G75:H75)</f>
        <v>0</v>
      </c>
      <c r="J75" s="32">
        <f>I75*E75</f>
        <v>0</v>
      </c>
      <c r="K75" s="58">
        <f>+F75*I75</f>
        <v>0</v>
      </c>
      <c r="L75" s="32"/>
      <c r="N75" s="104"/>
      <c r="O75" s="104"/>
      <c r="P75" s="104"/>
    </row>
    <row r="76" spans="1:16" s="4" customFormat="1" ht="25.5" customHeight="1" outlineLevel="1">
      <c r="A76" s="27" t="str">
        <f>$A$73&amp;"."&amp;ROW()-ROW($A$73)</f>
        <v>8A.S2.3</v>
      </c>
      <c r="B76" s="28" t="s">
        <v>67</v>
      </c>
      <c r="C76" s="28" t="s">
        <v>515</v>
      </c>
      <c r="D76" s="29" t="s">
        <v>520</v>
      </c>
      <c r="E76" s="31">
        <v>198.5222</v>
      </c>
      <c r="F76" s="36"/>
      <c r="G76" s="93">
        <f>_xlfn.XLOOKUP(B76, Rate_Master!$A:$A, Rate_Master!$C:$C, "")</f>
        <v>0</v>
      </c>
      <c r="H76" s="93">
        <f>_xlfn.XLOOKUP(B76, Rate_Master!$A:$A, Rate_Master!$D:$D, "")</f>
        <v>0</v>
      </c>
      <c r="I76" s="26">
        <f>+SUM(G76:H76)</f>
        <v>0</v>
      </c>
      <c r="J76" s="32">
        <f>I76*E76</f>
        <v>0</v>
      </c>
      <c r="K76" s="58">
        <f>+F76*I76</f>
        <v>0</v>
      </c>
      <c r="L76" s="32"/>
      <c r="N76" s="104"/>
      <c r="O76" s="104"/>
      <c r="P76" s="104"/>
    </row>
    <row r="77" spans="1:16" s="4" customFormat="1" ht="25.5" customHeight="1" outlineLevel="1">
      <c r="A77" s="27" t="str">
        <f>$A$73&amp;"."&amp;ROW()-ROW($A$73)</f>
        <v>8A.S2.4</v>
      </c>
      <c r="B77" s="28" t="s">
        <v>68</v>
      </c>
      <c r="C77" s="28" t="s">
        <v>515</v>
      </c>
      <c r="D77" s="29" t="s">
        <v>457</v>
      </c>
      <c r="E77" s="31">
        <v>1</v>
      </c>
      <c r="F77" s="36"/>
      <c r="G77" s="93">
        <f>_xlfn.XLOOKUP(B77, Rate_Master!$A:$A, Rate_Master!$C:$C, "")</f>
        <v>0</v>
      </c>
      <c r="H77" s="93">
        <f>_xlfn.XLOOKUP(B77, Rate_Master!$A:$A, Rate_Master!$D:$D, "")</f>
        <v>0</v>
      </c>
      <c r="I77" s="26">
        <f>+SUM(G77:H77)</f>
        <v>0</v>
      </c>
      <c r="J77" s="32">
        <f>I77*E77</f>
        <v>0</v>
      </c>
      <c r="K77" s="58">
        <f>+F77*I77</f>
        <v>0</v>
      </c>
      <c r="L77" s="32"/>
      <c r="N77" s="104"/>
      <c r="O77" s="104"/>
      <c r="P77" s="104"/>
    </row>
    <row r="78" spans="1:16" s="4" customFormat="1" ht="25.5" customHeight="1" outlineLevel="1">
      <c r="A78" s="27" t="str">
        <f>$A$73&amp;"."&amp;ROW()-ROW($A$73)</f>
        <v>8A.S2.5</v>
      </c>
      <c r="B78" s="28" t="s">
        <v>69</v>
      </c>
      <c r="C78" s="28" t="s">
        <v>515</v>
      </c>
      <c r="D78" s="29" t="s">
        <v>520</v>
      </c>
      <c r="E78" s="31">
        <v>198.5222</v>
      </c>
      <c r="F78" s="36"/>
      <c r="G78" s="93">
        <f>_xlfn.XLOOKUP(B78, Rate_Master!$A:$A, Rate_Master!$C:$C, "")</f>
        <v>0</v>
      </c>
      <c r="H78" s="93">
        <f>_xlfn.XLOOKUP(B78, Rate_Master!$A:$A, Rate_Master!$D:$D, "")</f>
        <v>0</v>
      </c>
      <c r="I78" s="26">
        <f>+SUM(G78:H78)</f>
        <v>0</v>
      </c>
      <c r="J78" s="32">
        <f>I78*E78</f>
        <v>0</v>
      </c>
      <c r="K78" s="58">
        <f>+F78*I78</f>
        <v>0</v>
      </c>
      <c r="L78" s="32"/>
      <c r="N78" s="104"/>
      <c r="O78" s="104"/>
      <c r="P78" s="104"/>
    </row>
    <row r="79" spans="1:16" s="3" customFormat="1" ht="25.5" customHeight="1">
      <c r="A79" s="22" t="str">
        <f>$A$56&amp;3</f>
        <v>8A.S3</v>
      </c>
      <c r="B79" s="23" t="s">
        <v>70</v>
      </c>
      <c r="C79" s="23" t="s">
        <v>515</v>
      </c>
      <c r="D79" s="22"/>
      <c r="E79" s="25"/>
      <c r="F79" s="87"/>
      <c r="G79" s="25">
        <f>_xlfn.XLOOKUP(B79, Rate_Master!$A:$A, Rate_Master!$C:$C, "")</f>
        <v>0</v>
      </c>
      <c r="H79" s="25">
        <f>_xlfn.XLOOKUP(B79, Rate_Master!$A:$A, Rate_Master!$D:$D, "")</f>
        <v>0</v>
      </c>
      <c r="I79" s="26"/>
      <c r="J79" s="26">
        <f>SUBTOTAL(9,J80:J93)</f>
        <v>6765307994.0942879</v>
      </c>
      <c r="K79" s="26">
        <f>SUBTOTAL(9,K80:K93)</f>
        <v>6755651165.5642872</v>
      </c>
      <c r="L79" s="26"/>
      <c r="N79" s="104"/>
      <c r="O79" s="104"/>
      <c r="P79" s="104"/>
    </row>
    <row r="80" spans="1:16" s="4" customFormat="1" ht="51" customHeight="1" outlineLevel="1">
      <c r="A80" s="27" t="str">
        <f t="shared" ref="A80:A93" si="16">$A$79&amp;"."&amp;ROW()-ROW($A$79)</f>
        <v>8A.S3.1</v>
      </c>
      <c r="B80" s="28" t="s">
        <v>71</v>
      </c>
      <c r="C80" s="28" t="str">
        <f>+'7A'!C80</f>
        <v xml:space="preserve">Tôn liên doanh Việt hàn, AZ170
</v>
      </c>
      <c r="D80" s="29" t="s">
        <v>520</v>
      </c>
      <c r="E80" s="31">
        <v>13627.88</v>
      </c>
      <c r="F80" s="36">
        <v>13557.531999999999</v>
      </c>
      <c r="G80" s="93">
        <f>_xlfn.XLOOKUP(B80, Rate_Master!$A:$A, Rate_Master!$C:$C, "")</f>
        <v>248399.99999999997</v>
      </c>
      <c r="H80" s="93">
        <f>_xlfn.XLOOKUP(B80, Rate_Master!$A:$A, Rate_Master!$D:$D, "")</f>
        <v>34500</v>
      </c>
      <c r="I80" s="26">
        <f t="shared" ref="I80:I93" si="17">+SUM(G80:H80)</f>
        <v>282900</v>
      </c>
      <c r="J80" s="32">
        <f t="shared" ref="J80:J93" si="18">I80*E80</f>
        <v>3855327252</v>
      </c>
      <c r="K80" s="58">
        <f t="shared" ref="K80:K93" si="19">+F80*I80</f>
        <v>3835425802.7999997</v>
      </c>
      <c r="L80" s="32"/>
      <c r="N80" s="104"/>
      <c r="O80" s="104"/>
      <c r="P80" s="104"/>
    </row>
    <row r="81" spans="1:16" s="4" customFormat="1" ht="51" customHeight="1" outlineLevel="1">
      <c r="A81" s="27" t="str">
        <f t="shared" si="16"/>
        <v>8A.S3.2</v>
      </c>
      <c r="B81" s="28" t="s">
        <v>72</v>
      </c>
      <c r="C81" s="28" t="str">
        <f>+'7A'!C81</f>
        <v xml:space="preserve">Tôn liên doanh Việt hàn, AZ170
</v>
      </c>
      <c r="D81" s="29" t="s">
        <v>520</v>
      </c>
      <c r="E81" s="31">
        <v>672.70425</v>
      </c>
      <c r="F81" s="36">
        <v>525.15599999999995</v>
      </c>
      <c r="G81" s="93">
        <f>_xlfn.XLOOKUP(B81, Rate_Master!$A:$A, Rate_Master!$C:$C, "")</f>
        <v>206999.99999999997</v>
      </c>
      <c r="H81" s="93">
        <f>_xlfn.XLOOKUP(B81, Rate_Master!$A:$A, Rate_Master!$D:$D, "")</f>
        <v>34500</v>
      </c>
      <c r="I81" s="26">
        <f t="shared" si="17"/>
        <v>241499.99999999997</v>
      </c>
      <c r="J81" s="32">
        <f t="shared" si="18"/>
        <v>162458076.37499997</v>
      </c>
      <c r="K81" s="58">
        <f t="shared" si="19"/>
        <v>126825173.99999997</v>
      </c>
      <c r="L81" s="32"/>
      <c r="N81" s="104"/>
      <c r="O81" s="104"/>
      <c r="P81" s="104"/>
    </row>
    <row r="82" spans="1:16" s="4" customFormat="1" ht="63.75" customHeight="1" outlineLevel="1">
      <c r="A82" s="27" t="str">
        <f t="shared" si="16"/>
        <v>8A.S3.3</v>
      </c>
      <c r="B82" s="28" t="s">
        <v>73</v>
      </c>
      <c r="C82" s="28" t="str">
        <f>+'7A'!C82</f>
        <v xml:space="preserve">Tôn liên doanh Việt hàn, AZ170
</v>
      </c>
      <c r="D82" s="29" t="s">
        <v>520</v>
      </c>
      <c r="E82" s="31">
        <v>340.93799999999999</v>
      </c>
      <c r="F82" s="36">
        <v>305.00799999999998</v>
      </c>
      <c r="G82" s="93">
        <f>_xlfn.XLOOKUP(B82, Rate_Master!$A:$A, Rate_Master!$C:$C, "")</f>
        <v>195499.99999999997</v>
      </c>
      <c r="H82" s="93">
        <f>_xlfn.XLOOKUP(B82, Rate_Master!$A:$A, Rate_Master!$D:$D, "")</f>
        <v>34500</v>
      </c>
      <c r="I82" s="26">
        <f t="shared" si="17"/>
        <v>229999.99999999997</v>
      </c>
      <c r="J82" s="32">
        <f t="shared" si="18"/>
        <v>78415739.999999985</v>
      </c>
      <c r="K82" s="58">
        <f t="shared" si="19"/>
        <v>70151839.999999985</v>
      </c>
      <c r="L82" s="32"/>
      <c r="N82" s="104"/>
      <c r="O82" s="104"/>
      <c r="P82" s="104"/>
    </row>
    <row r="83" spans="1:16" s="4" customFormat="1" ht="25.5" customHeight="1" outlineLevel="1">
      <c r="A83" s="27" t="str">
        <f t="shared" si="16"/>
        <v>8A.S3.4</v>
      </c>
      <c r="B83" s="28" t="s">
        <v>74</v>
      </c>
      <c r="C83" s="28" t="s">
        <v>515</v>
      </c>
      <c r="D83" s="29" t="s">
        <v>520</v>
      </c>
      <c r="E83" s="31">
        <v>13627.88</v>
      </c>
      <c r="F83" s="36">
        <v>13557.531999999999</v>
      </c>
      <c r="G83" s="93">
        <f>_xlfn.XLOOKUP(B83, Rate_Master!$A:$A, Rate_Master!$C:$C, "")</f>
        <v>23000</v>
      </c>
      <c r="H83" s="93">
        <f>_xlfn.XLOOKUP(B83, Rate_Master!$A:$A, Rate_Master!$D:$D, "")</f>
        <v>11500</v>
      </c>
      <c r="I83" s="26">
        <f t="shared" si="17"/>
        <v>34500</v>
      </c>
      <c r="J83" s="32">
        <f t="shared" si="18"/>
        <v>470161860</v>
      </c>
      <c r="K83" s="58">
        <f t="shared" si="19"/>
        <v>467734854</v>
      </c>
      <c r="L83" s="32"/>
      <c r="N83" s="104"/>
      <c r="O83" s="104"/>
      <c r="P83" s="104"/>
    </row>
    <row r="84" spans="1:16" s="4" customFormat="1" ht="25.5" customHeight="1" outlineLevel="1">
      <c r="A84" s="27" t="str">
        <f t="shared" si="16"/>
        <v>8A.S3.5</v>
      </c>
      <c r="B84" s="28" t="s">
        <v>75</v>
      </c>
      <c r="C84" s="28" t="s">
        <v>538</v>
      </c>
      <c r="D84" s="29" t="s">
        <v>517</v>
      </c>
      <c r="E84" s="31">
        <v>824</v>
      </c>
      <c r="F84" s="36">
        <v>1164.6300000000001</v>
      </c>
      <c r="G84" s="93">
        <f>_xlfn.XLOOKUP(B84, Rate_Master!$A:$A, Rate_Master!$C:$C, "")</f>
        <v>110399.99999999999</v>
      </c>
      <c r="H84" s="93">
        <f>_xlfn.XLOOKUP(B84, Rate_Master!$A:$A, Rate_Master!$D:$D, "")</f>
        <v>17250</v>
      </c>
      <c r="I84" s="26">
        <f t="shared" si="17"/>
        <v>127649.99999999999</v>
      </c>
      <c r="J84" s="32">
        <f t="shared" si="18"/>
        <v>105183599.99999999</v>
      </c>
      <c r="K84" s="58">
        <f t="shared" si="19"/>
        <v>148665019.5</v>
      </c>
      <c r="L84" s="32"/>
      <c r="N84" s="104"/>
      <c r="O84" s="104"/>
      <c r="P84" s="104"/>
    </row>
    <row r="85" spans="1:16" s="4" customFormat="1" ht="25.5" customHeight="1" outlineLevel="1">
      <c r="A85" s="27" t="str">
        <f t="shared" si="16"/>
        <v>8A.S3.6</v>
      </c>
      <c r="B85" s="28" t="s">
        <v>75</v>
      </c>
      <c r="C85" s="28" t="s">
        <v>539</v>
      </c>
      <c r="D85" s="29" t="s">
        <v>517</v>
      </c>
      <c r="E85" s="31">
        <v>2156.8000000000002</v>
      </c>
      <c r="F85" s="36">
        <v>2265.6</v>
      </c>
      <c r="G85" s="93">
        <f>_xlfn.XLOOKUP(B85, Rate_Master!$A:$A, Rate_Master!$C:$C, "")</f>
        <v>110399.99999999999</v>
      </c>
      <c r="H85" s="93">
        <f>_xlfn.XLOOKUP(B85, Rate_Master!$A:$A, Rate_Master!$D:$D, "")</f>
        <v>17250</v>
      </c>
      <c r="I85" s="26">
        <f t="shared" si="17"/>
        <v>127649.99999999999</v>
      </c>
      <c r="J85" s="32">
        <f t="shared" si="18"/>
        <v>275315520</v>
      </c>
      <c r="K85" s="58">
        <f t="shared" si="19"/>
        <v>289203839.99999994</v>
      </c>
      <c r="L85" s="32"/>
      <c r="N85" s="104"/>
      <c r="O85" s="104"/>
      <c r="P85" s="104"/>
    </row>
    <row r="86" spans="1:16" s="4" customFormat="1" ht="25.5" customHeight="1" outlineLevel="1">
      <c r="A86" s="27" t="str">
        <f t="shared" si="16"/>
        <v>8A.S3.7</v>
      </c>
      <c r="B86" s="28" t="s">
        <v>76</v>
      </c>
      <c r="C86" s="28" t="s">
        <v>540</v>
      </c>
      <c r="D86" s="29" t="s">
        <v>517</v>
      </c>
      <c r="E86" s="31">
        <v>327.2</v>
      </c>
      <c r="F86" s="36">
        <v>327.2</v>
      </c>
      <c r="G86" s="93">
        <f>_xlfn.XLOOKUP(B86, Rate_Master!$A:$A, Rate_Master!$C:$C, "")</f>
        <v>1976115.3983999996</v>
      </c>
      <c r="H86" s="93">
        <f>_xlfn.XLOOKUP(B86, Rate_Master!$A:$A, Rate_Master!$D:$D, "")</f>
        <v>28749.999999999996</v>
      </c>
      <c r="I86" s="26">
        <f t="shared" si="17"/>
        <v>2004865.3983999996</v>
      </c>
      <c r="J86" s="32">
        <f t="shared" si="18"/>
        <v>655991958.35647988</v>
      </c>
      <c r="K86" s="58">
        <f t="shared" si="19"/>
        <v>655991958.35647988</v>
      </c>
      <c r="L86" s="32"/>
      <c r="N86" s="104"/>
      <c r="O86" s="104"/>
      <c r="P86" s="104"/>
    </row>
    <row r="87" spans="1:16" s="4" customFormat="1" ht="25.5" customHeight="1" outlineLevel="1">
      <c r="A87" s="27" t="str">
        <f t="shared" si="16"/>
        <v>8A.S3.8</v>
      </c>
      <c r="B87" s="28" t="s">
        <v>77</v>
      </c>
      <c r="C87" s="28" t="s">
        <v>541</v>
      </c>
      <c r="D87" s="29" t="s">
        <v>517</v>
      </c>
      <c r="E87" s="31">
        <v>163.6</v>
      </c>
      <c r="F87" s="36">
        <v>163.6</v>
      </c>
      <c r="G87" s="93">
        <f>_xlfn.XLOOKUP(B87, Rate_Master!$A:$A, Rate_Master!$C:$C, "")</f>
        <v>1077881.1263999997</v>
      </c>
      <c r="H87" s="93">
        <f>_xlfn.XLOOKUP(B87, Rate_Master!$A:$A, Rate_Master!$D:$D, "")</f>
        <v>23000</v>
      </c>
      <c r="I87" s="26">
        <f t="shared" si="17"/>
        <v>1100881.1263999997</v>
      </c>
      <c r="J87" s="32">
        <f t="shared" si="18"/>
        <v>180104152.27903995</v>
      </c>
      <c r="K87" s="58">
        <f t="shared" si="19"/>
        <v>180104152.27903995</v>
      </c>
      <c r="L87" s="32"/>
      <c r="N87" s="104"/>
      <c r="O87" s="104"/>
      <c r="P87" s="104"/>
    </row>
    <row r="88" spans="1:16" s="4" customFormat="1" ht="25.5" customHeight="1" outlineLevel="1">
      <c r="A88" s="27" t="str">
        <f t="shared" si="16"/>
        <v>8A.S3.9</v>
      </c>
      <c r="B88" s="28" t="s">
        <v>78</v>
      </c>
      <c r="C88" s="28" t="s">
        <v>515</v>
      </c>
      <c r="D88" s="29" t="s">
        <v>518</v>
      </c>
      <c r="E88" s="31">
        <v>20</v>
      </c>
      <c r="F88" s="36">
        <v>32</v>
      </c>
      <c r="G88" s="93">
        <f>_xlfn.XLOOKUP(B88, Rate_Master!$A:$A, Rate_Master!$C:$C, "")</f>
        <v>92000</v>
      </c>
      <c r="H88" s="93">
        <f>_xlfn.XLOOKUP(B88, Rate_Master!$A:$A, Rate_Master!$D:$D, "")</f>
        <v>11500</v>
      </c>
      <c r="I88" s="26">
        <f t="shared" si="17"/>
        <v>103500</v>
      </c>
      <c r="J88" s="32">
        <f t="shared" si="18"/>
        <v>2070000</v>
      </c>
      <c r="K88" s="58">
        <f t="shared" si="19"/>
        <v>3312000</v>
      </c>
      <c r="L88" s="32"/>
      <c r="N88" s="104"/>
      <c r="O88" s="104"/>
      <c r="P88" s="104"/>
    </row>
    <row r="89" spans="1:16" s="4" customFormat="1" ht="63.75" customHeight="1" outlineLevel="1">
      <c r="A89" s="27" t="str">
        <f t="shared" si="16"/>
        <v>8A.S3.10</v>
      </c>
      <c r="B89" s="28" t="s">
        <v>79</v>
      </c>
      <c r="C89" s="28" t="s">
        <v>542</v>
      </c>
      <c r="D89" s="29" t="s">
        <v>517</v>
      </c>
      <c r="E89" s="31">
        <v>313.5</v>
      </c>
      <c r="F89" s="36">
        <v>307.2</v>
      </c>
      <c r="G89" s="93">
        <f>_xlfn.XLOOKUP(B89, Rate_Master!$A:$A, Rate_Master!$C:$C, "")</f>
        <v>297443.47499999998</v>
      </c>
      <c r="H89" s="93">
        <f>_xlfn.XLOOKUP(B89, Rate_Master!$A:$A, Rate_Master!$D:$D, "")</f>
        <v>23000</v>
      </c>
      <c r="I89" s="26">
        <f t="shared" si="17"/>
        <v>320443.47499999998</v>
      </c>
      <c r="J89" s="32">
        <f t="shared" si="18"/>
        <v>100459029.41249999</v>
      </c>
      <c r="K89" s="58">
        <f t="shared" si="19"/>
        <v>98440235.519999996</v>
      </c>
      <c r="L89" s="32"/>
      <c r="N89" s="104"/>
      <c r="O89" s="104"/>
      <c r="P89" s="104"/>
    </row>
    <row r="90" spans="1:16" s="4" customFormat="1" ht="25.5" customHeight="1" outlineLevel="1">
      <c r="A90" s="27" t="str">
        <f t="shared" si="16"/>
        <v>8A.S3.11</v>
      </c>
      <c r="B90" s="28" t="s">
        <v>80</v>
      </c>
      <c r="C90" s="28" t="s">
        <v>515</v>
      </c>
      <c r="D90" s="29" t="s">
        <v>457</v>
      </c>
      <c r="E90" s="31">
        <v>1</v>
      </c>
      <c r="F90" s="36">
        <v>1</v>
      </c>
      <c r="G90" s="93">
        <f>_xlfn.XLOOKUP(B90, Rate_Master!$A:$A, Rate_Master!$C:$C, "")</f>
        <v>0</v>
      </c>
      <c r="H90" s="93">
        <f>_xlfn.XLOOKUP(B90, Rate_Master!$A:$A, Rate_Master!$D:$D, "")</f>
        <v>57499999.999999993</v>
      </c>
      <c r="I90" s="26">
        <f t="shared" si="17"/>
        <v>57499999.999999993</v>
      </c>
      <c r="J90" s="32">
        <f t="shared" si="18"/>
        <v>57499999.999999993</v>
      </c>
      <c r="K90" s="58">
        <f t="shared" si="19"/>
        <v>57499999.999999993</v>
      </c>
      <c r="L90" s="32"/>
      <c r="N90" s="104"/>
      <c r="O90" s="104"/>
      <c r="P90" s="104"/>
    </row>
    <row r="91" spans="1:16" s="4" customFormat="1" ht="25.5" customHeight="1" outlineLevel="1">
      <c r="A91" s="27" t="str">
        <f t="shared" si="16"/>
        <v>8A.S3.12</v>
      </c>
      <c r="B91" s="28" t="s">
        <v>81</v>
      </c>
      <c r="C91" s="28" t="s">
        <v>515</v>
      </c>
      <c r="D91" s="29" t="s">
        <v>520</v>
      </c>
      <c r="E91" s="31">
        <v>14641.52225</v>
      </c>
      <c r="F91" s="36">
        <v>14387.696</v>
      </c>
      <c r="G91" s="93">
        <f>_xlfn.XLOOKUP(B91, Rate_Master!$A:$A, Rate_Master!$C:$C, "")</f>
        <v>0</v>
      </c>
      <c r="H91" s="93">
        <f>_xlfn.XLOOKUP(B91, Rate_Master!$A:$A, Rate_Master!$D:$D, "")</f>
        <v>40250</v>
      </c>
      <c r="I91" s="26">
        <f t="shared" si="17"/>
        <v>40250</v>
      </c>
      <c r="J91" s="32">
        <f t="shared" si="18"/>
        <v>589321270.5625</v>
      </c>
      <c r="K91" s="58">
        <f t="shared" si="19"/>
        <v>579104764</v>
      </c>
      <c r="L91" s="32"/>
      <c r="N91" s="104"/>
      <c r="O91" s="104"/>
      <c r="P91" s="104"/>
    </row>
    <row r="92" spans="1:16" s="4" customFormat="1" ht="38.25" customHeight="1" outlineLevel="1">
      <c r="A92" s="27" t="str">
        <f t="shared" si="16"/>
        <v>8A.S3.13</v>
      </c>
      <c r="B92" s="28" t="s">
        <v>82</v>
      </c>
      <c r="C92" s="28" t="s">
        <v>515</v>
      </c>
      <c r="D92" s="29" t="s">
        <v>517</v>
      </c>
      <c r="E92" s="31">
        <v>3785.1</v>
      </c>
      <c r="F92" s="36">
        <v>4228.2299999999996</v>
      </c>
      <c r="G92" s="93">
        <f>_xlfn.XLOOKUP(B92, Rate_Master!$A:$A, Rate_Master!$C:$C, "")</f>
        <v>0</v>
      </c>
      <c r="H92" s="93">
        <f>_xlfn.XLOOKUP(B92, Rate_Master!$A:$A, Rate_Master!$D:$D, "")</f>
        <v>23000</v>
      </c>
      <c r="I92" s="26">
        <f t="shared" si="17"/>
        <v>23000</v>
      </c>
      <c r="J92" s="32">
        <f t="shared" si="18"/>
        <v>87057300</v>
      </c>
      <c r="K92" s="58">
        <f t="shared" si="19"/>
        <v>97249289.999999985</v>
      </c>
      <c r="L92" s="32"/>
      <c r="N92" s="104"/>
      <c r="O92" s="104"/>
      <c r="P92" s="104"/>
    </row>
    <row r="93" spans="1:16" s="4" customFormat="1" ht="25.5" customHeight="1" outlineLevel="1">
      <c r="A93" s="27" t="str">
        <f t="shared" si="16"/>
        <v>8A.S3.14</v>
      </c>
      <c r="B93" s="28" t="s">
        <v>83</v>
      </c>
      <c r="C93" s="28" t="s">
        <v>543</v>
      </c>
      <c r="D93" s="29" t="s">
        <v>457</v>
      </c>
      <c r="E93" s="31">
        <v>1</v>
      </c>
      <c r="F93" s="36">
        <v>1</v>
      </c>
      <c r="G93" s="93">
        <f>_xlfn.XLOOKUP(B93, Rate_Master!$A:$A, Rate_Master!$C:$C, "")</f>
        <v>145942235.10876715</v>
      </c>
      <c r="H93" s="93">
        <f>_xlfn.XLOOKUP(B93, Rate_Master!$A:$A, Rate_Master!$D:$D, "")</f>
        <v>0</v>
      </c>
      <c r="I93" s="26">
        <f t="shared" si="17"/>
        <v>145942235.10876715</v>
      </c>
      <c r="J93" s="32">
        <f t="shared" si="18"/>
        <v>145942235.10876715</v>
      </c>
      <c r="K93" s="58">
        <f t="shared" si="19"/>
        <v>145942235.10876715</v>
      </c>
      <c r="L93" s="32"/>
      <c r="N93" s="104"/>
      <c r="O93" s="104"/>
      <c r="P93" s="104"/>
    </row>
    <row r="94" spans="1:16" s="3" customFormat="1" ht="25.5" customHeight="1">
      <c r="A94" s="22" t="str">
        <f>$A$56&amp;4</f>
        <v>8A.S4</v>
      </c>
      <c r="B94" s="23" t="s">
        <v>84</v>
      </c>
      <c r="C94" s="23" t="s">
        <v>515</v>
      </c>
      <c r="D94" s="22"/>
      <c r="E94" s="25"/>
      <c r="F94" s="87"/>
      <c r="G94" s="25">
        <f>_xlfn.XLOOKUP(B94, Rate_Master!$A:$A, Rate_Master!$C:$C, "")</f>
        <v>0</v>
      </c>
      <c r="H94" s="25">
        <f>_xlfn.XLOOKUP(B94, Rate_Master!$A:$A, Rate_Master!$D:$D, "")</f>
        <v>0</v>
      </c>
      <c r="I94" s="26"/>
      <c r="J94" s="26">
        <f>SUBTOTAL(9,J95:J102)</f>
        <v>543061730.8506</v>
      </c>
      <c r="K94" s="26">
        <f>SUBTOTAL(9,K95:K102)</f>
        <v>361242600</v>
      </c>
      <c r="L94" s="26"/>
      <c r="N94" s="104"/>
      <c r="O94" s="104"/>
      <c r="P94" s="104"/>
    </row>
    <row r="95" spans="1:16" s="4" customFormat="1" ht="38.25" customHeight="1" outlineLevel="1">
      <c r="A95" s="27" t="str">
        <f t="shared" ref="A95:A102" si="20">$A$94&amp;"."&amp;ROW()-ROW($A$94)</f>
        <v>8A.S4.1</v>
      </c>
      <c r="B95" s="28" t="s">
        <v>85</v>
      </c>
      <c r="C95" s="28" t="s">
        <v>544</v>
      </c>
      <c r="D95" s="29" t="s">
        <v>517</v>
      </c>
      <c r="E95" s="31">
        <v>17.995000000000001</v>
      </c>
      <c r="F95" s="36">
        <v>12</v>
      </c>
      <c r="G95" s="93">
        <f>_xlfn.XLOOKUP(B95, Rate_Master!$A:$A, Rate_Master!$C:$C, "")</f>
        <v>5175000</v>
      </c>
      <c r="H95" s="93">
        <f>_xlfn.XLOOKUP(B95, Rate_Master!$A:$A, Rate_Master!$D:$D, "")</f>
        <v>0</v>
      </c>
      <c r="I95" s="67">
        <f t="shared" ref="I95:I102" si="21">+SUM(G95:H95)</f>
        <v>5175000</v>
      </c>
      <c r="J95" s="32">
        <f t="shared" ref="J95:J102" si="22">I95*E95</f>
        <v>93124125</v>
      </c>
      <c r="K95" s="58">
        <f t="shared" ref="K95:K102" si="23">+F95*I95</f>
        <v>62100000</v>
      </c>
      <c r="L95" s="32"/>
      <c r="N95" s="104"/>
      <c r="O95" s="104"/>
      <c r="P95" s="104"/>
    </row>
    <row r="96" spans="1:16" s="4" customFormat="1" ht="38.25" customHeight="1" outlineLevel="1">
      <c r="A96" s="27" t="str">
        <f t="shared" si="20"/>
        <v>8A.S4.2</v>
      </c>
      <c r="B96" s="28" t="s">
        <v>86</v>
      </c>
      <c r="C96" s="28" t="s">
        <v>545</v>
      </c>
      <c r="D96" s="29" t="s">
        <v>517</v>
      </c>
      <c r="E96" s="31">
        <v>0</v>
      </c>
      <c r="F96" s="36"/>
      <c r="G96" s="93">
        <f>_xlfn.XLOOKUP(B96, Rate_Master!$A:$A, Rate_Master!$C:$C, "")</f>
        <v>0</v>
      </c>
      <c r="H96" s="93">
        <f>_xlfn.XLOOKUP(B96, Rate_Master!$A:$A, Rate_Master!$D:$D, "")</f>
        <v>0</v>
      </c>
      <c r="I96" s="67">
        <f t="shared" si="21"/>
        <v>0</v>
      </c>
      <c r="J96" s="32">
        <f t="shared" si="22"/>
        <v>0</v>
      </c>
      <c r="K96" s="58">
        <f t="shared" si="23"/>
        <v>0</v>
      </c>
      <c r="L96" s="32"/>
      <c r="N96" s="104"/>
      <c r="O96" s="104"/>
      <c r="P96" s="104"/>
    </row>
    <row r="97" spans="1:16" s="4" customFormat="1" ht="38.25" customHeight="1" outlineLevel="1">
      <c r="A97" s="27" t="str">
        <f t="shared" si="20"/>
        <v>8A.S4.3</v>
      </c>
      <c r="B97" s="28" t="s">
        <v>87</v>
      </c>
      <c r="C97" s="28" t="s">
        <v>546</v>
      </c>
      <c r="D97" s="29" t="s">
        <v>517</v>
      </c>
      <c r="E97" s="31">
        <v>0</v>
      </c>
      <c r="F97" s="36"/>
      <c r="G97" s="93">
        <f>_xlfn.XLOOKUP(B97, Rate_Master!$A:$A, Rate_Master!$C:$C, "")</f>
        <v>0</v>
      </c>
      <c r="H97" s="93">
        <f>_xlfn.XLOOKUP(B97, Rate_Master!$A:$A, Rate_Master!$D:$D, "")</f>
        <v>0</v>
      </c>
      <c r="I97" s="67">
        <f t="shared" si="21"/>
        <v>0</v>
      </c>
      <c r="J97" s="32">
        <f t="shared" si="22"/>
        <v>0</v>
      </c>
      <c r="K97" s="58">
        <f t="shared" si="23"/>
        <v>0</v>
      </c>
      <c r="L97" s="32"/>
      <c r="N97" s="104"/>
      <c r="O97" s="104"/>
      <c r="P97" s="104"/>
    </row>
    <row r="98" spans="1:16" s="4" customFormat="1" ht="25.5" customHeight="1" outlineLevel="1">
      <c r="A98" s="27" t="str">
        <f t="shared" si="20"/>
        <v>8A.S4.4</v>
      </c>
      <c r="B98" s="28" t="s">
        <v>88</v>
      </c>
      <c r="C98" s="28" t="s">
        <v>546</v>
      </c>
      <c r="D98" s="29" t="s">
        <v>517</v>
      </c>
      <c r="E98" s="31">
        <v>0</v>
      </c>
      <c r="F98" s="36"/>
      <c r="G98" s="93">
        <f>_xlfn.XLOOKUP(B98, Rate_Master!$A:$A, Rate_Master!$C:$C, "")</f>
        <v>0</v>
      </c>
      <c r="H98" s="93">
        <f>_xlfn.XLOOKUP(B98, Rate_Master!$A:$A, Rate_Master!$D:$D, "")</f>
        <v>0</v>
      </c>
      <c r="I98" s="67">
        <f t="shared" si="21"/>
        <v>0</v>
      </c>
      <c r="J98" s="32">
        <f t="shared" si="22"/>
        <v>0</v>
      </c>
      <c r="K98" s="58">
        <f t="shared" si="23"/>
        <v>0</v>
      </c>
      <c r="L98" s="32"/>
      <c r="N98" s="104"/>
      <c r="O98" s="104"/>
      <c r="P98" s="104"/>
    </row>
    <row r="99" spans="1:16" s="4" customFormat="1" ht="51" customHeight="1" outlineLevel="1">
      <c r="A99" s="27" t="str">
        <f t="shared" si="20"/>
        <v>8A.S4.5</v>
      </c>
      <c r="B99" s="28" t="s">
        <v>89</v>
      </c>
      <c r="C99" s="28" t="s">
        <v>547</v>
      </c>
      <c r="D99" s="29" t="s">
        <v>520</v>
      </c>
      <c r="E99" s="31">
        <v>13006.2</v>
      </c>
      <c r="F99" s="36">
        <v>13006.2</v>
      </c>
      <c r="G99" s="93">
        <f>_xlfn.XLOOKUP(B99, Rate_Master!$A:$A, Rate_Master!$C:$C, "")</f>
        <v>17250</v>
      </c>
      <c r="H99" s="93">
        <f>_xlfn.XLOOKUP(B99, Rate_Master!$A:$A, Rate_Master!$D:$D, "")</f>
        <v>5750</v>
      </c>
      <c r="I99" s="67">
        <f t="shared" si="21"/>
        <v>23000</v>
      </c>
      <c r="J99" s="32">
        <f t="shared" si="22"/>
        <v>299142600</v>
      </c>
      <c r="K99" s="58">
        <f t="shared" si="23"/>
        <v>299142600</v>
      </c>
      <c r="L99" s="32"/>
      <c r="N99" s="104"/>
      <c r="O99" s="104"/>
      <c r="P99" s="104"/>
    </row>
    <row r="100" spans="1:16" s="4" customFormat="1" ht="38.25" customHeight="1" outlineLevel="1">
      <c r="A100" s="27" t="str">
        <f t="shared" si="20"/>
        <v>8A.S4.6</v>
      </c>
      <c r="B100" s="28" t="s">
        <v>90</v>
      </c>
      <c r="C100" s="28" t="s">
        <v>548</v>
      </c>
      <c r="D100" s="29" t="s">
        <v>520</v>
      </c>
      <c r="E100" s="31">
        <v>7713.299532</v>
      </c>
      <c r="F100" s="36"/>
      <c r="G100" s="93">
        <f>_xlfn.XLOOKUP(B100, Rate_Master!$A:$A, Rate_Master!$C:$C, "")</f>
        <v>0</v>
      </c>
      <c r="H100" s="93">
        <f>_xlfn.XLOOKUP(B100, Rate_Master!$A:$A, Rate_Master!$D:$D, "")</f>
        <v>0</v>
      </c>
      <c r="I100" s="67">
        <f t="shared" si="21"/>
        <v>0</v>
      </c>
      <c r="J100" s="32">
        <f t="shared" si="22"/>
        <v>0</v>
      </c>
      <c r="K100" s="58">
        <f t="shared" si="23"/>
        <v>0</v>
      </c>
      <c r="L100" s="75" t="s">
        <v>549</v>
      </c>
      <c r="N100" s="104"/>
      <c r="O100" s="104"/>
      <c r="P100" s="104"/>
    </row>
    <row r="101" spans="1:16" s="4" customFormat="1" ht="25.5" customHeight="1" outlineLevel="1">
      <c r="A101" s="27" t="str">
        <f t="shared" si="20"/>
        <v>8A.S4.7</v>
      </c>
      <c r="B101" s="28" t="s">
        <v>91</v>
      </c>
      <c r="C101" s="28" t="s">
        <v>515</v>
      </c>
      <c r="D101" s="29" t="s">
        <v>457</v>
      </c>
      <c r="E101" s="31">
        <v>1</v>
      </c>
      <c r="F101" s="36"/>
      <c r="G101" s="93">
        <f>_xlfn.XLOOKUP(B101, Rate_Master!$A:$A, Rate_Master!$C:$C, "")</f>
        <v>0</v>
      </c>
      <c r="H101" s="93">
        <f>_xlfn.XLOOKUP(B101, Rate_Master!$A:$A, Rate_Master!$D:$D, "")</f>
        <v>0</v>
      </c>
      <c r="I101" s="67">
        <f t="shared" si="21"/>
        <v>0</v>
      </c>
      <c r="J101" s="32">
        <f t="shared" si="22"/>
        <v>0</v>
      </c>
      <c r="K101" s="58">
        <f t="shared" si="23"/>
        <v>0</v>
      </c>
      <c r="L101" s="75" t="s">
        <v>549</v>
      </c>
      <c r="N101" s="104"/>
      <c r="O101" s="104"/>
      <c r="P101" s="104"/>
    </row>
    <row r="102" spans="1:16" s="4" customFormat="1" ht="51" customHeight="1" outlineLevel="1">
      <c r="A102" s="27" t="str">
        <f t="shared" si="20"/>
        <v>8A.S4.8</v>
      </c>
      <c r="B102" s="28" t="s">
        <v>92</v>
      </c>
      <c r="C102" s="28" t="s">
        <v>550</v>
      </c>
      <c r="D102" s="29" t="s">
        <v>520</v>
      </c>
      <c r="E102" s="31">
        <v>7713.299532</v>
      </c>
      <c r="F102" s="36"/>
      <c r="G102" s="93">
        <f>_xlfn.XLOOKUP(B102, Rate_Master!$A:$A, Rate_Master!$C:$C, "")</f>
        <v>16099.999999999998</v>
      </c>
      <c r="H102" s="93">
        <f>_xlfn.XLOOKUP(B102, Rate_Master!$A:$A, Rate_Master!$D:$D, "")</f>
        <v>3449.9999999999995</v>
      </c>
      <c r="I102" s="67">
        <f t="shared" si="21"/>
        <v>19549.999999999996</v>
      </c>
      <c r="J102" s="32">
        <f t="shared" si="22"/>
        <v>150795005.85059997</v>
      </c>
      <c r="K102" s="58">
        <f t="shared" si="23"/>
        <v>0</v>
      </c>
      <c r="L102" s="75" t="s">
        <v>549</v>
      </c>
      <c r="N102" s="104"/>
      <c r="O102" s="104"/>
      <c r="P102" s="104"/>
    </row>
    <row r="103" spans="1:16" s="3" customFormat="1" ht="25.5" customHeight="1">
      <c r="A103" s="22" t="str">
        <f>$A$9&amp;".F"</f>
        <v>8A.F</v>
      </c>
      <c r="B103" s="23" t="s">
        <v>93</v>
      </c>
      <c r="C103" s="23" t="s">
        <v>515</v>
      </c>
      <c r="D103" s="22"/>
      <c r="E103" s="25"/>
      <c r="F103" s="87"/>
      <c r="G103" s="25">
        <f>_xlfn.XLOOKUP(B103, Rate_Master!$A:$A, Rate_Master!$C:$C, "")</f>
        <v>0</v>
      </c>
      <c r="H103" s="25">
        <f>_xlfn.XLOOKUP(B103, Rate_Master!$A:$A, Rate_Master!$D:$D, "")</f>
        <v>0</v>
      </c>
      <c r="I103" s="26">
        <f>G103+H103</f>
        <v>0</v>
      </c>
      <c r="J103" s="26"/>
      <c r="K103" s="26"/>
      <c r="L103" s="26"/>
    </row>
    <row r="104" spans="1:16" s="3" customFormat="1" ht="25.5" customHeight="1">
      <c r="A104" s="22" t="str">
        <f>$A$103&amp;1</f>
        <v>8A.F1</v>
      </c>
      <c r="B104" s="23" t="s">
        <v>94</v>
      </c>
      <c r="C104" s="23" t="s">
        <v>515</v>
      </c>
      <c r="D104" s="22"/>
      <c r="E104" s="25"/>
      <c r="F104" s="87"/>
      <c r="G104" s="25">
        <f>_xlfn.XLOOKUP(B104, Rate_Master!$A:$A, Rate_Master!$C:$C, "")</f>
        <v>0</v>
      </c>
      <c r="H104" s="25">
        <f>_xlfn.XLOOKUP(B104, Rate_Master!$A:$A, Rate_Master!$D:$D, "")</f>
        <v>0</v>
      </c>
      <c r="I104" s="26">
        <f>G104+H104</f>
        <v>0</v>
      </c>
      <c r="J104" s="26">
        <f>SUBTOTAL(9,J105:J122)</f>
        <v>7073225159.5906525</v>
      </c>
      <c r="K104" s="26">
        <f>SUBTOTAL(9,K105:K122)</f>
        <v>7073225159.5906525</v>
      </c>
      <c r="L104" s="26"/>
    </row>
    <row r="105" spans="1:16" s="4" customFormat="1" ht="25.5" customHeight="1" outlineLevel="1">
      <c r="A105" s="27" t="str">
        <f t="shared" ref="A105:A122" si="24">$A$104&amp;"."&amp;ROW()-ROW($A$104)</f>
        <v>8A.F1.1</v>
      </c>
      <c r="B105" s="35" t="s">
        <v>95</v>
      </c>
      <c r="C105" s="34" t="s">
        <v>551</v>
      </c>
      <c r="D105" s="29" t="s">
        <v>519</v>
      </c>
      <c r="E105" s="31">
        <v>947.33100000000002</v>
      </c>
      <c r="F105" s="31">
        <v>947.33100000000002</v>
      </c>
      <c r="G105" s="30">
        <f>_xlfn.XLOOKUP(B105, Rate_Master!$A:$A, Rate_Master!$C:$C, "")</f>
        <v>1587600.0077618286</v>
      </c>
      <c r="H105" s="30">
        <f>_xlfn.XLOOKUP(B105, Rate_Master!$A:$A, Rate_Master!$D:$D, "")</f>
        <v>1086539.80861244</v>
      </c>
      <c r="I105" s="32">
        <f t="shared" ref="I105:I122" si="25">+H105+G105</f>
        <v>2674139.8163742684</v>
      </c>
      <c r="J105" s="32">
        <f t="shared" ref="J105:J122" si="26">I105*E105</f>
        <v>2533295546.3856521</v>
      </c>
      <c r="K105" s="32">
        <f t="shared" ref="K105:K122" si="27">I105*F105</f>
        <v>2533295546.3856521</v>
      </c>
      <c r="L105" s="32"/>
    </row>
    <row r="106" spans="1:16" s="4" customFormat="1" ht="25.5" customHeight="1" outlineLevel="1">
      <c r="A106" s="27" t="str">
        <f t="shared" si="24"/>
        <v>8A.F1.2</v>
      </c>
      <c r="B106" s="35" t="s">
        <v>96</v>
      </c>
      <c r="C106" s="34" t="s">
        <v>551</v>
      </c>
      <c r="D106" s="29" t="s">
        <v>519</v>
      </c>
      <c r="E106" s="31">
        <v>4.0179999999999998</v>
      </c>
      <c r="F106" s="31">
        <v>4.0179999999999998</v>
      </c>
      <c r="G106" s="30">
        <f>_xlfn.XLOOKUP(B106, Rate_Master!$A:$A, Rate_Master!$C:$C, "")</f>
        <v>1368500</v>
      </c>
      <c r="H106" s="30">
        <f>_xlfn.XLOOKUP(B106, Rate_Master!$A:$A, Rate_Master!$D:$D, "")</f>
        <v>948749.99999999988</v>
      </c>
      <c r="I106" s="32">
        <f t="shared" si="25"/>
        <v>2317250</v>
      </c>
      <c r="J106" s="32">
        <f t="shared" si="26"/>
        <v>9310710.5</v>
      </c>
      <c r="K106" s="32">
        <f t="shared" si="27"/>
        <v>9310710.5</v>
      </c>
      <c r="L106" s="32"/>
    </row>
    <row r="107" spans="1:16" s="4" customFormat="1" ht="63.75" customHeight="1" outlineLevel="1">
      <c r="A107" s="27" t="str">
        <f t="shared" si="24"/>
        <v>8A.F1.3</v>
      </c>
      <c r="B107" s="28" t="s">
        <v>97</v>
      </c>
      <c r="C107" s="34" t="s">
        <v>552</v>
      </c>
      <c r="D107" s="29" t="s">
        <v>520</v>
      </c>
      <c r="E107" s="31">
        <v>0</v>
      </c>
      <c r="F107" s="31">
        <v>0</v>
      </c>
      <c r="G107" s="31">
        <f>_xlfn.XLOOKUP(B107, Rate_Master!$A:$A, Rate_Master!$C:$C, "")</f>
        <v>229999.99999999997</v>
      </c>
      <c r="H107" s="31">
        <f>_xlfn.XLOOKUP(B107, Rate_Master!$A:$A, Rate_Master!$D:$D, "")</f>
        <v>46000</v>
      </c>
      <c r="I107" s="32">
        <f t="shared" si="25"/>
        <v>276000</v>
      </c>
      <c r="J107" s="32">
        <f t="shared" si="26"/>
        <v>0</v>
      </c>
      <c r="K107" s="32">
        <f t="shared" si="27"/>
        <v>0</v>
      </c>
      <c r="L107" s="32"/>
    </row>
    <row r="108" spans="1:16" s="4" customFormat="1" ht="51" customHeight="1" outlineLevel="1">
      <c r="A108" s="27" t="str">
        <f t="shared" si="24"/>
        <v>8A.F1.4</v>
      </c>
      <c r="B108" s="28" t="s">
        <v>98</v>
      </c>
      <c r="C108" s="34" t="s">
        <v>553</v>
      </c>
      <c r="D108" s="29" t="s">
        <v>520</v>
      </c>
      <c r="E108" s="31">
        <v>0</v>
      </c>
      <c r="F108" s="31">
        <v>0</v>
      </c>
      <c r="G108" s="31">
        <f>_xlfn.XLOOKUP(B108, Rate_Master!$A:$A, Rate_Master!$C:$C, "")</f>
        <v>0</v>
      </c>
      <c r="H108" s="31">
        <f>_xlfn.XLOOKUP(B108, Rate_Master!$A:$A, Rate_Master!$D:$D, "")</f>
        <v>0</v>
      </c>
      <c r="I108" s="32">
        <f t="shared" si="25"/>
        <v>0</v>
      </c>
      <c r="J108" s="32">
        <f t="shared" si="26"/>
        <v>0</v>
      </c>
      <c r="K108" s="32">
        <f t="shared" si="27"/>
        <v>0</v>
      </c>
      <c r="L108" s="32"/>
    </row>
    <row r="109" spans="1:16" s="4" customFormat="1" ht="51" customHeight="1" outlineLevel="1">
      <c r="A109" s="27" t="str">
        <f t="shared" si="24"/>
        <v>8A.F1.5</v>
      </c>
      <c r="B109" s="28" t="s">
        <v>99</v>
      </c>
      <c r="C109" s="34" t="s">
        <v>553</v>
      </c>
      <c r="D109" s="29" t="s">
        <v>520</v>
      </c>
      <c r="E109" s="31">
        <v>235.077</v>
      </c>
      <c r="F109" s="31">
        <v>235.077</v>
      </c>
      <c r="G109" s="31">
        <f>_xlfn.XLOOKUP(B109, Rate_Master!$A:$A, Rate_Master!$C:$C, "")</f>
        <v>931499.99999999988</v>
      </c>
      <c r="H109" s="31">
        <f>_xlfn.XLOOKUP(B109, Rate_Master!$A:$A, Rate_Master!$D:$D, "")</f>
        <v>114999.99999999999</v>
      </c>
      <c r="I109" s="32">
        <f t="shared" si="25"/>
        <v>1046499.9999999999</v>
      </c>
      <c r="J109" s="32">
        <f t="shared" si="26"/>
        <v>246008080.49999997</v>
      </c>
      <c r="K109" s="32">
        <f t="shared" si="27"/>
        <v>246008080.49999997</v>
      </c>
      <c r="L109" s="32"/>
    </row>
    <row r="110" spans="1:16" s="4" customFormat="1" ht="25.5" customHeight="1" outlineLevel="1">
      <c r="A110" s="27" t="str">
        <f t="shared" si="24"/>
        <v>8A.F1.6</v>
      </c>
      <c r="B110" s="28" t="s">
        <v>100</v>
      </c>
      <c r="C110" s="34" t="s">
        <v>554</v>
      </c>
      <c r="D110" s="29" t="s">
        <v>520</v>
      </c>
      <c r="E110" s="31">
        <v>684.80899999999997</v>
      </c>
      <c r="F110" s="31">
        <v>684.80899999999997</v>
      </c>
      <c r="G110" s="31">
        <f>_xlfn.XLOOKUP(B110, Rate_Master!$A:$A, Rate_Master!$C:$C, "")</f>
        <v>1586790</v>
      </c>
      <c r="H110" s="31">
        <f>_xlfn.XLOOKUP(B110, Rate_Master!$A:$A, Rate_Master!$D:$D, "")</f>
        <v>372210</v>
      </c>
      <c r="I110" s="32">
        <f t="shared" si="25"/>
        <v>1959000</v>
      </c>
      <c r="J110" s="32">
        <f t="shared" si="26"/>
        <v>1341540831</v>
      </c>
      <c r="K110" s="32">
        <f t="shared" si="27"/>
        <v>1341540831</v>
      </c>
      <c r="L110" s="32"/>
    </row>
    <row r="111" spans="1:16" s="4" customFormat="1" ht="51" customHeight="1" outlineLevel="1">
      <c r="A111" s="27" t="str">
        <f t="shared" si="24"/>
        <v>8A.F1.7</v>
      </c>
      <c r="B111" s="28" t="s">
        <v>101</v>
      </c>
      <c r="C111" s="28" t="s">
        <v>515</v>
      </c>
      <c r="D111" s="29" t="s">
        <v>520</v>
      </c>
      <c r="E111" s="31">
        <v>67.364000000000004</v>
      </c>
      <c r="F111" s="31">
        <v>67.364000000000004</v>
      </c>
      <c r="G111" s="31">
        <f>_xlfn.XLOOKUP(B111, Rate_Master!$A:$A, Rate_Master!$C:$C, "")</f>
        <v>1121250</v>
      </c>
      <c r="H111" s="31">
        <f>_xlfn.XLOOKUP(B111, Rate_Master!$A:$A, Rate_Master!$D:$D, "")</f>
        <v>114999.99999999999</v>
      </c>
      <c r="I111" s="32">
        <f t="shared" si="25"/>
        <v>1236250</v>
      </c>
      <c r="J111" s="32">
        <f t="shared" si="26"/>
        <v>83278745</v>
      </c>
      <c r="K111" s="32">
        <f t="shared" si="27"/>
        <v>83278745</v>
      </c>
      <c r="L111" s="32"/>
    </row>
    <row r="112" spans="1:16" s="4" customFormat="1" ht="51" customHeight="1" outlineLevel="1">
      <c r="A112" s="27" t="str">
        <f t="shared" si="24"/>
        <v>8A.F1.8</v>
      </c>
      <c r="B112" s="28" t="s">
        <v>102</v>
      </c>
      <c r="C112" s="34" t="s">
        <v>555</v>
      </c>
      <c r="D112" s="29" t="s">
        <v>520</v>
      </c>
      <c r="E112" s="31">
        <v>0</v>
      </c>
      <c r="F112" s="31">
        <v>0</v>
      </c>
      <c r="G112" s="31">
        <f>_xlfn.XLOOKUP(B112, Rate_Master!$A:$A, Rate_Master!$C:$C, "")</f>
        <v>0</v>
      </c>
      <c r="H112" s="31">
        <f>_xlfn.XLOOKUP(B112, Rate_Master!$A:$A, Rate_Master!$D:$D, "")</f>
        <v>0</v>
      </c>
      <c r="I112" s="32">
        <f t="shared" si="25"/>
        <v>0</v>
      </c>
      <c r="J112" s="32">
        <f t="shared" si="26"/>
        <v>0</v>
      </c>
      <c r="K112" s="32">
        <f t="shared" si="27"/>
        <v>0</v>
      </c>
      <c r="L112" s="32"/>
    </row>
    <row r="113" spans="1:12" s="4" customFormat="1" ht="51" customHeight="1" outlineLevel="1">
      <c r="A113" s="27" t="str">
        <f t="shared" si="24"/>
        <v>8A.F1.9</v>
      </c>
      <c r="B113" s="28" t="s">
        <v>103</v>
      </c>
      <c r="C113" s="34" t="s">
        <v>555</v>
      </c>
      <c r="D113" s="29" t="s">
        <v>520</v>
      </c>
      <c r="E113" s="31">
        <v>0</v>
      </c>
      <c r="F113" s="31">
        <v>0</v>
      </c>
      <c r="G113" s="31">
        <f>_xlfn.XLOOKUP(B113, Rate_Master!$A:$A, Rate_Master!$C:$C, "")</f>
        <v>0</v>
      </c>
      <c r="H113" s="31">
        <f>_xlfn.XLOOKUP(B113, Rate_Master!$A:$A, Rate_Master!$D:$D, "")</f>
        <v>0</v>
      </c>
      <c r="I113" s="32">
        <f t="shared" si="25"/>
        <v>0</v>
      </c>
      <c r="J113" s="32">
        <f t="shared" si="26"/>
        <v>0</v>
      </c>
      <c r="K113" s="32">
        <f t="shared" si="27"/>
        <v>0</v>
      </c>
      <c r="L113" s="32"/>
    </row>
    <row r="114" spans="1:12" s="4" customFormat="1" ht="25.5" customHeight="1" outlineLevel="1">
      <c r="A114" s="27" t="str">
        <f t="shared" si="24"/>
        <v>8A.F1.10</v>
      </c>
      <c r="B114" s="28" t="s">
        <v>104</v>
      </c>
      <c r="C114" s="28" t="s">
        <v>515</v>
      </c>
      <c r="D114" s="29" t="s">
        <v>520</v>
      </c>
      <c r="E114" s="31">
        <v>5771.5</v>
      </c>
      <c r="F114" s="31">
        <v>5771.5</v>
      </c>
      <c r="G114" s="30">
        <f>_xlfn.XLOOKUP(B114, Rate_Master!$A:$A, Rate_Master!$C:$C, "")</f>
        <v>46000</v>
      </c>
      <c r="H114" s="30">
        <f>_xlfn.XLOOKUP(B114, Rate_Master!$A:$A, Rate_Master!$D:$D, "")</f>
        <v>34500</v>
      </c>
      <c r="I114" s="32">
        <f t="shared" si="25"/>
        <v>80500</v>
      </c>
      <c r="J114" s="32">
        <f t="shared" si="26"/>
        <v>464605750</v>
      </c>
      <c r="K114" s="32">
        <f t="shared" si="27"/>
        <v>464605750</v>
      </c>
      <c r="L114" s="32"/>
    </row>
    <row r="115" spans="1:12" s="4" customFormat="1" ht="25.5" customHeight="1" outlineLevel="1">
      <c r="A115" s="27" t="str">
        <f t="shared" si="24"/>
        <v>8A.F1.11</v>
      </c>
      <c r="B115" s="28" t="s">
        <v>105</v>
      </c>
      <c r="C115" s="34" t="s">
        <v>556</v>
      </c>
      <c r="D115" s="29" t="s">
        <v>520</v>
      </c>
      <c r="E115" s="31">
        <v>4504.5680000000002</v>
      </c>
      <c r="F115" s="31">
        <v>4504.5680000000002</v>
      </c>
      <c r="G115" s="30">
        <f>_xlfn.XLOOKUP(B115, Rate_Master!$A:$A, Rate_Master!$C:$C, "")</f>
        <v>26565.000000000004</v>
      </c>
      <c r="H115" s="30">
        <f>_xlfn.XLOOKUP(B115, Rate_Master!$A:$A, Rate_Master!$D:$D, "")</f>
        <v>132250</v>
      </c>
      <c r="I115" s="32">
        <f t="shared" si="25"/>
        <v>158815</v>
      </c>
      <c r="J115" s="32">
        <f t="shared" si="26"/>
        <v>715392966.92000008</v>
      </c>
      <c r="K115" s="32">
        <f t="shared" si="27"/>
        <v>715392966.92000008</v>
      </c>
      <c r="L115" s="32"/>
    </row>
    <row r="116" spans="1:12" s="4" customFormat="1" ht="25.5" customHeight="1" outlineLevel="1">
      <c r="A116" s="27" t="str">
        <f t="shared" si="24"/>
        <v>8A.F1.12</v>
      </c>
      <c r="B116" s="28" t="s">
        <v>106</v>
      </c>
      <c r="C116" s="34" t="s">
        <v>556</v>
      </c>
      <c r="D116" s="29" t="s">
        <v>520</v>
      </c>
      <c r="E116" s="31">
        <v>5394.0889999999999</v>
      </c>
      <c r="F116" s="31">
        <v>5394.0889999999999</v>
      </c>
      <c r="G116" s="30">
        <f>_xlfn.XLOOKUP(B116, Rate_Master!$A:$A, Rate_Master!$C:$C, "")</f>
        <v>26565.000000000004</v>
      </c>
      <c r="H116" s="30">
        <f>_xlfn.XLOOKUP(B116, Rate_Master!$A:$A, Rate_Master!$D:$D, "")</f>
        <v>117299.99999999999</v>
      </c>
      <c r="I116" s="32">
        <f t="shared" si="25"/>
        <v>143865</v>
      </c>
      <c r="J116" s="32">
        <f t="shared" si="26"/>
        <v>776020613.98500001</v>
      </c>
      <c r="K116" s="32">
        <f t="shared" si="27"/>
        <v>776020613.98500001</v>
      </c>
      <c r="L116" s="32"/>
    </row>
    <row r="117" spans="1:12" s="4" customFormat="1" ht="38.25" customHeight="1" outlineLevel="1">
      <c r="A117" s="27" t="str">
        <f t="shared" si="24"/>
        <v>8A.F1.13</v>
      </c>
      <c r="B117" s="28" t="s">
        <v>107</v>
      </c>
      <c r="C117" s="28" t="s">
        <v>515</v>
      </c>
      <c r="D117" s="29" t="s">
        <v>520</v>
      </c>
      <c r="E117" s="31">
        <v>235.01599999999999</v>
      </c>
      <c r="F117" s="31">
        <v>235.01599999999999</v>
      </c>
      <c r="G117" s="31">
        <f>_xlfn.XLOOKUP(B117, Rate_Master!$A:$A, Rate_Master!$C:$C, "")</f>
        <v>218499.99999999997</v>
      </c>
      <c r="H117" s="31">
        <f>_xlfn.XLOOKUP(B117, Rate_Master!$A:$A, Rate_Master!$D:$D, "")</f>
        <v>138000</v>
      </c>
      <c r="I117" s="32">
        <f t="shared" si="25"/>
        <v>356500</v>
      </c>
      <c r="J117" s="32">
        <f t="shared" si="26"/>
        <v>83783204</v>
      </c>
      <c r="K117" s="32">
        <f t="shared" si="27"/>
        <v>83783204</v>
      </c>
      <c r="L117" s="32"/>
    </row>
    <row r="118" spans="1:12" s="4" customFormat="1" ht="25.5" customHeight="1" outlineLevel="1">
      <c r="A118" s="27" t="str">
        <f t="shared" si="24"/>
        <v>8A.F1.14</v>
      </c>
      <c r="B118" s="34" t="s">
        <v>108</v>
      </c>
      <c r="C118" s="28" t="s">
        <v>515</v>
      </c>
      <c r="D118" s="29" t="s">
        <v>520</v>
      </c>
      <c r="E118" s="31">
        <v>4504.5680000000002</v>
      </c>
      <c r="F118" s="31">
        <v>4504.5680000000002</v>
      </c>
      <c r="G118" s="30">
        <f>_xlfn.XLOOKUP(B118, Rate_Master!$A:$A, Rate_Master!$C:$C, "")</f>
        <v>51749.999999999993</v>
      </c>
      <c r="H118" s="30">
        <f>_xlfn.XLOOKUP(B118, Rate_Master!$A:$A, Rate_Master!$D:$D, "")</f>
        <v>34500</v>
      </c>
      <c r="I118" s="32">
        <f t="shared" si="25"/>
        <v>86250</v>
      </c>
      <c r="J118" s="32">
        <f t="shared" si="26"/>
        <v>388518990</v>
      </c>
      <c r="K118" s="32">
        <f t="shared" si="27"/>
        <v>388518990</v>
      </c>
      <c r="L118" s="32"/>
    </row>
    <row r="119" spans="1:12" s="4" customFormat="1" ht="25.5" customHeight="1" outlineLevel="1">
      <c r="A119" s="27" t="str">
        <f t="shared" si="24"/>
        <v>8A.F1.15</v>
      </c>
      <c r="B119" s="34" t="s">
        <v>109</v>
      </c>
      <c r="C119" s="28" t="s">
        <v>515</v>
      </c>
      <c r="D119" s="29" t="s">
        <v>520</v>
      </c>
      <c r="E119" s="31">
        <v>4987.1660000000002</v>
      </c>
      <c r="F119" s="31">
        <v>4987.1660000000002</v>
      </c>
      <c r="G119" s="31">
        <f>_xlfn.XLOOKUP(B119, Rate_Master!$A:$A, Rate_Master!$C:$C, "")</f>
        <v>46000</v>
      </c>
      <c r="H119" s="31">
        <f>_xlfn.XLOOKUP(B119, Rate_Master!$A:$A, Rate_Master!$D:$D, "")</f>
        <v>19550</v>
      </c>
      <c r="I119" s="32">
        <f t="shared" si="25"/>
        <v>65550</v>
      </c>
      <c r="J119" s="32">
        <f t="shared" si="26"/>
        <v>326908731.30000001</v>
      </c>
      <c r="K119" s="32">
        <f t="shared" si="27"/>
        <v>326908731.30000001</v>
      </c>
      <c r="L119" s="32"/>
    </row>
    <row r="120" spans="1:12" s="4" customFormat="1" ht="38.25" customHeight="1" outlineLevel="1">
      <c r="A120" s="27" t="str">
        <f t="shared" si="24"/>
        <v>8A.F1.16</v>
      </c>
      <c r="B120" s="34" t="s">
        <v>110</v>
      </c>
      <c r="C120" s="28" t="s">
        <v>515</v>
      </c>
      <c r="D120" s="29" t="s">
        <v>520</v>
      </c>
      <c r="E120" s="31">
        <v>97.334999999999994</v>
      </c>
      <c r="F120" s="31">
        <v>97.334999999999994</v>
      </c>
      <c r="G120" s="31">
        <f>_xlfn.XLOOKUP(B120, Rate_Master!$A:$A, Rate_Master!$C:$C, "")</f>
        <v>51749.999999999993</v>
      </c>
      <c r="H120" s="31">
        <f>_xlfn.XLOOKUP(B120, Rate_Master!$A:$A, Rate_Master!$D:$D, "")</f>
        <v>17250</v>
      </c>
      <c r="I120" s="32">
        <f t="shared" si="25"/>
        <v>69000</v>
      </c>
      <c r="J120" s="32">
        <f t="shared" si="26"/>
        <v>6716115</v>
      </c>
      <c r="K120" s="32">
        <f t="shared" si="27"/>
        <v>6716115</v>
      </c>
      <c r="L120" s="32"/>
    </row>
    <row r="121" spans="1:12" s="4" customFormat="1" ht="25.5" customHeight="1" outlineLevel="1">
      <c r="A121" s="27" t="str">
        <f t="shared" si="24"/>
        <v>8A.F1.17</v>
      </c>
      <c r="B121" s="34" t="s">
        <v>111</v>
      </c>
      <c r="C121" s="28" t="s">
        <v>515</v>
      </c>
      <c r="D121" s="29" t="s">
        <v>520</v>
      </c>
      <c r="E121" s="31">
        <v>74.572000000000003</v>
      </c>
      <c r="F121" s="31">
        <v>74.572000000000003</v>
      </c>
      <c r="G121" s="31">
        <f>_xlfn.XLOOKUP(B121, Rate_Master!$A:$A, Rate_Master!$C:$C, "")</f>
        <v>172500</v>
      </c>
      <c r="H121" s="31">
        <f>_xlfn.XLOOKUP(B121, Rate_Master!$A:$A, Rate_Master!$D:$D, "")</f>
        <v>28749.999999999996</v>
      </c>
      <c r="I121" s="32">
        <f t="shared" si="25"/>
        <v>201250</v>
      </c>
      <c r="J121" s="32">
        <f t="shared" si="26"/>
        <v>15007615</v>
      </c>
      <c r="K121" s="32">
        <f t="shared" si="27"/>
        <v>15007615</v>
      </c>
      <c r="L121" s="32"/>
    </row>
    <row r="122" spans="1:12" s="4" customFormat="1" ht="38.25" customHeight="1" outlineLevel="1">
      <c r="A122" s="27" t="str">
        <f t="shared" si="24"/>
        <v>8A.F1.18</v>
      </c>
      <c r="B122" s="34" t="s">
        <v>112</v>
      </c>
      <c r="C122" s="34" t="s">
        <v>557</v>
      </c>
      <c r="D122" s="29" t="s">
        <v>517</v>
      </c>
      <c r="E122" s="31">
        <v>385.2</v>
      </c>
      <c r="F122" s="31">
        <v>385.2</v>
      </c>
      <c r="G122" s="31">
        <f>_xlfn.XLOOKUP(B122, Rate_Master!$A:$A, Rate_Master!$C:$C, "")</f>
        <v>163300</v>
      </c>
      <c r="H122" s="31">
        <f>_xlfn.XLOOKUP(B122, Rate_Master!$A:$A, Rate_Master!$D:$D, "")</f>
        <v>51749.999999999993</v>
      </c>
      <c r="I122" s="32">
        <f t="shared" si="25"/>
        <v>215050</v>
      </c>
      <c r="J122" s="32">
        <f t="shared" si="26"/>
        <v>82837260</v>
      </c>
      <c r="K122" s="32">
        <f t="shared" si="27"/>
        <v>82837260</v>
      </c>
      <c r="L122" s="32"/>
    </row>
    <row r="123" spans="1:12" s="3" customFormat="1" ht="25.5" customHeight="1">
      <c r="A123" s="22" t="str">
        <f>$A$103&amp;2</f>
        <v>8A.F2</v>
      </c>
      <c r="B123" s="23" t="s">
        <v>113</v>
      </c>
      <c r="C123" s="23" t="s">
        <v>515</v>
      </c>
      <c r="D123" s="22"/>
      <c r="E123" s="25"/>
      <c r="F123" s="25"/>
      <c r="G123" s="25">
        <f>_xlfn.XLOOKUP(B123, Rate_Master!$A:$A, Rate_Master!$C:$C, "")</f>
        <v>0</v>
      </c>
      <c r="H123" s="25">
        <f>_xlfn.XLOOKUP(B123, Rate_Master!$A:$A, Rate_Master!$D:$D, "")</f>
        <v>0</v>
      </c>
      <c r="I123" s="26">
        <v>0</v>
      </c>
      <c r="J123" s="26">
        <f>SUBTOTAL(9,J124:J128)</f>
        <v>1022984579.1999998</v>
      </c>
      <c r="K123" s="26">
        <f>SUBTOTAL(9,K124:K128)</f>
        <v>1022984579.1999998</v>
      </c>
      <c r="L123" s="26"/>
    </row>
    <row r="124" spans="1:12" s="4" customFormat="1" ht="51" customHeight="1" outlineLevel="1">
      <c r="A124" s="27" t="str">
        <f>$A$123&amp;"."&amp;ROW()-ROW($A$123)</f>
        <v>8A.F2.1</v>
      </c>
      <c r="B124" s="34" t="s">
        <v>114</v>
      </c>
      <c r="C124" s="28" t="s">
        <v>515</v>
      </c>
      <c r="D124" s="29" t="s">
        <v>520</v>
      </c>
      <c r="E124" s="31">
        <v>68.56</v>
      </c>
      <c r="F124" s="31">
        <v>68.56</v>
      </c>
      <c r="G124" s="30">
        <f>_xlfn.XLOOKUP(B124, Rate_Master!$A:$A, Rate_Master!$C:$C, "")</f>
        <v>206999.99999999997</v>
      </c>
      <c r="H124" s="30">
        <f>_xlfn.XLOOKUP(B124, Rate_Master!$A:$A, Rate_Master!$D:$D, "")</f>
        <v>126499.99999999999</v>
      </c>
      <c r="I124" s="32">
        <f>+H124+G124</f>
        <v>333499.99999999994</v>
      </c>
      <c r="J124" s="32">
        <f>I124*E124</f>
        <v>22864759.999999996</v>
      </c>
      <c r="K124" s="32">
        <f>I124*F124</f>
        <v>22864759.999999996</v>
      </c>
      <c r="L124" s="32"/>
    </row>
    <row r="125" spans="1:12" s="4" customFormat="1" ht="51" customHeight="1" outlineLevel="1">
      <c r="A125" s="27" t="str">
        <f>$A$123&amp;"."&amp;ROW()-ROW($A$123)</f>
        <v>8A.F2.2</v>
      </c>
      <c r="B125" s="28" t="s">
        <v>115</v>
      </c>
      <c r="C125" s="28" t="s">
        <v>515</v>
      </c>
      <c r="D125" s="29" t="s">
        <v>520</v>
      </c>
      <c r="E125" s="31">
        <v>12789.255999999999</v>
      </c>
      <c r="F125" s="31">
        <v>12789.255999999999</v>
      </c>
      <c r="G125" s="30">
        <f>_xlfn.XLOOKUP(B125, Rate_Master!$A:$A, Rate_Master!$C:$C, "")</f>
        <v>28749.999999999996</v>
      </c>
      <c r="H125" s="30">
        <f>_xlfn.XLOOKUP(B125, Rate_Master!$A:$A, Rate_Master!$D:$D, "")</f>
        <v>49449.999999999993</v>
      </c>
      <c r="I125" s="32">
        <f>+H125+G125</f>
        <v>78199.999999999985</v>
      </c>
      <c r="J125" s="32">
        <f>I125*E125</f>
        <v>1000119819.1999998</v>
      </c>
      <c r="K125" s="32">
        <f>I125*F125</f>
        <v>1000119819.1999998</v>
      </c>
      <c r="L125" s="32"/>
    </row>
    <row r="126" spans="1:12" s="4" customFormat="1" ht="51" customHeight="1" outlineLevel="1">
      <c r="A126" s="27" t="str">
        <f>$A$123&amp;"."&amp;ROW()-ROW($A$123)</f>
        <v>8A.F2.3</v>
      </c>
      <c r="B126" s="34" t="s">
        <v>116</v>
      </c>
      <c r="C126" s="28" t="s">
        <v>515</v>
      </c>
      <c r="D126" s="29" t="s">
        <v>520</v>
      </c>
      <c r="E126" s="31">
        <v>0</v>
      </c>
      <c r="F126" s="31">
        <v>0</v>
      </c>
      <c r="G126" s="31">
        <f>_xlfn.XLOOKUP(B126, Rate_Master!$A:$A, Rate_Master!$C:$C, "")</f>
        <v>0</v>
      </c>
      <c r="H126" s="31">
        <f>_xlfn.XLOOKUP(B126, Rate_Master!$A:$A, Rate_Master!$D:$D, "")</f>
        <v>0</v>
      </c>
      <c r="I126" s="32">
        <v>0</v>
      </c>
      <c r="J126" s="32">
        <f>I126*E126</f>
        <v>0</v>
      </c>
      <c r="K126" s="32">
        <f>I126*F126</f>
        <v>0</v>
      </c>
      <c r="L126" s="32"/>
    </row>
    <row r="127" spans="1:12" s="4" customFormat="1" ht="51" customHeight="1" outlineLevel="1">
      <c r="A127" s="27" t="str">
        <f>$A$123&amp;"."&amp;ROW()-ROW($A$123)</f>
        <v>8A.F2.4</v>
      </c>
      <c r="B127" s="34" t="s">
        <v>117</v>
      </c>
      <c r="C127" s="28" t="s">
        <v>515</v>
      </c>
      <c r="D127" s="29" t="s">
        <v>520</v>
      </c>
      <c r="E127" s="31">
        <v>0</v>
      </c>
      <c r="F127" s="31">
        <v>0</v>
      </c>
      <c r="G127" s="31">
        <f>_xlfn.XLOOKUP(B127, Rate_Master!$A:$A, Rate_Master!$C:$C, "")</f>
        <v>0</v>
      </c>
      <c r="H127" s="31">
        <f>_xlfn.XLOOKUP(B127, Rate_Master!$A:$A, Rate_Master!$D:$D, "")</f>
        <v>0</v>
      </c>
      <c r="I127" s="32">
        <v>0</v>
      </c>
      <c r="J127" s="32">
        <f>I127*E127</f>
        <v>0</v>
      </c>
      <c r="K127" s="32">
        <f>I127*F127</f>
        <v>0</v>
      </c>
      <c r="L127" s="32"/>
    </row>
    <row r="128" spans="1:12" s="4" customFormat="1" ht="38.25" customHeight="1" outlineLevel="1">
      <c r="A128" s="27" t="str">
        <f>$A$123&amp;"."&amp;ROW()-ROW($A$123)</f>
        <v>8A.F2.5</v>
      </c>
      <c r="B128" s="34" t="s">
        <v>118</v>
      </c>
      <c r="C128" s="28" t="s">
        <v>515</v>
      </c>
      <c r="D128" s="29" t="s">
        <v>520</v>
      </c>
      <c r="E128" s="31">
        <v>0</v>
      </c>
      <c r="F128" s="31">
        <v>0</v>
      </c>
      <c r="G128" s="31">
        <f>_xlfn.XLOOKUP(B128, Rate_Master!$A:$A, Rate_Master!$C:$C, "")</f>
        <v>0</v>
      </c>
      <c r="H128" s="31">
        <f>_xlfn.XLOOKUP(B128, Rate_Master!$A:$A, Rate_Master!$D:$D, "")</f>
        <v>0</v>
      </c>
      <c r="I128" s="32">
        <v>0</v>
      </c>
      <c r="J128" s="32">
        <f>I128*E128</f>
        <v>0</v>
      </c>
      <c r="K128" s="32">
        <f>I128*F128</f>
        <v>0</v>
      </c>
      <c r="L128" s="32"/>
    </row>
    <row r="129" spans="1:12" s="3" customFormat="1" ht="25.5" customHeight="1">
      <c r="A129" s="22" t="str">
        <f>$A$103&amp;3</f>
        <v>8A.F3</v>
      </c>
      <c r="B129" s="23" t="s">
        <v>119</v>
      </c>
      <c r="C129" s="23" t="s">
        <v>515</v>
      </c>
      <c r="D129" s="22"/>
      <c r="E129" s="25"/>
      <c r="F129" s="25"/>
      <c r="G129" s="25">
        <f>_xlfn.XLOOKUP(B129, Rate_Master!$A:$A, Rate_Master!$C:$C, "")</f>
        <v>0</v>
      </c>
      <c r="H129" s="25">
        <f>_xlfn.XLOOKUP(B129, Rate_Master!$A:$A, Rate_Master!$D:$D, "")</f>
        <v>0</v>
      </c>
      <c r="I129" s="26">
        <v>0</v>
      </c>
      <c r="J129" s="26">
        <f>SUBTOTAL(9,J130:J137)</f>
        <v>298782966.25</v>
      </c>
      <c r="K129" s="26">
        <f>SUBTOTAL(9,K130:K137)</f>
        <v>298782966.25</v>
      </c>
      <c r="L129" s="26"/>
    </row>
    <row r="130" spans="1:12" s="4" customFormat="1" ht="25.5" customHeight="1" outlineLevel="1">
      <c r="A130" s="27" t="str">
        <f t="shared" ref="A130:A137" si="28">$A$129&amp;"."&amp;ROW()-ROW($A$129)</f>
        <v>8A.F3.1</v>
      </c>
      <c r="B130" s="34" t="s">
        <v>120</v>
      </c>
      <c r="C130" s="28" t="s">
        <v>515</v>
      </c>
      <c r="D130" s="29" t="s">
        <v>520</v>
      </c>
      <c r="E130" s="31">
        <v>95.552000000000007</v>
      </c>
      <c r="F130" s="31">
        <v>95.552000000000007</v>
      </c>
      <c r="G130" s="31">
        <f>_xlfn.XLOOKUP(B130, Rate_Master!$A:$A, Rate_Master!$C:$C, "")</f>
        <v>28749.999999999996</v>
      </c>
      <c r="H130" s="31">
        <f>_xlfn.XLOOKUP(B130, Rate_Master!$A:$A, Rate_Master!$D:$D, "")</f>
        <v>0</v>
      </c>
      <c r="I130" s="32">
        <f t="shared" ref="I130:I137" si="29">+H130+G130</f>
        <v>28749.999999999996</v>
      </c>
      <c r="J130" s="32">
        <f t="shared" ref="J130:J137" si="30">I130*E130</f>
        <v>2747120</v>
      </c>
      <c r="K130" s="32">
        <f t="shared" ref="K130:K137" si="31">I130*F130</f>
        <v>2747120</v>
      </c>
      <c r="L130" s="32"/>
    </row>
    <row r="131" spans="1:12" s="4" customFormat="1" ht="25.5" customHeight="1" outlineLevel="1">
      <c r="A131" s="27" t="str">
        <f t="shared" si="28"/>
        <v>8A.F3.2</v>
      </c>
      <c r="B131" s="34" t="s">
        <v>121</v>
      </c>
      <c r="C131" s="28" t="s">
        <v>515</v>
      </c>
      <c r="D131" s="29" t="s">
        <v>520</v>
      </c>
      <c r="E131" s="31">
        <v>0</v>
      </c>
      <c r="F131" s="31">
        <v>0</v>
      </c>
      <c r="G131" s="31">
        <f>_xlfn.XLOOKUP(B131, Rate_Master!$A:$A, Rate_Master!$C:$C, "")</f>
        <v>0</v>
      </c>
      <c r="H131" s="31">
        <f>_xlfn.XLOOKUP(B131, Rate_Master!$A:$A, Rate_Master!$D:$D, "")</f>
        <v>0</v>
      </c>
      <c r="I131" s="32">
        <f t="shared" si="29"/>
        <v>0</v>
      </c>
      <c r="J131" s="32">
        <f t="shared" si="30"/>
        <v>0</v>
      </c>
      <c r="K131" s="32">
        <f t="shared" si="31"/>
        <v>0</v>
      </c>
      <c r="L131" s="32"/>
    </row>
    <row r="132" spans="1:12" s="4" customFormat="1" ht="38.25" customHeight="1" outlineLevel="1">
      <c r="A132" s="27" t="str">
        <f t="shared" si="28"/>
        <v>8A.F3.3</v>
      </c>
      <c r="B132" s="34" t="s">
        <v>122</v>
      </c>
      <c r="C132" s="28" t="s">
        <v>515</v>
      </c>
      <c r="D132" s="29" t="s">
        <v>520</v>
      </c>
      <c r="E132" s="31">
        <v>67.807000000000002</v>
      </c>
      <c r="F132" s="31">
        <v>67.807000000000002</v>
      </c>
      <c r="G132" s="31">
        <f>_xlfn.XLOOKUP(B132, Rate_Master!$A:$A, Rate_Master!$C:$C, "")</f>
        <v>51749.999999999993</v>
      </c>
      <c r="H132" s="31">
        <f>_xlfn.XLOOKUP(B132, Rate_Master!$A:$A, Rate_Master!$D:$D, "")</f>
        <v>23000</v>
      </c>
      <c r="I132" s="32">
        <f t="shared" si="29"/>
        <v>74750</v>
      </c>
      <c r="J132" s="32">
        <f t="shared" si="30"/>
        <v>5068573.25</v>
      </c>
      <c r="K132" s="32">
        <f t="shared" si="31"/>
        <v>5068573.25</v>
      </c>
      <c r="L132" s="32"/>
    </row>
    <row r="133" spans="1:12" s="4" customFormat="1" ht="25.5" customHeight="1" outlineLevel="1">
      <c r="A133" s="27" t="str">
        <f t="shared" si="28"/>
        <v>8A.F3.4</v>
      </c>
      <c r="B133" s="34" t="s">
        <v>123</v>
      </c>
      <c r="C133" s="28" t="s">
        <v>515</v>
      </c>
      <c r="D133" s="29" t="s">
        <v>520</v>
      </c>
      <c r="E133" s="31">
        <v>27.745000000000001</v>
      </c>
      <c r="F133" s="31">
        <v>27.745000000000001</v>
      </c>
      <c r="G133" s="31">
        <f>_xlfn.XLOOKUP(B133, Rate_Master!$A:$A, Rate_Master!$C:$C, "")</f>
        <v>172500</v>
      </c>
      <c r="H133" s="31">
        <f>_xlfn.XLOOKUP(B133, Rate_Master!$A:$A, Rate_Master!$D:$D, "")</f>
        <v>34500</v>
      </c>
      <c r="I133" s="32">
        <f t="shared" si="29"/>
        <v>207000</v>
      </c>
      <c r="J133" s="32">
        <f t="shared" si="30"/>
        <v>5743215</v>
      </c>
      <c r="K133" s="32">
        <f t="shared" si="31"/>
        <v>5743215</v>
      </c>
      <c r="L133" s="32"/>
    </row>
    <row r="134" spans="1:12" s="4" customFormat="1" ht="51" customHeight="1" outlineLevel="1">
      <c r="A134" s="27" t="str">
        <f t="shared" si="28"/>
        <v>8A.F3.5</v>
      </c>
      <c r="B134" s="28" t="s">
        <v>124</v>
      </c>
      <c r="C134" s="34" t="s">
        <v>553</v>
      </c>
      <c r="D134" s="29" t="s">
        <v>520</v>
      </c>
      <c r="E134" s="31">
        <v>229.649</v>
      </c>
      <c r="F134" s="31">
        <v>229.649</v>
      </c>
      <c r="G134" s="30">
        <f>_xlfn.XLOOKUP(B134, Rate_Master!$A:$A, Rate_Master!$C:$C, "")</f>
        <v>1069500</v>
      </c>
      <c r="H134" s="30">
        <f>_xlfn.XLOOKUP(B134, Rate_Master!$A:$A, Rate_Master!$D:$D, "")</f>
        <v>172500</v>
      </c>
      <c r="I134" s="32">
        <f t="shared" si="29"/>
        <v>1242000</v>
      </c>
      <c r="J134" s="32">
        <f t="shared" si="30"/>
        <v>285224058</v>
      </c>
      <c r="K134" s="32">
        <f t="shared" si="31"/>
        <v>285224058</v>
      </c>
      <c r="L134" s="32"/>
    </row>
    <row r="135" spans="1:12" s="4" customFormat="1" ht="51" customHeight="1" outlineLevel="1">
      <c r="A135" s="27" t="str">
        <f t="shared" si="28"/>
        <v>8A.F3.6</v>
      </c>
      <c r="B135" s="34" t="s">
        <v>125</v>
      </c>
      <c r="C135" s="28" t="s">
        <v>515</v>
      </c>
      <c r="D135" s="29" t="s">
        <v>520</v>
      </c>
      <c r="E135" s="31">
        <v>0</v>
      </c>
      <c r="F135" s="31">
        <v>0</v>
      </c>
      <c r="G135" s="30">
        <f>_xlfn.XLOOKUP(B135, Rate_Master!$A:$A, Rate_Master!$C:$C, "")</f>
        <v>965999.99999999988</v>
      </c>
      <c r="H135" s="30">
        <f>_xlfn.XLOOKUP(B135, Rate_Master!$A:$A, Rate_Master!$D:$D, "")</f>
        <v>138000</v>
      </c>
      <c r="I135" s="32">
        <f t="shared" si="29"/>
        <v>1104000</v>
      </c>
      <c r="J135" s="32">
        <f t="shared" si="30"/>
        <v>0</v>
      </c>
      <c r="K135" s="32">
        <f t="shared" si="31"/>
        <v>0</v>
      </c>
      <c r="L135" s="32"/>
    </row>
    <row r="136" spans="1:12" s="4" customFormat="1" ht="25.5" customHeight="1" outlineLevel="1">
      <c r="A136" s="27" t="str">
        <f t="shared" si="28"/>
        <v>8A.F3.7</v>
      </c>
      <c r="B136" s="28" t="s">
        <v>126</v>
      </c>
      <c r="C136" s="28" t="s">
        <v>515</v>
      </c>
      <c r="D136" s="29" t="s">
        <v>520</v>
      </c>
      <c r="E136" s="31">
        <v>177.31</v>
      </c>
      <c r="F136" s="31">
        <v>177.31</v>
      </c>
      <c r="G136" s="30">
        <f>_xlfn.XLOOKUP(B136, Rate_Master!$A:$A, Rate_Master!$C:$C, "")</f>
        <v>0</v>
      </c>
      <c r="H136" s="30">
        <f>_xlfn.XLOOKUP(B136, Rate_Master!$A:$A, Rate_Master!$D:$D, "")</f>
        <v>0</v>
      </c>
      <c r="I136" s="32">
        <f t="shared" si="29"/>
        <v>0</v>
      </c>
      <c r="J136" s="32">
        <f t="shared" si="30"/>
        <v>0</v>
      </c>
      <c r="K136" s="32">
        <f t="shared" si="31"/>
        <v>0</v>
      </c>
      <c r="L136" s="32"/>
    </row>
    <row r="137" spans="1:12" s="4" customFormat="1" ht="25.5" customHeight="1" outlineLevel="1">
      <c r="A137" s="27" t="str">
        <f t="shared" si="28"/>
        <v>8A.F3.8</v>
      </c>
      <c r="B137" s="34" t="s">
        <v>127</v>
      </c>
      <c r="C137" s="28" t="s">
        <v>515</v>
      </c>
      <c r="D137" s="29" t="s">
        <v>520</v>
      </c>
      <c r="E137" s="31">
        <v>187.411</v>
      </c>
      <c r="F137" s="31">
        <v>187.411</v>
      </c>
      <c r="G137" s="30">
        <f>_xlfn.XLOOKUP(B137, Rate_Master!$A:$A, Rate_Master!$C:$C, "")</f>
        <v>0</v>
      </c>
      <c r="H137" s="30">
        <f>_xlfn.XLOOKUP(B137, Rate_Master!$A:$A, Rate_Master!$D:$D, "")</f>
        <v>0</v>
      </c>
      <c r="I137" s="32">
        <f t="shared" si="29"/>
        <v>0</v>
      </c>
      <c r="J137" s="32">
        <f t="shared" si="30"/>
        <v>0</v>
      </c>
      <c r="K137" s="32">
        <f t="shared" si="31"/>
        <v>0</v>
      </c>
      <c r="L137" s="32"/>
    </row>
    <row r="138" spans="1:12" s="3" customFormat="1" ht="25.5" customHeight="1">
      <c r="A138" s="22" t="str">
        <f>$A$103&amp;4</f>
        <v>8A.F4</v>
      </c>
      <c r="B138" s="23" t="s">
        <v>128</v>
      </c>
      <c r="C138" s="23" t="s">
        <v>515</v>
      </c>
      <c r="D138" s="22"/>
      <c r="E138" s="25"/>
      <c r="F138" s="25"/>
      <c r="G138" s="25">
        <f>_xlfn.XLOOKUP(B138, Rate_Master!$A:$A, Rate_Master!$C:$C, "")</f>
        <v>0</v>
      </c>
      <c r="H138" s="25">
        <f>_xlfn.XLOOKUP(B138, Rate_Master!$A:$A, Rate_Master!$D:$D, "")</f>
        <v>0</v>
      </c>
      <c r="I138" s="26">
        <v>0</v>
      </c>
      <c r="J138" s="26">
        <f>SUBTOTAL(9,J139:J150)</f>
        <v>1112328300</v>
      </c>
      <c r="K138" s="26">
        <f>SUBTOTAL(9,K139:K150)</f>
        <v>1112328300</v>
      </c>
      <c r="L138" s="26"/>
    </row>
    <row r="139" spans="1:12" s="4" customFormat="1" ht="63.75" customHeight="1" outlineLevel="1">
      <c r="A139" s="27" t="str">
        <f t="shared" ref="A139:A150" si="32">$A$138&amp;"."&amp;ROW()-ROW($A$138)</f>
        <v>8A.F4.1</v>
      </c>
      <c r="B139" s="28" t="s">
        <v>164</v>
      </c>
      <c r="C139" s="28" t="s">
        <v>515</v>
      </c>
      <c r="D139" s="29" t="s">
        <v>516</v>
      </c>
      <c r="E139" s="31">
        <v>2</v>
      </c>
      <c r="F139" s="31">
        <v>2</v>
      </c>
      <c r="G139" s="31">
        <f>_xlfn.XLOOKUP(B139, Rate_Master!$A:$A, Rate_Master!$C:$C, "")</f>
        <v>6209999.9999999991</v>
      </c>
      <c r="H139" s="31">
        <f>_xlfn.XLOOKUP(B139, Rate_Master!$A:$A, Rate_Master!$D:$D, "")</f>
        <v>413999.99999999994</v>
      </c>
      <c r="I139" s="32">
        <f t="shared" ref="I139:I150" si="33">+H139+G139</f>
        <v>6623999.9999999991</v>
      </c>
      <c r="J139" s="32">
        <f t="shared" ref="J139:J150" si="34">I139*E139</f>
        <v>13247999.999999998</v>
      </c>
      <c r="K139" s="32">
        <f t="shared" ref="K139:K150" si="35">I139*F139</f>
        <v>13247999.999999998</v>
      </c>
      <c r="L139" s="32"/>
    </row>
    <row r="140" spans="1:12" s="4" customFormat="1" ht="76.5" customHeight="1" outlineLevel="1">
      <c r="A140" s="27" t="str">
        <f t="shared" si="32"/>
        <v>8A.F4.2</v>
      </c>
      <c r="B140" s="28" t="s">
        <v>130</v>
      </c>
      <c r="C140" s="28" t="s">
        <v>515</v>
      </c>
      <c r="D140" s="29" t="s">
        <v>516</v>
      </c>
      <c r="E140" s="31">
        <v>9</v>
      </c>
      <c r="F140" s="31">
        <v>9</v>
      </c>
      <c r="G140" s="31">
        <f>_xlfn.XLOOKUP(B140, Rate_Master!$A:$A, Rate_Master!$C:$C, "")</f>
        <v>3104999.9999999995</v>
      </c>
      <c r="H140" s="31">
        <f>_xlfn.XLOOKUP(B140, Rate_Master!$A:$A, Rate_Master!$D:$D, "")</f>
        <v>206999.99999999997</v>
      </c>
      <c r="I140" s="32">
        <f t="shared" si="33"/>
        <v>3311999.9999999995</v>
      </c>
      <c r="J140" s="32">
        <f t="shared" si="34"/>
        <v>29807999.999999996</v>
      </c>
      <c r="K140" s="32">
        <f t="shared" si="35"/>
        <v>29807999.999999996</v>
      </c>
      <c r="L140" s="32"/>
    </row>
    <row r="141" spans="1:12" s="4" customFormat="1" ht="76.5" customHeight="1" outlineLevel="1">
      <c r="A141" s="27" t="str">
        <f t="shared" si="32"/>
        <v>8A.F4.3</v>
      </c>
      <c r="B141" s="28" t="s">
        <v>131</v>
      </c>
      <c r="C141" s="28" t="s">
        <v>515</v>
      </c>
      <c r="D141" s="29" t="s">
        <v>516</v>
      </c>
      <c r="E141" s="31">
        <v>79</v>
      </c>
      <c r="F141" s="31">
        <v>79</v>
      </c>
      <c r="G141" s="31">
        <f>_xlfn.XLOOKUP(B141, Rate_Master!$A:$A, Rate_Master!$C:$C, "")</f>
        <v>5037000</v>
      </c>
      <c r="H141" s="31">
        <f>_xlfn.XLOOKUP(B141, Rate_Master!$A:$A, Rate_Master!$D:$D, "")</f>
        <v>206999.99999999997</v>
      </c>
      <c r="I141" s="32">
        <f t="shared" si="33"/>
        <v>5244000</v>
      </c>
      <c r="J141" s="32">
        <f t="shared" si="34"/>
        <v>414276000</v>
      </c>
      <c r="K141" s="32">
        <f t="shared" si="35"/>
        <v>414276000</v>
      </c>
      <c r="L141" s="32"/>
    </row>
    <row r="142" spans="1:12" s="4" customFormat="1" ht="51" customHeight="1" outlineLevel="1">
      <c r="A142" s="27" t="str">
        <f t="shared" si="32"/>
        <v>8A.F4.4</v>
      </c>
      <c r="B142" s="28" t="s">
        <v>133</v>
      </c>
      <c r="C142" s="28" t="s">
        <v>515</v>
      </c>
      <c r="D142" s="29" t="s">
        <v>516</v>
      </c>
      <c r="E142" s="31">
        <v>11</v>
      </c>
      <c r="F142" s="31">
        <v>11</v>
      </c>
      <c r="G142" s="31">
        <f>_xlfn.XLOOKUP(B142, Rate_Master!$A:$A, Rate_Master!$C:$C, "")</f>
        <v>8538750</v>
      </c>
      <c r="H142" s="31">
        <f>_xlfn.XLOOKUP(B142, Rate_Master!$A:$A, Rate_Master!$D:$D, "")</f>
        <v>569250</v>
      </c>
      <c r="I142" s="32">
        <f t="shared" si="33"/>
        <v>9108000</v>
      </c>
      <c r="J142" s="32">
        <f t="shared" si="34"/>
        <v>100188000</v>
      </c>
      <c r="K142" s="32">
        <f t="shared" si="35"/>
        <v>100188000</v>
      </c>
      <c r="L142" s="32"/>
    </row>
    <row r="143" spans="1:12" s="4" customFormat="1" ht="76.5" customHeight="1" outlineLevel="1">
      <c r="A143" s="27" t="str">
        <f t="shared" si="32"/>
        <v>8A.F4.5</v>
      </c>
      <c r="B143" s="56" t="s">
        <v>202</v>
      </c>
      <c r="C143" s="28" t="s">
        <v>558</v>
      </c>
      <c r="D143" s="29" t="s">
        <v>516</v>
      </c>
      <c r="E143" s="31">
        <v>1</v>
      </c>
      <c r="F143" s="31">
        <v>1</v>
      </c>
      <c r="G143" s="31">
        <f>_xlfn.XLOOKUP(B143, Rate_Master!$A:$A, Rate_Master!$C:$C, "")</f>
        <v>22050100</v>
      </c>
      <c r="H143" s="31">
        <f>_xlfn.XLOOKUP(B143, Rate_Master!$A:$A, Rate_Master!$D:$D, "")</f>
        <v>8575550</v>
      </c>
      <c r="I143" s="32">
        <f t="shared" si="33"/>
        <v>30625650</v>
      </c>
      <c r="J143" s="32">
        <f t="shared" si="34"/>
        <v>30625650</v>
      </c>
      <c r="K143" s="32">
        <f t="shared" si="35"/>
        <v>30625650</v>
      </c>
      <c r="L143" s="71" t="s">
        <v>559</v>
      </c>
    </row>
    <row r="144" spans="1:12" s="4" customFormat="1" ht="51" customHeight="1" outlineLevel="1">
      <c r="A144" s="27" t="str">
        <f t="shared" si="32"/>
        <v>8A.F4.6</v>
      </c>
      <c r="B144" s="28" t="s">
        <v>136</v>
      </c>
      <c r="C144" s="28" t="s">
        <v>515</v>
      </c>
      <c r="D144" s="29" t="s">
        <v>516</v>
      </c>
      <c r="E144" s="31">
        <v>12</v>
      </c>
      <c r="F144" s="31">
        <v>12</v>
      </c>
      <c r="G144" s="31">
        <f>_xlfn.XLOOKUP(B144, Rate_Master!$A:$A, Rate_Master!$C:$C, "")</f>
        <v>15240960</v>
      </c>
      <c r="H144" s="31">
        <f>_xlfn.XLOOKUP(B144, Rate_Master!$A:$A, Rate_Master!$D:$D, "")</f>
        <v>5927040.0000000009</v>
      </c>
      <c r="I144" s="32">
        <f t="shared" si="33"/>
        <v>21168000</v>
      </c>
      <c r="J144" s="32">
        <f t="shared" si="34"/>
        <v>254016000</v>
      </c>
      <c r="K144" s="32">
        <f t="shared" si="35"/>
        <v>254016000</v>
      </c>
      <c r="L144" s="32"/>
    </row>
    <row r="145" spans="1:12" s="4" customFormat="1" ht="51" customHeight="1" outlineLevel="1">
      <c r="A145" s="27" t="str">
        <f t="shared" si="32"/>
        <v>8A.F4.7</v>
      </c>
      <c r="B145" s="28" t="s">
        <v>137</v>
      </c>
      <c r="C145" s="28" t="s">
        <v>515</v>
      </c>
      <c r="D145" s="29" t="s">
        <v>516</v>
      </c>
      <c r="E145" s="31">
        <v>2</v>
      </c>
      <c r="F145" s="31">
        <v>2</v>
      </c>
      <c r="G145" s="31">
        <f>_xlfn.XLOOKUP(B145, Rate_Master!$A:$A, Rate_Master!$C:$C, "")</f>
        <v>8112500</v>
      </c>
      <c r="H145" s="31">
        <f>_xlfn.XLOOKUP(B145, Rate_Master!$A:$A, Rate_Master!$D:$D, "")</f>
        <v>660000</v>
      </c>
      <c r="I145" s="32">
        <f t="shared" si="33"/>
        <v>8772500</v>
      </c>
      <c r="J145" s="32">
        <f t="shared" si="34"/>
        <v>17545000</v>
      </c>
      <c r="K145" s="32">
        <f t="shared" si="35"/>
        <v>17545000</v>
      </c>
      <c r="L145" s="32"/>
    </row>
    <row r="146" spans="1:12" s="4" customFormat="1" ht="38.25" customHeight="1" outlineLevel="1">
      <c r="A146" s="27" t="str">
        <f t="shared" si="32"/>
        <v>8A.F4.8</v>
      </c>
      <c r="B146" s="28" t="s">
        <v>166</v>
      </c>
      <c r="C146" s="28" t="s">
        <v>515</v>
      </c>
      <c r="D146" s="29" t="s">
        <v>516</v>
      </c>
      <c r="E146" s="31">
        <v>1</v>
      </c>
      <c r="F146" s="31">
        <v>1</v>
      </c>
      <c r="G146" s="31">
        <f>_xlfn.XLOOKUP(B146, Rate_Master!$A:$A, Rate_Master!$C:$C, "")</f>
        <v>5692500</v>
      </c>
      <c r="H146" s="31">
        <f>_xlfn.XLOOKUP(B146, Rate_Master!$A:$A, Rate_Master!$D:$D, "")</f>
        <v>569250</v>
      </c>
      <c r="I146" s="32">
        <f t="shared" si="33"/>
        <v>6261750</v>
      </c>
      <c r="J146" s="32">
        <f t="shared" si="34"/>
        <v>6261750</v>
      </c>
      <c r="K146" s="32">
        <f t="shared" si="35"/>
        <v>6261750</v>
      </c>
      <c r="L146" s="32"/>
    </row>
    <row r="147" spans="1:12" s="4" customFormat="1" ht="51" customHeight="1" outlineLevel="1">
      <c r="A147" s="27" t="str">
        <f t="shared" si="32"/>
        <v>8A.F4.9</v>
      </c>
      <c r="B147" s="28" t="s">
        <v>138</v>
      </c>
      <c r="C147" s="28" t="s">
        <v>515</v>
      </c>
      <c r="D147" s="29" t="s">
        <v>516</v>
      </c>
      <c r="E147" s="31">
        <v>1</v>
      </c>
      <c r="F147" s="31">
        <v>1</v>
      </c>
      <c r="G147" s="31">
        <f>_xlfn.XLOOKUP(B147, Rate_Master!$A:$A, Rate_Master!$C:$C, "")</f>
        <v>13584374.999999998</v>
      </c>
      <c r="H147" s="31">
        <f>_xlfn.XLOOKUP(B147, Rate_Master!$A:$A, Rate_Master!$D:$D, "")</f>
        <v>664125</v>
      </c>
      <c r="I147" s="32">
        <f t="shared" si="33"/>
        <v>14248499.999999998</v>
      </c>
      <c r="J147" s="32">
        <f t="shared" si="34"/>
        <v>14248499.999999998</v>
      </c>
      <c r="K147" s="32">
        <f t="shared" si="35"/>
        <v>14248499.999999998</v>
      </c>
      <c r="L147" s="32"/>
    </row>
    <row r="148" spans="1:12" s="4" customFormat="1" ht="51" customHeight="1" outlineLevel="1">
      <c r="A148" s="27" t="str">
        <f t="shared" si="32"/>
        <v>8A.F4.10</v>
      </c>
      <c r="B148" s="28" t="s">
        <v>139</v>
      </c>
      <c r="C148" s="28" t="s">
        <v>515</v>
      </c>
      <c r="D148" s="29" t="s">
        <v>516</v>
      </c>
      <c r="E148" s="31">
        <v>5</v>
      </c>
      <c r="F148" s="31">
        <v>5</v>
      </c>
      <c r="G148" s="31">
        <f>_xlfn.XLOOKUP(B148, Rate_Master!$A:$A, Rate_Master!$C:$C, "")</f>
        <v>19923750</v>
      </c>
      <c r="H148" s="31">
        <f>_xlfn.XLOOKUP(B148, Rate_Master!$A:$A, Rate_Master!$D:$D, "")</f>
        <v>2716875</v>
      </c>
      <c r="I148" s="32">
        <f t="shared" si="33"/>
        <v>22640625</v>
      </c>
      <c r="J148" s="32">
        <f t="shared" si="34"/>
        <v>113203125</v>
      </c>
      <c r="K148" s="32">
        <f t="shared" si="35"/>
        <v>113203125</v>
      </c>
      <c r="L148" s="32"/>
    </row>
    <row r="149" spans="1:12" s="4" customFormat="1" ht="76.5" customHeight="1" outlineLevel="1">
      <c r="A149" s="27" t="str">
        <f t="shared" si="32"/>
        <v>8A.F4.11</v>
      </c>
      <c r="B149" s="28" t="s">
        <v>203</v>
      </c>
      <c r="C149" s="28" t="s">
        <v>515</v>
      </c>
      <c r="D149" s="29" t="s">
        <v>516</v>
      </c>
      <c r="E149" s="31">
        <v>2</v>
      </c>
      <c r="F149" s="31">
        <v>2</v>
      </c>
      <c r="G149" s="31">
        <f>_xlfn.XLOOKUP(B149, Rate_Master!$A:$A, Rate_Master!$C:$C, "")</f>
        <v>10530550</v>
      </c>
      <c r="H149" s="31">
        <f>_xlfn.XLOOKUP(B149, Rate_Master!$A:$A, Rate_Master!$D:$D, "")</f>
        <v>4095149.9999999995</v>
      </c>
      <c r="I149" s="32">
        <f t="shared" si="33"/>
        <v>14625700</v>
      </c>
      <c r="J149" s="32">
        <f t="shared" si="34"/>
        <v>29251400</v>
      </c>
      <c r="K149" s="32">
        <f t="shared" si="35"/>
        <v>29251400</v>
      </c>
      <c r="L149" s="32"/>
    </row>
    <row r="150" spans="1:12" s="4" customFormat="1" ht="51" customHeight="1" outlineLevel="1">
      <c r="A150" s="27" t="str">
        <f t="shared" si="32"/>
        <v>8A.F4.12</v>
      </c>
      <c r="B150" s="28" t="s">
        <v>140</v>
      </c>
      <c r="C150" s="28" t="s">
        <v>515</v>
      </c>
      <c r="D150" s="29" t="s">
        <v>516</v>
      </c>
      <c r="E150" s="31">
        <v>3</v>
      </c>
      <c r="F150" s="31">
        <v>3</v>
      </c>
      <c r="G150" s="31">
        <f>_xlfn.XLOOKUP(B150, Rate_Master!$A:$A, Rate_Master!$C:$C, "")</f>
        <v>27168749.999999996</v>
      </c>
      <c r="H150" s="31">
        <f>_xlfn.XLOOKUP(B150, Rate_Master!$A:$A, Rate_Master!$D:$D, "")</f>
        <v>2716875</v>
      </c>
      <c r="I150" s="32">
        <f t="shared" si="33"/>
        <v>29885624.999999996</v>
      </c>
      <c r="J150" s="32">
        <f t="shared" si="34"/>
        <v>89656874.999999985</v>
      </c>
      <c r="K150" s="32">
        <f t="shared" si="35"/>
        <v>89656874.999999985</v>
      </c>
      <c r="L150" s="32"/>
    </row>
    <row r="151" spans="1:12" s="3" customFormat="1" ht="25.5" customHeight="1">
      <c r="A151" s="22" t="str">
        <f>$A$103&amp;5</f>
        <v>8A.F5</v>
      </c>
      <c r="B151" s="23" t="s">
        <v>143</v>
      </c>
      <c r="C151" s="23" t="s">
        <v>515</v>
      </c>
      <c r="D151" s="22"/>
      <c r="E151" s="25"/>
      <c r="F151" s="25"/>
      <c r="G151" s="25">
        <f>_xlfn.XLOOKUP(B151, Rate_Master!$A:$A, Rate_Master!$C:$C, "")</f>
        <v>0</v>
      </c>
      <c r="H151" s="25">
        <f>_xlfn.XLOOKUP(B151, Rate_Master!$A:$A, Rate_Master!$D:$D, "")</f>
        <v>0</v>
      </c>
      <c r="I151" s="26">
        <v>0</v>
      </c>
      <c r="J151" s="26">
        <f>SUBTOTAL(9,J152:J154)</f>
        <v>201757265</v>
      </c>
      <c r="K151" s="26">
        <f>SUBTOTAL(9,K152:K154)</f>
        <v>201757265</v>
      </c>
      <c r="L151" s="26"/>
    </row>
    <row r="152" spans="1:12" s="4" customFormat="1" ht="51" customHeight="1" outlineLevel="1">
      <c r="A152" s="27" t="str">
        <f>$A$151&amp;"."&amp;ROW()-ROW($A$151)</f>
        <v>8A.F5.1</v>
      </c>
      <c r="B152" s="34" t="s">
        <v>144</v>
      </c>
      <c r="C152" s="28" t="s">
        <v>515</v>
      </c>
      <c r="D152" s="29" t="s">
        <v>517</v>
      </c>
      <c r="E152" s="31">
        <v>753.92</v>
      </c>
      <c r="F152" s="31">
        <v>753.92</v>
      </c>
      <c r="G152" s="31">
        <f>_xlfn.XLOOKUP(B152, Rate_Master!$A:$A, Rate_Master!$C:$C, "")</f>
        <v>161000</v>
      </c>
      <c r="H152" s="31">
        <f>_xlfn.XLOOKUP(B152, Rate_Master!$A:$A, Rate_Master!$D:$D, "")</f>
        <v>34500</v>
      </c>
      <c r="I152" s="32">
        <f>+H152+G152</f>
        <v>195500</v>
      </c>
      <c r="J152" s="32">
        <f>I152*E152</f>
        <v>147391360</v>
      </c>
      <c r="K152" s="32">
        <f>I152*F152</f>
        <v>147391360</v>
      </c>
      <c r="L152" s="32"/>
    </row>
    <row r="153" spans="1:12" s="4" customFormat="1" ht="38.25" customHeight="1" outlineLevel="1">
      <c r="A153" s="27" t="str">
        <f>$A$151&amp;"."&amp;ROW()-ROW($A$151)</f>
        <v>8A.F5.2</v>
      </c>
      <c r="B153" s="34" t="s">
        <v>145</v>
      </c>
      <c r="C153" s="28" t="s">
        <v>515</v>
      </c>
      <c r="D153" s="29" t="s">
        <v>517</v>
      </c>
      <c r="E153" s="31">
        <v>42.976999999999997</v>
      </c>
      <c r="F153" s="31">
        <v>42.976999999999997</v>
      </c>
      <c r="G153" s="31">
        <f>_xlfn.XLOOKUP(B153, Rate_Master!$A:$A, Rate_Master!$C:$C, "")</f>
        <v>517499.99999999994</v>
      </c>
      <c r="H153" s="31">
        <f>_xlfn.XLOOKUP(B153, Rate_Master!$A:$A, Rate_Master!$D:$D, "")</f>
        <v>57499.999999999993</v>
      </c>
      <c r="I153" s="32">
        <f>+H153+G153</f>
        <v>574999.99999999988</v>
      </c>
      <c r="J153" s="32">
        <f>I153*E153</f>
        <v>24711774.999999993</v>
      </c>
      <c r="K153" s="32">
        <f>I153*F153</f>
        <v>24711774.999999993</v>
      </c>
      <c r="L153" s="32"/>
    </row>
    <row r="154" spans="1:12" s="4" customFormat="1" ht="38.25" customHeight="1" outlineLevel="1">
      <c r="A154" s="27" t="str">
        <f>$A$151&amp;"."&amp;ROW()-ROW($A$151)</f>
        <v>8A.F5.3</v>
      </c>
      <c r="B154" s="34" t="s">
        <v>146</v>
      </c>
      <c r="C154" s="28" t="s">
        <v>515</v>
      </c>
      <c r="D154" s="29" t="s">
        <v>517</v>
      </c>
      <c r="E154" s="31">
        <v>42.976999999999997</v>
      </c>
      <c r="F154" s="31">
        <v>42.976999999999997</v>
      </c>
      <c r="G154" s="31">
        <f>_xlfn.XLOOKUP(B154, Rate_Master!$A:$A, Rate_Master!$C:$C, "")</f>
        <v>632500</v>
      </c>
      <c r="H154" s="31">
        <f>_xlfn.XLOOKUP(B154, Rate_Master!$A:$A, Rate_Master!$D:$D, "")</f>
        <v>57499.999999999993</v>
      </c>
      <c r="I154" s="32">
        <f>+H154+G154</f>
        <v>690000</v>
      </c>
      <c r="J154" s="32">
        <f>I154*E154</f>
        <v>29654129.999999996</v>
      </c>
      <c r="K154" s="32">
        <f>I154*F154</f>
        <v>29654129.999999996</v>
      </c>
      <c r="L154" s="32"/>
    </row>
    <row r="155" spans="1:12" s="3" customFormat="1" ht="25.5" customHeight="1">
      <c r="A155" s="22" t="str">
        <f>$A$103&amp;6</f>
        <v>8A.F6</v>
      </c>
      <c r="B155" s="23" t="s">
        <v>147</v>
      </c>
      <c r="C155" s="23" t="s">
        <v>515</v>
      </c>
      <c r="D155" s="22"/>
      <c r="E155" s="25"/>
      <c r="F155" s="25"/>
      <c r="G155" s="25">
        <f>_xlfn.XLOOKUP(B155, Rate_Master!$A:$A, Rate_Master!$C:$C, "")</f>
        <v>0</v>
      </c>
      <c r="H155" s="25">
        <f>_xlfn.XLOOKUP(B155, Rate_Master!$A:$A, Rate_Master!$D:$D, "")</f>
        <v>0</v>
      </c>
      <c r="I155" s="26">
        <v>0</v>
      </c>
      <c r="J155" s="26">
        <f>SUBTOTAL(9,J156:J160)</f>
        <v>134402640</v>
      </c>
      <c r="K155" s="26">
        <f>SUBTOTAL(9,K156:K160)</f>
        <v>134402640</v>
      </c>
      <c r="L155" s="26"/>
    </row>
    <row r="156" spans="1:12" s="4" customFormat="1" ht="51" customHeight="1" outlineLevel="1">
      <c r="A156" s="27" t="str">
        <f>$A$155&amp;"."&amp;ROW()-ROW($A$155)</f>
        <v>8A.F6.1</v>
      </c>
      <c r="B156" s="34" t="s">
        <v>148</v>
      </c>
      <c r="C156" s="34" t="s">
        <v>515</v>
      </c>
      <c r="D156" s="29" t="s">
        <v>520</v>
      </c>
      <c r="E156" s="31">
        <v>161.24299999999999</v>
      </c>
      <c r="F156" s="31">
        <v>161.24299999999999</v>
      </c>
      <c r="G156" s="31">
        <f>_xlfn.XLOOKUP(B156, Rate_Master!$A:$A, Rate_Master!$C:$C, "")</f>
        <v>155000</v>
      </c>
      <c r="H156" s="31">
        <f>_xlfn.XLOOKUP(B156, Rate_Master!$A:$A, Rate_Master!$D:$D, "")</f>
        <v>45000</v>
      </c>
      <c r="I156" s="32">
        <f>+H156+G156</f>
        <v>200000</v>
      </c>
      <c r="J156" s="32">
        <f>I156*E156</f>
        <v>32248600</v>
      </c>
      <c r="K156" s="32">
        <f>I156*F156</f>
        <v>32248600</v>
      </c>
      <c r="L156" s="32"/>
    </row>
    <row r="157" spans="1:12" s="4" customFormat="1" ht="25.5" customHeight="1" outlineLevel="1">
      <c r="A157" s="27" t="str">
        <f>$A$155&amp;"."&amp;ROW()-ROW($A$155)</f>
        <v>8A.F6.2</v>
      </c>
      <c r="B157" s="34" t="s">
        <v>149</v>
      </c>
      <c r="C157" s="34" t="s">
        <v>515</v>
      </c>
      <c r="D157" s="29" t="s">
        <v>520</v>
      </c>
      <c r="E157" s="31">
        <v>106.86</v>
      </c>
      <c r="F157" s="31">
        <v>106.86</v>
      </c>
      <c r="G157" s="31">
        <f>_xlfn.XLOOKUP(B157, Rate_Master!$A:$A, Rate_Master!$C:$C, "")</f>
        <v>310500</v>
      </c>
      <c r="H157" s="31">
        <f>_xlfn.XLOOKUP(B157, Rate_Master!$A:$A, Rate_Master!$D:$D, "")</f>
        <v>34500</v>
      </c>
      <c r="I157" s="32">
        <f>+H157+G157</f>
        <v>345000</v>
      </c>
      <c r="J157" s="32">
        <f>I157*E157</f>
        <v>36866700</v>
      </c>
      <c r="K157" s="32">
        <f>I157*F157</f>
        <v>36866700</v>
      </c>
      <c r="L157" s="32"/>
    </row>
    <row r="158" spans="1:12" s="4" customFormat="1" ht="51" customHeight="1" outlineLevel="1">
      <c r="A158" s="27" t="str">
        <f>$A$155&amp;"."&amp;ROW()-ROW($A$155)</f>
        <v>8A.F6.3</v>
      </c>
      <c r="B158" s="34" t="s">
        <v>150</v>
      </c>
      <c r="C158" s="34" t="s">
        <v>515</v>
      </c>
      <c r="D158" s="29" t="s">
        <v>520</v>
      </c>
      <c r="E158" s="31">
        <v>106.86</v>
      </c>
      <c r="F158" s="31">
        <v>106.86</v>
      </c>
      <c r="G158" s="31">
        <f>_xlfn.XLOOKUP(B158, Rate_Master!$A:$A, Rate_Master!$C:$C, "")</f>
        <v>287500</v>
      </c>
      <c r="H158" s="31">
        <f>_xlfn.XLOOKUP(B158, Rate_Master!$A:$A, Rate_Master!$D:$D, "")</f>
        <v>69000</v>
      </c>
      <c r="I158" s="32">
        <f>+H158+G158</f>
        <v>356500</v>
      </c>
      <c r="J158" s="32">
        <f>I158*E158</f>
        <v>38095590</v>
      </c>
      <c r="K158" s="32">
        <f>I158*F158</f>
        <v>38095590</v>
      </c>
      <c r="L158" s="32"/>
    </row>
    <row r="159" spans="1:12" s="4" customFormat="1" ht="51" customHeight="1" outlineLevel="1">
      <c r="A159" s="27" t="str">
        <f>$A$155&amp;"."&amp;ROW()-ROW($A$155)</f>
        <v>8A.F6.4</v>
      </c>
      <c r="B159" s="34" t="s">
        <v>151</v>
      </c>
      <c r="C159" s="34" t="s">
        <v>515</v>
      </c>
      <c r="D159" s="29" t="s">
        <v>520</v>
      </c>
      <c r="E159" s="31">
        <v>106.86</v>
      </c>
      <c r="F159" s="31">
        <v>106.86</v>
      </c>
      <c r="G159" s="31">
        <f>_xlfn.XLOOKUP(B159, Rate_Master!$A:$A, Rate_Master!$C:$C, "")</f>
        <v>23000</v>
      </c>
      <c r="H159" s="31">
        <f>_xlfn.XLOOKUP(B159, Rate_Master!$A:$A, Rate_Master!$D:$D, "")</f>
        <v>126499.99999999999</v>
      </c>
      <c r="I159" s="32">
        <f>+H159+G159</f>
        <v>149500</v>
      </c>
      <c r="J159" s="32">
        <f>I159*E159</f>
        <v>15975570</v>
      </c>
      <c r="K159" s="32">
        <f>I159*F159</f>
        <v>15975570</v>
      </c>
      <c r="L159" s="32"/>
    </row>
    <row r="160" spans="1:12" s="4" customFormat="1" ht="63.75" customHeight="1" outlineLevel="1">
      <c r="A160" s="27" t="str">
        <f>$A$155&amp;"."&amp;ROW()-ROW($A$155)</f>
        <v>8A.F6.5</v>
      </c>
      <c r="B160" s="34" t="s">
        <v>152</v>
      </c>
      <c r="C160" s="34" t="s">
        <v>560</v>
      </c>
      <c r="D160" s="29" t="s">
        <v>517</v>
      </c>
      <c r="E160" s="31">
        <v>52.72</v>
      </c>
      <c r="F160" s="31">
        <v>52.72</v>
      </c>
      <c r="G160" s="31">
        <f>_xlfn.XLOOKUP(B160, Rate_Master!$A:$A, Rate_Master!$C:$C, "")</f>
        <v>155250</v>
      </c>
      <c r="H160" s="31">
        <f>_xlfn.XLOOKUP(B160, Rate_Master!$A:$A, Rate_Master!$D:$D, "")</f>
        <v>57499.999999999993</v>
      </c>
      <c r="I160" s="32">
        <f>+H160+G160</f>
        <v>212750</v>
      </c>
      <c r="J160" s="32">
        <f>I160*E160</f>
        <v>11216180</v>
      </c>
      <c r="K160" s="32">
        <f>I160*F160</f>
        <v>11216180</v>
      </c>
      <c r="L160" s="32"/>
    </row>
    <row r="161" spans="1:12" s="3" customFormat="1" ht="25.5" customHeight="1">
      <c r="A161" s="22" t="str">
        <f>$A$103&amp;7</f>
        <v>8A.F7</v>
      </c>
      <c r="B161" s="23" t="s">
        <v>84</v>
      </c>
      <c r="C161" s="23" t="s">
        <v>515</v>
      </c>
      <c r="D161" s="22"/>
      <c r="E161" s="25"/>
      <c r="F161" s="25"/>
      <c r="G161" s="25">
        <f>_xlfn.XLOOKUP(B161, Rate_Master!$A:$A, Rate_Master!$C:$C, "")</f>
        <v>0</v>
      </c>
      <c r="H161" s="25">
        <f>_xlfn.XLOOKUP(B161, Rate_Master!$A:$A, Rate_Master!$D:$D, "")</f>
        <v>0</v>
      </c>
      <c r="I161" s="26">
        <v>0</v>
      </c>
      <c r="J161" s="26">
        <f>SUBTOTAL(9,J162:J173)</f>
        <v>1723819108</v>
      </c>
      <c r="K161" s="26">
        <f>SUBTOTAL(9,K162:K173)</f>
        <v>1723819108</v>
      </c>
      <c r="L161" s="26"/>
    </row>
    <row r="162" spans="1:12" s="4" customFormat="1" ht="38.25" customHeight="1" outlineLevel="1">
      <c r="A162" s="27" t="str">
        <f t="shared" ref="A162:A173" si="36">$A$161&amp;"."&amp;ROW()-ROW($A$161)</f>
        <v>8A.F7.1</v>
      </c>
      <c r="B162" s="48" t="s">
        <v>153</v>
      </c>
      <c r="C162" s="34" t="s">
        <v>561</v>
      </c>
      <c r="D162" s="29" t="s">
        <v>517</v>
      </c>
      <c r="E162" s="31">
        <v>5.56</v>
      </c>
      <c r="F162" s="31">
        <v>5.56</v>
      </c>
      <c r="G162" s="31">
        <f>_xlfn.XLOOKUP(B162, Rate_Master!$A:$A, Rate_Master!$C:$C, "")</f>
        <v>4024999.9999999995</v>
      </c>
      <c r="H162" s="31">
        <f>_xlfn.XLOOKUP(B162, Rate_Master!$A:$A, Rate_Master!$D:$D, "")</f>
        <v>1380000</v>
      </c>
      <c r="I162" s="32">
        <f>+H162+G162</f>
        <v>5405000</v>
      </c>
      <c r="J162" s="32">
        <f t="shared" ref="J162:J173" si="37">I162*E162</f>
        <v>30051799.999999996</v>
      </c>
      <c r="K162" s="32">
        <f t="shared" ref="K162:K173" si="38">I162*F162</f>
        <v>30051799.999999996</v>
      </c>
      <c r="L162" s="32"/>
    </row>
    <row r="163" spans="1:12" s="4" customFormat="1" ht="38.25" customHeight="1" outlineLevel="1">
      <c r="A163" s="27" t="str">
        <f t="shared" si="36"/>
        <v>8A.F7.2</v>
      </c>
      <c r="B163" s="48" t="s">
        <v>167</v>
      </c>
      <c r="C163" s="34"/>
      <c r="D163" s="29" t="s">
        <v>517</v>
      </c>
      <c r="E163" s="31">
        <v>0</v>
      </c>
      <c r="F163" s="31">
        <v>0</v>
      </c>
      <c r="G163" s="31">
        <f>_xlfn.XLOOKUP(B163, Rate_Master!$A:$A, Rate_Master!$C:$C, "")</f>
        <v>0</v>
      </c>
      <c r="H163" s="31">
        <f>_xlfn.XLOOKUP(B163, Rate_Master!$A:$A, Rate_Master!$D:$D, "")</f>
        <v>0</v>
      </c>
      <c r="I163" s="32">
        <v>0</v>
      </c>
      <c r="J163" s="32">
        <f t="shared" si="37"/>
        <v>0</v>
      </c>
      <c r="K163" s="32">
        <f t="shared" si="38"/>
        <v>0</v>
      </c>
      <c r="L163" s="32"/>
    </row>
    <row r="164" spans="1:12" s="4" customFormat="1" ht="38.25" customHeight="1" outlineLevel="1">
      <c r="A164" s="27" t="str">
        <f t="shared" si="36"/>
        <v>8A.F7.3</v>
      </c>
      <c r="B164" s="48" t="s">
        <v>154</v>
      </c>
      <c r="C164" s="28" t="s">
        <v>515</v>
      </c>
      <c r="D164" s="50" t="s">
        <v>517</v>
      </c>
      <c r="E164" s="31">
        <v>6</v>
      </c>
      <c r="F164" s="31">
        <v>6</v>
      </c>
      <c r="G164" s="31">
        <f>_xlfn.XLOOKUP(B164, Rate_Master!$A:$A, Rate_Master!$C:$C, "")</f>
        <v>359375</v>
      </c>
      <c r="H164" s="31">
        <f>_xlfn.XLOOKUP(B164, Rate_Master!$A:$A, Rate_Master!$D:$D, "")</f>
        <v>71875</v>
      </c>
      <c r="I164" s="32">
        <f>+H164+G164</f>
        <v>431250</v>
      </c>
      <c r="J164" s="32">
        <f t="shared" si="37"/>
        <v>2587500</v>
      </c>
      <c r="K164" s="32">
        <f t="shared" si="38"/>
        <v>2587500</v>
      </c>
      <c r="L164" s="32"/>
    </row>
    <row r="165" spans="1:12" s="4" customFormat="1" ht="25.5" customHeight="1" outlineLevel="1">
      <c r="A165" s="27" t="str">
        <f t="shared" si="36"/>
        <v>8A.F7.4</v>
      </c>
      <c r="B165" s="51" t="s">
        <v>155</v>
      </c>
      <c r="C165" s="28" t="s">
        <v>515</v>
      </c>
      <c r="D165" s="50" t="s">
        <v>517</v>
      </c>
      <c r="E165" s="31">
        <v>5.56</v>
      </c>
      <c r="F165" s="31">
        <v>5.56</v>
      </c>
      <c r="G165" s="31">
        <f>_xlfn.XLOOKUP(B165, Rate_Master!$A:$A, Rate_Master!$C:$C, "")</f>
        <v>1954999.9999999998</v>
      </c>
      <c r="H165" s="31">
        <f>_xlfn.XLOOKUP(B165, Rate_Master!$A:$A, Rate_Master!$D:$D, "")</f>
        <v>114999.99999999999</v>
      </c>
      <c r="I165" s="32">
        <f>+H165+G165</f>
        <v>2069999.9999999998</v>
      </c>
      <c r="J165" s="32">
        <f t="shared" si="37"/>
        <v>11509199.999999998</v>
      </c>
      <c r="K165" s="32">
        <f t="shared" si="38"/>
        <v>11509199.999999998</v>
      </c>
      <c r="L165" s="32"/>
    </row>
    <row r="166" spans="1:12" s="4" customFormat="1" ht="51" customHeight="1" outlineLevel="1">
      <c r="A166" s="27" t="str">
        <f t="shared" si="36"/>
        <v>8A.F7.5</v>
      </c>
      <c r="B166" s="51" t="s">
        <v>168</v>
      </c>
      <c r="C166" s="28"/>
      <c r="D166" s="50" t="s">
        <v>517</v>
      </c>
      <c r="E166" s="31">
        <v>0</v>
      </c>
      <c r="F166" s="31">
        <v>0</v>
      </c>
      <c r="G166" s="31">
        <f>_xlfn.XLOOKUP(B166, Rate_Master!$A:$A, Rate_Master!$C:$C, "")</f>
        <v>0</v>
      </c>
      <c r="H166" s="31">
        <f>_xlfn.XLOOKUP(B166, Rate_Master!$A:$A, Rate_Master!$D:$D, "")</f>
        <v>0</v>
      </c>
      <c r="I166" s="32">
        <v>0</v>
      </c>
      <c r="J166" s="32">
        <f t="shared" si="37"/>
        <v>0</v>
      </c>
      <c r="K166" s="32">
        <f t="shared" si="38"/>
        <v>0</v>
      </c>
      <c r="L166" s="32"/>
    </row>
    <row r="167" spans="1:12" s="4" customFormat="1" ht="51" customHeight="1" outlineLevel="1">
      <c r="A167" s="27" t="str">
        <f t="shared" si="36"/>
        <v>8A.F7.6</v>
      </c>
      <c r="B167" s="48" t="s">
        <v>156</v>
      </c>
      <c r="C167" s="28" t="s">
        <v>515</v>
      </c>
      <c r="D167" s="54" t="s">
        <v>518</v>
      </c>
      <c r="E167" s="31">
        <v>20</v>
      </c>
      <c r="F167" s="31">
        <v>20</v>
      </c>
      <c r="G167" s="31">
        <f>_xlfn.XLOOKUP(B167, Rate_Master!$A:$A, Rate_Master!$C:$C, "")</f>
        <v>1724999.9999999998</v>
      </c>
      <c r="H167" s="31">
        <f>_xlfn.XLOOKUP(B167, Rate_Master!$A:$A, Rate_Master!$D:$D, "")</f>
        <v>287500</v>
      </c>
      <c r="I167" s="32">
        <f>+H167+G167</f>
        <v>2012499.9999999998</v>
      </c>
      <c r="J167" s="32">
        <f t="shared" si="37"/>
        <v>40249999.999999993</v>
      </c>
      <c r="K167" s="32">
        <f t="shared" si="38"/>
        <v>40249999.999999993</v>
      </c>
      <c r="L167" s="32"/>
    </row>
    <row r="168" spans="1:12" s="4" customFormat="1" ht="25.5" customHeight="1" outlineLevel="1">
      <c r="A168" s="27" t="str">
        <f t="shared" si="36"/>
        <v>8A.F7.7</v>
      </c>
      <c r="B168" s="48" t="s">
        <v>157</v>
      </c>
      <c r="C168" s="28" t="s">
        <v>515</v>
      </c>
      <c r="D168" s="29" t="s">
        <v>517</v>
      </c>
      <c r="E168" s="31">
        <v>0</v>
      </c>
      <c r="F168" s="31">
        <v>0</v>
      </c>
      <c r="G168" s="31">
        <f>_xlfn.XLOOKUP(B168, Rate_Master!$A:$A, Rate_Master!$C:$C, "")</f>
        <v>632500</v>
      </c>
      <c r="H168" s="31">
        <f>_xlfn.XLOOKUP(B168, Rate_Master!$A:$A, Rate_Master!$D:$D, "")</f>
        <v>57499.999999999993</v>
      </c>
      <c r="I168" s="32"/>
      <c r="J168" s="32">
        <f t="shared" si="37"/>
        <v>0</v>
      </c>
      <c r="K168" s="32">
        <f t="shared" si="38"/>
        <v>0</v>
      </c>
      <c r="L168" s="32"/>
    </row>
    <row r="169" spans="1:12" s="4" customFormat="1" ht="25.5" customHeight="1" outlineLevel="1">
      <c r="A169" s="27" t="str">
        <f t="shared" si="36"/>
        <v>8A.F7.8</v>
      </c>
      <c r="B169" s="34" t="s">
        <v>158</v>
      </c>
      <c r="C169" s="56" t="s">
        <v>562</v>
      </c>
      <c r="D169" s="29" t="s">
        <v>516</v>
      </c>
      <c r="E169" s="31">
        <v>12</v>
      </c>
      <c r="F169" s="31">
        <v>12</v>
      </c>
      <c r="G169" s="31">
        <f>_xlfn.XLOOKUP(B169, Rate_Master!$A:$A, Rate_Master!$C:$C, "")</f>
        <v>68400000</v>
      </c>
      <c r="H169" s="31">
        <f>_xlfn.XLOOKUP(B169, Rate_Master!$A:$A, Rate_Master!$D:$D, "")</f>
        <v>26600000</v>
      </c>
      <c r="I169" s="32">
        <f>+H169+G169</f>
        <v>95000000</v>
      </c>
      <c r="J169" s="32">
        <f t="shared" si="37"/>
        <v>1140000000</v>
      </c>
      <c r="K169" s="32">
        <f t="shared" si="38"/>
        <v>1140000000</v>
      </c>
      <c r="L169" s="71" t="s">
        <v>563</v>
      </c>
    </row>
    <row r="170" spans="1:12" s="4" customFormat="1" ht="25.5" customHeight="1" outlineLevel="1">
      <c r="A170" s="27" t="str">
        <f t="shared" si="36"/>
        <v>8A.F7.9</v>
      </c>
      <c r="B170" s="34" t="s">
        <v>159</v>
      </c>
      <c r="C170" s="28" t="s">
        <v>515</v>
      </c>
      <c r="D170" s="29" t="s">
        <v>516</v>
      </c>
      <c r="E170" s="31">
        <v>12</v>
      </c>
      <c r="F170" s="31">
        <v>12</v>
      </c>
      <c r="G170" s="31">
        <f>_xlfn.XLOOKUP(B170, Rate_Master!$A:$A, Rate_Master!$C:$C, "")</f>
        <v>25200000</v>
      </c>
      <c r="H170" s="31">
        <f>_xlfn.XLOOKUP(B170, Rate_Master!$A:$A, Rate_Master!$D:$D, "")</f>
        <v>9800000.0000000019</v>
      </c>
      <c r="I170" s="32">
        <f>+H170+G170</f>
        <v>35000000</v>
      </c>
      <c r="J170" s="32">
        <f t="shared" si="37"/>
        <v>420000000</v>
      </c>
      <c r="K170" s="32">
        <f t="shared" si="38"/>
        <v>420000000</v>
      </c>
      <c r="L170" s="32"/>
    </row>
    <row r="171" spans="1:12" s="4" customFormat="1" ht="25.5" customHeight="1" outlineLevel="1">
      <c r="A171" s="27" t="str">
        <f t="shared" si="36"/>
        <v>8A.F7.10</v>
      </c>
      <c r="B171" s="34" t="s">
        <v>160</v>
      </c>
      <c r="C171" s="28" t="s">
        <v>515</v>
      </c>
      <c r="D171" s="29" t="s">
        <v>518</v>
      </c>
      <c r="E171" s="31">
        <v>24</v>
      </c>
      <c r="F171" s="31">
        <v>24</v>
      </c>
      <c r="G171" s="31">
        <f>_xlfn.XLOOKUP(B171, Rate_Master!$A:$A, Rate_Master!$C:$C, "")</f>
        <v>1440000</v>
      </c>
      <c r="H171" s="31">
        <f>_xlfn.XLOOKUP(B171, Rate_Master!$A:$A, Rate_Master!$D:$D, "")</f>
        <v>560000</v>
      </c>
      <c r="I171" s="32">
        <f>+H171+G171</f>
        <v>2000000</v>
      </c>
      <c r="J171" s="32">
        <f t="shared" si="37"/>
        <v>48000000</v>
      </c>
      <c r="K171" s="32">
        <f t="shared" si="38"/>
        <v>48000000</v>
      </c>
      <c r="L171" s="32"/>
    </row>
    <row r="172" spans="1:12" s="4" customFormat="1" ht="25.5" customHeight="1" outlineLevel="1">
      <c r="A172" s="27" t="str">
        <f t="shared" si="36"/>
        <v>8A.F7.11</v>
      </c>
      <c r="B172" s="48" t="s">
        <v>161</v>
      </c>
      <c r="C172" s="28" t="s">
        <v>515</v>
      </c>
      <c r="D172" s="29" t="s">
        <v>517</v>
      </c>
      <c r="E172" s="31">
        <v>125.11199999999999</v>
      </c>
      <c r="F172" s="31">
        <v>125.11199999999999</v>
      </c>
      <c r="G172" s="31">
        <f>_xlfn.XLOOKUP(B172, Rate_Master!$A:$A, Rate_Master!$C:$C, "")</f>
        <v>149500</v>
      </c>
      <c r="H172" s="31">
        <f>_xlfn.XLOOKUP(B172, Rate_Master!$A:$A, Rate_Master!$D:$D, "")</f>
        <v>34500</v>
      </c>
      <c r="I172" s="32">
        <f>+H172+G172</f>
        <v>184000</v>
      </c>
      <c r="J172" s="32">
        <f t="shared" si="37"/>
        <v>23020608</v>
      </c>
      <c r="K172" s="32">
        <f t="shared" si="38"/>
        <v>23020608</v>
      </c>
      <c r="L172" s="32"/>
    </row>
    <row r="173" spans="1:12" s="4" customFormat="1" ht="38.25" customHeight="1" outlineLevel="1">
      <c r="A173" s="27" t="str">
        <f t="shared" si="36"/>
        <v>8A.F7.12</v>
      </c>
      <c r="B173" s="34" t="s">
        <v>162</v>
      </c>
      <c r="C173" s="28" t="s">
        <v>515</v>
      </c>
      <c r="D173" s="29" t="s">
        <v>517</v>
      </c>
      <c r="E173" s="31">
        <v>24</v>
      </c>
      <c r="F173" s="31">
        <v>24</v>
      </c>
      <c r="G173" s="31">
        <f>_xlfn.XLOOKUP(B173, Rate_Master!$A:$A, Rate_Master!$C:$C, "")</f>
        <v>252000</v>
      </c>
      <c r="H173" s="31">
        <f>_xlfn.XLOOKUP(B173, Rate_Master!$A:$A, Rate_Master!$D:$D, "")</f>
        <v>98000</v>
      </c>
      <c r="I173" s="32">
        <f>+H173+G173</f>
        <v>350000</v>
      </c>
      <c r="J173" s="32">
        <f t="shared" si="37"/>
        <v>8400000</v>
      </c>
      <c r="K173" s="32">
        <f t="shared" si="38"/>
        <v>8400000</v>
      </c>
      <c r="L173" s="32"/>
    </row>
  </sheetData>
  <mergeCells count="5">
    <mergeCell ref="C5:L5"/>
    <mergeCell ref="C4:L4"/>
    <mergeCell ref="C3:L3"/>
    <mergeCell ref="C7:L7"/>
    <mergeCell ref="C6:L6"/>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P163"/>
  <sheetViews>
    <sheetView topLeftCell="A8" zoomScale="85" zoomScaleNormal="85" workbookViewId="0">
      <pane ySplit="1" topLeftCell="A9" activePane="bottomLeft" state="frozen"/>
      <selection activeCell="A8" sqref="A8"/>
      <selection pane="bottomLeft" activeCell="I12" sqref="I12"/>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6" width="9" style="85" bestFit="1" customWidth="1"/>
    <col min="7" max="8" width="14" style="8" customWidth="1" outlineLevel="1"/>
    <col min="9" max="12" width="14" style="9" customWidth="1"/>
    <col min="13" max="13" width="10.5" style="6" bestFit="1" customWidth="1"/>
    <col min="14" max="14" width="9.75" style="6" bestFit="1" customWidth="1"/>
    <col min="15" max="231" width="9.125" style="6" customWidth="1"/>
    <col min="232" max="232" width="6.375" style="6" customWidth="1"/>
    <col min="233" max="233" width="34.25" style="6" customWidth="1"/>
    <col min="234" max="234" width="7.375" style="6" customWidth="1"/>
    <col min="235" max="235" width="6.375" style="6" customWidth="1"/>
    <col min="236" max="236" width="13.125" style="6" customWidth="1"/>
    <col min="237" max="237" width="15.375" style="6" customWidth="1"/>
    <col min="238" max="238" width="21.25" style="6" customWidth="1"/>
    <col min="239" max="487" width="9.125" style="6" customWidth="1"/>
    <col min="488" max="488" width="6.375" style="6" customWidth="1"/>
    <col min="489" max="489" width="34.25" style="6" customWidth="1"/>
    <col min="490" max="490" width="7.375" style="6" customWidth="1"/>
    <col min="491" max="491" width="6.375" style="6" customWidth="1"/>
    <col min="492" max="492" width="13.125" style="6" customWidth="1"/>
    <col min="493" max="493" width="15.375" style="6" customWidth="1"/>
    <col min="494" max="494" width="21.25" style="6" customWidth="1"/>
    <col min="495" max="743" width="9.125" style="6" customWidth="1"/>
    <col min="744" max="744" width="6.375" style="6" customWidth="1"/>
    <col min="745" max="745" width="34.25" style="6" customWidth="1"/>
    <col min="746" max="746" width="7.375" style="6" customWidth="1"/>
    <col min="747" max="747" width="6.375" style="6" customWidth="1"/>
    <col min="748" max="748" width="13.125" style="6" customWidth="1"/>
    <col min="749" max="749" width="15.375" style="6" customWidth="1"/>
    <col min="750" max="750" width="21.25" style="6" customWidth="1"/>
    <col min="751" max="999" width="9.125" style="6" customWidth="1"/>
    <col min="1000" max="1000" width="6.375" style="6" customWidth="1"/>
    <col min="1001" max="1001" width="34.25" style="6" customWidth="1"/>
    <col min="1002" max="1002" width="7.375" style="6" customWidth="1"/>
    <col min="1003" max="1003" width="6.375" style="6" customWidth="1"/>
    <col min="1004" max="1004" width="13.125" style="6" customWidth="1"/>
    <col min="1005" max="1005" width="15.375" style="6" customWidth="1"/>
    <col min="1006" max="1006" width="21.25" style="6" customWidth="1"/>
    <col min="1007" max="1255" width="9.125" style="6" customWidth="1"/>
    <col min="1256" max="1256" width="6.375" style="6" customWidth="1"/>
    <col min="1257" max="1257" width="34.25" style="6" customWidth="1"/>
    <col min="1258" max="1258" width="7.375" style="6" customWidth="1"/>
    <col min="1259" max="1259" width="6.375" style="6" customWidth="1"/>
    <col min="1260" max="1260" width="13.125" style="6" customWidth="1"/>
    <col min="1261" max="1261" width="15.375" style="6" customWidth="1"/>
    <col min="1262" max="1262" width="21.25" style="6" customWidth="1"/>
    <col min="1263" max="1511" width="9.125" style="6" customWidth="1"/>
    <col min="1512" max="1512" width="6.375" style="6" customWidth="1"/>
    <col min="1513" max="1513" width="34.25" style="6" customWidth="1"/>
    <col min="1514" max="1514" width="7.375" style="6" customWidth="1"/>
    <col min="1515" max="1515" width="6.375" style="6" customWidth="1"/>
    <col min="1516" max="1516" width="13.125" style="6" customWidth="1"/>
    <col min="1517" max="1517" width="15.375" style="6" customWidth="1"/>
    <col min="1518" max="1518" width="21.25" style="6" customWidth="1"/>
    <col min="1519" max="1767" width="9.125" style="6" customWidth="1"/>
    <col min="1768" max="1768" width="6.375" style="6" customWidth="1"/>
    <col min="1769" max="1769" width="34.25" style="6" customWidth="1"/>
    <col min="1770" max="1770" width="7.375" style="6" customWidth="1"/>
    <col min="1771" max="1771" width="6.375" style="6" customWidth="1"/>
    <col min="1772" max="1772" width="13.125" style="6" customWidth="1"/>
    <col min="1773" max="1773" width="15.375" style="6" customWidth="1"/>
    <col min="1774" max="1774" width="21.25" style="6" customWidth="1"/>
    <col min="1775" max="2023" width="9.125" style="6" customWidth="1"/>
    <col min="2024" max="2024" width="6.375" style="6" customWidth="1"/>
    <col min="2025" max="2025" width="34.25" style="6" customWidth="1"/>
    <col min="2026" max="2026" width="7.375" style="6" customWidth="1"/>
    <col min="2027" max="2027" width="6.375" style="6" customWidth="1"/>
    <col min="2028" max="2028" width="13.125" style="6" customWidth="1"/>
    <col min="2029" max="2029" width="15.375" style="6" customWidth="1"/>
    <col min="2030" max="2030" width="21.25" style="6" customWidth="1"/>
    <col min="2031" max="2279" width="9.125" style="6" customWidth="1"/>
    <col min="2280" max="2280" width="6.375" style="6" customWidth="1"/>
    <col min="2281" max="2281" width="34.25" style="6" customWidth="1"/>
    <col min="2282" max="2282" width="7.375" style="6" customWidth="1"/>
    <col min="2283" max="2283" width="6.375" style="6" customWidth="1"/>
    <col min="2284" max="2284" width="13.125" style="6" customWidth="1"/>
    <col min="2285" max="2285" width="15.375" style="6" customWidth="1"/>
    <col min="2286" max="2286" width="21.25" style="6" customWidth="1"/>
    <col min="2287" max="2535" width="9.125" style="6" customWidth="1"/>
    <col min="2536" max="2536" width="6.375" style="6" customWidth="1"/>
    <col min="2537" max="2537" width="34.25" style="6" customWidth="1"/>
    <col min="2538" max="2538" width="7.375" style="6" customWidth="1"/>
    <col min="2539" max="2539" width="6.375" style="6" customWidth="1"/>
    <col min="2540" max="2540" width="13.125" style="6" customWidth="1"/>
    <col min="2541" max="2541" width="15.375" style="6" customWidth="1"/>
    <col min="2542" max="2542" width="21.25" style="6" customWidth="1"/>
    <col min="2543" max="2791" width="9.125" style="6" customWidth="1"/>
    <col min="2792" max="2792" width="6.375" style="6" customWidth="1"/>
    <col min="2793" max="2793" width="34.25" style="6" customWidth="1"/>
    <col min="2794" max="2794" width="7.375" style="6" customWidth="1"/>
    <col min="2795" max="2795" width="6.375" style="6" customWidth="1"/>
    <col min="2796" max="2796" width="13.125" style="6" customWidth="1"/>
    <col min="2797" max="2797" width="15.375" style="6" customWidth="1"/>
    <col min="2798" max="2798" width="21.25" style="6" customWidth="1"/>
    <col min="2799" max="3047" width="9.125" style="6" customWidth="1"/>
    <col min="3048" max="3048" width="6.375" style="6" customWidth="1"/>
    <col min="3049" max="3049" width="34.25" style="6" customWidth="1"/>
    <col min="3050" max="3050" width="7.375" style="6" customWidth="1"/>
    <col min="3051" max="3051" width="6.375" style="6" customWidth="1"/>
    <col min="3052" max="3052" width="13.125" style="6" customWidth="1"/>
    <col min="3053" max="3053" width="15.375" style="6" customWidth="1"/>
    <col min="3054" max="3054" width="21.25" style="6" customWidth="1"/>
    <col min="3055" max="3303" width="9.125" style="6" customWidth="1"/>
    <col min="3304" max="3304" width="6.375" style="6" customWidth="1"/>
    <col min="3305" max="3305" width="34.25" style="6" customWidth="1"/>
    <col min="3306" max="3306" width="7.375" style="6" customWidth="1"/>
    <col min="3307" max="3307" width="6.375" style="6" customWidth="1"/>
    <col min="3308" max="3308" width="13.125" style="6" customWidth="1"/>
    <col min="3309" max="3309" width="15.375" style="6" customWidth="1"/>
    <col min="3310" max="3310" width="21.25" style="6" customWidth="1"/>
    <col min="3311" max="3559" width="9.125" style="6" customWidth="1"/>
    <col min="3560" max="3560" width="6.375" style="6" customWidth="1"/>
    <col min="3561" max="3561" width="34.25" style="6" customWidth="1"/>
    <col min="3562" max="3562" width="7.375" style="6" customWidth="1"/>
    <col min="3563" max="3563" width="6.375" style="6" customWidth="1"/>
    <col min="3564" max="3564" width="13.125" style="6" customWidth="1"/>
    <col min="3565" max="3565" width="15.375" style="6" customWidth="1"/>
    <col min="3566" max="3566" width="21.25" style="6" customWidth="1"/>
    <col min="3567" max="3815" width="9.125" style="6" customWidth="1"/>
    <col min="3816" max="3816" width="6.375" style="6" customWidth="1"/>
    <col min="3817" max="3817" width="34.25" style="6" customWidth="1"/>
    <col min="3818" max="3818" width="7.375" style="6" customWidth="1"/>
    <col min="3819" max="3819" width="6.375" style="6" customWidth="1"/>
    <col min="3820" max="3820" width="13.125" style="6" customWidth="1"/>
    <col min="3821" max="3821" width="15.375" style="6" customWidth="1"/>
    <col min="3822" max="3822" width="21.25" style="6" customWidth="1"/>
    <col min="3823" max="4071" width="9.125" style="6" customWidth="1"/>
    <col min="4072" max="4072" width="6.375" style="6" customWidth="1"/>
    <col min="4073" max="4073" width="34.25" style="6" customWidth="1"/>
    <col min="4074" max="4074" width="7.375" style="6" customWidth="1"/>
    <col min="4075" max="4075" width="6.375" style="6" customWidth="1"/>
    <col min="4076" max="4076" width="13.125" style="6" customWidth="1"/>
    <col min="4077" max="4077" width="15.375" style="6" customWidth="1"/>
    <col min="4078" max="4078" width="21.25" style="6" customWidth="1"/>
    <col min="4079" max="4327" width="9.125" style="6" customWidth="1"/>
    <col min="4328" max="4328" width="6.375" style="6" customWidth="1"/>
    <col min="4329" max="4329" width="34.25" style="6" customWidth="1"/>
    <col min="4330" max="4330" width="7.375" style="6" customWidth="1"/>
    <col min="4331" max="4331" width="6.375" style="6" customWidth="1"/>
    <col min="4332" max="4332" width="13.125" style="6" customWidth="1"/>
    <col min="4333" max="4333" width="15.375" style="6" customWidth="1"/>
    <col min="4334" max="4334" width="21.25" style="6" customWidth="1"/>
    <col min="4335" max="4583" width="9.125" style="6" customWidth="1"/>
    <col min="4584" max="4584" width="6.375" style="6" customWidth="1"/>
    <col min="4585" max="4585" width="34.25" style="6" customWidth="1"/>
    <col min="4586" max="4586" width="7.375" style="6" customWidth="1"/>
    <col min="4587" max="4587" width="6.375" style="6" customWidth="1"/>
    <col min="4588" max="4588" width="13.125" style="6" customWidth="1"/>
    <col min="4589" max="4589" width="15.375" style="6" customWidth="1"/>
    <col min="4590" max="4590" width="21.25" style="6" customWidth="1"/>
    <col min="4591" max="4839" width="9.125" style="6" customWidth="1"/>
    <col min="4840" max="4840" width="6.375" style="6" customWidth="1"/>
    <col min="4841" max="4841" width="34.25" style="6" customWidth="1"/>
    <col min="4842" max="4842" width="7.375" style="6" customWidth="1"/>
    <col min="4843" max="4843" width="6.375" style="6" customWidth="1"/>
    <col min="4844" max="4844" width="13.125" style="6" customWidth="1"/>
    <col min="4845" max="4845" width="15.375" style="6" customWidth="1"/>
    <col min="4846" max="4846" width="21.25" style="6" customWidth="1"/>
    <col min="4847" max="5095" width="9.125" style="6" customWidth="1"/>
    <col min="5096" max="5096" width="6.375" style="6" customWidth="1"/>
    <col min="5097" max="5097" width="34.25" style="6" customWidth="1"/>
    <col min="5098" max="5098" width="7.375" style="6" customWidth="1"/>
    <col min="5099" max="5099" width="6.375" style="6" customWidth="1"/>
    <col min="5100" max="5100" width="13.125" style="6" customWidth="1"/>
    <col min="5101" max="5101" width="15.375" style="6" customWidth="1"/>
    <col min="5102" max="5102" width="21.25" style="6" customWidth="1"/>
    <col min="5103" max="5351" width="9.125" style="6" customWidth="1"/>
    <col min="5352" max="5352" width="6.375" style="6" customWidth="1"/>
    <col min="5353" max="5353" width="34.25" style="6" customWidth="1"/>
    <col min="5354" max="5354" width="7.375" style="6" customWidth="1"/>
    <col min="5355" max="5355" width="6.375" style="6" customWidth="1"/>
    <col min="5356" max="5356" width="13.125" style="6" customWidth="1"/>
    <col min="5357" max="5357" width="15.375" style="6" customWidth="1"/>
    <col min="5358" max="5358" width="21.25" style="6" customWidth="1"/>
    <col min="5359" max="5607" width="9.125" style="6" customWidth="1"/>
    <col min="5608" max="5608" width="6.375" style="6" customWidth="1"/>
    <col min="5609" max="5609" width="34.25" style="6" customWidth="1"/>
    <col min="5610" max="5610" width="7.375" style="6" customWidth="1"/>
    <col min="5611" max="5611" width="6.375" style="6" customWidth="1"/>
    <col min="5612" max="5612" width="13.125" style="6" customWidth="1"/>
    <col min="5613" max="5613" width="15.375" style="6" customWidth="1"/>
    <col min="5614" max="5614" width="21.25" style="6" customWidth="1"/>
    <col min="5615" max="5863" width="9.125" style="6" customWidth="1"/>
    <col min="5864" max="5864" width="6.375" style="6" customWidth="1"/>
    <col min="5865" max="5865" width="34.25" style="6" customWidth="1"/>
    <col min="5866" max="5866" width="7.375" style="6" customWidth="1"/>
    <col min="5867" max="5867" width="6.375" style="6" customWidth="1"/>
    <col min="5868" max="5868" width="13.125" style="6" customWidth="1"/>
    <col min="5869" max="5869" width="15.375" style="6" customWidth="1"/>
    <col min="5870" max="5870" width="21.25" style="6" customWidth="1"/>
    <col min="5871" max="6119" width="9.125" style="6" customWidth="1"/>
    <col min="6120" max="6120" width="6.375" style="6" customWidth="1"/>
    <col min="6121" max="6121" width="34.25" style="6" customWidth="1"/>
    <col min="6122" max="6122" width="7.375" style="6" customWidth="1"/>
    <col min="6123" max="6123" width="6.375" style="6" customWidth="1"/>
    <col min="6124" max="6124" width="13.125" style="6" customWidth="1"/>
    <col min="6125" max="6125" width="15.375" style="6" customWidth="1"/>
    <col min="6126" max="6126" width="21.25" style="6" customWidth="1"/>
    <col min="6127" max="6375" width="9.125" style="6" customWidth="1"/>
    <col min="6376" max="6376" width="6.375" style="6" customWidth="1"/>
    <col min="6377" max="6377" width="34.25" style="6" customWidth="1"/>
    <col min="6378" max="6378" width="7.375" style="6" customWidth="1"/>
    <col min="6379" max="6379" width="6.375" style="6" customWidth="1"/>
    <col min="6380" max="6380" width="13.125" style="6" customWidth="1"/>
    <col min="6381" max="6381" width="15.375" style="6" customWidth="1"/>
    <col min="6382" max="6382" width="21.25" style="6" customWidth="1"/>
    <col min="6383" max="6631" width="9.125" style="6" customWidth="1"/>
    <col min="6632" max="6632" width="6.375" style="6" customWidth="1"/>
    <col min="6633" max="6633" width="34.25" style="6" customWidth="1"/>
    <col min="6634" max="6634" width="7.375" style="6" customWidth="1"/>
    <col min="6635" max="6635" width="6.375" style="6" customWidth="1"/>
    <col min="6636" max="6636" width="13.125" style="6" customWidth="1"/>
    <col min="6637" max="6637" width="15.375" style="6" customWidth="1"/>
    <col min="6638" max="6638" width="21.25" style="6" customWidth="1"/>
    <col min="6639" max="6887" width="9.125" style="6" customWidth="1"/>
    <col min="6888" max="6888" width="6.375" style="6" customWidth="1"/>
    <col min="6889" max="6889" width="34.25" style="6" customWidth="1"/>
    <col min="6890" max="6890" width="7.375" style="6" customWidth="1"/>
    <col min="6891" max="6891" width="6.375" style="6" customWidth="1"/>
    <col min="6892" max="6892" width="13.125" style="6" customWidth="1"/>
    <col min="6893" max="6893" width="15.375" style="6" customWidth="1"/>
    <col min="6894" max="6894" width="21.25" style="6" customWidth="1"/>
    <col min="6895" max="7143" width="9.125" style="6" customWidth="1"/>
    <col min="7144" max="7144" width="6.375" style="6" customWidth="1"/>
    <col min="7145" max="7145" width="34.25" style="6" customWidth="1"/>
    <col min="7146" max="7146" width="7.375" style="6" customWidth="1"/>
    <col min="7147" max="7147" width="6.375" style="6" customWidth="1"/>
    <col min="7148" max="7148" width="13.125" style="6" customWidth="1"/>
    <col min="7149" max="7149" width="15.375" style="6" customWidth="1"/>
    <col min="7150" max="7150" width="21.25" style="6" customWidth="1"/>
    <col min="7151" max="7399" width="9.125" style="6" customWidth="1"/>
    <col min="7400" max="7400" width="6.375" style="6" customWidth="1"/>
    <col min="7401" max="7401" width="34.25" style="6" customWidth="1"/>
    <col min="7402" max="7402" width="7.375" style="6" customWidth="1"/>
    <col min="7403" max="7403" width="6.375" style="6" customWidth="1"/>
    <col min="7404" max="7404" width="13.125" style="6" customWidth="1"/>
    <col min="7405" max="7405" width="15.375" style="6" customWidth="1"/>
    <col min="7406" max="7406" width="21.25" style="6" customWidth="1"/>
    <col min="7407" max="7655" width="9.125" style="6" customWidth="1"/>
    <col min="7656" max="7656" width="6.375" style="6" customWidth="1"/>
    <col min="7657" max="7657" width="34.25" style="6" customWidth="1"/>
    <col min="7658" max="7658" width="7.375" style="6" customWidth="1"/>
    <col min="7659" max="7659" width="6.375" style="6" customWidth="1"/>
    <col min="7660" max="7660" width="13.125" style="6" customWidth="1"/>
    <col min="7661" max="7661" width="15.375" style="6" customWidth="1"/>
    <col min="7662" max="7662" width="21.25" style="6" customWidth="1"/>
    <col min="7663" max="7911" width="9.125" style="6" customWidth="1"/>
    <col min="7912" max="7912" width="6.375" style="6" customWidth="1"/>
    <col min="7913" max="7913" width="34.25" style="6" customWidth="1"/>
    <col min="7914" max="7914" width="7.375" style="6" customWidth="1"/>
    <col min="7915" max="7915" width="6.375" style="6" customWidth="1"/>
    <col min="7916" max="7916" width="13.125" style="6" customWidth="1"/>
    <col min="7917" max="7917" width="15.375" style="6" customWidth="1"/>
    <col min="7918" max="7918" width="21.25" style="6" customWidth="1"/>
    <col min="7919" max="8167" width="9.125" style="6" customWidth="1"/>
    <col min="8168" max="8168" width="6.375" style="6" customWidth="1"/>
    <col min="8169" max="8169" width="34.25" style="6" customWidth="1"/>
    <col min="8170" max="8170" width="7.375" style="6" customWidth="1"/>
    <col min="8171" max="8171" width="6.375" style="6" customWidth="1"/>
    <col min="8172" max="8172" width="13.125" style="6" customWidth="1"/>
    <col min="8173" max="8173" width="15.375" style="6" customWidth="1"/>
    <col min="8174" max="8174" width="21.25" style="6" customWidth="1"/>
    <col min="8175" max="8423" width="9.125" style="6" customWidth="1"/>
    <col min="8424" max="8424" width="6.375" style="6" customWidth="1"/>
    <col min="8425" max="8425" width="34.25" style="6" customWidth="1"/>
    <col min="8426" max="8426" width="7.375" style="6" customWidth="1"/>
    <col min="8427" max="8427" width="6.375" style="6" customWidth="1"/>
    <col min="8428" max="8428" width="13.125" style="6" customWidth="1"/>
    <col min="8429" max="8429" width="15.375" style="6" customWidth="1"/>
    <col min="8430" max="8430" width="21.25" style="6" customWidth="1"/>
    <col min="8431" max="8679" width="9.125" style="6" customWidth="1"/>
    <col min="8680" max="8680" width="6.375" style="6" customWidth="1"/>
    <col min="8681" max="8681" width="34.25" style="6" customWidth="1"/>
    <col min="8682" max="8682" width="7.375" style="6" customWidth="1"/>
    <col min="8683" max="8683" width="6.375" style="6" customWidth="1"/>
    <col min="8684" max="8684" width="13.125" style="6" customWidth="1"/>
    <col min="8685" max="8685" width="15.375" style="6" customWidth="1"/>
    <col min="8686" max="8686" width="21.25" style="6" customWidth="1"/>
    <col min="8687" max="8935" width="9.125" style="6" customWidth="1"/>
    <col min="8936" max="8936" width="6.375" style="6" customWidth="1"/>
    <col min="8937" max="8937" width="34.25" style="6" customWidth="1"/>
    <col min="8938" max="8938" width="7.375" style="6" customWidth="1"/>
    <col min="8939" max="8939" width="6.375" style="6" customWidth="1"/>
    <col min="8940" max="8940" width="13.125" style="6" customWidth="1"/>
    <col min="8941" max="8941" width="15.375" style="6" customWidth="1"/>
    <col min="8942" max="8942" width="21.25" style="6" customWidth="1"/>
    <col min="8943" max="9191" width="9.125" style="6" customWidth="1"/>
    <col min="9192" max="9192" width="6.375" style="6" customWidth="1"/>
    <col min="9193" max="9193" width="34.25" style="6" customWidth="1"/>
    <col min="9194" max="9194" width="7.375" style="6" customWidth="1"/>
    <col min="9195" max="9195" width="6.375" style="6" customWidth="1"/>
    <col min="9196" max="9196" width="13.125" style="6" customWidth="1"/>
    <col min="9197" max="9197" width="15.375" style="6" customWidth="1"/>
    <col min="9198" max="9198" width="21.25" style="6" customWidth="1"/>
    <col min="9199" max="9447" width="9.125" style="6" customWidth="1"/>
    <col min="9448" max="9448" width="6.375" style="6" customWidth="1"/>
    <col min="9449" max="9449" width="34.25" style="6" customWidth="1"/>
    <col min="9450" max="9450" width="7.375" style="6" customWidth="1"/>
    <col min="9451" max="9451" width="6.375" style="6" customWidth="1"/>
    <col min="9452" max="9452" width="13.125" style="6" customWidth="1"/>
    <col min="9453" max="9453" width="15.375" style="6" customWidth="1"/>
    <col min="9454" max="9454" width="21.25" style="6" customWidth="1"/>
    <col min="9455" max="9703" width="9.125" style="6" customWidth="1"/>
    <col min="9704" max="9704" width="6.375" style="6" customWidth="1"/>
    <col min="9705" max="9705" width="34.25" style="6" customWidth="1"/>
    <col min="9706" max="9706" width="7.375" style="6" customWidth="1"/>
    <col min="9707" max="9707" width="6.375" style="6" customWidth="1"/>
    <col min="9708" max="9708" width="13.125" style="6" customWidth="1"/>
    <col min="9709" max="9709" width="15.375" style="6" customWidth="1"/>
    <col min="9710" max="9710" width="21.25" style="6" customWidth="1"/>
    <col min="9711" max="9959" width="9.125" style="6" customWidth="1"/>
    <col min="9960" max="9960" width="6.375" style="6" customWidth="1"/>
    <col min="9961" max="9961" width="34.25" style="6" customWidth="1"/>
    <col min="9962" max="9962" width="7.375" style="6" customWidth="1"/>
    <col min="9963" max="9963" width="6.375" style="6" customWidth="1"/>
    <col min="9964" max="9964" width="13.125" style="6" customWidth="1"/>
    <col min="9965" max="9965" width="15.375" style="6" customWidth="1"/>
    <col min="9966" max="9966" width="21.25" style="6" customWidth="1"/>
    <col min="9967" max="10215" width="9.125" style="6" customWidth="1"/>
    <col min="10216" max="10216" width="6.375" style="6" customWidth="1"/>
    <col min="10217" max="10217" width="34.25" style="6" customWidth="1"/>
    <col min="10218" max="10218" width="7.375" style="6" customWidth="1"/>
    <col min="10219" max="10219" width="6.375" style="6" customWidth="1"/>
    <col min="10220" max="10220" width="13.125" style="6" customWidth="1"/>
    <col min="10221" max="10221" width="15.375" style="6" customWidth="1"/>
    <col min="10222" max="10222" width="21.25" style="6" customWidth="1"/>
    <col min="10223" max="10471" width="9.125" style="6" customWidth="1"/>
    <col min="10472" max="10472" width="6.375" style="6" customWidth="1"/>
    <col min="10473" max="10473" width="34.25" style="6" customWidth="1"/>
    <col min="10474" max="10474" width="7.375" style="6" customWidth="1"/>
    <col min="10475" max="10475" width="6.375" style="6" customWidth="1"/>
    <col min="10476" max="10476" width="13.125" style="6" customWidth="1"/>
    <col min="10477" max="10477" width="15.375" style="6" customWidth="1"/>
    <col min="10478" max="10478" width="21.25" style="6" customWidth="1"/>
    <col min="10479" max="10727" width="9.125" style="6" customWidth="1"/>
    <col min="10728" max="10728" width="6.375" style="6" customWidth="1"/>
    <col min="10729" max="10729" width="34.25" style="6" customWidth="1"/>
    <col min="10730" max="10730" width="7.375" style="6" customWidth="1"/>
    <col min="10731" max="10731" width="6.375" style="6" customWidth="1"/>
    <col min="10732" max="10732" width="13.125" style="6" customWidth="1"/>
    <col min="10733" max="10733" width="15.375" style="6" customWidth="1"/>
    <col min="10734" max="10734" width="21.25" style="6" customWidth="1"/>
    <col min="10735" max="10983" width="9.125" style="6" customWidth="1"/>
    <col min="10984" max="10984" width="6.375" style="6" customWidth="1"/>
    <col min="10985" max="10985" width="34.25" style="6" customWidth="1"/>
    <col min="10986" max="10986" width="7.375" style="6" customWidth="1"/>
    <col min="10987" max="10987" width="6.375" style="6" customWidth="1"/>
    <col min="10988" max="10988" width="13.125" style="6" customWidth="1"/>
    <col min="10989" max="10989" width="15.375" style="6" customWidth="1"/>
    <col min="10990" max="10990" width="21.25" style="6" customWidth="1"/>
    <col min="10991" max="11239" width="9.125" style="6" customWidth="1"/>
    <col min="11240" max="11240" width="6.375" style="6" customWidth="1"/>
    <col min="11241" max="11241" width="34.25" style="6" customWidth="1"/>
    <col min="11242" max="11242" width="7.375" style="6" customWidth="1"/>
    <col min="11243" max="11243" width="6.375" style="6" customWidth="1"/>
    <col min="11244" max="11244" width="13.125" style="6" customWidth="1"/>
    <col min="11245" max="11245" width="15.375" style="6" customWidth="1"/>
    <col min="11246" max="11246" width="21.25" style="6" customWidth="1"/>
    <col min="11247" max="11495" width="9.125" style="6" customWidth="1"/>
    <col min="11496" max="11496" width="6.375" style="6" customWidth="1"/>
    <col min="11497" max="11497" width="34.25" style="6" customWidth="1"/>
    <col min="11498" max="11498" width="7.375" style="6" customWidth="1"/>
    <col min="11499" max="11499" width="6.375" style="6" customWidth="1"/>
    <col min="11500" max="11500" width="13.125" style="6" customWidth="1"/>
    <col min="11501" max="11501" width="15.375" style="6" customWidth="1"/>
    <col min="11502" max="11502" width="21.25" style="6" customWidth="1"/>
    <col min="11503" max="11751" width="9.125" style="6" customWidth="1"/>
    <col min="11752" max="11752" width="6.375" style="6" customWidth="1"/>
    <col min="11753" max="11753" width="34.25" style="6" customWidth="1"/>
    <col min="11754" max="11754" width="7.375" style="6" customWidth="1"/>
    <col min="11755" max="11755" width="6.375" style="6" customWidth="1"/>
    <col min="11756" max="11756" width="13.125" style="6" customWidth="1"/>
    <col min="11757" max="11757" width="15.375" style="6" customWidth="1"/>
    <col min="11758" max="11758" width="21.25" style="6" customWidth="1"/>
    <col min="11759" max="12007" width="9.125" style="6" customWidth="1"/>
    <col min="12008" max="12008" width="6.375" style="6" customWidth="1"/>
    <col min="12009" max="12009" width="34.25" style="6" customWidth="1"/>
    <col min="12010" max="12010" width="7.375" style="6" customWidth="1"/>
    <col min="12011" max="12011" width="6.375" style="6" customWidth="1"/>
    <col min="12012" max="12012" width="13.125" style="6" customWidth="1"/>
    <col min="12013" max="12013" width="15.375" style="6" customWidth="1"/>
    <col min="12014" max="12014" width="21.25" style="6" customWidth="1"/>
    <col min="12015" max="12263" width="9.125" style="6" customWidth="1"/>
    <col min="12264" max="12264" width="6.375" style="6" customWidth="1"/>
    <col min="12265" max="12265" width="34.25" style="6" customWidth="1"/>
    <col min="12266" max="12266" width="7.375" style="6" customWidth="1"/>
    <col min="12267" max="12267" width="6.375" style="6" customWidth="1"/>
    <col min="12268" max="12268" width="13.125" style="6" customWidth="1"/>
    <col min="12269" max="12269" width="15.375" style="6" customWidth="1"/>
    <col min="12270" max="12270" width="21.25" style="6" customWidth="1"/>
    <col min="12271" max="12519" width="9.125" style="6" customWidth="1"/>
    <col min="12520" max="12520" width="6.375" style="6" customWidth="1"/>
    <col min="12521" max="12521" width="34.25" style="6" customWidth="1"/>
    <col min="12522" max="12522" width="7.375" style="6" customWidth="1"/>
    <col min="12523" max="12523" width="6.375" style="6" customWidth="1"/>
    <col min="12524" max="12524" width="13.125" style="6" customWidth="1"/>
    <col min="12525" max="12525" width="15.375" style="6" customWidth="1"/>
    <col min="12526" max="12526" width="21.25" style="6" customWidth="1"/>
    <col min="12527" max="12775" width="9.125" style="6" customWidth="1"/>
    <col min="12776" max="12776" width="6.375" style="6" customWidth="1"/>
    <col min="12777" max="12777" width="34.25" style="6" customWidth="1"/>
    <col min="12778" max="12778" width="7.375" style="6" customWidth="1"/>
    <col min="12779" max="12779" width="6.375" style="6" customWidth="1"/>
    <col min="12780" max="12780" width="13.125" style="6" customWidth="1"/>
    <col min="12781" max="12781" width="15.375" style="6" customWidth="1"/>
    <col min="12782" max="12782" width="21.25" style="6" customWidth="1"/>
    <col min="12783" max="13031" width="9.125" style="6" customWidth="1"/>
    <col min="13032" max="13032" width="6.375" style="6" customWidth="1"/>
    <col min="13033" max="13033" width="34.25" style="6" customWidth="1"/>
    <col min="13034" max="13034" width="7.375" style="6" customWidth="1"/>
    <col min="13035" max="13035" width="6.375" style="6" customWidth="1"/>
    <col min="13036" max="13036" width="13.125" style="6" customWidth="1"/>
    <col min="13037" max="13037" width="15.375" style="6" customWidth="1"/>
    <col min="13038" max="13038" width="21.25" style="6" customWidth="1"/>
    <col min="13039" max="13287" width="9.125" style="6" customWidth="1"/>
    <col min="13288" max="13288" width="6.375" style="6" customWidth="1"/>
    <col min="13289" max="13289" width="34.25" style="6" customWidth="1"/>
    <col min="13290" max="13290" width="7.375" style="6" customWidth="1"/>
    <col min="13291" max="13291" width="6.375" style="6" customWidth="1"/>
    <col min="13292" max="13292" width="13.125" style="6" customWidth="1"/>
    <col min="13293" max="13293" width="15.375" style="6" customWidth="1"/>
    <col min="13294" max="13294" width="21.25" style="6" customWidth="1"/>
    <col min="13295" max="13543" width="9.125" style="6" customWidth="1"/>
    <col min="13544" max="13544" width="6.375" style="6" customWidth="1"/>
    <col min="13545" max="13545" width="34.25" style="6" customWidth="1"/>
    <col min="13546" max="13546" width="7.375" style="6" customWidth="1"/>
    <col min="13547" max="13547" width="6.375" style="6" customWidth="1"/>
    <col min="13548" max="13548" width="13.125" style="6" customWidth="1"/>
    <col min="13549" max="13549" width="15.375" style="6" customWidth="1"/>
    <col min="13550" max="13550" width="21.25" style="6" customWidth="1"/>
    <col min="13551" max="13799" width="9.125" style="6" customWidth="1"/>
    <col min="13800" max="13800" width="6.375" style="6" customWidth="1"/>
    <col min="13801" max="13801" width="34.25" style="6" customWidth="1"/>
    <col min="13802" max="13802" width="7.375" style="6" customWidth="1"/>
    <col min="13803" max="13803" width="6.375" style="6" customWidth="1"/>
    <col min="13804" max="13804" width="13.125" style="6" customWidth="1"/>
    <col min="13805" max="13805" width="15.375" style="6" customWidth="1"/>
    <col min="13806" max="13806" width="21.25" style="6" customWidth="1"/>
    <col min="13807" max="14055" width="9.125" style="6" customWidth="1"/>
    <col min="14056" max="14056" width="6.375" style="6" customWidth="1"/>
    <col min="14057" max="14057" width="34.25" style="6" customWidth="1"/>
    <col min="14058" max="14058" width="7.375" style="6" customWidth="1"/>
    <col min="14059" max="14059" width="6.375" style="6" customWidth="1"/>
    <col min="14060" max="14060" width="13.125" style="6" customWidth="1"/>
    <col min="14061" max="14061" width="15.375" style="6" customWidth="1"/>
    <col min="14062" max="14062" width="21.25" style="6" customWidth="1"/>
    <col min="14063" max="14311" width="9.125" style="6" customWidth="1"/>
    <col min="14312" max="14312" width="6.375" style="6" customWidth="1"/>
    <col min="14313" max="14313" width="34.25" style="6" customWidth="1"/>
    <col min="14314" max="14314" width="7.375" style="6" customWidth="1"/>
    <col min="14315" max="14315" width="6.375" style="6" customWidth="1"/>
    <col min="14316" max="14316" width="13.125" style="6" customWidth="1"/>
    <col min="14317" max="14317" width="15.375" style="6" customWidth="1"/>
    <col min="14318" max="14318" width="21.25" style="6" customWidth="1"/>
    <col min="14319" max="14567" width="9.125" style="6" customWidth="1"/>
    <col min="14568" max="14568" width="6.375" style="6" customWidth="1"/>
    <col min="14569" max="14569" width="34.25" style="6" customWidth="1"/>
    <col min="14570" max="14570" width="7.375" style="6" customWidth="1"/>
    <col min="14571" max="14571" width="6.375" style="6" customWidth="1"/>
    <col min="14572" max="14572" width="13.125" style="6" customWidth="1"/>
    <col min="14573" max="14573" width="15.375" style="6" customWidth="1"/>
    <col min="14574" max="14574" width="21.25" style="6" customWidth="1"/>
    <col min="14575" max="14823" width="9.125" style="6" customWidth="1"/>
    <col min="14824" max="14824" width="6.375" style="6" customWidth="1"/>
    <col min="14825" max="14825" width="34.25" style="6" customWidth="1"/>
    <col min="14826" max="14826" width="7.375" style="6" customWidth="1"/>
    <col min="14827" max="14827" width="6.375" style="6" customWidth="1"/>
    <col min="14828" max="14828" width="13.125" style="6" customWidth="1"/>
    <col min="14829" max="14829" width="15.375" style="6" customWidth="1"/>
    <col min="14830" max="14830" width="21.25" style="6" customWidth="1"/>
    <col min="14831" max="15079" width="9.125" style="6" customWidth="1"/>
    <col min="15080" max="15080" width="6.375" style="6" customWidth="1"/>
    <col min="15081" max="15081" width="34.25" style="6" customWidth="1"/>
    <col min="15082" max="15082" width="7.375" style="6" customWidth="1"/>
    <col min="15083" max="15083" width="6.375" style="6" customWidth="1"/>
    <col min="15084" max="15084" width="13.125" style="6" customWidth="1"/>
    <col min="15085" max="15085" width="15.375" style="6" customWidth="1"/>
    <col min="15086" max="15086" width="21.25" style="6" customWidth="1"/>
    <col min="15087" max="15335" width="9.125" style="6" customWidth="1"/>
    <col min="15336" max="15336" width="6.375" style="6" customWidth="1"/>
    <col min="15337" max="15337" width="34.25" style="6" customWidth="1"/>
    <col min="15338" max="15338" width="7.375" style="6" customWidth="1"/>
    <col min="15339" max="15339" width="6.375" style="6" customWidth="1"/>
    <col min="15340" max="15340" width="13.125" style="6" customWidth="1"/>
    <col min="15341" max="15341" width="15.375" style="6" customWidth="1"/>
    <col min="15342" max="15342" width="21.25" style="6" customWidth="1"/>
    <col min="15343" max="15591" width="9.125" style="6" customWidth="1"/>
    <col min="15592" max="15592" width="6.375" style="6" customWidth="1"/>
    <col min="15593" max="15593" width="34.25" style="6" customWidth="1"/>
    <col min="15594" max="15594" width="7.375" style="6" customWidth="1"/>
    <col min="15595" max="15595" width="6.375" style="6" customWidth="1"/>
    <col min="15596" max="15596" width="13.125" style="6" customWidth="1"/>
    <col min="15597" max="15597" width="15.375" style="6" customWidth="1"/>
    <col min="15598" max="15598" width="21.25" style="6" customWidth="1"/>
    <col min="15599" max="15847" width="9.125" style="6" customWidth="1"/>
    <col min="15848" max="15848" width="6.375" style="6" customWidth="1"/>
    <col min="15849" max="15849" width="34.25" style="6" customWidth="1"/>
    <col min="15850" max="15850" width="7.375" style="6" customWidth="1"/>
    <col min="15851" max="15851" width="6.375" style="6" customWidth="1"/>
    <col min="15852" max="15852" width="13.125" style="6" customWidth="1"/>
    <col min="15853" max="15853" width="15.375" style="6" customWidth="1"/>
    <col min="15854" max="15854" width="21.25" style="6" customWidth="1"/>
    <col min="15855" max="16103" width="9.125" style="6" customWidth="1"/>
    <col min="16104" max="16104" width="6.375" style="6" customWidth="1"/>
    <col min="16105" max="16105" width="34.25" style="6" customWidth="1"/>
    <col min="16106" max="16106" width="7.375" style="6" customWidth="1"/>
    <col min="16107" max="16107" width="6.375" style="6" customWidth="1"/>
    <col min="16108" max="16108" width="13.125" style="6" customWidth="1"/>
    <col min="16109" max="16109" width="15.375" style="6" customWidth="1"/>
    <col min="16110" max="16110" width="21.25" style="6" customWidth="1"/>
    <col min="16111" max="16384" width="9.125" style="6" customWidth="1"/>
  </cols>
  <sheetData>
    <row r="1" spans="1:13" ht="48" customHeight="1"/>
    <row r="2" spans="1:13" s="1" customFormat="1" ht="51" customHeight="1">
      <c r="A2" s="10" t="s">
        <v>507</v>
      </c>
      <c r="B2" s="11"/>
      <c r="C2" s="12"/>
      <c r="D2" s="11"/>
      <c r="E2" s="14"/>
      <c r="F2" s="86"/>
      <c r="G2" s="14"/>
      <c r="H2" s="14"/>
      <c r="I2" s="15"/>
      <c r="J2" s="15"/>
      <c r="K2" s="15"/>
      <c r="L2" s="15"/>
    </row>
    <row r="3" spans="1:13" ht="26.25" customHeight="1">
      <c r="A3" s="16"/>
      <c r="B3" s="17" t="s">
        <v>440</v>
      </c>
      <c r="C3" s="213"/>
      <c r="D3" s="217"/>
      <c r="E3" s="214"/>
      <c r="F3" s="218"/>
      <c r="G3" s="214"/>
      <c r="H3" s="214"/>
      <c r="I3" s="220"/>
      <c r="J3" s="220"/>
      <c r="K3" s="220"/>
      <c r="L3" s="220"/>
    </row>
    <row r="4" spans="1:13" ht="26.25" customHeight="1">
      <c r="A4" s="18"/>
      <c r="B4" s="5" t="s">
        <v>441</v>
      </c>
      <c r="C4" s="222"/>
      <c r="D4" s="217"/>
      <c r="E4" s="214"/>
      <c r="F4" s="218"/>
      <c r="G4" s="214"/>
      <c r="H4" s="214"/>
      <c r="I4" s="220"/>
      <c r="J4" s="220"/>
      <c r="K4" s="220"/>
      <c r="L4" s="220"/>
    </row>
    <row r="5" spans="1:13" ht="26.25" customHeight="1">
      <c r="A5" s="18"/>
      <c r="B5" s="5" t="s">
        <v>442</v>
      </c>
      <c r="C5" s="216"/>
      <c r="D5" s="217"/>
      <c r="E5" s="214"/>
      <c r="F5" s="218"/>
      <c r="G5" s="214"/>
      <c r="H5" s="214"/>
      <c r="I5" s="220"/>
      <c r="J5" s="220"/>
      <c r="K5" s="220"/>
      <c r="L5" s="220"/>
    </row>
    <row r="6" spans="1:13" ht="26.25" customHeight="1">
      <c r="A6" s="18"/>
      <c r="B6" s="5" t="s">
        <v>443</v>
      </c>
      <c r="C6" s="213" t="str">
        <f>INDEX(總表!$B$9:$B$47,MATCH('9A'!A9,總表!$A$9:$A$48,0))</f>
        <v>Kho rác
垃圾房</v>
      </c>
      <c r="D6" s="217"/>
      <c r="E6" s="214"/>
      <c r="F6" s="218"/>
      <c r="G6" s="214"/>
      <c r="H6" s="214"/>
      <c r="I6" s="220"/>
      <c r="J6" s="220"/>
      <c r="K6" s="220"/>
      <c r="L6" s="220"/>
    </row>
    <row r="7" spans="1:13" ht="26.25" customHeight="1">
      <c r="A7" s="18"/>
      <c r="B7" s="5" t="s">
        <v>444</v>
      </c>
      <c r="C7" s="223" t="s">
        <v>445</v>
      </c>
      <c r="D7" s="224"/>
      <c r="E7" s="224"/>
      <c r="F7" s="224"/>
      <c r="G7" s="224"/>
      <c r="H7" s="224"/>
      <c r="I7" s="224"/>
      <c r="J7" s="224"/>
      <c r="K7" s="224"/>
      <c r="L7" s="224"/>
    </row>
    <row r="8" spans="1:13" s="2" customFormat="1" ht="41.25" customHeight="1">
      <c r="A8" s="19" t="s">
        <v>446</v>
      </c>
      <c r="B8" s="19" t="s">
        <v>508</v>
      </c>
      <c r="C8" s="19" t="s">
        <v>509</v>
      </c>
      <c r="D8" s="19" t="s">
        <v>448</v>
      </c>
      <c r="E8" s="19" t="s">
        <v>449</v>
      </c>
      <c r="F8" s="84" t="s">
        <v>510</v>
      </c>
      <c r="G8" s="19" t="s">
        <v>511</v>
      </c>
      <c r="H8" s="19" t="s">
        <v>512</v>
      </c>
      <c r="I8" s="21" t="s">
        <v>450</v>
      </c>
      <c r="J8" s="21" t="s">
        <v>452</v>
      </c>
      <c r="K8" s="84" t="s">
        <v>513</v>
      </c>
      <c r="L8" s="21" t="s">
        <v>514</v>
      </c>
    </row>
    <row r="9" spans="1:13" s="3" customFormat="1" ht="25.5" customHeight="1">
      <c r="A9" s="22" t="s">
        <v>466</v>
      </c>
      <c r="B9" s="23" t="str">
        <f>C6</f>
        <v>Kho rác
垃圾房</v>
      </c>
      <c r="C9" s="23" t="s">
        <v>515</v>
      </c>
      <c r="D9" s="22"/>
      <c r="E9" s="25"/>
      <c r="F9" s="25"/>
      <c r="G9" s="25">
        <f>_xlfn.XLOOKUP(B9, Rate_Master!$A:$A, Rate_Master!$C:$C, "")</f>
        <v>0</v>
      </c>
      <c r="H9" s="25">
        <f>_xlfn.XLOOKUP(B9, Rate_Master!$A:$A, Rate_Master!$D:$D, "")</f>
        <v>0</v>
      </c>
      <c r="I9" s="26"/>
      <c r="J9" s="26">
        <f>SUBTOTAL(9,J10:J163)</f>
        <v>2202874135.3927131</v>
      </c>
      <c r="K9" s="26">
        <f>SUBTOTAL(9,K10:K163)</f>
        <v>2223964180.8084264</v>
      </c>
      <c r="L9" s="26"/>
      <c r="M9" s="103"/>
    </row>
    <row r="10" spans="1:13" s="3" customFormat="1" ht="25.5" customHeight="1">
      <c r="A10" s="22" t="str">
        <f>$A$9&amp;".C"</f>
        <v>9A.C</v>
      </c>
      <c r="B10" s="23" t="s">
        <v>1</v>
      </c>
      <c r="C10" s="23" t="s">
        <v>515</v>
      </c>
      <c r="D10" s="22"/>
      <c r="E10" s="25"/>
      <c r="F10" s="25"/>
      <c r="G10" s="25">
        <f>_xlfn.XLOOKUP(B10, Rate_Master!$A:$A, Rate_Master!$C:$C, "")</f>
        <v>0</v>
      </c>
      <c r="H10" s="25">
        <f>_xlfn.XLOOKUP(B10, Rate_Master!$A:$A, Rate_Master!$D:$D, "")</f>
        <v>0</v>
      </c>
      <c r="I10" s="26"/>
      <c r="J10" s="26"/>
      <c r="K10" s="26"/>
      <c r="L10" s="26"/>
    </row>
    <row r="11" spans="1:13" s="3" customFormat="1" ht="25.5" customHeight="1">
      <c r="A11" s="22" t="str">
        <f>$A$10&amp;1</f>
        <v>9A.C1</v>
      </c>
      <c r="B11" s="23" t="s">
        <v>2</v>
      </c>
      <c r="C11" s="23" t="s">
        <v>515</v>
      </c>
      <c r="D11" s="22"/>
      <c r="E11" s="25"/>
      <c r="F11" s="25"/>
      <c r="G11" s="25">
        <f>_xlfn.XLOOKUP(B11, Rate_Master!$A:$A, Rate_Master!$C:$C, "")</f>
        <v>0</v>
      </c>
      <c r="H11" s="25">
        <f>_xlfn.XLOOKUP(B11, Rate_Master!$A:$A, Rate_Master!$D:$D, "")</f>
        <v>0</v>
      </c>
      <c r="I11" s="26"/>
      <c r="J11" s="26">
        <f>SUBTOTAL(9,J12:J22)</f>
        <v>346444400</v>
      </c>
      <c r="K11" s="26">
        <f>SUBTOTAL(9,K12:K22)</f>
        <v>346444400</v>
      </c>
      <c r="L11" s="26"/>
    </row>
    <row r="12" spans="1:13" s="4" customFormat="1" ht="25.5" customHeight="1" outlineLevel="1">
      <c r="A12" s="27" t="str">
        <f t="shared" ref="A12:A22" si="0">$A$11&amp;"."&amp;ROW()-ROW($A$11)</f>
        <v>9A.C1.1</v>
      </c>
      <c r="B12" s="28" t="s">
        <v>3</v>
      </c>
      <c r="C12" s="28" t="s">
        <v>515</v>
      </c>
      <c r="D12" s="29" t="s">
        <v>516</v>
      </c>
      <c r="E12" s="31">
        <v>0</v>
      </c>
      <c r="F12" s="31">
        <v>0</v>
      </c>
      <c r="G12" s="31">
        <f>_xlfn.XLOOKUP(B12, Rate_Master!$A:$A, Rate_Master!$C:$C, "")</f>
        <v>0</v>
      </c>
      <c r="H12" s="31">
        <f>_xlfn.XLOOKUP(B12, Rate_Master!$A:$A, Rate_Master!$D:$D, "")</f>
        <v>114999999.99999999</v>
      </c>
      <c r="I12" s="32">
        <f t="shared" ref="I12:I22" si="1">G12+H12</f>
        <v>114999999.99999999</v>
      </c>
      <c r="J12" s="32">
        <f t="shared" ref="J12:J22" si="2">I12*E12</f>
        <v>0</v>
      </c>
      <c r="K12" s="32">
        <f t="shared" ref="K12:K22" si="3">I12*F12</f>
        <v>0</v>
      </c>
      <c r="L12" s="32"/>
    </row>
    <row r="13" spans="1:13" s="4" customFormat="1" ht="25.5" customHeight="1" outlineLevel="1">
      <c r="A13" s="27" t="str">
        <f t="shared" si="0"/>
        <v>9A.C1.2</v>
      </c>
      <c r="B13" s="28" t="s">
        <v>4</v>
      </c>
      <c r="C13" s="28" t="s">
        <v>515</v>
      </c>
      <c r="D13" s="29" t="s">
        <v>517</v>
      </c>
      <c r="E13" s="31">
        <v>0</v>
      </c>
      <c r="F13" s="31">
        <v>0</v>
      </c>
      <c r="G13" s="31">
        <f>_xlfn.XLOOKUP(B13, Rate_Master!$A:$A, Rate_Master!$C:$C, "")</f>
        <v>425499.99999999994</v>
      </c>
      <c r="H13" s="31">
        <f>_xlfn.XLOOKUP(B13, Rate_Master!$A:$A, Rate_Master!$D:$D, "")</f>
        <v>0</v>
      </c>
      <c r="I13" s="32">
        <f t="shared" si="1"/>
        <v>425499.99999999994</v>
      </c>
      <c r="J13" s="32">
        <f t="shared" si="2"/>
        <v>0</v>
      </c>
      <c r="K13" s="32">
        <f t="shared" si="3"/>
        <v>0</v>
      </c>
      <c r="L13" s="32"/>
    </row>
    <row r="14" spans="1:13" s="4" customFormat="1" ht="25.5" customHeight="1" outlineLevel="1">
      <c r="A14" s="27" t="str">
        <f t="shared" si="0"/>
        <v>9A.C1.3</v>
      </c>
      <c r="B14" s="28" t="s">
        <v>5</v>
      </c>
      <c r="C14" s="28" t="s">
        <v>515</v>
      </c>
      <c r="D14" s="29" t="s">
        <v>517</v>
      </c>
      <c r="E14" s="31">
        <v>0</v>
      </c>
      <c r="F14" s="31">
        <v>0</v>
      </c>
      <c r="G14" s="31">
        <f>_xlfn.XLOOKUP(B14, Rate_Master!$A:$A, Rate_Master!$C:$C, "")</f>
        <v>0</v>
      </c>
      <c r="H14" s="31">
        <f>_xlfn.XLOOKUP(B14, Rate_Master!$A:$A, Rate_Master!$D:$D, "")</f>
        <v>69000</v>
      </c>
      <c r="I14" s="32">
        <f t="shared" si="1"/>
        <v>69000</v>
      </c>
      <c r="J14" s="32">
        <f t="shared" si="2"/>
        <v>0</v>
      </c>
      <c r="K14" s="32">
        <f t="shared" si="3"/>
        <v>0</v>
      </c>
      <c r="L14" s="32"/>
    </row>
    <row r="15" spans="1:13" s="4" customFormat="1" ht="25.5" customHeight="1" outlineLevel="1">
      <c r="A15" s="27" t="str">
        <f t="shared" si="0"/>
        <v>9A.C1.4</v>
      </c>
      <c r="B15" s="28" t="s">
        <v>6</v>
      </c>
      <c r="C15" s="28" t="s">
        <v>515</v>
      </c>
      <c r="D15" s="29" t="s">
        <v>517</v>
      </c>
      <c r="E15" s="31">
        <v>0</v>
      </c>
      <c r="F15" s="31">
        <v>0</v>
      </c>
      <c r="G15" s="31">
        <f>_xlfn.XLOOKUP(B15, Rate_Master!$A:$A, Rate_Master!$C:$C, "")</f>
        <v>0</v>
      </c>
      <c r="H15" s="31">
        <f>_xlfn.XLOOKUP(B15, Rate_Master!$A:$A, Rate_Master!$D:$D, "")</f>
        <v>57499.999999999993</v>
      </c>
      <c r="I15" s="32">
        <f t="shared" si="1"/>
        <v>57499.999999999993</v>
      </c>
      <c r="J15" s="32">
        <f t="shared" si="2"/>
        <v>0</v>
      </c>
      <c r="K15" s="32">
        <f t="shared" si="3"/>
        <v>0</v>
      </c>
      <c r="L15" s="32"/>
    </row>
    <row r="16" spans="1:13" s="4" customFormat="1" ht="102" customHeight="1" outlineLevel="1">
      <c r="A16" s="27" t="str">
        <f t="shared" si="0"/>
        <v>9A.C1.5</v>
      </c>
      <c r="B16" s="28" t="s">
        <v>7</v>
      </c>
      <c r="C16" s="28" t="s">
        <v>515</v>
      </c>
      <c r="D16" s="29" t="s">
        <v>518</v>
      </c>
      <c r="E16" s="31">
        <v>0</v>
      </c>
      <c r="F16" s="31">
        <v>0</v>
      </c>
      <c r="G16" s="31">
        <f>_xlfn.XLOOKUP(B16, Rate_Master!$A:$A, Rate_Master!$C:$C, "")</f>
        <v>0</v>
      </c>
      <c r="H16" s="31">
        <f>_xlfn.XLOOKUP(B16, Rate_Master!$A:$A, Rate_Master!$D:$D, "")</f>
        <v>13799999.999999998</v>
      </c>
      <c r="I16" s="32">
        <f t="shared" si="1"/>
        <v>13799999.999999998</v>
      </c>
      <c r="J16" s="32">
        <f t="shared" si="2"/>
        <v>0</v>
      </c>
      <c r="K16" s="32">
        <f t="shared" si="3"/>
        <v>0</v>
      </c>
      <c r="L16" s="32"/>
    </row>
    <row r="17" spans="1:12" s="4" customFormat="1" ht="25.5" customHeight="1" outlineLevel="1">
      <c r="A17" s="27" t="str">
        <f t="shared" si="0"/>
        <v>9A.C1.6</v>
      </c>
      <c r="B17" s="28" t="s">
        <v>8</v>
      </c>
      <c r="C17" s="28" t="s">
        <v>515</v>
      </c>
      <c r="D17" s="29" t="s">
        <v>518</v>
      </c>
      <c r="E17" s="31">
        <v>6</v>
      </c>
      <c r="F17" s="31">
        <v>6</v>
      </c>
      <c r="G17" s="31">
        <f>_xlfn.XLOOKUP(B17, Rate_Master!$A:$A, Rate_Master!$C:$C, "")</f>
        <v>0</v>
      </c>
      <c r="H17" s="31">
        <f>_xlfn.XLOOKUP(B17, Rate_Master!$A:$A, Rate_Master!$D:$D, "")</f>
        <v>252999.99999999997</v>
      </c>
      <c r="I17" s="66">
        <f t="shared" si="1"/>
        <v>252999.99999999997</v>
      </c>
      <c r="J17" s="32">
        <f t="shared" si="2"/>
        <v>1517999.9999999998</v>
      </c>
      <c r="K17" s="32">
        <f t="shared" si="3"/>
        <v>1517999.9999999998</v>
      </c>
      <c r="L17" s="32"/>
    </row>
    <row r="18" spans="1:12" s="4" customFormat="1" ht="25.5" customHeight="1" outlineLevel="1">
      <c r="A18" s="27" t="str">
        <f t="shared" si="0"/>
        <v>9A.C1.7</v>
      </c>
      <c r="B18" s="28" t="s">
        <v>9</v>
      </c>
      <c r="C18" s="28" t="s">
        <v>515</v>
      </c>
      <c r="D18" s="29" t="s">
        <v>517</v>
      </c>
      <c r="E18" s="31">
        <v>616</v>
      </c>
      <c r="F18" s="31">
        <v>616</v>
      </c>
      <c r="G18" s="31">
        <f>_xlfn.XLOOKUP(B18, Rate_Master!$A:$A, Rate_Master!$C:$C, "")</f>
        <v>402499.99999999994</v>
      </c>
      <c r="H18" s="31">
        <f>_xlfn.XLOOKUP(B18, Rate_Master!$A:$A, Rate_Master!$D:$D, "")</f>
        <v>0</v>
      </c>
      <c r="I18" s="66">
        <f t="shared" si="1"/>
        <v>402499.99999999994</v>
      </c>
      <c r="J18" s="32">
        <f t="shared" si="2"/>
        <v>247939999.99999997</v>
      </c>
      <c r="K18" s="32">
        <f t="shared" si="3"/>
        <v>247939999.99999997</v>
      </c>
      <c r="L18" s="32"/>
    </row>
    <row r="19" spans="1:12" s="4" customFormat="1" ht="25.5" customHeight="1" outlineLevel="1">
      <c r="A19" s="27" t="str">
        <f t="shared" si="0"/>
        <v>9A.C1.8</v>
      </c>
      <c r="B19" s="28" t="s">
        <v>10</v>
      </c>
      <c r="C19" s="28" t="s">
        <v>515</v>
      </c>
      <c r="D19" s="29" t="s">
        <v>518</v>
      </c>
      <c r="E19" s="31">
        <v>28</v>
      </c>
      <c r="F19" s="31">
        <v>28</v>
      </c>
      <c r="G19" s="31">
        <f>_xlfn.XLOOKUP(B19, Rate_Master!$A:$A, Rate_Master!$C:$C, "")</f>
        <v>80500</v>
      </c>
      <c r="H19" s="31">
        <f>_xlfn.XLOOKUP(B19, Rate_Master!$A:$A, Rate_Master!$D:$D, "")</f>
        <v>0</v>
      </c>
      <c r="I19" s="66">
        <f t="shared" si="1"/>
        <v>80500</v>
      </c>
      <c r="J19" s="32">
        <f t="shared" si="2"/>
        <v>2254000</v>
      </c>
      <c r="K19" s="32">
        <f t="shared" si="3"/>
        <v>2254000</v>
      </c>
      <c r="L19" s="32"/>
    </row>
    <row r="20" spans="1:12" s="4" customFormat="1" ht="25.5" customHeight="1" outlineLevel="1">
      <c r="A20" s="27" t="str">
        <f t="shared" si="0"/>
        <v>9A.C1.9</v>
      </c>
      <c r="B20" s="28" t="s">
        <v>11</v>
      </c>
      <c r="C20" s="28" t="s">
        <v>515</v>
      </c>
      <c r="D20" s="29" t="s">
        <v>517</v>
      </c>
      <c r="E20" s="31">
        <v>593.6</v>
      </c>
      <c r="F20" s="31">
        <v>593.6</v>
      </c>
      <c r="G20" s="31">
        <f>_xlfn.XLOOKUP(B20, Rate_Master!$A:$A, Rate_Master!$C:$C, "")</f>
        <v>0</v>
      </c>
      <c r="H20" s="31">
        <f>_xlfn.XLOOKUP(B20, Rate_Master!$A:$A, Rate_Master!$D:$D, "")</f>
        <v>69000</v>
      </c>
      <c r="I20" s="66">
        <f t="shared" si="1"/>
        <v>69000</v>
      </c>
      <c r="J20" s="32">
        <f t="shared" si="2"/>
        <v>40958400</v>
      </c>
      <c r="K20" s="32">
        <f t="shared" si="3"/>
        <v>40958400</v>
      </c>
      <c r="L20" s="32"/>
    </row>
    <row r="21" spans="1:12" s="4" customFormat="1" ht="25.5" customHeight="1" outlineLevel="1">
      <c r="A21" s="27" t="str">
        <f t="shared" si="0"/>
        <v>9A.C1.10</v>
      </c>
      <c r="B21" s="28" t="s">
        <v>12</v>
      </c>
      <c r="C21" s="28" t="s">
        <v>515</v>
      </c>
      <c r="D21" s="29" t="s">
        <v>517</v>
      </c>
      <c r="E21" s="31">
        <v>621.6</v>
      </c>
      <c r="F21" s="31">
        <v>621.6</v>
      </c>
      <c r="G21" s="31">
        <f>_xlfn.XLOOKUP(B21, Rate_Master!$A:$A, Rate_Master!$C:$C, "")</f>
        <v>0</v>
      </c>
      <c r="H21" s="31">
        <f>_xlfn.XLOOKUP(B21, Rate_Master!$A:$A, Rate_Master!$D:$D, "")</f>
        <v>57499.999999999993</v>
      </c>
      <c r="I21" s="66">
        <f t="shared" si="1"/>
        <v>57499.999999999993</v>
      </c>
      <c r="J21" s="32">
        <f t="shared" si="2"/>
        <v>35742000</v>
      </c>
      <c r="K21" s="32">
        <f t="shared" si="3"/>
        <v>35742000</v>
      </c>
      <c r="L21" s="32"/>
    </row>
    <row r="22" spans="1:12" s="4" customFormat="1" ht="63.75" customHeight="1" outlineLevel="1">
      <c r="A22" s="27" t="str">
        <f t="shared" si="0"/>
        <v>9A.C1.11</v>
      </c>
      <c r="B22" s="28" t="s">
        <v>13</v>
      </c>
      <c r="C22" s="28" t="s">
        <v>515</v>
      </c>
      <c r="D22" s="29" t="s">
        <v>518</v>
      </c>
      <c r="E22" s="31">
        <v>28</v>
      </c>
      <c r="F22" s="31">
        <v>28</v>
      </c>
      <c r="G22" s="31">
        <f>_xlfn.XLOOKUP(B22, Rate_Master!$A:$A, Rate_Master!$C:$C, "")</f>
        <v>482999.99999999994</v>
      </c>
      <c r="H22" s="31">
        <f>_xlfn.XLOOKUP(B22, Rate_Master!$A:$A, Rate_Master!$D:$D, "")</f>
        <v>161000</v>
      </c>
      <c r="I22" s="66">
        <f t="shared" si="1"/>
        <v>644000</v>
      </c>
      <c r="J22" s="32">
        <f t="shared" si="2"/>
        <v>18032000</v>
      </c>
      <c r="K22" s="32">
        <f t="shared" si="3"/>
        <v>18032000</v>
      </c>
      <c r="L22" s="32"/>
    </row>
    <row r="23" spans="1:12" s="3" customFormat="1" ht="25.5" customHeight="1">
      <c r="A23" s="22" t="str">
        <f>$A$10&amp;2</f>
        <v>9A.C2</v>
      </c>
      <c r="B23" s="23" t="s">
        <v>14</v>
      </c>
      <c r="C23" s="23" t="s">
        <v>515</v>
      </c>
      <c r="D23" s="22"/>
      <c r="E23" s="25"/>
      <c r="F23" s="25"/>
      <c r="G23" s="25">
        <f>_xlfn.XLOOKUP(B23, Rate_Master!$A:$A, Rate_Master!$C:$C, "")</f>
        <v>0</v>
      </c>
      <c r="H23" s="25">
        <f>_xlfn.XLOOKUP(B23, Rate_Master!$A:$A, Rate_Master!$D:$D, "")</f>
        <v>0</v>
      </c>
      <c r="I23" s="26"/>
      <c r="J23" s="26">
        <f>SUBTOTAL(9,J24:J31)</f>
        <v>69414827.424999997</v>
      </c>
      <c r="K23" s="26">
        <f>SUBTOTAL(9,K24:K31)</f>
        <v>69414827.424999997</v>
      </c>
      <c r="L23" s="26"/>
    </row>
    <row r="24" spans="1:12" s="4" customFormat="1" ht="25.5" hidden="1" customHeight="1" outlineLevel="1">
      <c r="A24" s="27" t="str">
        <f t="shared" ref="A24:A31" si="4">$A$23&amp;"."&amp;ROW()-ROW($A$23)</f>
        <v>9A.C2.1</v>
      </c>
      <c r="B24" s="28" t="s">
        <v>15</v>
      </c>
      <c r="C24" s="28" t="s">
        <v>515</v>
      </c>
      <c r="D24" s="29" t="s">
        <v>519</v>
      </c>
      <c r="E24" s="31">
        <v>67.412999999999997</v>
      </c>
      <c r="F24" s="31">
        <v>67.412999999999997</v>
      </c>
      <c r="G24" s="31">
        <f>_xlfn.XLOOKUP(B24, Rate_Master!$A:$A, Rate_Master!$C:$C, "")</f>
        <v>0</v>
      </c>
      <c r="H24" s="31">
        <f>_xlfn.XLOOKUP(B24, Rate_Master!$A:$A, Rate_Master!$D:$D, "")</f>
        <v>32199.999999999996</v>
      </c>
      <c r="I24" s="66">
        <f t="shared" ref="I24:I31" si="5">G24+H24</f>
        <v>32199.999999999996</v>
      </c>
      <c r="J24" s="32">
        <f t="shared" ref="J24:J31" si="6">I24*E24</f>
        <v>2170698.5999999996</v>
      </c>
      <c r="K24" s="32">
        <f t="shared" ref="K24:K31" si="7">I24*F24</f>
        <v>2170698.5999999996</v>
      </c>
      <c r="L24" s="32"/>
    </row>
    <row r="25" spans="1:12" s="4" customFormat="1" ht="25.5" hidden="1" customHeight="1" outlineLevel="1">
      <c r="A25" s="27" t="str">
        <f t="shared" si="4"/>
        <v>9A.C2.2</v>
      </c>
      <c r="B25" s="28" t="s">
        <v>16</v>
      </c>
      <c r="C25" s="28" t="s">
        <v>515</v>
      </c>
      <c r="D25" s="29" t="s">
        <v>520</v>
      </c>
      <c r="E25" s="31">
        <v>92.2</v>
      </c>
      <c r="F25" s="31">
        <v>92.2</v>
      </c>
      <c r="G25" s="31">
        <f>_xlfn.XLOOKUP(B25, Rate_Master!$A:$A, Rate_Master!$C:$C, "")</f>
        <v>0</v>
      </c>
      <c r="H25" s="31">
        <f>_xlfn.XLOOKUP(B25, Rate_Master!$A:$A, Rate_Master!$D:$D, "")</f>
        <v>17250</v>
      </c>
      <c r="I25" s="66">
        <f t="shared" si="5"/>
        <v>17250</v>
      </c>
      <c r="J25" s="32">
        <f t="shared" si="6"/>
        <v>1590450</v>
      </c>
      <c r="K25" s="32">
        <f t="shared" si="7"/>
        <v>1590450</v>
      </c>
      <c r="L25" s="32"/>
    </row>
    <row r="26" spans="1:12" s="4" customFormat="1" ht="25.5" hidden="1" customHeight="1" outlineLevel="1">
      <c r="A26" s="27" t="str">
        <f t="shared" si="4"/>
        <v>9A.C2.3</v>
      </c>
      <c r="B26" s="28" t="s">
        <v>17</v>
      </c>
      <c r="C26" s="28" t="s">
        <v>515</v>
      </c>
      <c r="D26" s="29" t="s">
        <v>519</v>
      </c>
      <c r="E26" s="31">
        <v>48.628999999999998</v>
      </c>
      <c r="F26" s="31">
        <v>48.628999999999998</v>
      </c>
      <c r="G26" s="31">
        <f>_xlfn.XLOOKUP(B26, Rate_Master!$A:$A, Rate_Master!$C:$C, "")</f>
        <v>0</v>
      </c>
      <c r="H26" s="31">
        <f>_xlfn.XLOOKUP(B26, Rate_Master!$A:$A, Rate_Master!$D:$D, "")</f>
        <v>37950</v>
      </c>
      <c r="I26" s="66">
        <f t="shared" si="5"/>
        <v>37950</v>
      </c>
      <c r="J26" s="32">
        <f t="shared" si="6"/>
        <v>1845470.5499999998</v>
      </c>
      <c r="K26" s="32">
        <f t="shared" si="7"/>
        <v>1845470.5499999998</v>
      </c>
      <c r="L26" s="32"/>
    </row>
    <row r="27" spans="1:12" s="4" customFormat="1" ht="25.5" hidden="1" customHeight="1" outlineLevel="1">
      <c r="A27" s="27" t="str">
        <f t="shared" si="4"/>
        <v>9A.C2.4</v>
      </c>
      <c r="B27" s="34" t="s">
        <v>18</v>
      </c>
      <c r="C27" s="34" t="s">
        <v>521</v>
      </c>
      <c r="D27" s="29" t="s">
        <v>519</v>
      </c>
      <c r="E27" s="31">
        <v>18.783999999999999</v>
      </c>
      <c r="F27" s="31">
        <v>18.783999999999999</v>
      </c>
      <c r="G27" s="31">
        <f>_xlfn.XLOOKUP(B27, Rate_Master!$A:$A, Rate_Master!$C:$C, "")</f>
        <v>0</v>
      </c>
      <c r="H27" s="31">
        <f>_xlfn.XLOOKUP(B27, Rate_Master!$A:$A, Rate_Master!$D:$D, "")</f>
        <v>32199.999999999996</v>
      </c>
      <c r="I27" s="66">
        <f t="shared" si="5"/>
        <v>32199.999999999996</v>
      </c>
      <c r="J27" s="32">
        <f t="shared" si="6"/>
        <v>604844.79999999993</v>
      </c>
      <c r="K27" s="32">
        <f t="shared" si="7"/>
        <v>604844.79999999993</v>
      </c>
      <c r="L27" s="32"/>
    </row>
    <row r="28" spans="1:12" s="4" customFormat="1" ht="25.5" hidden="1" customHeight="1" outlineLevel="1">
      <c r="A28" s="27" t="str">
        <f t="shared" si="4"/>
        <v>9A.C2.5</v>
      </c>
      <c r="B28" s="28" t="s">
        <v>19</v>
      </c>
      <c r="C28" s="28" t="s">
        <v>515</v>
      </c>
      <c r="D28" s="29" t="s">
        <v>520</v>
      </c>
      <c r="E28" s="31">
        <v>92.200999999999993</v>
      </c>
      <c r="F28" s="31">
        <v>92.200999999999993</v>
      </c>
      <c r="G28" s="31">
        <f>_xlfn.XLOOKUP(B28, Rate_Master!$A:$A, Rate_Master!$C:$C, "")</f>
        <v>6899.9999999999991</v>
      </c>
      <c r="H28" s="31">
        <f>_xlfn.XLOOKUP(B28, Rate_Master!$A:$A, Rate_Master!$D:$D, "")</f>
        <v>1724.9999999999998</v>
      </c>
      <c r="I28" s="66">
        <f t="shared" si="5"/>
        <v>8624.9999999999982</v>
      </c>
      <c r="J28" s="32">
        <f t="shared" si="6"/>
        <v>795233.62499999977</v>
      </c>
      <c r="K28" s="32">
        <f t="shared" si="7"/>
        <v>795233.62499999977</v>
      </c>
      <c r="L28" s="32"/>
    </row>
    <row r="29" spans="1:12" s="4" customFormat="1" ht="38.25" hidden="1" customHeight="1" outlineLevel="1">
      <c r="A29" s="27" t="str">
        <f t="shared" si="4"/>
        <v>9A.C2.6</v>
      </c>
      <c r="B29" s="28" t="s">
        <v>20</v>
      </c>
      <c r="C29" s="28" t="s">
        <v>515</v>
      </c>
      <c r="D29" s="29" t="s">
        <v>520</v>
      </c>
      <c r="E29" s="31">
        <v>226.08</v>
      </c>
      <c r="F29" s="31">
        <v>226.08</v>
      </c>
      <c r="G29" s="31">
        <f>_xlfn.XLOOKUP(B29, Rate_Master!$A:$A, Rate_Master!$C:$C, "")</f>
        <v>34500</v>
      </c>
      <c r="H29" s="31">
        <f>_xlfn.XLOOKUP(B29, Rate_Master!$A:$A, Rate_Master!$D:$D, "")</f>
        <v>5750</v>
      </c>
      <c r="I29" s="66">
        <f t="shared" si="5"/>
        <v>40250</v>
      </c>
      <c r="J29" s="32">
        <f t="shared" si="6"/>
        <v>9099720</v>
      </c>
      <c r="K29" s="32">
        <f t="shared" si="7"/>
        <v>9099720</v>
      </c>
      <c r="L29" s="32"/>
    </row>
    <row r="30" spans="1:12" s="4" customFormat="1" ht="25.5" hidden="1" customHeight="1" outlineLevel="1">
      <c r="A30" s="27" t="str">
        <f t="shared" si="4"/>
        <v>9A.C2.7</v>
      </c>
      <c r="B30" s="34" t="s">
        <v>21</v>
      </c>
      <c r="C30" s="28" t="s">
        <v>515</v>
      </c>
      <c r="D30" s="29" t="s">
        <v>520</v>
      </c>
      <c r="E30" s="31">
        <v>226.08</v>
      </c>
      <c r="F30" s="31">
        <v>226.08</v>
      </c>
      <c r="G30" s="31">
        <f>_xlfn.XLOOKUP(B30, Rate_Master!$A:$A, Rate_Master!$C:$C, "")</f>
        <v>0</v>
      </c>
      <c r="H30" s="31">
        <f>_xlfn.XLOOKUP(B30, Rate_Master!$A:$A, Rate_Master!$D:$D, "")</f>
        <v>13799.999999999998</v>
      </c>
      <c r="I30" s="32">
        <f t="shared" si="5"/>
        <v>13799.999999999998</v>
      </c>
      <c r="J30" s="32">
        <f t="shared" si="6"/>
        <v>3119903.9999999995</v>
      </c>
      <c r="K30" s="32">
        <f t="shared" si="7"/>
        <v>3119903.9999999995</v>
      </c>
      <c r="L30" s="32"/>
    </row>
    <row r="31" spans="1:12" s="4" customFormat="1" ht="25.5" hidden="1" customHeight="1" outlineLevel="1">
      <c r="A31" s="27" t="str">
        <f t="shared" si="4"/>
        <v>9A.C2.8</v>
      </c>
      <c r="B31" s="28" t="s">
        <v>22</v>
      </c>
      <c r="C31" s="28" t="s">
        <v>515</v>
      </c>
      <c r="D31" s="29" t="s">
        <v>519</v>
      </c>
      <c r="E31" s="31">
        <v>81.498000000000005</v>
      </c>
      <c r="F31" s="31">
        <v>81.498000000000005</v>
      </c>
      <c r="G31" s="31">
        <f>_xlfn.XLOOKUP(B31, Rate_Master!$A:$A, Rate_Master!$C:$C, "")</f>
        <v>512325</v>
      </c>
      <c r="H31" s="31">
        <f>_xlfn.XLOOKUP(B31, Rate_Master!$A:$A, Rate_Master!$D:$D, "")</f>
        <v>103499.99999999999</v>
      </c>
      <c r="I31" s="66">
        <f t="shared" si="5"/>
        <v>615825</v>
      </c>
      <c r="J31" s="32">
        <f t="shared" si="6"/>
        <v>50188505.850000001</v>
      </c>
      <c r="K31" s="32">
        <f t="shared" si="7"/>
        <v>50188505.850000001</v>
      </c>
      <c r="L31" s="32"/>
    </row>
    <row r="32" spans="1:12" s="3" customFormat="1" ht="25.5" customHeight="1" collapsed="1">
      <c r="A32" s="22" t="str">
        <f>$A$10&amp;3</f>
        <v>9A.C3</v>
      </c>
      <c r="B32" s="23" t="s">
        <v>23</v>
      </c>
      <c r="C32" s="23" t="s">
        <v>515</v>
      </c>
      <c r="D32" s="22"/>
      <c r="E32" s="25"/>
      <c r="F32" s="25"/>
      <c r="G32" s="25">
        <f>_xlfn.XLOOKUP(B32, Rate_Master!$A:$A, Rate_Master!$C:$C, "")</f>
        <v>0</v>
      </c>
      <c r="H32" s="25">
        <f>_xlfn.XLOOKUP(B32, Rate_Master!$A:$A, Rate_Master!$D:$D, "")</f>
        <v>0</v>
      </c>
      <c r="I32" s="26"/>
      <c r="J32" s="26">
        <f>SUBTOTAL(9,J33:J39)</f>
        <v>103903795.02777776</v>
      </c>
      <c r="K32" s="26">
        <f>SUBTOTAL(9,K33:K39)</f>
        <v>103903795.02777776</v>
      </c>
      <c r="L32" s="26"/>
    </row>
    <row r="33" spans="1:12" s="4" customFormat="1" ht="25.5" hidden="1" customHeight="1" outlineLevel="1">
      <c r="A33" s="27" t="str">
        <f t="shared" ref="A33:A39" si="8">$A$32&amp;"."&amp;ROW()-ROW($A$32)</f>
        <v>9A.C3.1</v>
      </c>
      <c r="B33" s="28" t="s">
        <v>24</v>
      </c>
      <c r="C33" s="28" t="s">
        <v>515</v>
      </c>
      <c r="D33" s="29" t="s">
        <v>519</v>
      </c>
      <c r="E33" s="31">
        <v>9.2200000000000006</v>
      </c>
      <c r="F33" s="31">
        <v>9.2200000000000006</v>
      </c>
      <c r="G33" s="30">
        <f>_xlfn.XLOOKUP(B33, Rate_Master!$A:$A, Rate_Master!$C:$C, "")</f>
        <v>1249762.5</v>
      </c>
      <c r="H33" s="30">
        <f>_xlfn.XLOOKUP(B33, Rate_Master!$A:$A, Rate_Master!$D:$D, "")</f>
        <v>206999.99999999997</v>
      </c>
      <c r="I33" s="66">
        <f t="shared" ref="I33:I39" si="9">G33+H33</f>
        <v>1456762.5</v>
      </c>
      <c r="J33" s="32">
        <f t="shared" ref="J33:J39" si="10">I33*E33</f>
        <v>13431350.25</v>
      </c>
      <c r="K33" s="32">
        <f t="shared" ref="K33:K39" si="11">I33*F33</f>
        <v>13431350.25</v>
      </c>
      <c r="L33" s="32"/>
    </row>
    <row r="34" spans="1:12" s="4" customFormat="1" ht="51" hidden="1" customHeight="1" outlineLevel="1">
      <c r="A34" s="27" t="str">
        <f t="shared" si="8"/>
        <v>9A.C3.2</v>
      </c>
      <c r="B34" s="28" t="s">
        <v>25</v>
      </c>
      <c r="C34" s="28" t="s">
        <v>515</v>
      </c>
      <c r="D34" s="29" t="s">
        <v>519</v>
      </c>
      <c r="E34" s="31">
        <v>37.238</v>
      </c>
      <c r="F34" s="31">
        <v>37.238</v>
      </c>
      <c r="G34" s="30">
        <f>_xlfn.XLOOKUP(B34, Rate_Master!$A:$A, Rate_Master!$C:$C, "")</f>
        <v>1607444.4444444443</v>
      </c>
      <c r="H34" s="30">
        <f>_xlfn.XLOOKUP(B34, Rate_Master!$A:$A, Rate_Master!$D:$D, "")</f>
        <v>149500</v>
      </c>
      <c r="I34" s="66">
        <f t="shared" si="9"/>
        <v>1756944.4444444443</v>
      </c>
      <c r="J34" s="32">
        <f t="shared" si="10"/>
        <v>65425097.222222216</v>
      </c>
      <c r="K34" s="32">
        <f t="shared" si="11"/>
        <v>65425097.222222216</v>
      </c>
      <c r="L34" s="32"/>
    </row>
    <row r="35" spans="1:12" s="4" customFormat="1" ht="25.5" hidden="1" customHeight="1" outlineLevel="1">
      <c r="A35" s="27" t="str">
        <f t="shared" si="8"/>
        <v>9A.C3.3</v>
      </c>
      <c r="B35" s="28" t="s">
        <v>26</v>
      </c>
      <c r="C35" s="28" t="s">
        <v>515</v>
      </c>
      <c r="D35" s="29" t="s">
        <v>519</v>
      </c>
      <c r="E35" s="31">
        <v>7.75</v>
      </c>
      <c r="F35" s="31">
        <v>7.75</v>
      </c>
      <c r="G35" s="30">
        <f>_xlfn.XLOOKUP(B35, Rate_Master!$A:$A, Rate_Master!$C:$C, "")</f>
        <v>1520555.5555555553</v>
      </c>
      <c r="H35" s="30">
        <f>_xlfn.XLOOKUP(B35, Rate_Master!$A:$A, Rate_Master!$D:$D, "")</f>
        <v>252999.99999999997</v>
      </c>
      <c r="I35" s="66">
        <f t="shared" si="9"/>
        <v>1773555.5555555553</v>
      </c>
      <c r="J35" s="32">
        <f t="shared" si="10"/>
        <v>13745055.555555554</v>
      </c>
      <c r="K35" s="32">
        <f t="shared" si="11"/>
        <v>13745055.555555554</v>
      </c>
      <c r="L35" s="32"/>
    </row>
    <row r="36" spans="1:12" s="4" customFormat="1" ht="25.5" hidden="1" customHeight="1" outlineLevel="1">
      <c r="A36" s="27" t="str">
        <f t="shared" si="8"/>
        <v>9A.C3.4</v>
      </c>
      <c r="B36" s="28" t="s">
        <v>27</v>
      </c>
      <c r="C36" s="28" t="s">
        <v>515</v>
      </c>
      <c r="D36" s="29" t="s">
        <v>519</v>
      </c>
      <c r="E36" s="31">
        <v>4.7880000000000003</v>
      </c>
      <c r="F36" s="31">
        <v>4.7880000000000003</v>
      </c>
      <c r="G36" s="30">
        <f>_xlfn.XLOOKUP(B36, Rate_Master!$A:$A, Rate_Master!$C:$C, "")</f>
        <v>1520555.5555555553</v>
      </c>
      <c r="H36" s="30">
        <f>_xlfn.XLOOKUP(B36, Rate_Master!$A:$A, Rate_Master!$D:$D, "")</f>
        <v>149500</v>
      </c>
      <c r="I36" s="66">
        <f t="shared" si="9"/>
        <v>1670055.5555555553</v>
      </c>
      <c r="J36" s="32">
        <f t="shared" si="10"/>
        <v>7996225.9999999991</v>
      </c>
      <c r="K36" s="32">
        <f t="shared" si="11"/>
        <v>7996225.9999999991</v>
      </c>
      <c r="L36" s="32"/>
    </row>
    <row r="37" spans="1:12" s="4" customFormat="1" ht="25.5" hidden="1" customHeight="1" outlineLevel="1">
      <c r="A37" s="27" t="str">
        <f t="shared" si="8"/>
        <v>9A.C3.5</v>
      </c>
      <c r="B37" s="28" t="s">
        <v>28</v>
      </c>
      <c r="C37" s="28" t="s">
        <v>515</v>
      </c>
      <c r="D37" s="29" t="s">
        <v>519</v>
      </c>
      <c r="E37" s="31">
        <v>0</v>
      </c>
      <c r="F37" s="31">
        <v>0</v>
      </c>
      <c r="G37" s="30">
        <f>_xlfn.XLOOKUP(B37, Rate_Master!$A:$A, Rate_Master!$C:$C, "")</f>
        <v>1390222.2222222222</v>
      </c>
      <c r="H37" s="30">
        <f>_xlfn.XLOOKUP(B37, Rate_Master!$A:$A, Rate_Master!$D:$D, "")</f>
        <v>149500</v>
      </c>
      <c r="I37" s="66">
        <f t="shared" si="9"/>
        <v>1539722.2222222222</v>
      </c>
      <c r="J37" s="32">
        <f t="shared" si="10"/>
        <v>0</v>
      </c>
      <c r="K37" s="32">
        <f t="shared" si="11"/>
        <v>0</v>
      </c>
      <c r="L37" s="32"/>
    </row>
    <row r="38" spans="1:12" s="4" customFormat="1" ht="25.5" hidden="1" customHeight="1" outlineLevel="1">
      <c r="A38" s="27" t="str">
        <f t="shared" si="8"/>
        <v>9A.C3.6</v>
      </c>
      <c r="B38" s="28" t="s">
        <v>29</v>
      </c>
      <c r="C38" s="28" t="s">
        <v>515</v>
      </c>
      <c r="D38" s="29" t="s">
        <v>519</v>
      </c>
      <c r="E38" s="31">
        <v>1.08</v>
      </c>
      <c r="F38" s="31">
        <v>1.08</v>
      </c>
      <c r="G38" s="30">
        <f>_xlfn.XLOOKUP(B38, Rate_Master!$A:$A, Rate_Master!$C:$C, "")</f>
        <v>1390222.2222222222</v>
      </c>
      <c r="H38" s="30">
        <f>_xlfn.XLOOKUP(B38, Rate_Master!$A:$A, Rate_Master!$D:$D, "")</f>
        <v>149500</v>
      </c>
      <c r="I38" s="66">
        <f t="shared" si="9"/>
        <v>1539722.2222222222</v>
      </c>
      <c r="J38" s="32">
        <f t="shared" si="10"/>
        <v>1662900.0000000002</v>
      </c>
      <c r="K38" s="32">
        <f t="shared" si="11"/>
        <v>1662900.0000000002</v>
      </c>
      <c r="L38" s="32"/>
    </row>
    <row r="39" spans="1:12" s="4" customFormat="1" ht="38.25" hidden="1" customHeight="1" outlineLevel="1">
      <c r="A39" s="27" t="str">
        <f t="shared" si="8"/>
        <v>9A.C3.7</v>
      </c>
      <c r="B39" s="28" t="s">
        <v>30</v>
      </c>
      <c r="C39" s="28" t="s">
        <v>515</v>
      </c>
      <c r="D39" s="29" t="s">
        <v>519</v>
      </c>
      <c r="E39" s="31">
        <v>5.3999999999999999E-2</v>
      </c>
      <c r="F39" s="31">
        <v>5.3999999999999999E-2</v>
      </c>
      <c r="G39" s="30">
        <f>_xlfn.XLOOKUP(B39, Rate_Master!$A:$A, Rate_Master!$C:$C, "")</f>
        <v>22425000</v>
      </c>
      <c r="H39" s="30">
        <f>_xlfn.XLOOKUP(B39, Rate_Master!$A:$A, Rate_Master!$D:$D, "")</f>
        <v>8003999.9999999991</v>
      </c>
      <c r="I39" s="66">
        <f t="shared" si="9"/>
        <v>30429000</v>
      </c>
      <c r="J39" s="32">
        <f t="shared" si="10"/>
        <v>1643166</v>
      </c>
      <c r="K39" s="32">
        <f t="shared" si="11"/>
        <v>1643166</v>
      </c>
      <c r="L39" s="32"/>
    </row>
    <row r="40" spans="1:12" s="3" customFormat="1" ht="25.5" customHeight="1" collapsed="1">
      <c r="A40" s="22" t="str">
        <f>$A$10&amp;4</f>
        <v>9A.C4</v>
      </c>
      <c r="B40" s="23" t="s">
        <v>31</v>
      </c>
      <c r="C40" s="23" t="s">
        <v>515</v>
      </c>
      <c r="D40" s="22"/>
      <c r="E40" s="25"/>
      <c r="F40" s="25"/>
      <c r="G40" s="25">
        <f>_xlfn.XLOOKUP(B40, Rate_Master!$A:$A, Rate_Master!$C:$C, "")</f>
        <v>0</v>
      </c>
      <c r="H40" s="25">
        <f>_xlfn.XLOOKUP(B40, Rate_Master!$A:$A, Rate_Master!$D:$D, "")</f>
        <v>0</v>
      </c>
      <c r="I40" s="26"/>
      <c r="J40" s="26">
        <f>SUBTOTAL(9,J41:J45)</f>
        <v>80882651</v>
      </c>
      <c r="K40" s="26">
        <f>SUBTOTAL(9,K41:K45)</f>
        <v>80882651</v>
      </c>
      <c r="L40" s="26"/>
    </row>
    <row r="41" spans="1:12" s="4" customFormat="1" ht="25.5" hidden="1" customHeight="1" outlineLevel="1">
      <c r="A41" s="27" t="str">
        <f>$A$40&amp;"."&amp;ROW()-ROW($A$40)</f>
        <v>9A.C4.1</v>
      </c>
      <c r="B41" s="28" t="s">
        <v>32</v>
      </c>
      <c r="C41" s="28" t="s">
        <v>515</v>
      </c>
      <c r="D41" s="29" t="s">
        <v>520</v>
      </c>
      <c r="E41" s="31">
        <v>32.96</v>
      </c>
      <c r="F41" s="31">
        <v>32.96</v>
      </c>
      <c r="G41" s="30">
        <f>_xlfn.XLOOKUP(B41, Rate_Master!$A:$A, Rate_Master!$C:$C, "")</f>
        <v>80500</v>
      </c>
      <c r="H41" s="30">
        <f>_xlfn.XLOOKUP(B41, Rate_Master!$A:$A, Rate_Master!$D:$D, "")</f>
        <v>92000</v>
      </c>
      <c r="I41" s="66">
        <f>G41+H41</f>
        <v>172500</v>
      </c>
      <c r="J41" s="32">
        <f>I41*E41</f>
        <v>5685600</v>
      </c>
      <c r="K41" s="32">
        <f>I41*F41</f>
        <v>5685600</v>
      </c>
      <c r="L41" s="32"/>
    </row>
    <row r="42" spans="1:12" s="4" customFormat="1" ht="38.25" hidden="1" customHeight="1" outlineLevel="1">
      <c r="A42" s="27" t="str">
        <f>$A$40&amp;"."&amp;ROW()-ROW($A$40)</f>
        <v>9A.C4.2</v>
      </c>
      <c r="B42" s="28" t="s">
        <v>33</v>
      </c>
      <c r="C42" s="28" t="s">
        <v>515</v>
      </c>
      <c r="D42" s="29" t="s">
        <v>520</v>
      </c>
      <c r="E42" s="31">
        <v>134.80000000000001</v>
      </c>
      <c r="F42" s="31">
        <v>134.80000000000001</v>
      </c>
      <c r="G42" s="30">
        <f>_xlfn.XLOOKUP(B42, Rate_Master!$A:$A, Rate_Master!$C:$C, "")</f>
        <v>126499.99999999999</v>
      </c>
      <c r="H42" s="30">
        <f>_xlfn.XLOOKUP(B42, Rate_Master!$A:$A, Rate_Master!$D:$D, "")</f>
        <v>103499.99999999999</v>
      </c>
      <c r="I42" s="66">
        <f>G42+H42</f>
        <v>229999.99999999997</v>
      </c>
      <c r="J42" s="32">
        <f>I42*E42</f>
        <v>31004000</v>
      </c>
      <c r="K42" s="32">
        <f>I42*F42</f>
        <v>31004000</v>
      </c>
      <c r="L42" s="32"/>
    </row>
    <row r="43" spans="1:12" s="4" customFormat="1" ht="25.5" hidden="1" customHeight="1" outlineLevel="1">
      <c r="A43" s="27" t="str">
        <f>$A$40&amp;"."&amp;ROW()-ROW($A$40)</f>
        <v>9A.C4.3</v>
      </c>
      <c r="B43" s="28" t="s">
        <v>34</v>
      </c>
      <c r="C43" s="28" t="s">
        <v>515</v>
      </c>
      <c r="D43" s="29" t="s">
        <v>520</v>
      </c>
      <c r="E43" s="31">
        <v>108.044</v>
      </c>
      <c r="F43" s="31">
        <v>108.044</v>
      </c>
      <c r="G43" s="30">
        <f>_xlfn.XLOOKUP(B43, Rate_Master!$A:$A, Rate_Master!$C:$C, "")</f>
        <v>126499.99999999999</v>
      </c>
      <c r="H43" s="30">
        <f>_xlfn.XLOOKUP(B43, Rate_Master!$A:$A, Rate_Master!$D:$D, "")</f>
        <v>149500</v>
      </c>
      <c r="I43" s="66">
        <f>G43+H43</f>
        <v>276000</v>
      </c>
      <c r="J43" s="32">
        <f>I43*E43</f>
        <v>29820144</v>
      </c>
      <c r="K43" s="32">
        <f>I43*F43</f>
        <v>29820144</v>
      </c>
      <c r="L43" s="32"/>
    </row>
    <row r="44" spans="1:12" s="4" customFormat="1" ht="25.5" hidden="1" customHeight="1" outlineLevel="1">
      <c r="A44" s="27" t="str">
        <f>$A$40&amp;"."&amp;ROW()-ROW($A$40)</f>
        <v>9A.C4.4</v>
      </c>
      <c r="B44" s="28" t="s">
        <v>35</v>
      </c>
      <c r="C44" s="28" t="s">
        <v>515</v>
      </c>
      <c r="D44" s="29" t="s">
        <v>520</v>
      </c>
      <c r="E44" s="31">
        <v>49.078000000000003</v>
      </c>
      <c r="F44" s="31">
        <v>49.078000000000003</v>
      </c>
      <c r="G44" s="30">
        <f>_xlfn.XLOOKUP(B44, Rate_Master!$A:$A, Rate_Master!$C:$C, "")</f>
        <v>126499.99999999999</v>
      </c>
      <c r="H44" s="30">
        <f>_xlfn.XLOOKUP(B44, Rate_Master!$A:$A, Rate_Master!$D:$D, "")</f>
        <v>114999.99999999999</v>
      </c>
      <c r="I44" s="66">
        <f>G44+H44</f>
        <v>241499.99999999997</v>
      </c>
      <c r="J44" s="32">
        <f>I44*E44</f>
        <v>11852337</v>
      </c>
      <c r="K44" s="32">
        <f>I44*F44</f>
        <v>11852337</v>
      </c>
      <c r="L44" s="32"/>
    </row>
    <row r="45" spans="1:12" s="4" customFormat="1" ht="25.5" hidden="1" customHeight="1" outlineLevel="1">
      <c r="A45" s="27" t="str">
        <f>$A$40&amp;"."&amp;ROW()-ROW($A$40)</f>
        <v>9A.C4.5</v>
      </c>
      <c r="B45" s="28" t="s">
        <v>36</v>
      </c>
      <c r="C45" s="28" t="s">
        <v>515</v>
      </c>
      <c r="D45" s="29" t="s">
        <v>520</v>
      </c>
      <c r="E45" s="31">
        <v>11.24</v>
      </c>
      <c r="F45" s="31">
        <v>11.24</v>
      </c>
      <c r="G45" s="30">
        <f>_xlfn.XLOOKUP(B45, Rate_Master!$A:$A, Rate_Master!$C:$C, "")</f>
        <v>126499.99999999999</v>
      </c>
      <c r="H45" s="30">
        <f>_xlfn.XLOOKUP(B45, Rate_Master!$A:$A, Rate_Master!$D:$D, "")</f>
        <v>97749.999999999985</v>
      </c>
      <c r="I45" s="66">
        <f>G45+H45</f>
        <v>224249.99999999997</v>
      </c>
      <c r="J45" s="32">
        <f>I45*E45</f>
        <v>2520569.9999999995</v>
      </c>
      <c r="K45" s="32">
        <f>I45*F45</f>
        <v>2520569.9999999995</v>
      </c>
      <c r="L45" s="32"/>
    </row>
    <row r="46" spans="1:12" s="3" customFormat="1" ht="25.5" customHeight="1" collapsed="1">
      <c r="A46" s="22" t="str">
        <f>$A$10&amp;5</f>
        <v>9A.C5</v>
      </c>
      <c r="B46" s="23" t="s">
        <v>37</v>
      </c>
      <c r="C46" s="23" t="s">
        <v>515</v>
      </c>
      <c r="D46" s="22"/>
      <c r="E46" s="25"/>
      <c r="F46" s="25"/>
      <c r="G46" s="25">
        <f>_xlfn.XLOOKUP(B46, Rate_Master!$A:$A, Rate_Master!$C:$C, "")</f>
        <v>0</v>
      </c>
      <c r="H46" s="25">
        <f>_xlfn.XLOOKUP(B46, Rate_Master!$A:$A, Rate_Master!$D:$D, "")</f>
        <v>0</v>
      </c>
      <c r="I46" s="26"/>
      <c r="J46" s="26">
        <f>SUBTOTAL(9,J47:J51)</f>
        <v>340068778.89468926</v>
      </c>
      <c r="K46" s="26">
        <f>SUBTOTAL(9,K47:K51)</f>
        <v>340068778.89468926</v>
      </c>
      <c r="L46" s="26"/>
    </row>
    <row r="47" spans="1:12" s="4" customFormat="1" ht="38.25" hidden="1" customHeight="1" outlineLevel="1">
      <c r="A47" s="27" t="str">
        <f>$A$46&amp;"."&amp;ROW()-ROW($A$46)</f>
        <v>9A.C5.1</v>
      </c>
      <c r="B47" s="28" t="s">
        <v>38</v>
      </c>
      <c r="C47" s="28" t="s">
        <v>522</v>
      </c>
      <c r="D47" s="29" t="s">
        <v>523</v>
      </c>
      <c r="E47" s="31">
        <v>13996.823777777799</v>
      </c>
      <c r="F47" s="31">
        <v>13996.823777777799</v>
      </c>
      <c r="G47" s="30">
        <f>_xlfn.XLOOKUP(B47, Rate_Master!$A:$A, Rate_Master!$C:$C, "")</f>
        <v>16770.564999999999</v>
      </c>
      <c r="H47" s="30">
        <f>_xlfn.XLOOKUP(B47, Rate_Master!$A:$A, Rate_Master!$D:$D, "")</f>
        <v>2875</v>
      </c>
      <c r="I47" s="66">
        <f t="shared" ref="I47:I55" si="12">G47+H47</f>
        <v>19645.564999999999</v>
      </c>
      <c r="J47" s="32">
        <f>I47*E47</f>
        <v>274975511.31987929</v>
      </c>
      <c r="K47" s="32">
        <f>I47*F47</f>
        <v>274975511.31987929</v>
      </c>
      <c r="L47" s="32"/>
    </row>
    <row r="48" spans="1:12" s="4" customFormat="1" ht="25.5" hidden="1" customHeight="1" outlineLevel="1">
      <c r="A48" s="27" t="str">
        <f>$A$46&amp;"."&amp;ROW()-ROW($A$46)</f>
        <v>9A.C5.2</v>
      </c>
      <c r="B48" s="28" t="s">
        <v>39</v>
      </c>
      <c r="C48" s="28" t="s">
        <v>522</v>
      </c>
      <c r="D48" s="29" t="s">
        <v>523</v>
      </c>
      <c r="E48" s="31">
        <v>2539.6729999999998</v>
      </c>
      <c r="F48" s="31">
        <v>2539.6729999999998</v>
      </c>
      <c r="G48" s="30">
        <f>_xlfn.XLOOKUP(B48, Rate_Master!$A:$A, Rate_Master!$C:$C, "")</f>
        <v>16770.564999999999</v>
      </c>
      <c r="H48" s="30">
        <f>_xlfn.XLOOKUP(B48, Rate_Master!$A:$A, Rate_Master!$D:$D, "")</f>
        <v>3679.9999999999995</v>
      </c>
      <c r="I48" s="66">
        <f t="shared" si="12"/>
        <v>20450.564999999999</v>
      </c>
      <c r="J48" s="32">
        <f>I48*E48</f>
        <v>51937747.765244991</v>
      </c>
      <c r="K48" s="32">
        <f>I48*F48</f>
        <v>51937747.765244991</v>
      </c>
      <c r="L48" s="32"/>
    </row>
    <row r="49" spans="1:16" s="4" customFormat="1" ht="25.5" hidden="1" customHeight="1" outlineLevel="1">
      <c r="A49" s="27" t="str">
        <f>$A$46&amp;"."&amp;ROW()-ROW($A$46)</f>
        <v>9A.C5.3</v>
      </c>
      <c r="B49" s="28" t="s">
        <v>40</v>
      </c>
      <c r="C49" s="28" t="s">
        <v>522</v>
      </c>
      <c r="D49" s="29" t="s">
        <v>523</v>
      </c>
      <c r="E49" s="31">
        <v>650.601</v>
      </c>
      <c r="F49" s="31">
        <v>650.601</v>
      </c>
      <c r="G49" s="30">
        <f>_xlfn.XLOOKUP(B49, Rate_Master!$A:$A, Rate_Master!$C:$C, "")</f>
        <v>16770.564999999999</v>
      </c>
      <c r="H49" s="30">
        <f>_xlfn.XLOOKUP(B49, Rate_Master!$A:$A, Rate_Master!$D:$D, "")</f>
        <v>3449.9999999999995</v>
      </c>
      <c r="I49" s="66">
        <f t="shared" si="12"/>
        <v>20220.564999999999</v>
      </c>
      <c r="J49" s="32">
        <f>I49*E49</f>
        <v>13155519.809564998</v>
      </c>
      <c r="K49" s="32">
        <f>I49*F49</f>
        <v>13155519.809564998</v>
      </c>
      <c r="L49" s="32"/>
    </row>
    <row r="50" spans="1:16" s="4" customFormat="1" ht="25.5" hidden="1" customHeight="1" outlineLevel="1">
      <c r="A50" s="27" t="str">
        <f>$A$46&amp;"."&amp;ROW()-ROW($A$46)</f>
        <v>9A.C5.4</v>
      </c>
      <c r="B50" s="28" t="s">
        <v>41</v>
      </c>
      <c r="C50" s="28" t="s">
        <v>522</v>
      </c>
      <c r="D50" s="29" t="s">
        <v>523</v>
      </c>
      <c r="E50" s="31">
        <v>0</v>
      </c>
      <c r="F50" s="31">
        <v>0</v>
      </c>
      <c r="G50" s="30">
        <f>_xlfn.XLOOKUP(B50, Rate_Master!$A:$A, Rate_Master!$C:$C, "")</f>
        <v>16770.564999999999</v>
      </c>
      <c r="H50" s="30">
        <f>_xlfn.XLOOKUP(B50, Rate_Master!$A:$A, Rate_Master!$D:$D, "")</f>
        <v>3679.9999999999995</v>
      </c>
      <c r="I50" s="32">
        <f t="shared" si="12"/>
        <v>20450.564999999999</v>
      </c>
      <c r="J50" s="32">
        <f>I50*E50</f>
        <v>0</v>
      </c>
      <c r="K50" s="32">
        <f>I50*F50</f>
        <v>0</v>
      </c>
      <c r="L50" s="32"/>
    </row>
    <row r="51" spans="1:16" s="4" customFormat="1" ht="25.5" hidden="1" customHeight="1" outlineLevel="1">
      <c r="A51" s="27" t="str">
        <f>$A$46&amp;"."&amp;ROW()-ROW($A$46)</f>
        <v>9A.C5.5</v>
      </c>
      <c r="B51" s="28" t="s">
        <v>42</v>
      </c>
      <c r="C51" s="28" t="s">
        <v>524</v>
      </c>
      <c r="D51" s="29" t="s">
        <v>523</v>
      </c>
      <c r="E51" s="31">
        <v>0</v>
      </c>
      <c r="F51" s="31">
        <v>0</v>
      </c>
      <c r="G51" s="30">
        <f>_xlfn.XLOOKUP(B51, Rate_Master!$A:$A, Rate_Master!$C:$C, "")</f>
        <v>17834.66</v>
      </c>
      <c r="H51" s="30">
        <f>_xlfn.XLOOKUP(B51, Rate_Master!$A:$A, Rate_Master!$D:$D, "")</f>
        <v>3449.9999999999995</v>
      </c>
      <c r="I51" s="32">
        <f t="shared" si="12"/>
        <v>21284.66</v>
      </c>
      <c r="J51" s="32">
        <f>I51*E51</f>
        <v>0</v>
      </c>
      <c r="K51" s="32">
        <f>I51*F51</f>
        <v>0</v>
      </c>
      <c r="L51" s="32"/>
    </row>
    <row r="52" spans="1:16" s="3" customFormat="1" ht="25.5" customHeight="1" collapsed="1">
      <c r="A52" s="22" t="str">
        <f>$A$10&amp;6</f>
        <v>9A.C6</v>
      </c>
      <c r="B52" s="23" t="s">
        <v>43</v>
      </c>
      <c r="C52" s="23" t="s">
        <v>515</v>
      </c>
      <c r="D52" s="22"/>
      <c r="E52" s="25"/>
      <c r="F52" s="25"/>
      <c r="G52" s="25">
        <f>_xlfn.XLOOKUP(B52, Rate_Master!$A:$A, Rate_Master!$C:$C, "")</f>
        <v>0</v>
      </c>
      <c r="H52" s="25">
        <f>_xlfn.XLOOKUP(B52, Rate_Master!$A:$A, Rate_Master!$D:$D, "")</f>
        <v>0</v>
      </c>
      <c r="I52" s="26">
        <f t="shared" si="12"/>
        <v>0</v>
      </c>
      <c r="J52" s="26">
        <f>SUBTOTAL(9,J53:J55)</f>
        <v>16409547.800000001</v>
      </c>
      <c r="K52" s="26">
        <f>SUBTOTAL(9,K53:K55)</f>
        <v>16409547.800000001</v>
      </c>
      <c r="L52" s="26"/>
    </row>
    <row r="53" spans="1:16" s="4" customFormat="1" ht="25.5" hidden="1" customHeight="1" outlineLevel="1">
      <c r="A53" s="27" t="str">
        <f>$A$52&amp;"."&amp;ROW()-ROW($A$52)</f>
        <v>9A.C6.1</v>
      </c>
      <c r="B53" s="28" t="s">
        <v>44</v>
      </c>
      <c r="C53" s="28" t="s">
        <v>515</v>
      </c>
      <c r="D53" s="29" t="s">
        <v>520</v>
      </c>
      <c r="E53" s="31">
        <v>281.399</v>
      </c>
      <c r="F53" s="31">
        <v>281.399</v>
      </c>
      <c r="G53" s="30">
        <f>_xlfn.XLOOKUP(B53, Rate_Master!$A:$A, Rate_Master!$C:$C, "")</f>
        <v>14949.999999999998</v>
      </c>
      <c r="H53" s="30">
        <f>_xlfn.XLOOKUP(B53, Rate_Master!$A:$A, Rate_Master!$D:$D, "")</f>
        <v>17250</v>
      </c>
      <c r="I53" s="32">
        <f t="shared" si="12"/>
        <v>32200</v>
      </c>
      <c r="J53" s="32">
        <f>I53*E53</f>
        <v>9061047.8000000007</v>
      </c>
      <c r="K53" s="32">
        <f>I53*F53</f>
        <v>9061047.8000000007</v>
      </c>
      <c r="L53" s="32"/>
    </row>
    <row r="54" spans="1:16" s="4" customFormat="1" ht="51" hidden="1" customHeight="1" outlineLevel="1">
      <c r="A54" s="27" t="str">
        <f>$A$52&amp;"."&amp;ROW()-ROW($A$52)</f>
        <v>9A.C6.2</v>
      </c>
      <c r="B54" s="34" t="s">
        <v>45</v>
      </c>
      <c r="C54" s="28" t="s">
        <v>515</v>
      </c>
      <c r="D54" s="29" t="s">
        <v>517</v>
      </c>
      <c r="E54" s="31">
        <v>255.6</v>
      </c>
      <c r="F54" s="31">
        <v>255.6</v>
      </c>
      <c r="G54" s="30">
        <f>_xlfn.XLOOKUP(B54, Rate_Master!$A:$A, Rate_Master!$C:$C, "")</f>
        <v>5750</v>
      </c>
      <c r="H54" s="30">
        <f>_xlfn.XLOOKUP(B54, Rate_Master!$A:$A, Rate_Master!$D:$D, "")</f>
        <v>23000</v>
      </c>
      <c r="I54" s="32">
        <f t="shared" si="12"/>
        <v>28750</v>
      </c>
      <c r="J54" s="32">
        <f>I54*E54</f>
        <v>7348500</v>
      </c>
      <c r="K54" s="32">
        <f>I54*F54</f>
        <v>7348500</v>
      </c>
      <c r="L54" s="32"/>
    </row>
    <row r="55" spans="1:16" s="4" customFormat="1" ht="38.25" hidden="1" customHeight="1" outlineLevel="1">
      <c r="A55" s="27" t="str">
        <f>$A$52&amp;"."&amp;ROW()-ROW($A$52)</f>
        <v>9A.C6.3</v>
      </c>
      <c r="B55" s="28" t="s">
        <v>46</v>
      </c>
      <c r="C55" s="28" t="s">
        <v>515</v>
      </c>
      <c r="D55" s="29" t="s">
        <v>517</v>
      </c>
      <c r="E55" s="31">
        <v>0</v>
      </c>
      <c r="F55" s="31">
        <v>0</v>
      </c>
      <c r="G55" s="30">
        <f>_xlfn.XLOOKUP(B55, Rate_Master!$A:$A, Rate_Master!$C:$C, "")</f>
        <v>172500</v>
      </c>
      <c r="H55" s="30">
        <f>_xlfn.XLOOKUP(B55, Rate_Master!$A:$A, Rate_Master!$D:$D, "")</f>
        <v>57499.999999999993</v>
      </c>
      <c r="I55" s="32">
        <f t="shared" si="12"/>
        <v>230000</v>
      </c>
      <c r="J55" s="32">
        <f>I55*E55</f>
        <v>0</v>
      </c>
      <c r="K55" s="32">
        <f>I55*F55</f>
        <v>0</v>
      </c>
      <c r="L55" s="32"/>
    </row>
    <row r="56" spans="1:16" s="3" customFormat="1" ht="25.5" customHeight="1" collapsed="1">
      <c r="A56" s="22" t="str">
        <f>$A$9&amp;".S"</f>
        <v>9A.S</v>
      </c>
      <c r="B56" s="23" t="s">
        <v>47</v>
      </c>
      <c r="C56" s="23" t="s">
        <v>515</v>
      </c>
      <c r="D56" s="22"/>
      <c r="E56" s="25"/>
      <c r="F56" s="25"/>
      <c r="G56" s="25">
        <f>_xlfn.XLOOKUP(B56, Rate_Master!$A:$A, Rate_Master!$C:$C, "")</f>
        <v>0</v>
      </c>
      <c r="H56" s="25">
        <f>_xlfn.XLOOKUP(B56, Rate_Master!$A:$A, Rate_Master!$D:$D, "")</f>
        <v>0</v>
      </c>
      <c r="I56" s="26"/>
      <c r="J56" s="26"/>
      <c r="K56" s="26"/>
      <c r="L56" s="26"/>
    </row>
    <row r="57" spans="1:16" s="3" customFormat="1" ht="25.5" customHeight="1">
      <c r="A57" s="22" t="str">
        <f>$A$56&amp;1</f>
        <v>9A.S1</v>
      </c>
      <c r="B57" s="23" t="s">
        <v>48</v>
      </c>
      <c r="C57" s="23" t="s">
        <v>515</v>
      </c>
      <c r="D57" s="22"/>
      <c r="E57" s="25"/>
      <c r="F57" s="87"/>
      <c r="G57" s="25">
        <f>_xlfn.XLOOKUP(B57, Rate_Master!$A:$A, Rate_Master!$C:$C, "")</f>
        <v>0</v>
      </c>
      <c r="H57" s="25">
        <f>_xlfn.XLOOKUP(B57, Rate_Master!$A:$A, Rate_Master!$D:$D, "")</f>
        <v>0</v>
      </c>
      <c r="I57" s="26"/>
      <c r="J57" s="26">
        <f>SUBTOTAL(9,J58:J72)</f>
        <v>347444829.60688072</v>
      </c>
      <c r="K57" s="26">
        <f>SUBTOTAL(9,K58:K72)</f>
        <v>338486819.82739359</v>
      </c>
      <c r="L57" s="26"/>
    </row>
    <row r="58" spans="1:16" s="4" customFormat="1" ht="51" hidden="1" customHeight="1" outlineLevel="1">
      <c r="A58" s="27" t="str">
        <f t="shared" ref="A58:A72" si="13">$A$57&amp;"."&amp;ROW()-ROW($A$57)</f>
        <v>9A.S1.1</v>
      </c>
      <c r="B58" s="28" t="s">
        <v>49</v>
      </c>
      <c r="C58" s="28" t="s">
        <v>525</v>
      </c>
      <c r="D58" s="29" t="s">
        <v>523</v>
      </c>
      <c r="E58" s="31">
        <v>8629.8296759999994</v>
      </c>
      <c r="F58" s="36">
        <v>7924.9744080000009</v>
      </c>
      <c r="G58" s="93">
        <f>_xlfn.XLOOKUP(B58, Rate_Master!$A:$A, Rate_Master!$C:$C, "")</f>
        <v>20475</v>
      </c>
      <c r="H58" s="93">
        <f>_xlfn.XLOOKUP(B58, Rate_Master!$A:$A, Rate_Master!$D:$D, "")</f>
        <v>0</v>
      </c>
      <c r="I58" s="67">
        <f t="shared" ref="I58:I72" si="14">+SUM(G58:H58)</f>
        <v>20475</v>
      </c>
      <c r="J58" s="32">
        <f t="shared" ref="J58:J72" si="15">I58*E58</f>
        <v>176695762.61609998</v>
      </c>
      <c r="K58" s="58">
        <f t="shared" ref="K58:K72" si="16">+F58*I58</f>
        <v>162263851.0038</v>
      </c>
      <c r="L58" s="32"/>
      <c r="N58" s="104"/>
      <c r="O58" s="104"/>
      <c r="P58" s="104"/>
    </row>
    <row r="59" spans="1:16" s="4" customFormat="1" ht="76.5" hidden="1" customHeight="1" outlineLevel="1">
      <c r="A59" s="27" t="str">
        <f t="shared" si="13"/>
        <v>9A.S1.2</v>
      </c>
      <c r="B59" s="28" t="s">
        <v>50</v>
      </c>
      <c r="C59" s="28" t="s">
        <v>526</v>
      </c>
      <c r="D59" s="29" t="s">
        <v>523</v>
      </c>
      <c r="E59" s="31">
        <v>1960.8671999999999</v>
      </c>
      <c r="F59" s="36">
        <v>1721.7543913333329</v>
      </c>
      <c r="G59" s="93">
        <f>_xlfn.XLOOKUP(B59, Rate_Master!$A:$A, Rate_Master!$C:$C, "")</f>
        <v>26775</v>
      </c>
      <c r="H59" s="93">
        <f>_xlfn.XLOOKUP(B59, Rate_Master!$A:$A, Rate_Master!$D:$D, "")</f>
        <v>0</v>
      </c>
      <c r="I59" s="67">
        <f t="shared" si="14"/>
        <v>26775</v>
      </c>
      <c r="J59" s="32">
        <f t="shared" si="15"/>
        <v>52502219.280000001</v>
      </c>
      <c r="K59" s="58">
        <f t="shared" si="16"/>
        <v>46099973.827949986</v>
      </c>
      <c r="L59" s="32"/>
      <c r="N59" s="104"/>
      <c r="O59" s="104"/>
      <c r="P59" s="104"/>
    </row>
    <row r="60" spans="1:16" s="4" customFormat="1" ht="76.5" hidden="1" customHeight="1" outlineLevel="1">
      <c r="A60" s="27" t="str">
        <f t="shared" si="13"/>
        <v>9A.S1.3</v>
      </c>
      <c r="B60" s="28" t="s">
        <v>51</v>
      </c>
      <c r="C60" s="28" t="s">
        <v>527</v>
      </c>
      <c r="D60" s="29" t="s">
        <v>523</v>
      </c>
      <c r="E60" s="31">
        <v>252.533783866162</v>
      </c>
      <c r="F60" s="36">
        <v>295.65202795200003</v>
      </c>
      <c r="G60" s="93">
        <f>_xlfn.XLOOKUP(B60, Rate_Master!$A:$A, Rate_Master!$C:$C, "")</f>
        <v>36750</v>
      </c>
      <c r="H60" s="93">
        <f>_xlfn.XLOOKUP(B60, Rate_Master!$A:$A, Rate_Master!$D:$D, "")</f>
        <v>0</v>
      </c>
      <c r="I60" s="67">
        <f t="shared" si="14"/>
        <v>36750</v>
      </c>
      <c r="J60" s="32">
        <f t="shared" si="15"/>
        <v>9280616.5570814535</v>
      </c>
      <c r="K60" s="58">
        <f t="shared" si="16"/>
        <v>10865212.027236002</v>
      </c>
      <c r="L60" s="32"/>
      <c r="N60" s="104"/>
      <c r="O60" s="104"/>
      <c r="P60" s="104"/>
    </row>
    <row r="61" spans="1:16" s="4" customFormat="1" ht="76.5" hidden="1" customHeight="1" outlineLevel="1">
      <c r="A61" s="27" t="str">
        <f t="shared" si="13"/>
        <v>9A.S1.4</v>
      </c>
      <c r="B61" s="28" t="s">
        <v>52</v>
      </c>
      <c r="C61" s="28" t="s">
        <v>527</v>
      </c>
      <c r="D61" s="29" t="s">
        <v>523</v>
      </c>
      <c r="E61" s="31">
        <v>0</v>
      </c>
      <c r="F61" s="36">
        <v>0</v>
      </c>
      <c r="G61" s="93">
        <f>_xlfn.XLOOKUP(B61, Rate_Master!$A:$A, Rate_Master!$C:$C, "")</f>
        <v>26775</v>
      </c>
      <c r="H61" s="93">
        <f>_xlfn.XLOOKUP(B61, Rate_Master!$A:$A, Rate_Master!$D:$D, "")</f>
        <v>0</v>
      </c>
      <c r="I61" s="67">
        <f t="shared" si="14"/>
        <v>26775</v>
      </c>
      <c r="J61" s="32">
        <f t="shared" si="15"/>
        <v>0</v>
      </c>
      <c r="K61" s="58">
        <f t="shared" si="16"/>
        <v>0</v>
      </c>
      <c r="L61" s="32"/>
      <c r="N61" s="104"/>
      <c r="O61" s="104"/>
      <c r="P61" s="104"/>
    </row>
    <row r="62" spans="1:16" s="4" customFormat="1" ht="25.5" hidden="1" customHeight="1" outlineLevel="1">
      <c r="A62" s="27" t="str">
        <f t="shared" si="13"/>
        <v>9A.S1.5</v>
      </c>
      <c r="B62" s="28" t="s">
        <v>53</v>
      </c>
      <c r="C62" s="28" t="s">
        <v>528</v>
      </c>
      <c r="D62" s="29" t="s">
        <v>523</v>
      </c>
      <c r="E62" s="31">
        <v>1205.2948875</v>
      </c>
      <c r="F62" s="36">
        <v>1216.3174650000001</v>
      </c>
      <c r="G62" s="93">
        <f>_xlfn.XLOOKUP(B62, Rate_Master!$A:$A, Rate_Master!$C:$C, "")</f>
        <v>22365</v>
      </c>
      <c r="H62" s="93">
        <f>_xlfn.XLOOKUP(B62, Rate_Master!$A:$A, Rate_Master!$D:$D, "")</f>
        <v>0</v>
      </c>
      <c r="I62" s="67">
        <f t="shared" si="14"/>
        <v>22365</v>
      </c>
      <c r="J62" s="32">
        <f t="shared" si="15"/>
        <v>26956420.158937499</v>
      </c>
      <c r="K62" s="58">
        <f t="shared" si="16"/>
        <v>27202940.104725003</v>
      </c>
      <c r="L62" s="32"/>
      <c r="N62" s="104"/>
      <c r="O62" s="104"/>
      <c r="P62" s="104"/>
    </row>
    <row r="63" spans="1:16" s="4" customFormat="1" ht="38.25" hidden="1" customHeight="1" outlineLevel="1">
      <c r="A63" s="27" t="str">
        <f t="shared" si="13"/>
        <v>9A.S1.6</v>
      </c>
      <c r="B63" s="28" t="s">
        <v>54</v>
      </c>
      <c r="C63" s="28" t="s">
        <v>529</v>
      </c>
      <c r="D63" s="29" t="s">
        <v>523</v>
      </c>
      <c r="E63" s="31">
        <v>101.456413458942</v>
      </c>
      <c r="F63" s="36">
        <v>69.263999999999996</v>
      </c>
      <c r="G63" s="93">
        <f>_xlfn.XLOOKUP(B63, Rate_Master!$A:$A, Rate_Master!$C:$C, "")</f>
        <v>36750</v>
      </c>
      <c r="H63" s="93">
        <f>_xlfn.XLOOKUP(B63, Rate_Master!$A:$A, Rate_Master!$D:$D, "")</f>
        <v>0</v>
      </c>
      <c r="I63" s="67">
        <f t="shared" si="14"/>
        <v>36750</v>
      </c>
      <c r="J63" s="32">
        <f t="shared" si="15"/>
        <v>3728523.1946161184</v>
      </c>
      <c r="K63" s="58">
        <f t="shared" si="16"/>
        <v>2545452</v>
      </c>
      <c r="L63" s="32"/>
      <c r="N63" s="104"/>
      <c r="O63" s="104"/>
      <c r="P63" s="104"/>
    </row>
    <row r="64" spans="1:16" s="4" customFormat="1" ht="25.5" hidden="1" customHeight="1" outlineLevel="1">
      <c r="A64" s="27" t="str">
        <f t="shared" si="13"/>
        <v>9A.S1.7</v>
      </c>
      <c r="B64" s="28" t="s">
        <v>55</v>
      </c>
      <c r="C64" s="28" t="s">
        <v>530</v>
      </c>
      <c r="D64" s="29" t="s">
        <v>523</v>
      </c>
      <c r="E64" s="31">
        <v>0</v>
      </c>
      <c r="F64" s="36">
        <v>302.86630713897512</v>
      </c>
      <c r="G64" s="93">
        <f>_xlfn.XLOOKUP(B64, Rate_Master!$A:$A, Rate_Master!$C:$C, "")</f>
        <v>27930</v>
      </c>
      <c r="H64" s="93">
        <f>_xlfn.XLOOKUP(B64, Rate_Master!$A:$A, Rate_Master!$D:$D, "")</f>
        <v>0</v>
      </c>
      <c r="I64" s="67">
        <f t="shared" si="14"/>
        <v>27930</v>
      </c>
      <c r="J64" s="32">
        <f t="shared" si="15"/>
        <v>0</v>
      </c>
      <c r="K64" s="58">
        <f t="shared" si="16"/>
        <v>8459055.9583915751</v>
      </c>
      <c r="L64" s="32"/>
      <c r="N64" s="104"/>
      <c r="O64" s="104"/>
      <c r="P64" s="104"/>
    </row>
    <row r="65" spans="1:16" s="4" customFormat="1" ht="25.5" hidden="1" customHeight="1" outlineLevel="1">
      <c r="A65" s="27" t="str">
        <f t="shared" si="13"/>
        <v>9A.S1.8</v>
      </c>
      <c r="B65" s="28" t="s">
        <v>56</v>
      </c>
      <c r="C65" s="28" t="s">
        <v>531</v>
      </c>
      <c r="D65" s="29" t="s">
        <v>523</v>
      </c>
      <c r="E65" s="31">
        <v>179.84</v>
      </c>
      <c r="F65" s="36">
        <v>275.9579041096593</v>
      </c>
      <c r="G65" s="93">
        <f>_xlfn.XLOOKUP(B65, Rate_Master!$A:$A, Rate_Master!$C:$C, "")</f>
        <v>52500</v>
      </c>
      <c r="H65" s="93">
        <f>_xlfn.XLOOKUP(B65, Rate_Master!$A:$A, Rate_Master!$D:$D, "")</f>
        <v>0</v>
      </c>
      <c r="I65" s="67">
        <f t="shared" si="14"/>
        <v>52500</v>
      </c>
      <c r="J65" s="32">
        <f t="shared" si="15"/>
        <v>9441600</v>
      </c>
      <c r="K65" s="58">
        <f t="shared" si="16"/>
        <v>14487789.965757113</v>
      </c>
      <c r="L65" s="32"/>
      <c r="N65" s="104"/>
      <c r="O65" s="104"/>
      <c r="P65" s="104"/>
    </row>
    <row r="66" spans="1:16" s="4" customFormat="1" ht="25.5" hidden="1" customHeight="1" outlineLevel="1">
      <c r="A66" s="27" t="str">
        <f t="shared" si="13"/>
        <v>9A.S1.9</v>
      </c>
      <c r="B66" s="28" t="s">
        <v>57</v>
      </c>
      <c r="C66" s="28" t="s">
        <v>532</v>
      </c>
      <c r="D66" s="29" t="s">
        <v>523</v>
      </c>
      <c r="E66" s="31">
        <v>70.37</v>
      </c>
      <c r="F66" s="36">
        <v>54.170400000000001</v>
      </c>
      <c r="G66" s="93">
        <f>_xlfn.XLOOKUP(B66, Rate_Master!$A:$A, Rate_Master!$C:$C, "")</f>
        <v>60900</v>
      </c>
      <c r="H66" s="93">
        <f>_xlfn.XLOOKUP(B66, Rate_Master!$A:$A, Rate_Master!$D:$D, "")</f>
        <v>0</v>
      </c>
      <c r="I66" s="67">
        <f t="shared" si="14"/>
        <v>60900</v>
      </c>
      <c r="J66" s="32">
        <f t="shared" si="15"/>
        <v>4285533</v>
      </c>
      <c r="K66" s="58">
        <f t="shared" si="16"/>
        <v>3298977.36</v>
      </c>
      <c r="L66" s="32"/>
      <c r="N66" s="104"/>
      <c r="O66" s="104"/>
      <c r="P66" s="104"/>
    </row>
    <row r="67" spans="1:16" s="4" customFormat="1" ht="25.5" hidden="1" customHeight="1" outlineLevel="1">
      <c r="A67" s="27" t="str">
        <f t="shared" si="13"/>
        <v>9A.S1.10</v>
      </c>
      <c r="B67" s="28" t="s">
        <v>58</v>
      </c>
      <c r="C67" s="28" t="s">
        <v>533</v>
      </c>
      <c r="D67" s="29" t="s">
        <v>523</v>
      </c>
      <c r="E67" s="31">
        <v>23.8</v>
      </c>
      <c r="F67" s="36">
        <v>15.84</v>
      </c>
      <c r="G67" s="93">
        <f>_xlfn.XLOOKUP(B67, Rate_Master!$A:$A, Rate_Master!$C:$C, "")</f>
        <v>60900</v>
      </c>
      <c r="H67" s="93">
        <f>_xlfn.XLOOKUP(B67, Rate_Master!$A:$A, Rate_Master!$D:$D, "")</f>
        <v>0</v>
      </c>
      <c r="I67" s="67">
        <f t="shared" si="14"/>
        <v>60900</v>
      </c>
      <c r="J67" s="32">
        <f t="shared" si="15"/>
        <v>1449420</v>
      </c>
      <c r="K67" s="58">
        <f t="shared" si="16"/>
        <v>964656</v>
      </c>
      <c r="L67" s="32"/>
      <c r="N67" s="104"/>
      <c r="O67" s="104"/>
      <c r="P67" s="104"/>
    </row>
    <row r="68" spans="1:16" s="4" customFormat="1" ht="25.5" hidden="1" customHeight="1" outlineLevel="1">
      <c r="A68" s="27" t="str">
        <f t="shared" si="13"/>
        <v>9A.S1.11</v>
      </c>
      <c r="B68" s="28" t="s">
        <v>59</v>
      </c>
      <c r="C68" s="28" t="s">
        <v>534</v>
      </c>
      <c r="D68" s="29" t="s">
        <v>518</v>
      </c>
      <c r="E68" s="31">
        <v>128</v>
      </c>
      <c r="F68" s="36">
        <v>192</v>
      </c>
      <c r="G68" s="93">
        <f>_xlfn.XLOOKUP(B68, Rate_Master!$A:$A, Rate_Master!$C:$C, "")</f>
        <v>21000</v>
      </c>
      <c r="H68" s="93">
        <f>_xlfn.XLOOKUP(B68, Rate_Master!$A:$A, Rate_Master!$D:$D, "")</f>
        <v>0</v>
      </c>
      <c r="I68" s="67">
        <f t="shared" si="14"/>
        <v>21000</v>
      </c>
      <c r="J68" s="32">
        <f t="shared" si="15"/>
        <v>2688000</v>
      </c>
      <c r="K68" s="58">
        <f t="shared" si="16"/>
        <v>4032000</v>
      </c>
      <c r="L68" s="32"/>
      <c r="N68" s="104"/>
      <c r="O68" s="104"/>
      <c r="P68" s="104"/>
    </row>
    <row r="69" spans="1:16" s="4" customFormat="1" ht="25.5" hidden="1" customHeight="1" outlineLevel="1">
      <c r="A69" s="27" t="str">
        <f t="shared" si="13"/>
        <v>9A.S1.12</v>
      </c>
      <c r="B69" s="28" t="s">
        <v>60</v>
      </c>
      <c r="C69" s="28" t="s">
        <v>515</v>
      </c>
      <c r="D69" s="29" t="s">
        <v>523</v>
      </c>
      <c r="E69" s="31">
        <v>179.84</v>
      </c>
      <c r="F69" s="36">
        <v>275.9579041096593</v>
      </c>
      <c r="G69" s="93">
        <f>_xlfn.XLOOKUP(B69, Rate_Master!$A:$A, Rate_Master!$C:$C, "")</f>
        <v>630</v>
      </c>
      <c r="H69" s="102">
        <f>_xlfn.XLOOKUP(B69, Rate_Master!$A:$A, Rate_Master!$D:$D, "")</f>
        <v>0</v>
      </c>
      <c r="I69" s="67">
        <f t="shared" si="14"/>
        <v>630</v>
      </c>
      <c r="J69" s="32">
        <f t="shared" si="15"/>
        <v>113299.2</v>
      </c>
      <c r="K69" s="58">
        <f t="shared" si="16"/>
        <v>173853.47958908536</v>
      </c>
      <c r="L69" s="32"/>
      <c r="N69" s="104"/>
      <c r="O69" s="104"/>
      <c r="P69" s="104"/>
    </row>
    <row r="70" spans="1:16" s="4" customFormat="1" ht="25.5" hidden="1" customHeight="1" outlineLevel="1">
      <c r="A70" s="27" t="str">
        <f t="shared" si="13"/>
        <v>9A.S1.13</v>
      </c>
      <c r="B70" s="28" t="s">
        <v>61</v>
      </c>
      <c r="C70" s="28" t="s">
        <v>515</v>
      </c>
      <c r="D70" s="29" t="s">
        <v>523</v>
      </c>
      <c r="E70" s="31">
        <v>12149.9819608251</v>
      </c>
      <c r="F70" s="36">
        <v>11530.828599424311</v>
      </c>
      <c r="G70" s="93">
        <f>_xlfn.XLOOKUP(B70, Rate_Master!$A:$A, Rate_Master!$C:$C, "")</f>
        <v>630</v>
      </c>
      <c r="H70" s="93">
        <f>_xlfn.XLOOKUP(B70, Rate_Master!$A:$A, Rate_Master!$D:$D, "")</f>
        <v>0</v>
      </c>
      <c r="I70" s="67">
        <f t="shared" si="14"/>
        <v>630</v>
      </c>
      <c r="J70" s="32">
        <f t="shared" si="15"/>
        <v>7654488.6353198132</v>
      </c>
      <c r="K70" s="58">
        <f t="shared" si="16"/>
        <v>7264422.0176373161</v>
      </c>
      <c r="L70" s="32"/>
      <c r="N70" s="104"/>
      <c r="O70" s="104"/>
      <c r="P70" s="104"/>
    </row>
    <row r="71" spans="1:16" s="4" customFormat="1" ht="25.5" hidden="1" customHeight="1" outlineLevel="1">
      <c r="A71" s="27" t="str">
        <f t="shared" si="13"/>
        <v>9A.S1.14</v>
      </c>
      <c r="B71" s="28" t="s">
        <v>62</v>
      </c>
      <c r="C71" s="28" t="s">
        <v>515</v>
      </c>
      <c r="D71" s="29" t="s">
        <v>518</v>
      </c>
      <c r="E71" s="31">
        <v>64</v>
      </c>
      <c r="F71" s="36">
        <v>64</v>
      </c>
      <c r="G71" s="93">
        <f>_xlfn.XLOOKUP(B71, Rate_Master!$A:$A, Rate_Master!$C:$C, "")</f>
        <v>0</v>
      </c>
      <c r="H71" s="93">
        <f>_xlfn.XLOOKUP(B71, Rate_Master!$A:$A, Rate_Master!$D:$D, "")</f>
        <v>264500</v>
      </c>
      <c r="I71" s="67">
        <f t="shared" si="14"/>
        <v>264500</v>
      </c>
      <c r="J71" s="32">
        <f t="shared" si="15"/>
        <v>16928000</v>
      </c>
      <c r="K71" s="58">
        <f t="shared" si="16"/>
        <v>16928000</v>
      </c>
      <c r="L71" s="32"/>
      <c r="N71" s="104"/>
      <c r="O71" s="104"/>
      <c r="P71" s="104"/>
    </row>
    <row r="72" spans="1:16" s="4" customFormat="1" ht="25.5" hidden="1" customHeight="1" outlineLevel="1">
      <c r="A72" s="27" t="str">
        <f t="shared" si="13"/>
        <v>9A.S1.15</v>
      </c>
      <c r="B72" s="28" t="s">
        <v>63</v>
      </c>
      <c r="C72" s="28" t="s">
        <v>515</v>
      </c>
      <c r="D72" s="29" t="s">
        <v>523</v>
      </c>
      <c r="E72" s="31">
        <v>12149.9819608251</v>
      </c>
      <c r="F72" s="36">
        <v>11530.828599424311</v>
      </c>
      <c r="G72" s="93">
        <f>_xlfn.XLOOKUP(B72, Rate_Master!$A:$A, Rate_Master!$C:$C, "")</f>
        <v>2940</v>
      </c>
      <c r="H72" s="93">
        <f>_xlfn.XLOOKUP(B72, Rate_Master!$A:$A, Rate_Master!$D:$D, "")</f>
        <v>0</v>
      </c>
      <c r="I72" s="67">
        <f t="shared" si="14"/>
        <v>2940</v>
      </c>
      <c r="J72" s="32">
        <f t="shared" si="15"/>
        <v>35720946.964825794</v>
      </c>
      <c r="K72" s="58">
        <f t="shared" si="16"/>
        <v>33900636.082307473</v>
      </c>
      <c r="L72" s="32"/>
      <c r="N72" s="104"/>
      <c r="O72" s="104"/>
      <c r="P72" s="104"/>
    </row>
    <row r="73" spans="1:16" s="3" customFormat="1" ht="25.5" customHeight="1" collapsed="1">
      <c r="A73" s="22" t="str">
        <f>$A$56&amp;2</f>
        <v>9A.S2</v>
      </c>
      <c r="B73" s="23" t="s">
        <v>64</v>
      </c>
      <c r="C73" s="23" t="s">
        <v>515</v>
      </c>
      <c r="D73" s="22"/>
      <c r="E73" s="25"/>
      <c r="F73" s="87"/>
      <c r="G73" s="25">
        <f>_xlfn.XLOOKUP(B73, Rate_Master!$A:$A, Rate_Master!$C:$C, "")</f>
        <v>0</v>
      </c>
      <c r="H73" s="25">
        <f>_xlfn.XLOOKUP(B73, Rate_Master!$A:$A, Rate_Master!$D:$D, "")</f>
        <v>0</v>
      </c>
      <c r="I73" s="68"/>
      <c r="J73" s="26">
        <f>SUBTOTAL(9,J74:J78)</f>
        <v>0</v>
      </c>
      <c r="K73" s="26"/>
      <c r="L73" s="26"/>
      <c r="N73" s="104"/>
      <c r="O73" s="104"/>
      <c r="P73" s="104"/>
    </row>
    <row r="74" spans="1:16" s="4" customFormat="1" ht="25.5" hidden="1" customHeight="1" outlineLevel="1">
      <c r="A74" s="37" t="str">
        <f>$A$73&amp;"."&amp;ROW()-ROW($A$73)</f>
        <v>9A.S2.1</v>
      </c>
      <c r="B74" s="38" t="s">
        <v>65</v>
      </c>
      <c r="C74" s="38" t="s">
        <v>535</v>
      </c>
      <c r="D74" s="39" t="s">
        <v>520</v>
      </c>
      <c r="E74" s="40">
        <v>0</v>
      </c>
      <c r="F74" s="88"/>
      <c r="G74" s="42">
        <f>_xlfn.XLOOKUP(B74, Rate_Master!$A:$A, Rate_Master!$C:$C, "")</f>
        <v>0</v>
      </c>
      <c r="H74" s="42">
        <f>_xlfn.XLOOKUP(B74, Rate_Master!$A:$A, Rate_Master!$D:$D, "")</f>
        <v>0</v>
      </c>
      <c r="I74" s="69">
        <f>G74+H74</f>
        <v>0</v>
      </c>
      <c r="J74" s="41">
        <f>I74*E74</f>
        <v>0</v>
      </c>
      <c r="K74" s="41"/>
      <c r="L74" s="41"/>
      <c r="N74" s="104"/>
      <c r="O74" s="104"/>
      <c r="P74" s="104"/>
    </row>
    <row r="75" spans="1:16" s="4" customFormat="1" ht="25.5" hidden="1" customHeight="1" outlineLevel="1">
      <c r="A75" s="37" t="str">
        <f>$A$73&amp;"."&amp;ROW()-ROW($A$73)</f>
        <v>9A.S2.2</v>
      </c>
      <c r="B75" s="38" t="s">
        <v>66</v>
      </c>
      <c r="C75" s="38" t="s">
        <v>536</v>
      </c>
      <c r="D75" s="39" t="s">
        <v>518</v>
      </c>
      <c r="E75" s="40">
        <v>0</v>
      </c>
      <c r="F75" s="88"/>
      <c r="G75" s="42">
        <f>_xlfn.XLOOKUP(B75, Rate_Master!$A:$A, Rate_Master!$C:$C, "")</f>
        <v>0</v>
      </c>
      <c r="H75" s="42">
        <f>_xlfn.XLOOKUP(B75, Rate_Master!$A:$A, Rate_Master!$D:$D, "")</f>
        <v>0</v>
      </c>
      <c r="I75" s="69">
        <f>G75+H75</f>
        <v>0</v>
      </c>
      <c r="J75" s="41">
        <f>I75*E75</f>
        <v>0</v>
      </c>
      <c r="K75" s="41"/>
      <c r="L75" s="41"/>
      <c r="N75" s="104"/>
      <c r="O75" s="104"/>
      <c r="P75" s="104"/>
    </row>
    <row r="76" spans="1:16" s="4" customFormat="1" ht="25.5" hidden="1" customHeight="1" outlineLevel="1">
      <c r="A76" s="37" t="str">
        <f>$A$73&amp;"."&amp;ROW()-ROW($A$73)</f>
        <v>9A.S2.3</v>
      </c>
      <c r="B76" s="38" t="s">
        <v>67</v>
      </c>
      <c r="C76" s="38" t="s">
        <v>515</v>
      </c>
      <c r="D76" s="39" t="s">
        <v>520</v>
      </c>
      <c r="E76" s="40">
        <v>0</v>
      </c>
      <c r="F76" s="88"/>
      <c r="G76" s="42">
        <f>_xlfn.XLOOKUP(B76, Rate_Master!$A:$A, Rate_Master!$C:$C, "")</f>
        <v>0</v>
      </c>
      <c r="H76" s="42">
        <f>_xlfn.XLOOKUP(B76, Rate_Master!$A:$A, Rate_Master!$D:$D, "")</f>
        <v>0</v>
      </c>
      <c r="I76" s="69">
        <f>G76+H76</f>
        <v>0</v>
      </c>
      <c r="J76" s="41">
        <f>I76*E76</f>
        <v>0</v>
      </c>
      <c r="K76" s="41"/>
      <c r="L76" s="41"/>
      <c r="N76" s="104"/>
      <c r="O76" s="104"/>
      <c r="P76" s="104"/>
    </row>
    <row r="77" spans="1:16" s="4" customFormat="1" ht="25.5" hidden="1" customHeight="1" outlineLevel="1">
      <c r="A77" s="37" t="str">
        <f>$A$73&amp;"."&amp;ROW()-ROW($A$73)</f>
        <v>9A.S2.4</v>
      </c>
      <c r="B77" s="38" t="s">
        <v>68</v>
      </c>
      <c r="C77" s="38" t="s">
        <v>515</v>
      </c>
      <c r="D77" s="39" t="s">
        <v>457</v>
      </c>
      <c r="E77" s="40">
        <v>0</v>
      </c>
      <c r="F77" s="88"/>
      <c r="G77" s="42">
        <f>_xlfn.XLOOKUP(B77, Rate_Master!$A:$A, Rate_Master!$C:$C, "")</f>
        <v>0</v>
      </c>
      <c r="H77" s="42">
        <f>_xlfn.XLOOKUP(B77, Rate_Master!$A:$A, Rate_Master!$D:$D, "")</f>
        <v>0</v>
      </c>
      <c r="I77" s="69">
        <f>G77+H77</f>
        <v>0</v>
      </c>
      <c r="J77" s="41">
        <f>I77*E77</f>
        <v>0</v>
      </c>
      <c r="K77" s="41"/>
      <c r="L77" s="41"/>
      <c r="N77" s="104"/>
      <c r="O77" s="104"/>
      <c r="P77" s="104"/>
    </row>
    <row r="78" spans="1:16" s="4" customFormat="1" ht="25.5" hidden="1" customHeight="1" outlineLevel="1">
      <c r="A78" s="37" t="str">
        <f>$A$73&amp;"."&amp;ROW()-ROW($A$73)</f>
        <v>9A.S2.5</v>
      </c>
      <c r="B78" s="38" t="s">
        <v>69</v>
      </c>
      <c r="C78" s="38" t="s">
        <v>515</v>
      </c>
      <c r="D78" s="39" t="s">
        <v>520</v>
      </c>
      <c r="E78" s="40">
        <v>0</v>
      </c>
      <c r="F78" s="88"/>
      <c r="G78" s="42">
        <f>_xlfn.XLOOKUP(B78, Rate_Master!$A:$A, Rate_Master!$C:$C, "")</f>
        <v>0</v>
      </c>
      <c r="H78" s="42">
        <f>_xlfn.XLOOKUP(B78, Rate_Master!$A:$A, Rate_Master!$D:$D, "")</f>
        <v>0</v>
      </c>
      <c r="I78" s="69">
        <f>G78+H78</f>
        <v>0</v>
      </c>
      <c r="J78" s="41">
        <f>I78*E78</f>
        <v>0</v>
      </c>
      <c r="K78" s="41"/>
      <c r="L78" s="41"/>
      <c r="N78" s="104"/>
      <c r="O78" s="104"/>
      <c r="P78" s="104"/>
    </row>
    <row r="79" spans="1:16" s="3" customFormat="1" ht="25.5" customHeight="1" collapsed="1">
      <c r="A79" s="22" t="str">
        <f>$A$56&amp;3</f>
        <v>9A.S3</v>
      </c>
      <c r="B79" s="23" t="s">
        <v>70</v>
      </c>
      <c r="C79" s="23" t="s">
        <v>515</v>
      </c>
      <c r="D79" s="22"/>
      <c r="E79" s="25"/>
      <c r="F79" s="87"/>
      <c r="G79" s="25">
        <f>_xlfn.XLOOKUP(B79, Rate_Master!$A:$A, Rate_Master!$C:$C, "")</f>
        <v>0</v>
      </c>
      <c r="H79" s="25">
        <f>_xlfn.XLOOKUP(B79, Rate_Master!$A:$A, Rate_Master!$D:$D, "")</f>
        <v>0</v>
      </c>
      <c r="I79" s="68"/>
      <c r="J79" s="26">
        <f>SUBTOTAL(9,J80:J93)</f>
        <v>342284730.28652716</v>
      </c>
      <c r="K79" s="26">
        <f>SUBTOTAL(9,K80:K93)</f>
        <v>376239276.49132717</v>
      </c>
      <c r="L79" s="26"/>
      <c r="N79" s="104"/>
      <c r="O79" s="104"/>
      <c r="P79" s="104"/>
    </row>
    <row r="80" spans="1:16" s="4" customFormat="1" ht="51" hidden="1" customHeight="1" outlineLevel="1">
      <c r="A80" s="27" t="str">
        <f t="shared" ref="A80:A93" si="17">$A$79&amp;"."&amp;ROW()-ROW($A$79)</f>
        <v>9A.S3.1</v>
      </c>
      <c r="B80" s="28" t="s">
        <v>71</v>
      </c>
      <c r="C80" s="28" t="str">
        <f>+'8A'!C80</f>
        <v xml:space="preserve">Tôn liên doanh Việt hàn, AZ170
</v>
      </c>
      <c r="D80" s="29" t="s">
        <v>520</v>
      </c>
      <c r="E80" s="31">
        <v>285.9948</v>
      </c>
      <c r="F80" s="36">
        <v>285.1524</v>
      </c>
      <c r="G80" s="93">
        <f>_xlfn.XLOOKUP(B80, Rate_Master!$A:$A, Rate_Master!$C:$C, "")</f>
        <v>248399.99999999997</v>
      </c>
      <c r="H80" s="93">
        <f>_xlfn.XLOOKUP(B80, Rate_Master!$A:$A, Rate_Master!$D:$D, "")</f>
        <v>34500</v>
      </c>
      <c r="I80" s="67">
        <f t="shared" ref="I80:I93" si="18">+SUM(G80:H80)</f>
        <v>282900</v>
      </c>
      <c r="J80" s="32">
        <f t="shared" ref="J80:J93" si="19">I80*E80</f>
        <v>80907928.920000002</v>
      </c>
      <c r="K80" s="58">
        <f t="shared" ref="K80:K93" si="20">+F80*I80</f>
        <v>80669613.959999993</v>
      </c>
      <c r="L80" s="32"/>
      <c r="N80" s="104"/>
      <c r="O80" s="104"/>
      <c r="P80" s="104"/>
    </row>
    <row r="81" spans="1:16" s="4" customFormat="1" ht="51" hidden="1" customHeight="1" outlineLevel="1">
      <c r="A81" s="27" t="str">
        <f t="shared" si="17"/>
        <v>9A.S3.2</v>
      </c>
      <c r="B81" s="28" t="s">
        <v>72</v>
      </c>
      <c r="C81" s="28" t="str">
        <f>+'8A'!C81</f>
        <v xml:space="preserve">Tôn liên doanh Việt hàn, AZ170
</v>
      </c>
      <c r="D81" s="29" t="s">
        <v>520</v>
      </c>
      <c r="E81" s="31">
        <v>0</v>
      </c>
      <c r="F81" s="36">
        <v>0</v>
      </c>
      <c r="G81" s="93">
        <f>_xlfn.XLOOKUP(B81, Rate_Master!$A:$A, Rate_Master!$C:$C, "")</f>
        <v>206999.99999999997</v>
      </c>
      <c r="H81" s="93">
        <f>_xlfn.XLOOKUP(B81, Rate_Master!$A:$A, Rate_Master!$D:$D, "")</f>
        <v>34500</v>
      </c>
      <c r="I81" s="67">
        <f t="shared" si="18"/>
        <v>241499.99999999997</v>
      </c>
      <c r="J81" s="32">
        <f t="shared" si="19"/>
        <v>0</v>
      </c>
      <c r="K81" s="58">
        <f t="shared" si="20"/>
        <v>0</v>
      </c>
      <c r="L81" s="32"/>
      <c r="N81" s="104"/>
      <c r="O81" s="104"/>
      <c r="P81" s="104"/>
    </row>
    <row r="82" spans="1:16" s="4" customFormat="1" ht="63.75" hidden="1" customHeight="1" outlineLevel="1">
      <c r="A82" s="27" t="str">
        <f t="shared" si="17"/>
        <v>9A.S3.3</v>
      </c>
      <c r="B82" s="28" t="s">
        <v>73</v>
      </c>
      <c r="C82" s="28" t="str">
        <f>+'8A'!C82</f>
        <v xml:space="preserve">Tôn liên doanh Việt hàn, AZ170
</v>
      </c>
      <c r="D82" s="29" t="s">
        <v>520</v>
      </c>
      <c r="E82" s="31">
        <v>0</v>
      </c>
      <c r="F82" s="36">
        <v>0</v>
      </c>
      <c r="G82" s="93">
        <f>_xlfn.XLOOKUP(B82, Rate_Master!$A:$A, Rate_Master!$C:$C, "")</f>
        <v>195499.99999999997</v>
      </c>
      <c r="H82" s="93">
        <f>_xlfn.XLOOKUP(B82, Rate_Master!$A:$A, Rate_Master!$D:$D, "")</f>
        <v>34500</v>
      </c>
      <c r="I82" s="67">
        <f t="shared" si="18"/>
        <v>229999.99999999997</v>
      </c>
      <c r="J82" s="32">
        <f t="shared" si="19"/>
        <v>0</v>
      </c>
      <c r="K82" s="58">
        <f t="shared" si="20"/>
        <v>0</v>
      </c>
      <c r="L82" s="32"/>
      <c r="N82" s="104"/>
      <c r="O82" s="104"/>
      <c r="P82" s="104"/>
    </row>
    <row r="83" spans="1:16" s="4" customFormat="1" ht="25.5" hidden="1" customHeight="1" outlineLevel="1">
      <c r="A83" s="27" t="str">
        <f t="shared" si="17"/>
        <v>9A.S3.4</v>
      </c>
      <c r="B83" s="28" t="s">
        <v>74</v>
      </c>
      <c r="C83" s="28" t="s">
        <v>515</v>
      </c>
      <c r="D83" s="29" t="s">
        <v>520</v>
      </c>
      <c r="E83" s="31">
        <v>0</v>
      </c>
      <c r="F83" s="36">
        <v>285.1524</v>
      </c>
      <c r="G83" s="93">
        <f>_xlfn.XLOOKUP(B83, Rate_Master!$A:$A, Rate_Master!$C:$C, "")</f>
        <v>23000</v>
      </c>
      <c r="H83" s="93">
        <f>_xlfn.XLOOKUP(B83, Rate_Master!$A:$A, Rate_Master!$D:$D, "")</f>
        <v>11500</v>
      </c>
      <c r="I83" s="67">
        <f t="shared" si="18"/>
        <v>34500</v>
      </c>
      <c r="J83" s="32">
        <f t="shared" si="19"/>
        <v>0</v>
      </c>
      <c r="K83" s="58">
        <f t="shared" si="20"/>
        <v>9837757.8000000007</v>
      </c>
      <c r="L83" s="32"/>
      <c r="N83" s="104"/>
      <c r="O83" s="104"/>
      <c r="P83" s="104"/>
    </row>
    <row r="84" spans="1:16" s="4" customFormat="1" ht="25.5" hidden="1" customHeight="1" outlineLevel="1">
      <c r="A84" s="27" t="str">
        <f t="shared" si="17"/>
        <v>9A.S3.5</v>
      </c>
      <c r="B84" s="28" t="s">
        <v>75</v>
      </c>
      <c r="C84" s="28" t="s">
        <v>538</v>
      </c>
      <c r="D84" s="29" t="s">
        <v>517</v>
      </c>
      <c r="E84" s="31">
        <v>47.844000000000001</v>
      </c>
      <c r="F84" s="36">
        <v>120.608</v>
      </c>
      <c r="G84" s="93">
        <f>_xlfn.XLOOKUP(B84, Rate_Master!$A:$A, Rate_Master!$C:$C, "")</f>
        <v>110399.99999999999</v>
      </c>
      <c r="H84" s="93">
        <f>_xlfn.XLOOKUP(B84, Rate_Master!$A:$A, Rate_Master!$D:$D, "")</f>
        <v>17250</v>
      </c>
      <c r="I84" s="67">
        <f t="shared" si="18"/>
        <v>127649.99999999999</v>
      </c>
      <c r="J84" s="32">
        <f t="shared" si="19"/>
        <v>6107286.5999999996</v>
      </c>
      <c r="K84" s="58">
        <f t="shared" si="20"/>
        <v>15395611.199999999</v>
      </c>
      <c r="L84" s="32"/>
      <c r="N84" s="104"/>
      <c r="O84" s="104"/>
      <c r="P84" s="104"/>
    </row>
    <row r="85" spans="1:16" s="4" customFormat="1" ht="25.5" hidden="1" customHeight="1" outlineLevel="1">
      <c r="A85" s="27" t="str">
        <f t="shared" si="17"/>
        <v>9A.S3.6</v>
      </c>
      <c r="B85" s="28" t="s">
        <v>75</v>
      </c>
      <c r="C85" s="28" t="s">
        <v>539</v>
      </c>
      <c r="D85" s="29" t="s">
        <v>517</v>
      </c>
      <c r="E85" s="31">
        <v>47.844000000000001</v>
      </c>
      <c r="F85" s="36">
        <v>0</v>
      </c>
      <c r="G85" s="93">
        <f>_xlfn.XLOOKUP(B85, Rate_Master!$A:$A, Rate_Master!$C:$C, "")</f>
        <v>110399.99999999999</v>
      </c>
      <c r="H85" s="93">
        <f>_xlfn.XLOOKUP(B85, Rate_Master!$A:$A, Rate_Master!$D:$D, "")</f>
        <v>17250</v>
      </c>
      <c r="I85" s="67">
        <f t="shared" si="18"/>
        <v>127649.99999999999</v>
      </c>
      <c r="J85" s="32">
        <f t="shared" si="19"/>
        <v>6107286.5999999996</v>
      </c>
      <c r="K85" s="58">
        <f t="shared" si="20"/>
        <v>0</v>
      </c>
      <c r="L85" s="32"/>
      <c r="N85" s="104"/>
      <c r="O85" s="104"/>
      <c r="P85" s="104"/>
    </row>
    <row r="86" spans="1:16" s="4" customFormat="1" ht="25.5" hidden="1" customHeight="1" outlineLevel="1">
      <c r="A86" s="27" t="str">
        <f t="shared" si="17"/>
        <v>9A.S3.7</v>
      </c>
      <c r="B86" s="28" t="s">
        <v>76</v>
      </c>
      <c r="C86" s="28" t="s">
        <v>540</v>
      </c>
      <c r="D86" s="29" t="s">
        <v>517</v>
      </c>
      <c r="E86" s="31">
        <v>0</v>
      </c>
      <c r="F86" s="36">
        <v>23.4</v>
      </c>
      <c r="G86" s="93">
        <f>_xlfn.XLOOKUP(B86, Rate_Master!$A:$A, Rate_Master!$C:$C, "")</f>
        <v>1976115.3983999996</v>
      </c>
      <c r="H86" s="93">
        <f>_xlfn.XLOOKUP(B86, Rate_Master!$A:$A, Rate_Master!$D:$D, "")</f>
        <v>28749.999999999996</v>
      </c>
      <c r="I86" s="67">
        <f t="shared" si="18"/>
        <v>2004865.3983999996</v>
      </c>
      <c r="J86" s="32">
        <f t="shared" si="19"/>
        <v>0</v>
      </c>
      <c r="K86" s="58">
        <f t="shared" si="20"/>
        <v>46913850.32255999</v>
      </c>
      <c r="L86" s="32"/>
      <c r="N86" s="104"/>
      <c r="O86" s="104"/>
      <c r="P86" s="104"/>
    </row>
    <row r="87" spans="1:16" s="4" customFormat="1" ht="25.5" hidden="1" customHeight="1" outlineLevel="1">
      <c r="A87" s="27" t="str">
        <f t="shared" si="17"/>
        <v>9A.S3.8</v>
      </c>
      <c r="B87" s="28" t="s">
        <v>77</v>
      </c>
      <c r="C87" s="28" t="s">
        <v>541</v>
      </c>
      <c r="D87" s="29" t="s">
        <v>517</v>
      </c>
      <c r="E87" s="31">
        <v>23.4</v>
      </c>
      <c r="F87" s="36">
        <v>0</v>
      </c>
      <c r="G87" s="93">
        <f>_xlfn.XLOOKUP(B87, Rate_Master!$A:$A, Rate_Master!$C:$C, "")</f>
        <v>1077881.1263999997</v>
      </c>
      <c r="H87" s="93">
        <f>_xlfn.XLOOKUP(B87, Rate_Master!$A:$A, Rate_Master!$D:$D, "")</f>
        <v>23000</v>
      </c>
      <c r="I87" s="67">
        <f t="shared" si="18"/>
        <v>1100881.1263999997</v>
      </c>
      <c r="J87" s="32">
        <f t="shared" si="19"/>
        <v>25760618.357759994</v>
      </c>
      <c r="K87" s="58">
        <f t="shared" si="20"/>
        <v>0</v>
      </c>
      <c r="L87" s="32"/>
      <c r="N87" s="104"/>
      <c r="O87" s="104"/>
      <c r="P87" s="104"/>
    </row>
    <row r="88" spans="1:16" s="4" customFormat="1" ht="25.5" hidden="1" customHeight="1" outlineLevel="1">
      <c r="A88" s="27" t="str">
        <f t="shared" si="17"/>
        <v>9A.S3.9</v>
      </c>
      <c r="B88" s="28" t="s">
        <v>205</v>
      </c>
      <c r="C88" s="28" t="s">
        <v>515</v>
      </c>
      <c r="D88" s="29" t="s">
        <v>518</v>
      </c>
      <c r="E88" s="31">
        <v>4</v>
      </c>
      <c r="F88" s="36">
        <v>4</v>
      </c>
      <c r="G88" s="93">
        <f>_xlfn.XLOOKUP(B88, Rate_Master!$A:$A, Rate_Master!$C:$C, "")</f>
        <v>112699.99999999999</v>
      </c>
      <c r="H88" s="93">
        <f>_xlfn.XLOOKUP(B88, Rate_Master!$A:$A, Rate_Master!$D:$D, "")</f>
        <v>0</v>
      </c>
      <c r="I88" s="67">
        <f t="shared" si="18"/>
        <v>112699.99999999999</v>
      </c>
      <c r="J88" s="32">
        <f t="shared" si="19"/>
        <v>450799.99999999994</v>
      </c>
      <c r="K88" s="58">
        <f t="shared" si="20"/>
        <v>450799.99999999994</v>
      </c>
      <c r="L88" s="32"/>
      <c r="N88" s="104"/>
      <c r="O88" s="104"/>
      <c r="P88" s="104"/>
    </row>
    <row r="89" spans="1:16" s="4" customFormat="1" ht="63.75" hidden="1" customHeight="1" outlineLevel="1">
      <c r="A89" s="27" t="str">
        <f t="shared" si="17"/>
        <v>9A.S3.10</v>
      </c>
      <c r="B89" s="28" t="s">
        <v>206</v>
      </c>
      <c r="C89" s="28" t="s">
        <v>542</v>
      </c>
      <c r="D89" s="29" t="s">
        <v>517</v>
      </c>
      <c r="E89" s="31">
        <v>28.4</v>
      </c>
      <c r="F89" s="36">
        <v>25.6</v>
      </c>
      <c r="G89" s="93">
        <f>_xlfn.XLOOKUP(B89, Rate_Master!$A:$A, Rate_Master!$C:$C, "")</f>
        <v>162150</v>
      </c>
      <c r="H89" s="93">
        <f>_xlfn.XLOOKUP(B89, Rate_Master!$A:$A, Rate_Master!$D:$D, "")</f>
        <v>0</v>
      </c>
      <c r="I89" s="67">
        <f t="shared" si="18"/>
        <v>162150</v>
      </c>
      <c r="J89" s="32">
        <f t="shared" si="19"/>
        <v>4605060</v>
      </c>
      <c r="K89" s="58">
        <f t="shared" si="20"/>
        <v>4151040</v>
      </c>
      <c r="L89" s="32"/>
      <c r="N89" s="104"/>
      <c r="O89" s="104"/>
      <c r="P89" s="104"/>
    </row>
    <row r="90" spans="1:16" s="4" customFormat="1" ht="25.5" hidden="1" customHeight="1" outlineLevel="1">
      <c r="A90" s="27" t="str">
        <f t="shared" si="17"/>
        <v>9A.S3.11</v>
      </c>
      <c r="B90" s="28" t="s">
        <v>80</v>
      </c>
      <c r="C90" s="28" t="s">
        <v>515</v>
      </c>
      <c r="D90" s="29" t="s">
        <v>457</v>
      </c>
      <c r="E90" s="31">
        <v>1</v>
      </c>
      <c r="F90" s="36">
        <v>1</v>
      </c>
      <c r="G90" s="93">
        <f>_xlfn.XLOOKUP(B90, Rate_Master!$A:$A, Rate_Master!$C:$C, "")</f>
        <v>0</v>
      </c>
      <c r="H90" s="93">
        <f>_xlfn.XLOOKUP(B90, Rate_Master!$A:$A, Rate_Master!$D:$D, "")</f>
        <v>57499999.999999993</v>
      </c>
      <c r="I90" s="67">
        <f t="shared" si="18"/>
        <v>57499999.999999993</v>
      </c>
      <c r="J90" s="32">
        <f t="shared" si="19"/>
        <v>57499999.999999993</v>
      </c>
      <c r="K90" s="58">
        <f t="shared" si="20"/>
        <v>57499999.999999993</v>
      </c>
      <c r="L90" s="32"/>
      <c r="N90" s="104"/>
      <c r="O90" s="104"/>
      <c r="P90" s="104"/>
    </row>
    <row r="91" spans="1:16" s="4" customFormat="1" ht="25.5" hidden="1" customHeight="1" outlineLevel="1">
      <c r="A91" s="27" t="str">
        <f t="shared" si="17"/>
        <v>9A.S3.12</v>
      </c>
      <c r="B91" s="28" t="s">
        <v>81</v>
      </c>
      <c r="C91" s="28" t="s">
        <v>515</v>
      </c>
      <c r="D91" s="29" t="s">
        <v>520</v>
      </c>
      <c r="E91" s="31">
        <v>285.9948</v>
      </c>
      <c r="F91" s="36">
        <v>285.1524</v>
      </c>
      <c r="G91" s="93">
        <f>_xlfn.XLOOKUP(B91, Rate_Master!$A:$A, Rate_Master!$C:$C, "")</f>
        <v>0</v>
      </c>
      <c r="H91" s="93">
        <f>_xlfn.XLOOKUP(B91, Rate_Master!$A:$A, Rate_Master!$D:$D, "")</f>
        <v>40250</v>
      </c>
      <c r="I91" s="67">
        <f t="shared" si="18"/>
        <v>40250</v>
      </c>
      <c r="J91" s="32">
        <f t="shared" si="19"/>
        <v>11511290.699999999</v>
      </c>
      <c r="K91" s="58">
        <f t="shared" si="20"/>
        <v>11477384.1</v>
      </c>
      <c r="L91" s="32"/>
      <c r="N91" s="104"/>
      <c r="O91" s="104"/>
      <c r="P91" s="104"/>
    </row>
    <row r="92" spans="1:16" s="4" customFormat="1" ht="38.25" hidden="1" customHeight="1" outlineLevel="1">
      <c r="A92" s="27" t="str">
        <f t="shared" si="17"/>
        <v>9A.S3.13</v>
      </c>
      <c r="B92" s="28" t="s">
        <v>82</v>
      </c>
      <c r="C92" s="28" t="s">
        <v>515</v>
      </c>
      <c r="D92" s="29" t="s">
        <v>517</v>
      </c>
      <c r="E92" s="31">
        <v>147.488</v>
      </c>
      <c r="F92" s="36">
        <v>169.608</v>
      </c>
      <c r="G92" s="93">
        <f>_xlfn.XLOOKUP(B92, Rate_Master!$A:$A, Rate_Master!$C:$C, "")</f>
        <v>0</v>
      </c>
      <c r="H92" s="93">
        <f>_xlfn.XLOOKUP(B92, Rate_Master!$A:$A, Rate_Master!$D:$D, "")</f>
        <v>23000</v>
      </c>
      <c r="I92" s="67">
        <f t="shared" si="18"/>
        <v>23000</v>
      </c>
      <c r="J92" s="32">
        <f t="shared" si="19"/>
        <v>3392224</v>
      </c>
      <c r="K92" s="58">
        <f t="shared" si="20"/>
        <v>3900984</v>
      </c>
      <c r="L92" s="32"/>
      <c r="N92" s="104"/>
      <c r="O92" s="104"/>
      <c r="P92" s="104"/>
    </row>
    <row r="93" spans="1:16" s="4" customFormat="1" ht="25.5" hidden="1" customHeight="1" outlineLevel="1">
      <c r="A93" s="27" t="str">
        <f t="shared" si="17"/>
        <v>9A.S3.14</v>
      </c>
      <c r="B93" s="28" t="s">
        <v>83</v>
      </c>
      <c r="C93" s="28" t="s">
        <v>543</v>
      </c>
      <c r="D93" s="29" t="s">
        <v>457</v>
      </c>
      <c r="E93" s="31">
        <v>1</v>
      </c>
      <c r="F93" s="36">
        <v>1</v>
      </c>
      <c r="G93" s="93">
        <f>_xlfn.XLOOKUP(B93, Rate_Master!$A:$A, Rate_Master!$C:$C, "")</f>
        <v>145942235.10876715</v>
      </c>
      <c r="H93" s="102">
        <f>_xlfn.XLOOKUP(B93, Rate_Master!$A:$A, Rate_Master!$D:$D, "")</f>
        <v>0</v>
      </c>
      <c r="I93" s="67">
        <f t="shared" si="18"/>
        <v>145942235.10876715</v>
      </c>
      <c r="J93" s="32">
        <f t="shared" si="19"/>
        <v>145942235.10876715</v>
      </c>
      <c r="K93" s="58">
        <f t="shared" si="20"/>
        <v>145942235.10876715</v>
      </c>
      <c r="L93" s="32"/>
      <c r="N93" s="104"/>
      <c r="O93" s="104"/>
      <c r="P93" s="104"/>
    </row>
    <row r="94" spans="1:16" s="3" customFormat="1" ht="25.5" customHeight="1" collapsed="1">
      <c r="A94" s="22" t="str">
        <f>$A$56&amp;4</f>
        <v>9A.S4</v>
      </c>
      <c r="B94" s="23" t="s">
        <v>84</v>
      </c>
      <c r="C94" s="23" t="s">
        <v>515</v>
      </c>
      <c r="D94" s="22"/>
      <c r="E94" s="25"/>
      <c r="F94" s="87"/>
      <c r="G94" s="25">
        <f>_xlfn.XLOOKUP(B94, Rate_Master!$A:$A, Rate_Master!$C:$C, "")</f>
        <v>0</v>
      </c>
      <c r="H94" s="25">
        <f>_xlfn.XLOOKUP(B94, Rate_Master!$A:$A, Rate_Master!$D:$D, "")</f>
        <v>0</v>
      </c>
      <c r="I94" s="68"/>
      <c r="J94" s="26">
        <f>SUBTOTAL(9,J95:J102)</f>
        <v>10795451.009599999</v>
      </c>
      <c r="K94" s="26">
        <f>SUBTOTAL(9,K95:K102)</f>
        <v>6888960</v>
      </c>
      <c r="L94" s="26"/>
      <c r="N94" s="104"/>
      <c r="O94" s="104"/>
      <c r="P94" s="104"/>
    </row>
    <row r="95" spans="1:16" s="4" customFormat="1" ht="38.25" hidden="1" customHeight="1" outlineLevel="1">
      <c r="A95" s="27" t="str">
        <f t="shared" ref="A95:A102" si="21">$A$94&amp;"."&amp;ROW()-ROW($A$94)</f>
        <v>9A.S4.1</v>
      </c>
      <c r="B95" s="28" t="s">
        <v>85</v>
      </c>
      <c r="C95" s="28" t="s">
        <v>544</v>
      </c>
      <c r="D95" s="29" t="s">
        <v>517</v>
      </c>
      <c r="E95" s="31">
        <v>0</v>
      </c>
      <c r="F95" s="36"/>
      <c r="G95" s="30">
        <f>_xlfn.XLOOKUP(B95, Rate_Master!$A:$A, Rate_Master!$C:$C, "")</f>
        <v>5175000</v>
      </c>
      <c r="H95" s="30">
        <f>_xlfn.XLOOKUP(B95, Rate_Master!$A:$A, Rate_Master!$D:$D, "")</f>
        <v>0</v>
      </c>
      <c r="I95" s="67">
        <f t="shared" ref="I95:I102" si="22">+SUM(G95:H95)</f>
        <v>5175000</v>
      </c>
      <c r="J95" s="32">
        <f t="shared" ref="J95:J102" si="23">I95*E95</f>
        <v>0</v>
      </c>
      <c r="K95" s="58">
        <f t="shared" ref="K95:K102" si="24">+F95*I95</f>
        <v>0</v>
      </c>
      <c r="L95" s="32"/>
      <c r="N95" s="104"/>
      <c r="O95" s="104"/>
      <c r="P95" s="104"/>
    </row>
    <row r="96" spans="1:16" s="4" customFormat="1" ht="38.25" hidden="1" customHeight="1" outlineLevel="1">
      <c r="A96" s="27" t="str">
        <f t="shared" si="21"/>
        <v>9A.S4.2</v>
      </c>
      <c r="B96" s="28" t="s">
        <v>86</v>
      </c>
      <c r="C96" s="28" t="s">
        <v>545</v>
      </c>
      <c r="D96" s="29" t="s">
        <v>517</v>
      </c>
      <c r="E96" s="31">
        <v>0</v>
      </c>
      <c r="F96" s="36"/>
      <c r="G96" s="30">
        <f>_xlfn.XLOOKUP(B96, Rate_Master!$A:$A, Rate_Master!$C:$C, "")</f>
        <v>0</v>
      </c>
      <c r="H96" s="30">
        <f>_xlfn.XLOOKUP(B96, Rate_Master!$A:$A, Rate_Master!$D:$D, "")</f>
        <v>0</v>
      </c>
      <c r="I96" s="67">
        <f t="shared" si="22"/>
        <v>0</v>
      </c>
      <c r="J96" s="32">
        <f t="shared" si="23"/>
        <v>0</v>
      </c>
      <c r="K96" s="58">
        <f t="shared" si="24"/>
        <v>0</v>
      </c>
      <c r="L96" s="32"/>
      <c r="N96" s="104"/>
      <c r="O96" s="104"/>
      <c r="P96" s="104"/>
    </row>
    <row r="97" spans="1:16" s="4" customFormat="1" ht="38.25" hidden="1" customHeight="1" outlineLevel="1">
      <c r="A97" s="27" t="str">
        <f t="shared" si="21"/>
        <v>9A.S4.3</v>
      </c>
      <c r="B97" s="28" t="s">
        <v>87</v>
      </c>
      <c r="C97" s="28" t="s">
        <v>546</v>
      </c>
      <c r="D97" s="29" t="s">
        <v>517</v>
      </c>
      <c r="E97" s="31">
        <v>0</v>
      </c>
      <c r="F97" s="36"/>
      <c r="G97" s="30">
        <f>_xlfn.XLOOKUP(B97, Rate_Master!$A:$A, Rate_Master!$C:$C, "")</f>
        <v>0</v>
      </c>
      <c r="H97" s="30">
        <f>_xlfn.XLOOKUP(B97, Rate_Master!$A:$A, Rate_Master!$D:$D, "")</f>
        <v>0</v>
      </c>
      <c r="I97" s="67">
        <f t="shared" si="22"/>
        <v>0</v>
      </c>
      <c r="J97" s="32">
        <f t="shared" si="23"/>
        <v>0</v>
      </c>
      <c r="K97" s="58">
        <f t="shared" si="24"/>
        <v>0</v>
      </c>
      <c r="L97" s="32"/>
      <c r="N97" s="104"/>
      <c r="O97" s="104"/>
      <c r="P97" s="104"/>
    </row>
    <row r="98" spans="1:16" s="4" customFormat="1" ht="25.5" hidden="1" customHeight="1" outlineLevel="1">
      <c r="A98" s="27" t="str">
        <f t="shared" si="21"/>
        <v>9A.S4.4</v>
      </c>
      <c r="B98" s="28" t="s">
        <v>88</v>
      </c>
      <c r="C98" s="28" t="s">
        <v>546</v>
      </c>
      <c r="D98" s="29" t="s">
        <v>517</v>
      </c>
      <c r="E98" s="31">
        <v>0</v>
      </c>
      <c r="F98" s="36"/>
      <c r="G98" s="30">
        <f>_xlfn.XLOOKUP(B98, Rate_Master!$A:$A, Rate_Master!$C:$C, "")</f>
        <v>0</v>
      </c>
      <c r="H98" s="30">
        <f>_xlfn.XLOOKUP(B98, Rate_Master!$A:$A, Rate_Master!$D:$D, "")</f>
        <v>0</v>
      </c>
      <c r="I98" s="67">
        <f t="shared" si="22"/>
        <v>0</v>
      </c>
      <c r="J98" s="32">
        <f t="shared" si="23"/>
        <v>0</v>
      </c>
      <c r="K98" s="58">
        <f t="shared" si="24"/>
        <v>0</v>
      </c>
      <c r="L98" s="32"/>
      <c r="N98" s="104"/>
      <c r="O98" s="104"/>
      <c r="P98" s="104"/>
    </row>
    <row r="99" spans="1:16" s="4" customFormat="1" ht="51" hidden="1" customHeight="1" outlineLevel="1">
      <c r="A99" s="27" t="str">
        <f t="shared" si="21"/>
        <v>9A.S4.5</v>
      </c>
      <c r="B99" s="28" t="s">
        <v>89</v>
      </c>
      <c r="C99" s="28" t="s">
        <v>547</v>
      </c>
      <c r="D99" s="29" t="s">
        <v>520</v>
      </c>
      <c r="E99" s="31">
        <v>299.52</v>
      </c>
      <c r="F99" s="36">
        <v>299.52</v>
      </c>
      <c r="G99" s="93">
        <f>_xlfn.XLOOKUP(B99, Rate_Master!$A:$A, Rate_Master!$C:$C, "")</f>
        <v>17250</v>
      </c>
      <c r="H99" s="93">
        <f>_xlfn.XLOOKUP(B99, Rate_Master!$A:$A, Rate_Master!$D:$D, "")</f>
        <v>5750</v>
      </c>
      <c r="I99" s="67">
        <f t="shared" si="22"/>
        <v>23000</v>
      </c>
      <c r="J99" s="32">
        <f t="shared" si="23"/>
        <v>6888960</v>
      </c>
      <c r="K99" s="58">
        <f t="shared" si="24"/>
        <v>6888960</v>
      </c>
      <c r="L99" s="32"/>
      <c r="N99" s="104"/>
      <c r="O99" s="104"/>
      <c r="P99" s="104"/>
    </row>
    <row r="100" spans="1:16" s="4" customFormat="1" ht="38.25" hidden="1" customHeight="1" outlineLevel="1">
      <c r="A100" s="27" t="str">
        <f t="shared" si="21"/>
        <v>9A.S4.6</v>
      </c>
      <c r="B100" s="28" t="s">
        <v>90</v>
      </c>
      <c r="C100" s="28" t="s">
        <v>548</v>
      </c>
      <c r="D100" s="29" t="s">
        <v>520</v>
      </c>
      <c r="E100" s="31">
        <v>199.82051200000001</v>
      </c>
      <c r="F100" s="36"/>
      <c r="G100" s="30">
        <f>_xlfn.XLOOKUP(B100, Rate_Master!$A:$A, Rate_Master!$C:$C, "")</f>
        <v>0</v>
      </c>
      <c r="H100" s="30">
        <f>_xlfn.XLOOKUP(B100, Rate_Master!$A:$A, Rate_Master!$D:$D, "")</f>
        <v>0</v>
      </c>
      <c r="I100" s="67">
        <f t="shared" si="22"/>
        <v>0</v>
      </c>
      <c r="J100" s="32">
        <f t="shared" si="23"/>
        <v>0</v>
      </c>
      <c r="K100" s="58">
        <f t="shared" si="24"/>
        <v>0</v>
      </c>
      <c r="L100" s="32"/>
      <c r="N100" s="104"/>
      <c r="O100" s="104"/>
      <c r="P100" s="104"/>
    </row>
    <row r="101" spans="1:16" s="4" customFormat="1" ht="25.5" hidden="1" customHeight="1" outlineLevel="1">
      <c r="A101" s="27" t="str">
        <f t="shared" si="21"/>
        <v>9A.S4.7</v>
      </c>
      <c r="B101" s="28" t="s">
        <v>91</v>
      </c>
      <c r="C101" s="28" t="s">
        <v>515</v>
      </c>
      <c r="D101" s="29" t="s">
        <v>457</v>
      </c>
      <c r="E101" s="31">
        <v>1</v>
      </c>
      <c r="F101" s="36"/>
      <c r="G101" s="30">
        <f>_xlfn.XLOOKUP(B101, Rate_Master!$A:$A, Rate_Master!$C:$C, "")</f>
        <v>0</v>
      </c>
      <c r="H101" s="30">
        <f>_xlfn.XLOOKUP(B101, Rate_Master!$A:$A, Rate_Master!$D:$D, "")</f>
        <v>0</v>
      </c>
      <c r="I101" s="67">
        <f t="shared" si="22"/>
        <v>0</v>
      </c>
      <c r="J101" s="32">
        <f t="shared" si="23"/>
        <v>0</v>
      </c>
      <c r="K101" s="58">
        <f t="shared" si="24"/>
        <v>0</v>
      </c>
      <c r="L101" s="32"/>
      <c r="N101" s="104"/>
      <c r="O101" s="104"/>
      <c r="P101" s="104"/>
    </row>
    <row r="102" spans="1:16" s="4" customFormat="1" ht="51" hidden="1" customHeight="1" outlineLevel="1">
      <c r="A102" s="27" t="str">
        <f t="shared" si="21"/>
        <v>9A.S4.8</v>
      </c>
      <c r="B102" s="28" t="s">
        <v>92</v>
      </c>
      <c r="C102" s="28" t="s">
        <v>550</v>
      </c>
      <c r="D102" s="29" t="s">
        <v>520</v>
      </c>
      <c r="E102" s="31">
        <v>199.82051200000001</v>
      </c>
      <c r="F102" s="36"/>
      <c r="G102" s="30">
        <f>_xlfn.XLOOKUP(B102, Rate_Master!$A:$A, Rate_Master!$C:$C, "")</f>
        <v>16099.999999999998</v>
      </c>
      <c r="H102" s="30">
        <f>_xlfn.XLOOKUP(B102, Rate_Master!$A:$A, Rate_Master!$D:$D, "")</f>
        <v>3449.9999999999995</v>
      </c>
      <c r="I102" s="67">
        <f t="shared" si="22"/>
        <v>19549.999999999996</v>
      </c>
      <c r="J102" s="32">
        <f t="shared" si="23"/>
        <v>3906491.0095999995</v>
      </c>
      <c r="K102" s="58">
        <f t="shared" si="24"/>
        <v>0</v>
      </c>
      <c r="L102" s="32"/>
      <c r="N102" s="104"/>
      <c r="O102" s="104"/>
      <c r="P102" s="104"/>
    </row>
    <row r="103" spans="1:16" s="3" customFormat="1" ht="25.5" customHeight="1" collapsed="1">
      <c r="A103" s="22" t="str">
        <f>$A$9&amp;".F"</f>
        <v>9A.F</v>
      </c>
      <c r="B103" s="23" t="s">
        <v>93</v>
      </c>
      <c r="C103" s="23" t="s">
        <v>515</v>
      </c>
      <c r="D103" s="22"/>
      <c r="E103" s="25"/>
      <c r="F103" s="25"/>
      <c r="G103" s="25">
        <f>_xlfn.XLOOKUP(B103, Rate_Master!$A:$A, Rate_Master!$C:$C, "")</f>
        <v>0</v>
      </c>
      <c r="H103" s="25">
        <f>_xlfn.XLOOKUP(B103, Rate_Master!$A:$A, Rate_Master!$D:$D, "")</f>
        <v>0</v>
      </c>
      <c r="I103" s="26">
        <f>G103+H103</f>
        <v>0</v>
      </c>
      <c r="J103" s="26"/>
      <c r="K103" s="26"/>
      <c r="L103" s="26"/>
    </row>
    <row r="104" spans="1:16" s="3" customFormat="1" ht="25.5" customHeight="1">
      <c r="A104" s="22" t="str">
        <f>$A$103&amp;1</f>
        <v>9A.F1</v>
      </c>
      <c r="B104" s="23" t="s">
        <v>94</v>
      </c>
      <c r="C104" s="23" t="s">
        <v>515</v>
      </c>
      <c r="D104" s="22"/>
      <c r="E104" s="25"/>
      <c r="F104" s="25"/>
      <c r="G104" s="25">
        <f>_xlfn.XLOOKUP(B104, Rate_Master!$A:$A, Rate_Master!$C:$C, "")</f>
        <v>0</v>
      </c>
      <c r="H104" s="25">
        <f>_xlfn.XLOOKUP(B104, Rate_Master!$A:$A, Rate_Master!$D:$D, "")</f>
        <v>0</v>
      </c>
      <c r="I104" s="26">
        <f>G104+H104</f>
        <v>0</v>
      </c>
      <c r="J104" s="26">
        <f>SUBTOTAL(9,J105:J122)</f>
        <v>473953722.54223847</v>
      </c>
      <c r="K104" s="26">
        <f>SUBTOTAL(9,K105:K122)</f>
        <v>473953722.54223847</v>
      </c>
      <c r="L104" s="26"/>
    </row>
    <row r="105" spans="1:16" s="4" customFormat="1" ht="25.5" hidden="1" customHeight="1" outlineLevel="1">
      <c r="A105" s="27" t="str">
        <f t="shared" ref="A105:A122" si="25">$A$104&amp;"."&amp;ROW()-ROW($A$104)</f>
        <v>9A.F1.1</v>
      </c>
      <c r="B105" s="35" t="s">
        <v>95</v>
      </c>
      <c r="C105" s="34" t="s">
        <v>551</v>
      </c>
      <c r="D105" s="29" t="s">
        <v>519</v>
      </c>
      <c r="E105" s="31">
        <v>81.947999999999993</v>
      </c>
      <c r="F105" s="31">
        <v>81.947999999999993</v>
      </c>
      <c r="G105" s="30">
        <f>_xlfn.XLOOKUP(B105, Rate_Master!$A:$A, Rate_Master!$C:$C, "")</f>
        <v>1587600.0077618286</v>
      </c>
      <c r="H105" s="30">
        <f>_xlfn.XLOOKUP(B105, Rate_Master!$A:$A, Rate_Master!$D:$D, "")</f>
        <v>1086539.80861244</v>
      </c>
      <c r="I105" s="32">
        <f>+H105+G105</f>
        <v>2674139.8163742684</v>
      </c>
      <c r="J105" s="32">
        <f t="shared" ref="J105:J122" si="26">I105*E105</f>
        <v>219140409.67223853</v>
      </c>
      <c r="K105" s="32">
        <f t="shared" ref="K105:K122" si="27">I105*F105</f>
        <v>219140409.67223853</v>
      </c>
      <c r="L105" s="32"/>
    </row>
    <row r="106" spans="1:16" s="4" customFormat="1" ht="25.5" hidden="1" customHeight="1" outlineLevel="1">
      <c r="A106" s="27" t="str">
        <f t="shared" si="25"/>
        <v>9A.F1.2</v>
      </c>
      <c r="B106" s="35" t="s">
        <v>96</v>
      </c>
      <c r="C106" s="34" t="s">
        <v>551</v>
      </c>
      <c r="D106" s="29" t="s">
        <v>519</v>
      </c>
      <c r="E106" s="31">
        <v>0</v>
      </c>
      <c r="F106" s="31">
        <v>0</v>
      </c>
      <c r="G106" s="30">
        <f>_xlfn.XLOOKUP(B106, Rate_Master!$A:$A, Rate_Master!$C:$C, "")</f>
        <v>1368500</v>
      </c>
      <c r="H106" s="30">
        <f>_xlfn.XLOOKUP(B106, Rate_Master!$A:$A, Rate_Master!$D:$D, "")</f>
        <v>948749.99999999988</v>
      </c>
      <c r="I106" s="32">
        <v>0</v>
      </c>
      <c r="J106" s="32">
        <f t="shared" si="26"/>
        <v>0</v>
      </c>
      <c r="K106" s="32">
        <f t="shared" si="27"/>
        <v>0</v>
      </c>
      <c r="L106" s="32"/>
    </row>
    <row r="107" spans="1:16" s="4" customFormat="1" ht="63.75" hidden="1" customHeight="1" outlineLevel="1">
      <c r="A107" s="27" t="str">
        <f t="shared" si="25"/>
        <v>9A.F1.3</v>
      </c>
      <c r="B107" s="28" t="s">
        <v>97</v>
      </c>
      <c r="C107" s="34" t="s">
        <v>552</v>
      </c>
      <c r="D107" s="29" t="s">
        <v>520</v>
      </c>
      <c r="E107" s="31">
        <v>0</v>
      </c>
      <c r="F107" s="31">
        <v>0</v>
      </c>
      <c r="G107" s="31">
        <f>_xlfn.XLOOKUP(B107, Rate_Master!$A:$A, Rate_Master!$C:$C, "")</f>
        <v>229999.99999999997</v>
      </c>
      <c r="H107" s="31">
        <f>_xlfn.XLOOKUP(B107, Rate_Master!$A:$A, Rate_Master!$D:$D, "")</f>
        <v>46000</v>
      </c>
      <c r="I107" s="32">
        <v>0</v>
      </c>
      <c r="J107" s="32">
        <f t="shared" si="26"/>
        <v>0</v>
      </c>
      <c r="K107" s="32">
        <f t="shared" si="27"/>
        <v>0</v>
      </c>
      <c r="L107" s="32"/>
    </row>
    <row r="108" spans="1:16" s="4" customFormat="1" ht="51" hidden="1" customHeight="1" outlineLevel="1">
      <c r="A108" s="27" t="str">
        <f t="shared" si="25"/>
        <v>9A.F1.4</v>
      </c>
      <c r="B108" s="28" t="s">
        <v>98</v>
      </c>
      <c r="C108" s="34" t="s">
        <v>553</v>
      </c>
      <c r="D108" s="29" t="s">
        <v>520</v>
      </c>
      <c r="E108" s="31">
        <v>0</v>
      </c>
      <c r="F108" s="31">
        <v>0</v>
      </c>
      <c r="G108" s="31">
        <f>_xlfn.XLOOKUP(B108, Rate_Master!$A:$A, Rate_Master!$C:$C, "")</f>
        <v>0</v>
      </c>
      <c r="H108" s="31">
        <f>_xlfn.XLOOKUP(B108, Rate_Master!$A:$A, Rate_Master!$D:$D, "")</f>
        <v>0</v>
      </c>
      <c r="I108" s="32">
        <v>0</v>
      </c>
      <c r="J108" s="32">
        <f t="shared" si="26"/>
        <v>0</v>
      </c>
      <c r="K108" s="32">
        <f t="shared" si="27"/>
        <v>0</v>
      </c>
      <c r="L108" s="32"/>
    </row>
    <row r="109" spans="1:16" s="4" customFormat="1" ht="51" hidden="1" customHeight="1" outlineLevel="1">
      <c r="A109" s="27" t="str">
        <f t="shared" si="25"/>
        <v>9A.F1.5</v>
      </c>
      <c r="B109" s="28" t="s">
        <v>99</v>
      </c>
      <c r="C109" s="34" t="s">
        <v>553</v>
      </c>
      <c r="D109" s="29" t="s">
        <v>520</v>
      </c>
      <c r="E109" s="31">
        <v>0</v>
      </c>
      <c r="F109" s="31">
        <v>0</v>
      </c>
      <c r="G109" s="31">
        <f>_xlfn.XLOOKUP(B109, Rate_Master!$A:$A, Rate_Master!$C:$C, "")</f>
        <v>931499.99999999988</v>
      </c>
      <c r="H109" s="31">
        <f>_xlfn.XLOOKUP(B109, Rate_Master!$A:$A, Rate_Master!$D:$D, "")</f>
        <v>114999.99999999999</v>
      </c>
      <c r="I109" s="32">
        <v>0</v>
      </c>
      <c r="J109" s="32">
        <f t="shared" si="26"/>
        <v>0</v>
      </c>
      <c r="K109" s="32">
        <f t="shared" si="27"/>
        <v>0</v>
      </c>
      <c r="L109" s="32"/>
    </row>
    <row r="110" spans="1:16" s="4" customFormat="1" ht="25.5" hidden="1" customHeight="1" outlineLevel="1">
      <c r="A110" s="27" t="str">
        <f t="shared" si="25"/>
        <v>9A.F1.6</v>
      </c>
      <c r="B110" s="28" t="s">
        <v>100</v>
      </c>
      <c r="C110" s="34" t="s">
        <v>554</v>
      </c>
      <c r="D110" s="29" t="s">
        <v>520</v>
      </c>
      <c r="E110" s="31">
        <v>0</v>
      </c>
      <c r="F110" s="31">
        <v>0</v>
      </c>
      <c r="G110" s="31">
        <f>_xlfn.XLOOKUP(B110, Rate_Master!$A:$A, Rate_Master!$C:$C, "")</f>
        <v>1586790</v>
      </c>
      <c r="H110" s="31">
        <f>_xlfn.XLOOKUP(B110, Rate_Master!$A:$A, Rate_Master!$D:$D, "")</f>
        <v>372210</v>
      </c>
      <c r="I110" s="32">
        <v>0</v>
      </c>
      <c r="J110" s="32">
        <f t="shared" si="26"/>
        <v>0</v>
      </c>
      <c r="K110" s="32">
        <f t="shared" si="27"/>
        <v>0</v>
      </c>
      <c r="L110" s="32"/>
    </row>
    <row r="111" spans="1:16" s="4" customFormat="1" ht="51" hidden="1" customHeight="1" outlineLevel="1">
      <c r="A111" s="27" t="str">
        <f t="shared" si="25"/>
        <v>9A.F1.7</v>
      </c>
      <c r="B111" s="28" t="s">
        <v>101</v>
      </c>
      <c r="C111" s="28" t="s">
        <v>515</v>
      </c>
      <c r="D111" s="29" t="s">
        <v>520</v>
      </c>
      <c r="E111" s="31">
        <v>0</v>
      </c>
      <c r="F111" s="31">
        <v>0</v>
      </c>
      <c r="G111" s="31">
        <f>_xlfn.XLOOKUP(B111, Rate_Master!$A:$A, Rate_Master!$C:$C, "")</f>
        <v>1121250</v>
      </c>
      <c r="H111" s="31">
        <f>_xlfn.XLOOKUP(B111, Rate_Master!$A:$A, Rate_Master!$D:$D, "")</f>
        <v>114999.99999999999</v>
      </c>
      <c r="I111" s="32">
        <v>0</v>
      </c>
      <c r="J111" s="32">
        <f t="shared" si="26"/>
        <v>0</v>
      </c>
      <c r="K111" s="32">
        <f t="shared" si="27"/>
        <v>0</v>
      </c>
      <c r="L111" s="32"/>
    </row>
    <row r="112" spans="1:16" s="4" customFormat="1" ht="51" hidden="1" customHeight="1" outlineLevel="1">
      <c r="A112" s="27" t="str">
        <f t="shared" si="25"/>
        <v>9A.F1.8</v>
      </c>
      <c r="B112" s="28" t="s">
        <v>102</v>
      </c>
      <c r="C112" s="34" t="s">
        <v>555</v>
      </c>
      <c r="D112" s="29" t="s">
        <v>520</v>
      </c>
      <c r="E112" s="31">
        <v>0</v>
      </c>
      <c r="F112" s="31">
        <v>0</v>
      </c>
      <c r="G112" s="31">
        <f>_xlfn.XLOOKUP(B112, Rate_Master!$A:$A, Rate_Master!$C:$C, "")</f>
        <v>0</v>
      </c>
      <c r="H112" s="31">
        <f>_xlfn.XLOOKUP(B112, Rate_Master!$A:$A, Rate_Master!$D:$D, "")</f>
        <v>0</v>
      </c>
      <c r="I112" s="32">
        <v>0</v>
      </c>
      <c r="J112" s="32">
        <f t="shared" si="26"/>
        <v>0</v>
      </c>
      <c r="K112" s="32">
        <f t="shared" si="27"/>
        <v>0</v>
      </c>
      <c r="L112" s="32"/>
    </row>
    <row r="113" spans="1:12" s="4" customFormat="1" ht="51" hidden="1" customHeight="1" outlineLevel="1">
      <c r="A113" s="27" t="str">
        <f t="shared" si="25"/>
        <v>9A.F1.9</v>
      </c>
      <c r="B113" s="28" t="s">
        <v>103</v>
      </c>
      <c r="C113" s="34" t="s">
        <v>555</v>
      </c>
      <c r="D113" s="29" t="s">
        <v>520</v>
      </c>
      <c r="E113" s="31">
        <v>0</v>
      </c>
      <c r="F113" s="31">
        <v>0</v>
      </c>
      <c r="G113" s="31">
        <f>_xlfn.XLOOKUP(B113, Rate_Master!$A:$A, Rate_Master!$C:$C, "")</f>
        <v>0</v>
      </c>
      <c r="H113" s="31">
        <f>_xlfn.XLOOKUP(B113, Rate_Master!$A:$A, Rate_Master!$D:$D, "")</f>
        <v>0</v>
      </c>
      <c r="I113" s="32">
        <v>0</v>
      </c>
      <c r="J113" s="32">
        <f t="shared" si="26"/>
        <v>0</v>
      </c>
      <c r="K113" s="32">
        <f t="shared" si="27"/>
        <v>0</v>
      </c>
      <c r="L113" s="32"/>
    </row>
    <row r="114" spans="1:12" s="4" customFormat="1" ht="25.5" hidden="1" customHeight="1" outlineLevel="1">
      <c r="A114" s="27" t="str">
        <f t="shared" si="25"/>
        <v>9A.F1.10</v>
      </c>
      <c r="B114" s="28" t="s">
        <v>104</v>
      </c>
      <c r="C114" s="28" t="s">
        <v>515</v>
      </c>
      <c r="D114" s="29" t="s">
        <v>520</v>
      </c>
      <c r="E114" s="31">
        <v>579.20000000000005</v>
      </c>
      <c r="F114" s="31">
        <v>579.20000000000005</v>
      </c>
      <c r="G114" s="30">
        <f>_xlfn.XLOOKUP(B114, Rate_Master!$A:$A, Rate_Master!$C:$C, "")</f>
        <v>46000</v>
      </c>
      <c r="H114" s="30">
        <f>_xlfn.XLOOKUP(B114, Rate_Master!$A:$A, Rate_Master!$D:$D, "")</f>
        <v>34500</v>
      </c>
      <c r="I114" s="32">
        <f>+H114+G114</f>
        <v>80500</v>
      </c>
      <c r="J114" s="32">
        <f t="shared" si="26"/>
        <v>46625600</v>
      </c>
      <c r="K114" s="32">
        <f t="shared" si="27"/>
        <v>46625600</v>
      </c>
      <c r="L114" s="32"/>
    </row>
    <row r="115" spans="1:12" s="4" customFormat="1" ht="25.5" hidden="1" customHeight="1" outlineLevel="1">
      <c r="A115" s="27" t="str">
        <f t="shared" si="25"/>
        <v>9A.F1.11</v>
      </c>
      <c r="B115" s="28" t="s">
        <v>105</v>
      </c>
      <c r="C115" s="34" t="s">
        <v>556</v>
      </c>
      <c r="D115" s="29" t="s">
        <v>520</v>
      </c>
      <c r="E115" s="31">
        <v>396.7</v>
      </c>
      <c r="F115" s="31">
        <v>396.7</v>
      </c>
      <c r="G115" s="30">
        <f>_xlfn.XLOOKUP(B115, Rate_Master!$A:$A, Rate_Master!$C:$C, "")</f>
        <v>26565.000000000004</v>
      </c>
      <c r="H115" s="30">
        <f>_xlfn.XLOOKUP(B115, Rate_Master!$A:$A, Rate_Master!$D:$D, "")</f>
        <v>132250</v>
      </c>
      <c r="I115" s="32">
        <f>+H115+G115</f>
        <v>158815</v>
      </c>
      <c r="J115" s="32">
        <f t="shared" si="26"/>
        <v>63001910.5</v>
      </c>
      <c r="K115" s="32">
        <f t="shared" si="27"/>
        <v>63001910.5</v>
      </c>
      <c r="L115" s="32"/>
    </row>
    <row r="116" spans="1:12" s="4" customFormat="1" ht="25.5" hidden="1" customHeight="1" outlineLevel="1">
      <c r="A116" s="27" t="str">
        <f t="shared" si="25"/>
        <v>9A.F1.12</v>
      </c>
      <c r="B116" s="28" t="s">
        <v>106</v>
      </c>
      <c r="C116" s="34" t="s">
        <v>556</v>
      </c>
      <c r="D116" s="29" t="s">
        <v>520</v>
      </c>
      <c r="E116" s="31">
        <v>498.27800000000002</v>
      </c>
      <c r="F116" s="31">
        <v>498.27800000000002</v>
      </c>
      <c r="G116" s="30">
        <f>_xlfn.XLOOKUP(B116, Rate_Master!$A:$A, Rate_Master!$C:$C, "")</f>
        <v>26565.000000000004</v>
      </c>
      <c r="H116" s="30">
        <f>_xlfn.XLOOKUP(B116, Rate_Master!$A:$A, Rate_Master!$D:$D, "")</f>
        <v>117299.99999999999</v>
      </c>
      <c r="I116" s="32">
        <f>+H116+G116</f>
        <v>143865</v>
      </c>
      <c r="J116" s="32">
        <f t="shared" si="26"/>
        <v>71684764.469999999</v>
      </c>
      <c r="K116" s="32">
        <f t="shared" si="27"/>
        <v>71684764.469999999</v>
      </c>
      <c r="L116" s="32"/>
    </row>
    <row r="117" spans="1:12" s="4" customFormat="1" ht="38.25" hidden="1" customHeight="1" outlineLevel="1">
      <c r="A117" s="27" t="str">
        <f t="shared" si="25"/>
        <v>9A.F1.13</v>
      </c>
      <c r="B117" s="28" t="s">
        <v>107</v>
      </c>
      <c r="C117" s="28" t="s">
        <v>515</v>
      </c>
      <c r="D117" s="29" t="s">
        <v>520</v>
      </c>
      <c r="E117" s="31">
        <v>0</v>
      </c>
      <c r="F117" s="31">
        <v>0</v>
      </c>
      <c r="G117" s="31">
        <f>_xlfn.XLOOKUP(B117, Rate_Master!$A:$A, Rate_Master!$C:$C, "")</f>
        <v>218499.99999999997</v>
      </c>
      <c r="H117" s="31">
        <f>_xlfn.XLOOKUP(B117, Rate_Master!$A:$A, Rate_Master!$D:$D, "")</f>
        <v>138000</v>
      </c>
      <c r="I117" s="32"/>
      <c r="J117" s="32">
        <f t="shared" si="26"/>
        <v>0</v>
      </c>
      <c r="K117" s="32">
        <f t="shared" si="27"/>
        <v>0</v>
      </c>
      <c r="L117" s="32"/>
    </row>
    <row r="118" spans="1:12" s="4" customFormat="1" ht="25.5" hidden="1" customHeight="1" outlineLevel="1">
      <c r="A118" s="27" t="str">
        <f t="shared" si="25"/>
        <v>9A.F1.14</v>
      </c>
      <c r="B118" s="34" t="s">
        <v>108</v>
      </c>
      <c r="C118" s="28" t="s">
        <v>515</v>
      </c>
      <c r="D118" s="29" t="s">
        <v>520</v>
      </c>
      <c r="E118" s="31">
        <v>396.7</v>
      </c>
      <c r="F118" s="31">
        <v>396.7</v>
      </c>
      <c r="G118" s="30">
        <f>_xlfn.XLOOKUP(B118, Rate_Master!$A:$A, Rate_Master!$C:$C, "")</f>
        <v>51749.999999999993</v>
      </c>
      <c r="H118" s="30">
        <f>_xlfn.XLOOKUP(B118, Rate_Master!$A:$A, Rate_Master!$D:$D, "")</f>
        <v>34500</v>
      </c>
      <c r="I118" s="32">
        <f>+H118+G118</f>
        <v>86250</v>
      </c>
      <c r="J118" s="32">
        <f t="shared" si="26"/>
        <v>34215375</v>
      </c>
      <c r="K118" s="32">
        <f t="shared" si="27"/>
        <v>34215375</v>
      </c>
      <c r="L118" s="32"/>
    </row>
    <row r="119" spans="1:12" s="4" customFormat="1" ht="25.5" hidden="1" customHeight="1" outlineLevel="1">
      <c r="A119" s="27" t="str">
        <f t="shared" si="25"/>
        <v>9A.F1.15</v>
      </c>
      <c r="B119" s="34" t="s">
        <v>109</v>
      </c>
      <c r="C119" s="28" t="s">
        <v>515</v>
      </c>
      <c r="D119" s="29" t="s">
        <v>520</v>
      </c>
      <c r="E119" s="31">
        <v>498.27800000000002</v>
      </c>
      <c r="F119" s="31">
        <v>498.27800000000002</v>
      </c>
      <c r="G119" s="31">
        <f>_xlfn.XLOOKUP(B119, Rate_Master!$A:$A, Rate_Master!$C:$C, "")</f>
        <v>46000</v>
      </c>
      <c r="H119" s="31">
        <f>_xlfn.XLOOKUP(B119, Rate_Master!$A:$A, Rate_Master!$D:$D, "")</f>
        <v>19550</v>
      </c>
      <c r="I119" s="32">
        <f>+H119+G119</f>
        <v>65550</v>
      </c>
      <c r="J119" s="32">
        <f t="shared" si="26"/>
        <v>32662122.900000002</v>
      </c>
      <c r="K119" s="32">
        <f t="shared" si="27"/>
        <v>32662122.900000002</v>
      </c>
      <c r="L119" s="32"/>
    </row>
    <row r="120" spans="1:12" s="4" customFormat="1" ht="38.25" hidden="1" customHeight="1" outlineLevel="1">
      <c r="A120" s="27" t="str">
        <f t="shared" si="25"/>
        <v>9A.F1.16</v>
      </c>
      <c r="B120" s="34" t="s">
        <v>110</v>
      </c>
      <c r="C120" s="28" t="s">
        <v>515</v>
      </c>
      <c r="D120" s="29" t="s">
        <v>520</v>
      </c>
      <c r="E120" s="31">
        <v>0</v>
      </c>
      <c r="F120" s="31">
        <v>0</v>
      </c>
      <c r="G120" s="31">
        <f>_xlfn.XLOOKUP(B120, Rate_Master!$A:$A, Rate_Master!$C:$C, "")</f>
        <v>51749.999999999993</v>
      </c>
      <c r="H120" s="31">
        <f>_xlfn.XLOOKUP(B120, Rate_Master!$A:$A, Rate_Master!$D:$D, "")</f>
        <v>17250</v>
      </c>
      <c r="I120" s="32"/>
      <c r="J120" s="32">
        <f t="shared" si="26"/>
        <v>0</v>
      </c>
      <c r="K120" s="32">
        <f t="shared" si="27"/>
        <v>0</v>
      </c>
      <c r="L120" s="32"/>
    </row>
    <row r="121" spans="1:12" s="4" customFormat="1" ht="25.5" hidden="1" customHeight="1" outlineLevel="1">
      <c r="A121" s="27" t="str">
        <f t="shared" si="25"/>
        <v>9A.F1.17</v>
      </c>
      <c r="B121" s="34" t="s">
        <v>111</v>
      </c>
      <c r="C121" s="28" t="s">
        <v>515</v>
      </c>
      <c r="D121" s="29" t="s">
        <v>520</v>
      </c>
      <c r="E121" s="31">
        <v>0</v>
      </c>
      <c r="F121" s="31">
        <v>0</v>
      </c>
      <c r="G121" s="31">
        <f>_xlfn.XLOOKUP(B121, Rate_Master!$A:$A, Rate_Master!$C:$C, "")</f>
        <v>172500</v>
      </c>
      <c r="H121" s="31">
        <f>_xlfn.XLOOKUP(B121, Rate_Master!$A:$A, Rate_Master!$D:$D, "")</f>
        <v>28749.999999999996</v>
      </c>
      <c r="I121" s="32">
        <v>0</v>
      </c>
      <c r="J121" s="32">
        <f t="shared" si="26"/>
        <v>0</v>
      </c>
      <c r="K121" s="32">
        <f t="shared" si="27"/>
        <v>0</v>
      </c>
      <c r="L121" s="32"/>
    </row>
    <row r="122" spans="1:12" s="4" customFormat="1" ht="38.25" hidden="1" customHeight="1" outlineLevel="1">
      <c r="A122" s="27" t="str">
        <f t="shared" si="25"/>
        <v>9A.F1.18</v>
      </c>
      <c r="B122" s="34" t="s">
        <v>112</v>
      </c>
      <c r="C122" s="34" t="s">
        <v>557</v>
      </c>
      <c r="D122" s="29" t="s">
        <v>517</v>
      </c>
      <c r="E122" s="31">
        <v>30.8</v>
      </c>
      <c r="F122" s="31">
        <v>30.8</v>
      </c>
      <c r="G122" s="31">
        <f>_xlfn.XLOOKUP(B122, Rate_Master!$A:$A, Rate_Master!$C:$C, "")</f>
        <v>163300</v>
      </c>
      <c r="H122" s="31">
        <f>_xlfn.XLOOKUP(B122, Rate_Master!$A:$A, Rate_Master!$D:$D, "")</f>
        <v>51749.999999999993</v>
      </c>
      <c r="I122" s="32">
        <f>+H122+G122</f>
        <v>215050</v>
      </c>
      <c r="J122" s="32">
        <f t="shared" si="26"/>
        <v>6623540</v>
      </c>
      <c r="K122" s="32">
        <f t="shared" si="27"/>
        <v>6623540</v>
      </c>
      <c r="L122" s="32"/>
    </row>
    <row r="123" spans="1:12" s="3" customFormat="1" ht="25.5" customHeight="1" collapsed="1">
      <c r="A123" s="22" t="str">
        <f>$A$103&amp;2</f>
        <v>9A.F2</v>
      </c>
      <c r="B123" s="23" t="s">
        <v>113</v>
      </c>
      <c r="C123" s="23" t="s">
        <v>515</v>
      </c>
      <c r="D123" s="22"/>
      <c r="E123" s="25"/>
      <c r="F123" s="25"/>
      <c r="G123" s="25">
        <f>_xlfn.XLOOKUP(B123, Rate_Master!$A:$A, Rate_Master!$C:$C, "")</f>
        <v>0</v>
      </c>
      <c r="H123" s="25">
        <f>_xlfn.XLOOKUP(B123, Rate_Master!$A:$A, Rate_Master!$D:$D, "")</f>
        <v>0</v>
      </c>
      <c r="I123" s="26">
        <v>0</v>
      </c>
      <c r="J123" s="26">
        <f>SUBTOTAL(9,J124:J128)</f>
        <v>22005401.799999997</v>
      </c>
      <c r="K123" s="26">
        <f>SUBTOTAL(9,K124:K128)</f>
        <v>22005401.799999997</v>
      </c>
      <c r="L123" s="26"/>
    </row>
    <row r="124" spans="1:12" s="4" customFormat="1" ht="51" hidden="1" customHeight="1" outlineLevel="1">
      <c r="A124" s="27" t="str">
        <f>$A$123&amp;"."&amp;ROW()-ROW($A$123)</f>
        <v>9A.F2.1</v>
      </c>
      <c r="B124" s="34" t="s">
        <v>114</v>
      </c>
      <c r="C124" s="28" t="s">
        <v>515</v>
      </c>
      <c r="D124" s="29" t="s">
        <v>520</v>
      </c>
      <c r="E124" s="31">
        <v>0</v>
      </c>
      <c r="F124" s="31">
        <v>0</v>
      </c>
      <c r="G124" s="30">
        <f>_xlfn.XLOOKUP(B124, Rate_Master!$A:$A, Rate_Master!$C:$C, "")</f>
        <v>206999.99999999997</v>
      </c>
      <c r="H124" s="30">
        <f>_xlfn.XLOOKUP(B124, Rate_Master!$A:$A, Rate_Master!$D:$D, "")</f>
        <v>126499.99999999999</v>
      </c>
      <c r="I124" s="32">
        <v>0</v>
      </c>
      <c r="J124" s="32">
        <f>I124*E124</f>
        <v>0</v>
      </c>
      <c r="K124" s="32">
        <f>I124*F124</f>
        <v>0</v>
      </c>
      <c r="L124" s="32"/>
    </row>
    <row r="125" spans="1:12" s="4" customFormat="1" ht="51" hidden="1" customHeight="1" outlineLevel="1">
      <c r="A125" s="27" t="str">
        <f>$A$123&amp;"."&amp;ROW()-ROW($A$123)</f>
        <v>9A.F2.2</v>
      </c>
      <c r="B125" s="28" t="s">
        <v>115</v>
      </c>
      <c r="C125" s="28" t="s">
        <v>515</v>
      </c>
      <c r="D125" s="29" t="s">
        <v>520</v>
      </c>
      <c r="E125" s="31">
        <v>281.399</v>
      </c>
      <c r="F125" s="31">
        <v>281.399</v>
      </c>
      <c r="G125" s="30">
        <f>_xlfn.XLOOKUP(B125, Rate_Master!$A:$A, Rate_Master!$C:$C, "")</f>
        <v>28749.999999999996</v>
      </c>
      <c r="H125" s="30">
        <f>_xlfn.XLOOKUP(B125, Rate_Master!$A:$A, Rate_Master!$D:$D, "")</f>
        <v>49449.999999999993</v>
      </c>
      <c r="I125" s="32">
        <f>+H125+G125</f>
        <v>78199.999999999985</v>
      </c>
      <c r="J125" s="32">
        <f>I125*E125</f>
        <v>22005401.799999997</v>
      </c>
      <c r="K125" s="32">
        <f>I125*F125</f>
        <v>22005401.799999997</v>
      </c>
      <c r="L125" s="32"/>
    </row>
    <row r="126" spans="1:12" s="4" customFormat="1" ht="51" hidden="1" customHeight="1" outlineLevel="1">
      <c r="A126" s="27" t="str">
        <f>$A$123&amp;"."&amp;ROW()-ROW($A$123)</f>
        <v>9A.F2.3</v>
      </c>
      <c r="B126" s="34" t="s">
        <v>116</v>
      </c>
      <c r="C126" s="28" t="s">
        <v>515</v>
      </c>
      <c r="D126" s="29" t="s">
        <v>520</v>
      </c>
      <c r="E126" s="31">
        <v>0</v>
      </c>
      <c r="F126" s="31">
        <v>0</v>
      </c>
      <c r="G126" s="31">
        <f>_xlfn.XLOOKUP(B126, Rate_Master!$A:$A, Rate_Master!$C:$C, "")</f>
        <v>0</v>
      </c>
      <c r="H126" s="31">
        <f>_xlfn.XLOOKUP(B126, Rate_Master!$A:$A, Rate_Master!$D:$D, "")</f>
        <v>0</v>
      </c>
      <c r="I126" s="32">
        <v>0</v>
      </c>
      <c r="J126" s="32">
        <f>I126*E126</f>
        <v>0</v>
      </c>
      <c r="K126" s="32">
        <f>I126*F126</f>
        <v>0</v>
      </c>
      <c r="L126" s="32"/>
    </row>
    <row r="127" spans="1:12" s="4" customFormat="1" ht="51" hidden="1" customHeight="1" outlineLevel="1">
      <c r="A127" s="27" t="str">
        <f>$A$123&amp;"."&amp;ROW()-ROW($A$123)</f>
        <v>9A.F2.4</v>
      </c>
      <c r="B127" s="34" t="s">
        <v>117</v>
      </c>
      <c r="C127" s="28" t="s">
        <v>515</v>
      </c>
      <c r="D127" s="29" t="s">
        <v>520</v>
      </c>
      <c r="E127" s="31">
        <v>0</v>
      </c>
      <c r="F127" s="31">
        <v>0</v>
      </c>
      <c r="G127" s="31">
        <f>_xlfn.XLOOKUP(B127, Rate_Master!$A:$A, Rate_Master!$C:$C, "")</f>
        <v>0</v>
      </c>
      <c r="H127" s="31">
        <f>_xlfn.XLOOKUP(B127, Rate_Master!$A:$A, Rate_Master!$D:$D, "")</f>
        <v>0</v>
      </c>
      <c r="I127" s="32">
        <v>0</v>
      </c>
      <c r="J127" s="32">
        <f>I127*E127</f>
        <v>0</v>
      </c>
      <c r="K127" s="32">
        <f>I127*F127</f>
        <v>0</v>
      </c>
      <c r="L127" s="32"/>
    </row>
    <row r="128" spans="1:12" s="4" customFormat="1" ht="38.25" hidden="1" customHeight="1" outlineLevel="1">
      <c r="A128" s="27" t="str">
        <f>$A$123&amp;"."&amp;ROW()-ROW($A$123)</f>
        <v>9A.F2.5</v>
      </c>
      <c r="B128" s="34" t="s">
        <v>118</v>
      </c>
      <c r="C128" s="28" t="s">
        <v>515</v>
      </c>
      <c r="D128" s="29" t="s">
        <v>520</v>
      </c>
      <c r="E128" s="31">
        <v>0</v>
      </c>
      <c r="F128" s="31">
        <v>0</v>
      </c>
      <c r="G128" s="31">
        <f>_xlfn.XLOOKUP(B128, Rate_Master!$A:$A, Rate_Master!$C:$C, "")</f>
        <v>0</v>
      </c>
      <c r="H128" s="31">
        <f>_xlfn.XLOOKUP(B128, Rate_Master!$A:$A, Rate_Master!$D:$D, "")</f>
        <v>0</v>
      </c>
      <c r="I128" s="32"/>
      <c r="J128" s="32"/>
      <c r="K128" s="32"/>
      <c r="L128" s="32"/>
    </row>
    <row r="129" spans="1:12" s="3" customFormat="1" ht="25.5" customHeight="1" collapsed="1">
      <c r="A129" s="22" t="str">
        <f>$A$103&amp;3</f>
        <v>9A.F3</v>
      </c>
      <c r="B129" s="23" t="s">
        <v>119</v>
      </c>
      <c r="C129" s="23" t="s">
        <v>515</v>
      </c>
      <c r="D129" s="22"/>
      <c r="E129" s="25"/>
      <c r="F129" s="25"/>
      <c r="G129" s="25">
        <f>_xlfn.XLOOKUP(B129, Rate_Master!$A:$A, Rate_Master!$C:$C, "")</f>
        <v>0</v>
      </c>
      <c r="H129" s="25">
        <f>_xlfn.XLOOKUP(B129, Rate_Master!$A:$A, Rate_Master!$D:$D, "")</f>
        <v>0</v>
      </c>
      <c r="I129" s="26">
        <v>0</v>
      </c>
      <c r="J129" s="26">
        <f>SUBTOTAL(9,J130:J137)</f>
        <v>0</v>
      </c>
      <c r="K129" s="26">
        <f>SUBTOTAL(9,K130:K137)</f>
        <v>0</v>
      </c>
      <c r="L129" s="26"/>
    </row>
    <row r="130" spans="1:12" s="4" customFormat="1" ht="25.5" hidden="1" customHeight="1" outlineLevel="1">
      <c r="A130" s="37" t="str">
        <f t="shared" ref="A130:A137" si="28">$A$129&amp;"."&amp;ROW()-ROW($A$129)</f>
        <v>9A.F3.1</v>
      </c>
      <c r="B130" s="43" t="s">
        <v>120</v>
      </c>
      <c r="C130" s="38" t="s">
        <v>515</v>
      </c>
      <c r="D130" s="39" t="s">
        <v>520</v>
      </c>
      <c r="E130" s="40">
        <v>0</v>
      </c>
      <c r="F130" s="40">
        <v>0</v>
      </c>
      <c r="G130" s="40">
        <f>_xlfn.XLOOKUP(B130, Rate_Master!$A:$A, Rate_Master!$C:$C, "")</f>
        <v>28749.999999999996</v>
      </c>
      <c r="H130" s="40">
        <f>_xlfn.XLOOKUP(B130, Rate_Master!$A:$A, Rate_Master!$D:$D, "")</f>
        <v>0</v>
      </c>
      <c r="I130" s="41">
        <v>0</v>
      </c>
      <c r="J130" s="41">
        <f t="shared" ref="J130:J135" si="29">I130*E130</f>
        <v>0</v>
      </c>
      <c r="K130" s="41">
        <f t="shared" ref="K130:K135" si="30">I130*F130</f>
        <v>0</v>
      </c>
      <c r="L130" s="41"/>
    </row>
    <row r="131" spans="1:12" s="4" customFormat="1" ht="25.5" hidden="1" customHeight="1" outlineLevel="1">
      <c r="A131" s="37" t="str">
        <f t="shared" si="28"/>
        <v>9A.F3.2</v>
      </c>
      <c r="B131" s="43" t="s">
        <v>121</v>
      </c>
      <c r="C131" s="38" t="s">
        <v>515</v>
      </c>
      <c r="D131" s="39" t="s">
        <v>520</v>
      </c>
      <c r="E131" s="40">
        <v>0</v>
      </c>
      <c r="F131" s="40">
        <v>0</v>
      </c>
      <c r="G131" s="40">
        <f>_xlfn.XLOOKUP(B131, Rate_Master!$A:$A, Rate_Master!$C:$C, "")</f>
        <v>0</v>
      </c>
      <c r="H131" s="40">
        <f>_xlfn.XLOOKUP(B131, Rate_Master!$A:$A, Rate_Master!$D:$D, "")</f>
        <v>0</v>
      </c>
      <c r="I131" s="41">
        <v>0</v>
      </c>
      <c r="J131" s="41">
        <f t="shared" si="29"/>
        <v>0</v>
      </c>
      <c r="K131" s="41">
        <f t="shared" si="30"/>
        <v>0</v>
      </c>
      <c r="L131" s="41"/>
    </row>
    <row r="132" spans="1:12" s="4" customFormat="1" ht="38.25" hidden="1" customHeight="1" outlineLevel="1">
      <c r="A132" s="37" t="str">
        <f t="shared" si="28"/>
        <v>9A.F3.3</v>
      </c>
      <c r="B132" s="43" t="s">
        <v>122</v>
      </c>
      <c r="C132" s="38" t="s">
        <v>515</v>
      </c>
      <c r="D132" s="39" t="s">
        <v>520</v>
      </c>
      <c r="E132" s="40">
        <v>0</v>
      </c>
      <c r="F132" s="40">
        <v>0</v>
      </c>
      <c r="G132" s="40">
        <f>_xlfn.XLOOKUP(B132, Rate_Master!$A:$A, Rate_Master!$C:$C, "")</f>
        <v>51749.999999999993</v>
      </c>
      <c r="H132" s="40">
        <f>_xlfn.XLOOKUP(B132, Rate_Master!$A:$A, Rate_Master!$D:$D, "")</f>
        <v>23000</v>
      </c>
      <c r="I132" s="41">
        <v>0</v>
      </c>
      <c r="J132" s="41">
        <f t="shared" si="29"/>
        <v>0</v>
      </c>
      <c r="K132" s="41">
        <f t="shared" si="30"/>
        <v>0</v>
      </c>
      <c r="L132" s="41"/>
    </row>
    <row r="133" spans="1:12" s="4" customFormat="1" ht="25.5" hidden="1" customHeight="1" outlineLevel="1">
      <c r="A133" s="37" t="str">
        <f t="shared" si="28"/>
        <v>9A.F3.4</v>
      </c>
      <c r="B133" s="43" t="s">
        <v>123</v>
      </c>
      <c r="C133" s="38" t="s">
        <v>515</v>
      </c>
      <c r="D133" s="39" t="s">
        <v>520</v>
      </c>
      <c r="E133" s="40">
        <v>0</v>
      </c>
      <c r="F133" s="40">
        <v>0</v>
      </c>
      <c r="G133" s="40">
        <f>_xlfn.XLOOKUP(B133, Rate_Master!$A:$A, Rate_Master!$C:$C, "")</f>
        <v>172500</v>
      </c>
      <c r="H133" s="40">
        <f>_xlfn.XLOOKUP(B133, Rate_Master!$A:$A, Rate_Master!$D:$D, "")</f>
        <v>34500</v>
      </c>
      <c r="I133" s="41">
        <v>0</v>
      </c>
      <c r="J133" s="41">
        <f t="shared" si="29"/>
        <v>0</v>
      </c>
      <c r="K133" s="41">
        <f t="shared" si="30"/>
        <v>0</v>
      </c>
      <c r="L133" s="41"/>
    </row>
    <row r="134" spans="1:12" s="4" customFormat="1" ht="51" hidden="1" customHeight="1" outlineLevel="1">
      <c r="A134" s="37" t="str">
        <f t="shared" si="28"/>
        <v>9A.F3.5</v>
      </c>
      <c r="B134" s="38" t="s">
        <v>124</v>
      </c>
      <c r="C134" s="43" t="s">
        <v>553</v>
      </c>
      <c r="D134" s="39" t="s">
        <v>520</v>
      </c>
      <c r="E134" s="40">
        <v>0</v>
      </c>
      <c r="F134" s="40">
        <v>0</v>
      </c>
      <c r="G134" s="42">
        <f>_xlfn.XLOOKUP(B134, Rate_Master!$A:$A, Rate_Master!$C:$C, "")</f>
        <v>1069500</v>
      </c>
      <c r="H134" s="42">
        <f>_xlfn.XLOOKUP(B134, Rate_Master!$A:$A, Rate_Master!$D:$D, "")</f>
        <v>172500</v>
      </c>
      <c r="I134" s="41">
        <v>0</v>
      </c>
      <c r="J134" s="41">
        <f t="shared" si="29"/>
        <v>0</v>
      </c>
      <c r="K134" s="41">
        <f t="shared" si="30"/>
        <v>0</v>
      </c>
      <c r="L134" s="41"/>
    </row>
    <row r="135" spans="1:12" s="4" customFormat="1" ht="51" hidden="1" customHeight="1" outlineLevel="1">
      <c r="A135" s="37" t="str">
        <f t="shared" si="28"/>
        <v>9A.F3.6</v>
      </c>
      <c r="B135" s="43" t="s">
        <v>125</v>
      </c>
      <c r="C135" s="38" t="s">
        <v>515</v>
      </c>
      <c r="D135" s="39" t="s">
        <v>520</v>
      </c>
      <c r="E135" s="40">
        <v>0</v>
      </c>
      <c r="F135" s="40">
        <v>0</v>
      </c>
      <c r="G135" s="42">
        <f>_xlfn.XLOOKUP(B135, Rate_Master!$A:$A, Rate_Master!$C:$C, "")</f>
        <v>965999.99999999988</v>
      </c>
      <c r="H135" s="42">
        <f>_xlfn.XLOOKUP(B135, Rate_Master!$A:$A, Rate_Master!$D:$D, "")</f>
        <v>138000</v>
      </c>
      <c r="I135" s="41">
        <v>0</v>
      </c>
      <c r="J135" s="41">
        <f t="shared" si="29"/>
        <v>0</v>
      </c>
      <c r="K135" s="41">
        <f t="shared" si="30"/>
        <v>0</v>
      </c>
      <c r="L135" s="41"/>
    </row>
    <row r="136" spans="1:12" s="4" customFormat="1" ht="25.5" hidden="1" customHeight="1" outlineLevel="1">
      <c r="A136" s="37" t="str">
        <f t="shared" si="28"/>
        <v>9A.F3.7</v>
      </c>
      <c r="B136" s="38" t="s">
        <v>126</v>
      </c>
      <c r="C136" s="38" t="s">
        <v>515</v>
      </c>
      <c r="D136" s="39" t="s">
        <v>520</v>
      </c>
      <c r="E136" s="40">
        <v>0</v>
      </c>
      <c r="F136" s="40">
        <v>0</v>
      </c>
      <c r="G136" s="42">
        <f>_xlfn.XLOOKUP(B136, Rate_Master!$A:$A, Rate_Master!$C:$C, "")</f>
        <v>0</v>
      </c>
      <c r="H136" s="42">
        <f>_xlfn.XLOOKUP(B136, Rate_Master!$A:$A, Rate_Master!$D:$D, "")</f>
        <v>0</v>
      </c>
      <c r="I136" s="41"/>
      <c r="J136" s="41"/>
      <c r="K136" s="41"/>
      <c r="L136" s="41"/>
    </row>
    <row r="137" spans="1:12" s="4" customFormat="1" ht="25.5" hidden="1" customHeight="1" outlineLevel="1">
      <c r="A137" s="37" t="str">
        <f t="shared" si="28"/>
        <v>9A.F3.8</v>
      </c>
      <c r="B137" s="43" t="s">
        <v>127</v>
      </c>
      <c r="C137" s="38" t="s">
        <v>515</v>
      </c>
      <c r="D137" s="39" t="s">
        <v>520</v>
      </c>
      <c r="E137" s="40">
        <v>0</v>
      </c>
      <c r="F137" s="40">
        <v>0</v>
      </c>
      <c r="G137" s="42">
        <f>_xlfn.XLOOKUP(B137, Rate_Master!$A:$A, Rate_Master!$C:$C, "")</f>
        <v>0</v>
      </c>
      <c r="H137" s="42">
        <f>_xlfn.XLOOKUP(B137, Rate_Master!$A:$A, Rate_Master!$D:$D, "")</f>
        <v>0</v>
      </c>
      <c r="I137" s="41"/>
      <c r="J137" s="41"/>
      <c r="K137" s="41"/>
      <c r="L137" s="41"/>
    </row>
    <row r="138" spans="1:12" s="3" customFormat="1" ht="25.5" customHeight="1" collapsed="1">
      <c r="A138" s="22" t="str">
        <f>$A$103&amp;4</f>
        <v>9A.F4</v>
      </c>
      <c r="B138" s="23" t="s">
        <v>128</v>
      </c>
      <c r="C138" s="23" t="s">
        <v>515</v>
      </c>
      <c r="D138" s="22"/>
      <c r="E138" s="25"/>
      <c r="F138" s="25"/>
      <c r="G138" s="25">
        <f>_xlfn.XLOOKUP(B138, Rate_Master!$A:$A, Rate_Master!$C:$C, "")</f>
        <v>0</v>
      </c>
      <c r="H138" s="25">
        <f>_xlfn.XLOOKUP(B138, Rate_Master!$A:$A, Rate_Master!$D:$D, "")</f>
        <v>0</v>
      </c>
      <c r="I138" s="26">
        <v>0</v>
      </c>
      <c r="J138" s="26">
        <f>SUBTOTAL(9,J139:J139)</f>
        <v>49265999.999999993</v>
      </c>
      <c r="K138" s="26">
        <f>SUBTOTAL(9,K139:K139)</f>
        <v>49265999.999999993</v>
      </c>
      <c r="L138" s="26"/>
    </row>
    <row r="139" spans="1:12" s="4" customFormat="1" ht="51" hidden="1" customHeight="1" outlineLevel="1">
      <c r="A139" s="27" t="str">
        <f>$A$138&amp;"."&amp;ROW()-ROW($A$138)</f>
        <v>9A.F4.1</v>
      </c>
      <c r="B139" s="28" t="s">
        <v>207</v>
      </c>
      <c r="C139" s="28" t="s">
        <v>515</v>
      </c>
      <c r="D139" s="29" t="s">
        <v>516</v>
      </c>
      <c r="E139" s="31">
        <v>7</v>
      </c>
      <c r="F139" s="31">
        <v>7</v>
      </c>
      <c r="G139" s="31">
        <f>_xlfn.XLOOKUP(B139, Rate_Master!$A:$A, Rate_Master!$C:$C, "")</f>
        <v>6623999.9999999991</v>
      </c>
      <c r="H139" s="31">
        <f>_xlfn.XLOOKUP(B139, Rate_Master!$A:$A, Rate_Master!$D:$D, "")</f>
        <v>413999.99999999994</v>
      </c>
      <c r="I139" s="32">
        <f>+H139+G139</f>
        <v>7037999.9999999991</v>
      </c>
      <c r="J139" s="32">
        <f>I139*E139</f>
        <v>49265999.999999993</v>
      </c>
      <c r="K139" s="32">
        <f>I139*F139</f>
        <v>49265999.999999993</v>
      </c>
      <c r="L139" s="32"/>
    </row>
    <row r="140" spans="1:12" s="3" customFormat="1" ht="25.5" customHeight="1" collapsed="1">
      <c r="A140" s="22" t="str">
        <f>$A$103&amp;5</f>
        <v>9A.F5</v>
      </c>
      <c r="B140" s="23" t="s">
        <v>143</v>
      </c>
      <c r="C140" s="23" t="s">
        <v>515</v>
      </c>
      <c r="D140" s="22"/>
      <c r="E140" s="25"/>
      <c r="F140" s="25"/>
      <c r="G140" s="25">
        <f>_xlfn.XLOOKUP(B140, Rate_Master!$A:$A, Rate_Master!$C:$C, "")</f>
        <v>0</v>
      </c>
      <c r="H140" s="25">
        <f>_xlfn.XLOOKUP(B140, Rate_Master!$A:$A, Rate_Master!$D:$D, "")</f>
        <v>0</v>
      </c>
      <c r="I140" s="26">
        <v>0</v>
      </c>
      <c r="J140" s="26">
        <f>SUBTOTAL(9,J141:J143)</f>
        <v>0</v>
      </c>
      <c r="K140" s="26">
        <f>SUBTOTAL(9,K141:K143)</f>
        <v>0</v>
      </c>
      <c r="L140" s="26"/>
    </row>
    <row r="141" spans="1:12" s="4" customFormat="1" ht="51" hidden="1" customHeight="1" outlineLevel="1">
      <c r="A141" s="37" t="str">
        <f>$A$140&amp;"."&amp;ROW()-ROW($A$140)</f>
        <v>9A.F5.1</v>
      </c>
      <c r="B141" s="43" t="s">
        <v>144</v>
      </c>
      <c r="C141" s="38" t="s">
        <v>515</v>
      </c>
      <c r="D141" s="39" t="s">
        <v>517</v>
      </c>
      <c r="E141" s="40">
        <v>0</v>
      </c>
      <c r="F141" s="40">
        <v>0</v>
      </c>
      <c r="G141" s="40">
        <f>_xlfn.XLOOKUP(B141, Rate_Master!$A:$A, Rate_Master!$C:$C, "")</f>
        <v>161000</v>
      </c>
      <c r="H141" s="40">
        <f>_xlfn.XLOOKUP(B141, Rate_Master!$A:$A, Rate_Master!$D:$D, "")</f>
        <v>34500</v>
      </c>
      <c r="I141" s="41">
        <v>0</v>
      </c>
      <c r="J141" s="41">
        <f>I141*E141</f>
        <v>0</v>
      </c>
      <c r="K141" s="41">
        <f>I141*F141</f>
        <v>0</v>
      </c>
      <c r="L141" s="41"/>
    </row>
    <row r="142" spans="1:12" s="4" customFormat="1" ht="38.25" hidden="1" customHeight="1" outlineLevel="1">
      <c r="A142" s="37" t="str">
        <f>$A$140&amp;"."&amp;ROW()-ROW($A$140)</f>
        <v>9A.F5.2</v>
      </c>
      <c r="B142" s="43" t="s">
        <v>145</v>
      </c>
      <c r="C142" s="38" t="s">
        <v>515</v>
      </c>
      <c r="D142" s="39" t="s">
        <v>517</v>
      </c>
      <c r="E142" s="40">
        <v>0</v>
      </c>
      <c r="F142" s="40">
        <v>0</v>
      </c>
      <c r="G142" s="40">
        <f>_xlfn.XLOOKUP(B142, Rate_Master!$A:$A, Rate_Master!$C:$C, "")</f>
        <v>517499.99999999994</v>
      </c>
      <c r="H142" s="40">
        <f>_xlfn.XLOOKUP(B142, Rate_Master!$A:$A, Rate_Master!$D:$D, "")</f>
        <v>57499.999999999993</v>
      </c>
      <c r="I142" s="41">
        <v>0</v>
      </c>
      <c r="J142" s="41">
        <f>I142*E142</f>
        <v>0</v>
      </c>
      <c r="K142" s="41">
        <f>I142*F142</f>
        <v>0</v>
      </c>
      <c r="L142" s="41"/>
    </row>
    <row r="143" spans="1:12" s="4" customFormat="1" ht="38.25" hidden="1" customHeight="1" outlineLevel="1">
      <c r="A143" s="37" t="str">
        <f>$A$140&amp;"."&amp;ROW()-ROW($A$140)</f>
        <v>9A.F5.3</v>
      </c>
      <c r="B143" s="43" t="s">
        <v>146</v>
      </c>
      <c r="C143" s="38" t="s">
        <v>515</v>
      </c>
      <c r="D143" s="39" t="s">
        <v>517</v>
      </c>
      <c r="E143" s="40">
        <v>0</v>
      </c>
      <c r="F143" s="40">
        <v>0</v>
      </c>
      <c r="G143" s="40">
        <f>_xlfn.XLOOKUP(B143, Rate_Master!$A:$A, Rate_Master!$C:$C, "")</f>
        <v>632500</v>
      </c>
      <c r="H143" s="40">
        <f>_xlfn.XLOOKUP(B143, Rate_Master!$A:$A, Rate_Master!$D:$D, "")</f>
        <v>57499.999999999993</v>
      </c>
      <c r="I143" s="41">
        <v>0</v>
      </c>
      <c r="J143" s="41">
        <f>I143*E143</f>
        <v>0</v>
      </c>
      <c r="K143" s="41">
        <f>I143*F143</f>
        <v>0</v>
      </c>
      <c r="L143" s="41"/>
    </row>
    <row r="144" spans="1:12" s="3" customFormat="1" ht="25.5" customHeight="1" collapsed="1">
      <c r="A144" s="22" t="str">
        <f>$A$103&amp;6</f>
        <v>9A.F6</v>
      </c>
      <c r="B144" s="23" t="s">
        <v>147</v>
      </c>
      <c r="C144" s="23" t="s">
        <v>515</v>
      </c>
      <c r="D144" s="22"/>
      <c r="E144" s="25"/>
      <c r="F144" s="25"/>
      <c r="G144" s="25">
        <f>_xlfn.XLOOKUP(B144, Rate_Master!$A:$A, Rate_Master!$C:$C, "")</f>
        <v>0</v>
      </c>
      <c r="H144" s="25">
        <f>_xlfn.XLOOKUP(B144, Rate_Master!$A:$A, Rate_Master!$D:$D, "")</f>
        <v>0</v>
      </c>
      <c r="I144" s="26">
        <v>0</v>
      </c>
      <c r="J144" s="26">
        <f>SUBTOTAL(9,J145:J149)</f>
        <v>0</v>
      </c>
      <c r="K144" s="26">
        <f>SUBTOTAL(9,K145:K149)</f>
        <v>0</v>
      </c>
      <c r="L144" s="26"/>
    </row>
    <row r="145" spans="1:12" s="4" customFormat="1" ht="51" hidden="1" customHeight="1" outlineLevel="1">
      <c r="A145" s="37" t="str">
        <f>$A$144&amp;"."&amp;ROW()-ROW($A$144)</f>
        <v>9A.F6.1</v>
      </c>
      <c r="B145" s="43" t="s">
        <v>148</v>
      </c>
      <c r="C145" s="43" t="s">
        <v>515</v>
      </c>
      <c r="D145" s="39" t="s">
        <v>520</v>
      </c>
      <c r="E145" s="40">
        <v>0</v>
      </c>
      <c r="F145" s="40">
        <v>0</v>
      </c>
      <c r="G145" s="40">
        <f>_xlfn.XLOOKUP(B145, Rate_Master!$A:$A, Rate_Master!$C:$C, "")</f>
        <v>155000</v>
      </c>
      <c r="H145" s="40">
        <f>_xlfn.XLOOKUP(B145, Rate_Master!$A:$A, Rate_Master!$D:$D, "")</f>
        <v>45000</v>
      </c>
      <c r="I145" s="41">
        <v>0</v>
      </c>
      <c r="J145" s="41">
        <f>I145*E145</f>
        <v>0</v>
      </c>
      <c r="K145" s="41">
        <f>I145*F145</f>
        <v>0</v>
      </c>
      <c r="L145" s="41"/>
    </row>
    <row r="146" spans="1:12" s="4" customFormat="1" ht="25.5" hidden="1" customHeight="1" outlineLevel="1">
      <c r="A146" s="37" t="str">
        <f>$A$144&amp;"."&amp;ROW()-ROW($A$144)</f>
        <v>9A.F6.2</v>
      </c>
      <c r="B146" s="43" t="s">
        <v>149</v>
      </c>
      <c r="C146" s="43" t="s">
        <v>515</v>
      </c>
      <c r="D146" s="39" t="s">
        <v>520</v>
      </c>
      <c r="E146" s="40">
        <v>0</v>
      </c>
      <c r="F146" s="40">
        <v>0</v>
      </c>
      <c r="G146" s="40">
        <f>_xlfn.XLOOKUP(B146, Rate_Master!$A:$A, Rate_Master!$C:$C, "")</f>
        <v>310500</v>
      </c>
      <c r="H146" s="40">
        <f>_xlfn.XLOOKUP(B146, Rate_Master!$A:$A, Rate_Master!$D:$D, "")</f>
        <v>34500</v>
      </c>
      <c r="I146" s="41">
        <v>0</v>
      </c>
      <c r="J146" s="41">
        <f>I146*E146</f>
        <v>0</v>
      </c>
      <c r="K146" s="41">
        <f>I146*F146</f>
        <v>0</v>
      </c>
      <c r="L146" s="41"/>
    </row>
    <row r="147" spans="1:12" s="4" customFormat="1" ht="51" hidden="1" customHeight="1" outlineLevel="1">
      <c r="A147" s="37" t="str">
        <f>$A$144&amp;"."&amp;ROW()-ROW($A$144)</f>
        <v>9A.F6.3</v>
      </c>
      <c r="B147" s="43" t="s">
        <v>150</v>
      </c>
      <c r="C147" s="43" t="s">
        <v>515</v>
      </c>
      <c r="D147" s="39" t="s">
        <v>520</v>
      </c>
      <c r="E147" s="40">
        <v>0</v>
      </c>
      <c r="F147" s="40">
        <v>0</v>
      </c>
      <c r="G147" s="40">
        <f>_xlfn.XLOOKUP(B147, Rate_Master!$A:$A, Rate_Master!$C:$C, "")</f>
        <v>287500</v>
      </c>
      <c r="H147" s="40">
        <f>_xlfn.XLOOKUP(B147, Rate_Master!$A:$A, Rate_Master!$D:$D, "")</f>
        <v>69000</v>
      </c>
      <c r="I147" s="41">
        <v>0</v>
      </c>
      <c r="J147" s="41">
        <f>I147*E147</f>
        <v>0</v>
      </c>
      <c r="K147" s="41">
        <f>I147*F147</f>
        <v>0</v>
      </c>
      <c r="L147" s="41"/>
    </row>
    <row r="148" spans="1:12" s="4" customFormat="1" ht="51" hidden="1" customHeight="1" outlineLevel="1">
      <c r="A148" s="37" t="str">
        <f>$A$144&amp;"."&amp;ROW()-ROW($A$144)</f>
        <v>9A.F6.4</v>
      </c>
      <c r="B148" s="43" t="s">
        <v>151</v>
      </c>
      <c r="C148" s="43" t="s">
        <v>515</v>
      </c>
      <c r="D148" s="39" t="s">
        <v>520</v>
      </c>
      <c r="E148" s="40">
        <v>0</v>
      </c>
      <c r="F148" s="40">
        <v>0</v>
      </c>
      <c r="G148" s="40">
        <f>_xlfn.XLOOKUP(B148, Rate_Master!$A:$A, Rate_Master!$C:$C, "")</f>
        <v>23000</v>
      </c>
      <c r="H148" s="40">
        <f>_xlfn.XLOOKUP(B148, Rate_Master!$A:$A, Rate_Master!$D:$D, "")</f>
        <v>126499.99999999999</v>
      </c>
      <c r="I148" s="41">
        <v>0</v>
      </c>
      <c r="J148" s="41">
        <f>I148*E148</f>
        <v>0</v>
      </c>
      <c r="K148" s="41">
        <f>I148*F148</f>
        <v>0</v>
      </c>
      <c r="L148" s="41"/>
    </row>
    <row r="149" spans="1:12" s="4" customFormat="1" ht="63.75" hidden="1" customHeight="1" outlineLevel="1">
      <c r="A149" s="37" t="str">
        <f>$A$144&amp;"."&amp;ROW()-ROW($A$144)</f>
        <v>9A.F6.5</v>
      </c>
      <c r="B149" s="43" t="s">
        <v>152</v>
      </c>
      <c r="C149" s="43" t="s">
        <v>560</v>
      </c>
      <c r="D149" s="39" t="s">
        <v>517</v>
      </c>
      <c r="E149" s="40">
        <v>0</v>
      </c>
      <c r="F149" s="40">
        <v>0</v>
      </c>
      <c r="G149" s="40">
        <f>_xlfn.XLOOKUP(B149, Rate_Master!$A:$A, Rate_Master!$C:$C, "")</f>
        <v>155250</v>
      </c>
      <c r="H149" s="40">
        <f>_xlfn.XLOOKUP(B149, Rate_Master!$A:$A, Rate_Master!$D:$D, "")</f>
        <v>57499.999999999993</v>
      </c>
      <c r="I149" s="41">
        <v>0</v>
      </c>
      <c r="J149" s="41">
        <f>I149*E149</f>
        <v>0</v>
      </c>
      <c r="K149" s="41">
        <f>I149*F149</f>
        <v>0</v>
      </c>
      <c r="L149" s="41"/>
    </row>
    <row r="150" spans="1:12" s="3" customFormat="1" ht="25.5" customHeight="1" collapsed="1">
      <c r="A150" s="22" t="str">
        <f>$A$103&amp;7</f>
        <v>9A.F7</v>
      </c>
      <c r="B150" s="23" t="s">
        <v>84</v>
      </c>
      <c r="C150" s="23" t="s">
        <v>515</v>
      </c>
      <c r="D150" s="22"/>
      <c r="E150" s="25"/>
      <c r="F150" s="25"/>
      <c r="G150" s="25">
        <f>_xlfn.XLOOKUP(B150, Rate_Master!$A:$A, Rate_Master!$C:$C, "")</f>
        <v>0</v>
      </c>
      <c r="H150" s="25">
        <f>_xlfn.XLOOKUP(B150, Rate_Master!$A:$A, Rate_Master!$D:$D, "")</f>
        <v>0</v>
      </c>
      <c r="I150" s="26">
        <v>0</v>
      </c>
      <c r="J150" s="26">
        <f>SUBTOTAL(9,J151:J162)</f>
        <v>0</v>
      </c>
      <c r="K150" s="26">
        <f>SUBTOTAL(9,K151:K162)</f>
        <v>0</v>
      </c>
      <c r="L150" s="26"/>
    </row>
    <row r="151" spans="1:12" s="4" customFormat="1" ht="38.25" hidden="1" customHeight="1" outlineLevel="1">
      <c r="A151" s="27" t="str">
        <f t="shared" ref="A151:A162" si="31">$A$150&amp;"."&amp;ROW()-ROW($A$150)</f>
        <v>9A.F7.1</v>
      </c>
      <c r="B151" s="48" t="s">
        <v>153</v>
      </c>
      <c r="C151" s="34" t="s">
        <v>561</v>
      </c>
      <c r="D151" s="29" t="s">
        <v>517</v>
      </c>
      <c r="E151" s="31">
        <v>0</v>
      </c>
      <c r="F151" s="31">
        <v>0</v>
      </c>
      <c r="G151" s="31">
        <f>_xlfn.XLOOKUP(B151, Rate_Master!$A:$A, Rate_Master!$C:$C, "")</f>
        <v>4024999.9999999995</v>
      </c>
      <c r="H151" s="31">
        <f>_xlfn.XLOOKUP(B151, Rate_Master!$A:$A, Rate_Master!$D:$D, "")</f>
        <v>1380000</v>
      </c>
      <c r="I151" s="32">
        <v>0</v>
      </c>
      <c r="J151" s="32">
        <f>I151*E151</f>
        <v>0</v>
      </c>
      <c r="K151" s="32">
        <f>I151*F151</f>
        <v>0</v>
      </c>
      <c r="L151" s="32"/>
    </row>
    <row r="152" spans="1:12" s="4" customFormat="1" ht="38.25" hidden="1" customHeight="1" outlineLevel="1">
      <c r="A152" s="37" t="str">
        <f t="shared" si="31"/>
        <v>9A.F7.2</v>
      </c>
      <c r="B152" s="44" t="s">
        <v>167</v>
      </c>
      <c r="C152" s="43"/>
      <c r="D152" s="39" t="s">
        <v>517</v>
      </c>
      <c r="E152" s="40"/>
      <c r="F152" s="40"/>
      <c r="G152" s="40">
        <f>_xlfn.XLOOKUP(B152, Rate_Master!$A:$A, Rate_Master!$C:$C, "")</f>
        <v>0</v>
      </c>
      <c r="H152" s="40">
        <f>_xlfn.XLOOKUP(B152, Rate_Master!$A:$A, Rate_Master!$D:$D, "")</f>
        <v>0</v>
      </c>
      <c r="I152" s="41"/>
      <c r="J152" s="41"/>
      <c r="K152" s="41"/>
      <c r="L152" s="41"/>
    </row>
    <row r="153" spans="1:12" s="4" customFormat="1" ht="38.25" hidden="1" customHeight="1" outlineLevel="1">
      <c r="A153" s="37" t="str">
        <f t="shared" si="31"/>
        <v>9A.F7.3</v>
      </c>
      <c r="B153" s="44" t="s">
        <v>154</v>
      </c>
      <c r="C153" s="38" t="s">
        <v>515</v>
      </c>
      <c r="D153" s="45" t="s">
        <v>517</v>
      </c>
      <c r="E153" s="40">
        <v>0</v>
      </c>
      <c r="F153" s="40">
        <v>0</v>
      </c>
      <c r="G153" s="40">
        <f>_xlfn.XLOOKUP(B153, Rate_Master!$A:$A, Rate_Master!$C:$C, "")</f>
        <v>359375</v>
      </c>
      <c r="H153" s="40">
        <f>_xlfn.XLOOKUP(B153, Rate_Master!$A:$A, Rate_Master!$D:$D, "")</f>
        <v>71875</v>
      </c>
      <c r="I153" s="41">
        <v>0</v>
      </c>
      <c r="J153" s="41">
        <f>I153*E153</f>
        <v>0</v>
      </c>
      <c r="K153" s="41">
        <f>I153*F153</f>
        <v>0</v>
      </c>
      <c r="L153" s="41"/>
    </row>
    <row r="154" spans="1:12" s="4" customFormat="1" ht="25.5" hidden="1" customHeight="1" outlineLevel="1">
      <c r="A154" s="37" t="str">
        <f t="shared" si="31"/>
        <v>9A.F7.4</v>
      </c>
      <c r="B154" s="46" t="s">
        <v>155</v>
      </c>
      <c r="C154" s="38" t="s">
        <v>515</v>
      </c>
      <c r="D154" s="45" t="s">
        <v>517</v>
      </c>
      <c r="E154" s="40">
        <v>0</v>
      </c>
      <c r="F154" s="40">
        <v>0</v>
      </c>
      <c r="G154" s="40">
        <f>_xlfn.XLOOKUP(B154, Rate_Master!$A:$A, Rate_Master!$C:$C, "")</f>
        <v>1954999.9999999998</v>
      </c>
      <c r="H154" s="40">
        <f>_xlfn.XLOOKUP(B154, Rate_Master!$A:$A, Rate_Master!$D:$D, "")</f>
        <v>114999.99999999999</v>
      </c>
      <c r="I154" s="41">
        <v>0</v>
      </c>
      <c r="J154" s="41">
        <f>I154*E154</f>
        <v>0</v>
      </c>
      <c r="K154" s="41">
        <f>I154*F154</f>
        <v>0</v>
      </c>
      <c r="L154" s="41"/>
    </row>
    <row r="155" spans="1:12" s="4" customFormat="1" ht="51" hidden="1" customHeight="1" outlineLevel="1">
      <c r="A155" s="37" t="str">
        <f t="shared" si="31"/>
        <v>9A.F7.5</v>
      </c>
      <c r="B155" s="46" t="s">
        <v>168</v>
      </c>
      <c r="C155" s="38"/>
      <c r="D155" s="45" t="s">
        <v>517</v>
      </c>
      <c r="E155" s="40"/>
      <c r="F155" s="40"/>
      <c r="G155" s="40">
        <f>_xlfn.XLOOKUP(B155, Rate_Master!$A:$A, Rate_Master!$C:$C, "")</f>
        <v>0</v>
      </c>
      <c r="H155" s="40">
        <f>_xlfn.XLOOKUP(B155, Rate_Master!$A:$A, Rate_Master!$D:$D, "")</f>
        <v>0</v>
      </c>
      <c r="I155" s="41"/>
      <c r="J155" s="41"/>
      <c r="K155" s="41"/>
      <c r="L155" s="41"/>
    </row>
    <row r="156" spans="1:12" s="4" customFormat="1" ht="51" hidden="1" customHeight="1" outlineLevel="1">
      <c r="A156" s="37" t="str">
        <f t="shared" si="31"/>
        <v>9A.F7.6</v>
      </c>
      <c r="B156" s="44" t="s">
        <v>156</v>
      </c>
      <c r="C156" s="38" t="s">
        <v>515</v>
      </c>
      <c r="D156" s="47" t="s">
        <v>518</v>
      </c>
      <c r="E156" s="40">
        <v>0</v>
      </c>
      <c r="F156" s="40">
        <v>0</v>
      </c>
      <c r="G156" s="40">
        <f>_xlfn.XLOOKUP(B156, Rate_Master!$A:$A, Rate_Master!$C:$C, "")</f>
        <v>1724999.9999999998</v>
      </c>
      <c r="H156" s="40">
        <f>_xlfn.XLOOKUP(B156, Rate_Master!$A:$A, Rate_Master!$D:$D, "")</f>
        <v>287500</v>
      </c>
      <c r="I156" s="41">
        <v>0</v>
      </c>
      <c r="J156" s="41">
        <f>I156*E156</f>
        <v>0</v>
      </c>
      <c r="K156" s="41">
        <f>I156*F156</f>
        <v>0</v>
      </c>
      <c r="L156" s="41"/>
    </row>
    <row r="157" spans="1:12" s="4" customFormat="1" ht="25.5" hidden="1" customHeight="1" outlineLevel="1">
      <c r="A157" s="37" t="str">
        <f t="shared" si="31"/>
        <v>9A.F7.7</v>
      </c>
      <c r="B157" s="44" t="s">
        <v>157</v>
      </c>
      <c r="C157" s="38" t="s">
        <v>515</v>
      </c>
      <c r="D157" s="39" t="s">
        <v>517</v>
      </c>
      <c r="E157" s="40">
        <v>0</v>
      </c>
      <c r="F157" s="40">
        <v>0</v>
      </c>
      <c r="G157" s="40">
        <f>_xlfn.XLOOKUP(B157, Rate_Master!$A:$A, Rate_Master!$C:$C, "")</f>
        <v>632500</v>
      </c>
      <c r="H157" s="40">
        <f>_xlfn.XLOOKUP(B157, Rate_Master!$A:$A, Rate_Master!$D:$D, "")</f>
        <v>57499.999999999993</v>
      </c>
      <c r="I157" s="41">
        <v>0</v>
      </c>
      <c r="J157" s="41"/>
      <c r="K157" s="41"/>
      <c r="L157" s="41"/>
    </row>
    <row r="158" spans="1:12" s="4" customFormat="1" ht="25.5" hidden="1" customHeight="1" outlineLevel="1">
      <c r="A158" s="37" t="str">
        <f t="shared" si="31"/>
        <v>9A.F7.8</v>
      </c>
      <c r="B158" s="43" t="s">
        <v>158</v>
      </c>
      <c r="C158" s="38" t="s">
        <v>562</v>
      </c>
      <c r="D158" s="39" t="s">
        <v>516</v>
      </c>
      <c r="E158" s="40">
        <v>0</v>
      </c>
      <c r="F158" s="40">
        <v>0</v>
      </c>
      <c r="G158" s="40">
        <f>_xlfn.XLOOKUP(B158, Rate_Master!$A:$A, Rate_Master!$C:$C, "")</f>
        <v>68400000</v>
      </c>
      <c r="H158" s="40">
        <f>_xlfn.XLOOKUP(B158, Rate_Master!$A:$A, Rate_Master!$D:$D, "")</f>
        <v>26600000</v>
      </c>
      <c r="I158" s="41">
        <v>0</v>
      </c>
      <c r="J158" s="41">
        <f>I158*E158</f>
        <v>0</v>
      </c>
      <c r="K158" s="41">
        <f>I158*F158</f>
        <v>0</v>
      </c>
      <c r="L158" s="41"/>
    </row>
    <row r="159" spans="1:12" s="4" customFormat="1" ht="25.5" hidden="1" customHeight="1" outlineLevel="1">
      <c r="A159" s="37" t="str">
        <f t="shared" si="31"/>
        <v>9A.F7.9</v>
      </c>
      <c r="B159" s="43" t="s">
        <v>159</v>
      </c>
      <c r="C159" s="38" t="s">
        <v>515</v>
      </c>
      <c r="D159" s="39" t="s">
        <v>516</v>
      </c>
      <c r="E159" s="40">
        <v>0</v>
      </c>
      <c r="F159" s="40">
        <v>0</v>
      </c>
      <c r="G159" s="40">
        <f>_xlfn.XLOOKUP(B159, Rate_Master!$A:$A, Rate_Master!$C:$C, "")</f>
        <v>25200000</v>
      </c>
      <c r="H159" s="40">
        <f>_xlfn.XLOOKUP(B159, Rate_Master!$A:$A, Rate_Master!$D:$D, "")</f>
        <v>9800000.0000000019</v>
      </c>
      <c r="I159" s="41">
        <v>0</v>
      </c>
      <c r="J159" s="41"/>
      <c r="K159" s="41"/>
      <c r="L159" s="41"/>
    </row>
    <row r="160" spans="1:12" s="4" customFormat="1" ht="25.5" hidden="1" customHeight="1" outlineLevel="1">
      <c r="A160" s="37" t="str">
        <f t="shared" si="31"/>
        <v>9A.F7.10</v>
      </c>
      <c r="B160" s="43" t="s">
        <v>160</v>
      </c>
      <c r="C160" s="38" t="s">
        <v>515</v>
      </c>
      <c r="D160" s="39" t="s">
        <v>518</v>
      </c>
      <c r="E160" s="40">
        <v>0</v>
      </c>
      <c r="F160" s="40">
        <v>0</v>
      </c>
      <c r="G160" s="40">
        <f>_xlfn.XLOOKUP(B160, Rate_Master!$A:$A, Rate_Master!$C:$C, "")</f>
        <v>1440000</v>
      </c>
      <c r="H160" s="40">
        <f>_xlfn.XLOOKUP(B160, Rate_Master!$A:$A, Rate_Master!$D:$D, "")</f>
        <v>560000</v>
      </c>
      <c r="I160" s="41">
        <v>0</v>
      </c>
      <c r="J160" s="41"/>
      <c r="K160" s="41"/>
      <c r="L160" s="41"/>
    </row>
    <row r="161" spans="1:12" s="4" customFormat="1" ht="25.5" hidden="1" customHeight="1" outlineLevel="1">
      <c r="A161" s="37" t="str">
        <f t="shared" si="31"/>
        <v>9A.F7.11</v>
      </c>
      <c r="B161" s="44" t="s">
        <v>161</v>
      </c>
      <c r="C161" s="38" t="s">
        <v>515</v>
      </c>
      <c r="D161" s="39" t="s">
        <v>517</v>
      </c>
      <c r="E161" s="40">
        <v>0</v>
      </c>
      <c r="F161" s="40">
        <v>0</v>
      </c>
      <c r="G161" s="40">
        <f>_xlfn.XLOOKUP(B161, Rate_Master!$A:$A, Rate_Master!$C:$C, "")</f>
        <v>149500</v>
      </c>
      <c r="H161" s="40">
        <f>_xlfn.XLOOKUP(B161, Rate_Master!$A:$A, Rate_Master!$D:$D, "")</f>
        <v>34500</v>
      </c>
      <c r="I161" s="41">
        <v>0</v>
      </c>
      <c r="J161" s="41"/>
      <c r="K161" s="41"/>
      <c r="L161" s="41"/>
    </row>
    <row r="162" spans="1:12" s="4" customFormat="1" ht="38.25" hidden="1" customHeight="1" outlineLevel="1">
      <c r="A162" s="37" t="str">
        <f t="shared" si="31"/>
        <v>9A.F7.12</v>
      </c>
      <c r="B162" s="43" t="s">
        <v>162</v>
      </c>
      <c r="C162" s="38" t="s">
        <v>515</v>
      </c>
      <c r="D162" s="39" t="s">
        <v>517</v>
      </c>
      <c r="E162" s="40">
        <v>0</v>
      </c>
      <c r="F162" s="40">
        <v>0</v>
      </c>
      <c r="G162" s="40">
        <f>_xlfn.XLOOKUP(B162, Rate_Master!$A:$A, Rate_Master!$C:$C, "")</f>
        <v>252000</v>
      </c>
      <c r="H162" s="40">
        <f>_xlfn.XLOOKUP(B162, Rate_Master!$A:$A, Rate_Master!$D:$D, "")</f>
        <v>98000</v>
      </c>
      <c r="I162" s="41">
        <v>0</v>
      </c>
      <c r="J162" s="41"/>
      <c r="K162" s="41"/>
      <c r="L162" s="41"/>
    </row>
    <row r="163" spans="1:12" collapsed="1">
      <c r="F163" s="8"/>
    </row>
  </sheetData>
  <mergeCells count="5">
    <mergeCell ref="C5:L5"/>
    <mergeCell ref="C4:L4"/>
    <mergeCell ref="C3:L3"/>
    <mergeCell ref="C7:L7"/>
    <mergeCell ref="C6:L6"/>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P166"/>
  <sheetViews>
    <sheetView topLeftCell="A8" zoomScale="85" zoomScaleNormal="85" workbookViewId="0">
      <pane ySplit="1" topLeftCell="A32" activePane="bottomLeft" state="frozen"/>
      <selection activeCell="A8" sqref="A8"/>
      <selection pane="bottomLeft" activeCell="H164" sqref="H164"/>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0.5" style="8" customWidth="1"/>
    <col min="6" max="6" width="9" style="85" bestFit="1" customWidth="1"/>
    <col min="7" max="8" width="14" style="8" customWidth="1" outlineLevel="1"/>
    <col min="9" max="10" width="14" style="9" customWidth="1"/>
    <col min="11" max="11" width="14" style="90" customWidth="1"/>
    <col min="12" max="12" width="14" style="9" customWidth="1"/>
    <col min="13" max="13" width="10.5" style="6" bestFit="1" customWidth="1"/>
    <col min="14" max="231" width="9.125" style="6" customWidth="1"/>
    <col min="232" max="232" width="6.375" style="6" customWidth="1"/>
    <col min="233" max="233" width="34.25" style="6" customWidth="1"/>
    <col min="234" max="234" width="7.375" style="6" customWidth="1"/>
    <col min="235" max="235" width="6.375" style="6" customWidth="1"/>
    <col min="236" max="236" width="13.125" style="6" customWidth="1"/>
    <col min="237" max="237" width="15.375" style="6" customWidth="1"/>
    <col min="238" max="238" width="21.25" style="6" customWidth="1"/>
    <col min="239" max="487" width="9.125" style="6" customWidth="1"/>
    <col min="488" max="488" width="6.375" style="6" customWidth="1"/>
    <col min="489" max="489" width="34.25" style="6" customWidth="1"/>
    <col min="490" max="490" width="7.375" style="6" customWidth="1"/>
    <col min="491" max="491" width="6.375" style="6" customWidth="1"/>
    <col min="492" max="492" width="13.125" style="6" customWidth="1"/>
    <col min="493" max="493" width="15.375" style="6" customWidth="1"/>
    <col min="494" max="494" width="21.25" style="6" customWidth="1"/>
    <col min="495" max="743" width="9.125" style="6" customWidth="1"/>
    <col min="744" max="744" width="6.375" style="6" customWidth="1"/>
    <col min="745" max="745" width="34.25" style="6" customWidth="1"/>
    <col min="746" max="746" width="7.375" style="6" customWidth="1"/>
    <col min="747" max="747" width="6.375" style="6" customWidth="1"/>
    <col min="748" max="748" width="13.125" style="6" customWidth="1"/>
    <col min="749" max="749" width="15.375" style="6" customWidth="1"/>
    <col min="750" max="750" width="21.25" style="6" customWidth="1"/>
    <col min="751" max="999" width="9.125" style="6" customWidth="1"/>
    <col min="1000" max="1000" width="6.375" style="6" customWidth="1"/>
    <col min="1001" max="1001" width="34.25" style="6" customWidth="1"/>
    <col min="1002" max="1002" width="7.375" style="6" customWidth="1"/>
    <col min="1003" max="1003" width="6.375" style="6" customWidth="1"/>
    <col min="1004" max="1004" width="13.125" style="6" customWidth="1"/>
    <col min="1005" max="1005" width="15.375" style="6" customWidth="1"/>
    <col min="1006" max="1006" width="21.25" style="6" customWidth="1"/>
    <col min="1007" max="1255" width="9.125" style="6" customWidth="1"/>
    <col min="1256" max="1256" width="6.375" style="6" customWidth="1"/>
    <col min="1257" max="1257" width="34.25" style="6" customWidth="1"/>
    <col min="1258" max="1258" width="7.375" style="6" customWidth="1"/>
    <col min="1259" max="1259" width="6.375" style="6" customWidth="1"/>
    <col min="1260" max="1260" width="13.125" style="6" customWidth="1"/>
    <col min="1261" max="1261" width="15.375" style="6" customWidth="1"/>
    <col min="1262" max="1262" width="21.25" style="6" customWidth="1"/>
    <col min="1263" max="1511" width="9.125" style="6" customWidth="1"/>
    <col min="1512" max="1512" width="6.375" style="6" customWidth="1"/>
    <col min="1513" max="1513" width="34.25" style="6" customWidth="1"/>
    <col min="1514" max="1514" width="7.375" style="6" customWidth="1"/>
    <col min="1515" max="1515" width="6.375" style="6" customWidth="1"/>
    <col min="1516" max="1516" width="13.125" style="6" customWidth="1"/>
    <col min="1517" max="1517" width="15.375" style="6" customWidth="1"/>
    <col min="1518" max="1518" width="21.25" style="6" customWidth="1"/>
    <col min="1519" max="1767" width="9.125" style="6" customWidth="1"/>
    <col min="1768" max="1768" width="6.375" style="6" customWidth="1"/>
    <col min="1769" max="1769" width="34.25" style="6" customWidth="1"/>
    <col min="1770" max="1770" width="7.375" style="6" customWidth="1"/>
    <col min="1771" max="1771" width="6.375" style="6" customWidth="1"/>
    <col min="1772" max="1772" width="13.125" style="6" customWidth="1"/>
    <col min="1773" max="1773" width="15.375" style="6" customWidth="1"/>
    <col min="1774" max="1774" width="21.25" style="6" customWidth="1"/>
    <col min="1775" max="2023" width="9.125" style="6" customWidth="1"/>
    <col min="2024" max="2024" width="6.375" style="6" customWidth="1"/>
    <col min="2025" max="2025" width="34.25" style="6" customWidth="1"/>
    <col min="2026" max="2026" width="7.375" style="6" customWidth="1"/>
    <col min="2027" max="2027" width="6.375" style="6" customWidth="1"/>
    <col min="2028" max="2028" width="13.125" style="6" customWidth="1"/>
    <col min="2029" max="2029" width="15.375" style="6" customWidth="1"/>
    <col min="2030" max="2030" width="21.25" style="6" customWidth="1"/>
    <col min="2031" max="2279" width="9.125" style="6" customWidth="1"/>
    <col min="2280" max="2280" width="6.375" style="6" customWidth="1"/>
    <col min="2281" max="2281" width="34.25" style="6" customWidth="1"/>
    <col min="2282" max="2282" width="7.375" style="6" customWidth="1"/>
    <col min="2283" max="2283" width="6.375" style="6" customWidth="1"/>
    <col min="2284" max="2284" width="13.125" style="6" customWidth="1"/>
    <col min="2285" max="2285" width="15.375" style="6" customWidth="1"/>
    <col min="2286" max="2286" width="21.25" style="6" customWidth="1"/>
    <col min="2287" max="2535" width="9.125" style="6" customWidth="1"/>
    <col min="2536" max="2536" width="6.375" style="6" customWidth="1"/>
    <col min="2537" max="2537" width="34.25" style="6" customWidth="1"/>
    <col min="2538" max="2538" width="7.375" style="6" customWidth="1"/>
    <col min="2539" max="2539" width="6.375" style="6" customWidth="1"/>
    <col min="2540" max="2540" width="13.125" style="6" customWidth="1"/>
    <col min="2541" max="2541" width="15.375" style="6" customWidth="1"/>
    <col min="2542" max="2542" width="21.25" style="6" customWidth="1"/>
    <col min="2543" max="2791" width="9.125" style="6" customWidth="1"/>
    <col min="2792" max="2792" width="6.375" style="6" customWidth="1"/>
    <col min="2793" max="2793" width="34.25" style="6" customWidth="1"/>
    <col min="2794" max="2794" width="7.375" style="6" customWidth="1"/>
    <col min="2795" max="2795" width="6.375" style="6" customWidth="1"/>
    <col min="2796" max="2796" width="13.125" style="6" customWidth="1"/>
    <col min="2797" max="2797" width="15.375" style="6" customWidth="1"/>
    <col min="2798" max="2798" width="21.25" style="6" customWidth="1"/>
    <col min="2799" max="3047" width="9.125" style="6" customWidth="1"/>
    <col min="3048" max="3048" width="6.375" style="6" customWidth="1"/>
    <col min="3049" max="3049" width="34.25" style="6" customWidth="1"/>
    <col min="3050" max="3050" width="7.375" style="6" customWidth="1"/>
    <col min="3051" max="3051" width="6.375" style="6" customWidth="1"/>
    <col min="3052" max="3052" width="13.125" style="6" customWidth="1"/>
    <col min="3053" max="3053" width="15.375" style="6" customWidth="1"/>
    <col min="3054" max="3054" width="21.25" style="6" customWidth="1"/>
    <col min="3055" max="3303" width="9.125" style="6" customWidth="1"/>
    <col min="3304" max="3304" width="6.375" style="6" customWidth="1"/>
    <col min="3305" max="3305" width="34.25" style="6" customWidth="1"/>
    <col min="3306" max="3306" width="7.375" style="6" customWidth="1"/>
    <col min="3307" max="3307" width="6.375" style="6" customWidth="1"/>
    <col min="3308" max="3308" width="13.125" style="6" customWidth="1"/>
    <col min="3309" max="3309" width="15.375" style="6" customWidth="1"/>
    <col min="3310" max="3310" width="21.25" style="6" customWidth="1"/>
    <col min="3311" max="3559" width="9.125" style="6" customWidth="1"/>
    <col min="3560" max="3560" width="6.375" style="6" customWidth="1"/>
    <col min="3561" max="3561" width="34.25" style="6" customWidth="1"/>
    <col min="3562" max="3562" width="7.375" style="6" customWidth="1"/>
    <col min="3563" max="3563" width="6.375" style="6" customWidth="1"/>
    <col min="3564" max="3564" width="13.125" style="6" customWidth="1"/>
    <col min="3565" max="3565" width="15.375" style="6" customWidth="1"/>
    <col min="3566" max="3566" width="21.25" style="6" customWidth="1"/>
    <col min="3567" max="3815" width="9.125" style="6" customWidth="1"/>
    <col min="3816" max="3816" width="6.375" style="6" customWidth="1"/>
    <col min="3817" max="3817" width="34.25" style="6" customWidth="1"/>
    <col min="3818" max="3818" width="7.375" style="6" customWidth="1"/>
    <col min="3819" max="3819" width="6.375" style="6" customWidth="1"/>
    <col min="3820" max="3820" width="13.125" style="6" customWidth="1"/>
    <col min="3821" max="3821" width="15.375" style="6" customWidth="1"/>
    <col min="3822" max="3822" width="21.25" style="6" customWidth="1"/>
    <col min="3823" max="4071" width="9.125" style="6" customWidth="1"/>
    <col min="4072" max="4072" width="6.375" style="6" customWidth="1"/>
    <col min="4073" max="4073" width="34.25" style="6" customWidth="1"/>
    <col min="4074" max="4074" width="7.375" style="6" customWidth="1"/>
    <col min="4075" max="4075" width="6.375" style="6" customWidth="1"/>
    <col min="4076" max="4076" width="13.125" style="6" customWidth="1"/>
    <col min="4077" max="4077" width="15.375" style="6" customWidth="1"/>
    <col min="4078" max="4078" width="21.25" style="6" customWidth="1"/>
    <col min="4079" max="4327" width="9.125" style="6" customWidth="1"/>
    <col min="4328" max="4328" width="6.375" style="6" customWidth="1"/>
    <col min="4329" max="4329" width="34.25" style="6" customWidth="1"/>
    <col min="4330" max="4330" width="7.375" style="6" customWidth="1"/>
    <col min="4331" max="4331" width="6.375" style="6" customWidth="1"/>
    <col min="4332" max="4332" width="13.125" style="6" customWidth="1"/>
    <col min="4333" max="4333" width="15.375" style="6" customWidth="1"/>
    <col min="4334" max="4334" width="21.25" style="6" customWidth="1"/>
    <col min="4335" max="4583" width="9.125" style="6" customWidth="1"/>
    <col min="4584" max="4584" width="6.375" style="6" customWidth="1"/>
    <col min="4585" max="4585" width="34.25" style="6" customWidth="1"/>
    <col min="4586" max="4586" width="7.375" style="6" customWidth="1"/>
    <col min="4587" max="4587" width="6.375" style="6" customWidth="1"/>
    <col min="4588" max="4588" width="13.125" style="6" customWidth="1"/>
    <col min="4589" max="4589" width="15.375" style="6" customWidth="1"/>
    <col min="4590" max="4590" width="21.25" style="6" customWidth="1"/>
    <col min="4591" max="4839" width="9.125" style="6" customWidth="1"/>
    <col min="4840" max="4840" width="6.375" style="6" customWidth="1"/>
    <col min="4841" max="4841" width="34.25" style="6" customWidth="1"/>
    <col min="4842" max="4842" width="7.375" style="6" customWidth="1"/>
    <col min="4843" max="4843" width="6.375" style="6" customWidth="1"/>
    <col min="4844" max="4844" width="13.125" style="6" customWidth="1"/>
    <col min="4845" max="4845" width="15.375" style="6" customWidth="1"/>
    <col min="4846" max="4846" width="21.25" style="6" customWidth="1"/>
    <col min="4847" max="5095" width="9.125" style="6" customWidth="1"/>
    <col min="5096" max="5096" width="6.375" style="6" customWidth="1"/>
    <col min="5097" max="5097" width="34.25" style="6" customWidth="1"/>
    <col min="5098" max="5098" width="7.375" style="6" customWidth="1"/>
    <col min="5099" max="5099" width="6.375" style="6" customWidth="1"/>
    <col min="5100" max="5100" width="13.125" style="6" customWidth="1"/>
    <col min="5101" max="5101" width="15.375" style="6" customWidth="1"/>
    <col min="5102" max="5102" width="21.25" style="6" customWidth="1"/>
    <col min="5103" max="5351" width="9.125" style="6" customWidth="1"/>
    <col min="5352" max="5352" width="6.375" style="6" customWidth="1"/>
    <col min="5353" max="5353" width="34.25" style="6" customWidth="1"/>
    <col min="5354" max="5354" width="7.375" style="6" customWidth="1"/>
    <col min="5355" max="5355" width="6.375" style="6" customWidth="1"/>
    <col min="5356" max="5356" width="13.125" style="6" customWidth="1"/>
    <col min="5357" max="5357" width="15.375" style="6" customWidth="1"/>
    <col min="5358" max="5358" width="21.25" style="6" customWidth="1"/>
    <col min="5359" max="5607" width="9.125" style="6" customWidth="1"/>
    <col min="5608" max="5608" width="6.375" style="6" customWidth="1"/>
    <col min="5609" max="5609" width="34.25" style="6" customWidth="1"/>
    <col min="5610" max="5610" width="7.375" style="6" customWidth="1"/>
    <col min="5611" max="5611" width="6.375" style="6" customWidth="1"/>
    <col min="5612" max="5612" width="13.125" style="6" customWidth="1"/>
    <col min="5613" max="5613" width="15.375" style="6" customWidth="1"/>
    <col min="5614" max="5614" width="21.25" style="6" customWidth="1"/>
    <col min="5615" max="5863" width="9.125" style="6" customWidth="1"/>
    <col min="5864" max="5864" width="6.375" style="6" customWidth="1"/>
    <col min="5865" max="5865" width="34.25" style="6" customWidth="1"/>
    <col min="5866" max="5866" width="7.375" style="6" customWidth="1"/>
    <col min="5867" max="5867" width="6.375" style="6" customWidth="1"/>
    <col min="5868" max="5868" width="13.125" style="6" customWidth="1"/>
    <col min="5869" max="5869" width="15.375" style="6" customWidth="1"/>
    <col min="5870" max="5870" width="21.25" style="6" customWidth="1"/>
    <col min="5871" max="6119" width="9.125" style="6" customWidth="1"/>
    <col min="6120" max="6120" width="6.375" style="6" customWidth="1"/>
    <col min="6121" max="6121" width="34.25" style="6" customWidth="1"/>
    <col min="6122" max="6122" width="7.375" style="6" customWidth="1"/>
    <col min="6123" max="6123" width="6.375" style="6" customWidth="1"/>
    <col min="6124" max="6124" width="13.125" style="6" customWidth="1"/>
    <col min="6125" max="6125" width="15.375" style="6" customWidth="1"/>
    <col min="6126" max="6126" width="21.25" style="6" customWidth="1"/>
    <col min="6127" max="6375" width="9.125" style="6" customWidth="1"/>
    <col min="6376" max="6376" width="6.375" style="6" customWidth="1"/>
    <col min="6377" max="6377" width="34.25" style="6" customWidth="1"/>
    <col min="6378" max="6378" width="7.375" style="6" customWidth="1"/>
    <col min="6379" max="6379" width="6.375" style="6" customWidth="1"/>
    <col min="6380" max="6380" width="13.125" style="6" customWidth="1"/>
    <col min="6381" max="6381" width="15.375" style="6" customWidth="1"/>
    <col min="6382" max="6382" width="21.25" style="6" customWidth="1"/>
    <col min="6383" max="6631" width="9.125" style="6" customWidth="1"/>
    <col min="6632" max="6632" width="6.375" style="6" customWidth="1"/>
    <col min="6633" max="6633" width="34.25" style="6" customWidth="1"/>
    <col min="6634" max="6634" width="7.375" style="6" customWidth="1"/>
    <col min="6635" max="6635" width="6.375" style="6" customWidth="1"/>
    <col min="6636" max="6636" width="13.125" style="6" customWidth="1"/>
    <col min="6637" max="6637" width="15.375" style="6" customWidth="1"/>
    <col min="6638" max="6638" width="21.25" style="6" customWidth="1"/>
    <col min="6639" max="6887" width="9.125" style="6" customWidth="1"/>
    <col min="6888" max="6888" width="6.375" style="6" customWidth="1"/>
    <col min="6889" max="6889" width="34.25" style="6" customWidth="1"/>
    <col min="6890" max="6890" width="7.375" style="6" customWidth="1"/>
    <col min="6891" max="6891" width="6.375" style="6" customWidth="1"/>
    <col min="6892" max="6892" width="13.125" style="6" customWidth="1"/>
    <col min="6893" max="6893" width="15.375" style="6" customWidth="1"/>
    <col min="6894" max="6894" width="21.25" style="6" customWidth="1"/>
    <col min="6895" max="7143" width="9.125" style="6" customWidth="1"/>
    <col min="7144" max="7144" width="6.375" style="6" customWidth="1"/>
    <col min="7145" max="7145" width="34.25" style="6" customWidth="1"/>
    <col min="7146" max="7146" width="7.375" style="6" customWidth="1"/>
    <col min="7147" max="7147" width="6.375" style="6" customWidth="1"/>
    <col min="7148" max="7148" width="13.125" style="6" customWidth="1"/>
    <col min="7149" max="7149" width="15.375" style="6" customWidth="1"/>
    <col min="7150" max="7150" width="21.25" style="6" customWidth="1"/>
    <col min="7151" max="7399" width="9.125" style="6" customWidth="1"/>
    <col min="7400" max="7400" width="6.375" style="6" customWidth="1"/>
    <col min="7401" max="7401" width="34.25" style="6" customWidth="1"/>
    <col min="7402" max="7402" width="7.375" style="6" customWidth="1"/>
    <col min="7403" max="7403" width="6.375" style="6" customWidth="1"/>
    <col min="7404" max="7404" width="13.125" style="6" customWidth="1"/>
    <col min="7405" max="7405" width="15.375" style="6" customWidth="1"/>
    <col min="7406" max="7406" width="21.25" style="6" customWidth="1"/>
    <col min="7407" max="7655" width="9.125" style="6" customWidth="1"/>
    <col min="7656" max="7656" width="6.375" style="6" customWidth="1"/>
    <col min="7657" max="7657" width="34.25" style="6" customWidth="1"/>
    <col min="7658" max="7658" width="7.375" style="6" customWidth="1"/>
    <col min="7659" max="7659" width="6.375" style="6" customWidth="1"/>
    <col min="7660" max="7660" width="13.125" style="6" customWidth="1"/>
    <col min="7661" max="7661" width="15.375" style="6" customWidth="1"/>
    <col min="7662" max="7662" width="21.25" style="6" customWidth="1"/>
    <col min="7663" max="7911" width="9.125" style="6" customWidth="1"/>
    <col min="7912" max="7912" width="6.375" style="6" customWidth="1"/>
    <col min="7913" max="7913" width="34.25" style="6" customWidth="1"/>
    <col min="7914" max="7914" width="7.375" style="6" customWidth="1"/>
    <col min="7915" max="7915" width="6.375" style="6" customWidth="1"/>
    <col min="7916" max="7916" width="13.125" style="6" customWidth="1"/>
    <col min="7917" max="7917" width="15.375" style="6" customWidth="1"/>
    <col min="7918" max="7918" width="21.25" style="6" customWidth="1"/>
    <col min="7919" max="8167" width="9.125" style="6" customWidth="1"/>
    <col min="8168" max="8168" width="6.375" style="6" customWidth="1"/>
    <col min="8169" max="8169" width="34.25" style="6" customWidth="1"/>
    <col min="8170" max="8170" width="7.375" style="6" customWidth="1"/>
    <col min="8171" max="8171" width="6.375" style="6" customWidth="1"/>
    <col min="8172" max="8172" width="13.125" style="6" customWidth="1"/>
    <col min="8173" max="8173" width="15.375" style="6" customWidth="1"/>
    <col min="8174" max="8174" width="21.25" style="6" customWidth="1"/>
    <col min="8175" max="8423" width="9.125" style="6" customWidth="1"/>
    <col min="8424" max="8424" width="6.375" style="6" customWidth="1"/>
    <col min="8425" max="8425" width="34.25" style="6" customWidth="1"/>
    <col min="8426" max="8426" width="7.375" style="6" customWidth="1"/>
    <col min="8427" max="8427" width="6.375" style="6" customWidth="1"/>
    <col min="8428" max="8428" width="13.125" style="6" customWidth="1"/>
    <col min="8429" max="8429" width="15.375" style="6" customWidth="1"/>
    <col min="8430" max="8430" width="21.25" style="6" customWidth="1"/>
    <col min="8431" max="8679" width="9.125" style="6" customWidth="1"/>
    <col min="8680" max="8680" width="6.375" style="6" customWidth="1"/>
    <col min="8681" max="8681" width="34.25" style="6" customWidth="1"/>
    <col min="8682" max="8682" width="7.375" style="6" customWidth="1"/>
    <col min="8683" max="8683" width="6.375" style="6" customWidth="1"/>
    <col min="8684" max="8684" width="13.125" style="6" customWidth="1"/>
    <col min="8685" max="8685" width="15.375" style="6" customWidth="1"/>
    <col min="8686" max="8686" width="21.25" style="6" customWidth="1"/>
    <col min="8687" max="8935" width="9.125" style="6" customWidth="1"/>
    <col min="8936" max="8936" width="6.375" style="6" customWidth="1"/>
    <col min="8937" max="8937" width="34.25" style="6" customWidth="1"/>
    <col min="8938" max="8938" width="7.375" style="6" customWidth="1"/>
    <col min="8939" max="8939" width="6.375" style="6" customWidth="1"/>
    <col min="8940" max="8940" width="13.125" style="6" customWidth="1"/>
    <col min="8941" max="8941" width="15.375" style="6" customWidth="1"/>
    <col min="8942" max="8942" width="21.25" style="6" customWidth="1"/>
    <col min="8943" max="9191" width="9.125" style="6" customWidth="1"/>
    <col min="9192" max="9192" width="6.375" style="6" customWidth="1"/>
    <col min="9193" max="9193" width="34.25" style="6" customWidth="1"/>
    <col min="9194" max="9194" width="7.375" style="6" customWidth="1"/>
    <col min="9195" max="9195" width="6.375" style="6" customWidth="1"/>
    <col min="9196" max="9196" width="13.125" style="6" customWidth="1"/>
    <col min="9197" max="9197" width="15.375" style="6" customWidth="1"/>
    <col min="9198" max="9198" width="21.25" style="6" customWidth="1"/>
    <col min="9199" max="9447" width="9.125" style="6" customWidth="1"/>
    <col min="9448" max="9448" width="6.375" style="6" customWidth="1"/>
    <col min="9449" max="9449" width="34.25" style="6" customWidth="1"/>
    <col min="9450" max="9450" width="7.375" style="6" customWidth="1"/>
    <col min="9451" max="9451" width="6.375" style="6" customWidth="1"/>
    <col min="9452" max="9452" width="13.125" style="6" customWidth="1"/>
    <col min="9453" max="9453" width="15.375" style="6" customWidth="1"/>
    <col min="9454" max="9454" width="21.25" style="6" customWidth="1"/>
    <col min="9455" max="9703" width="9.125" style="6" customWidth="1"/>
    <col min="9704" max="9704" width="6.375" style="6" customWidth="1"/>
    <col min="9705" max="9705" width="34.25" style="6" customWidth="1"/>
    <col min="9706" max="9706" width="7.375" style="6" customWidth="1"/>
    <col min="9707" max="9707" width="6.375" style="6" customWidth="1"/>
    <col min="9708" max="9708" width="13.125" style="6" customWidth="1"/>
    <col min="9709" max="9709" width="15.375" style="6" customWidth="1"/>
    <col min="9710" max="9710" width="21.25" style="6" customWidth="1"/>
    <col min="9711" max="9959" width="9.125" style="6" customWidth="1"/>
    <col min="9960" max="9960" width="6.375" style="6" customWidth="1"/>
    <col min="9961" max="9961" width="34.25" style="6" customWidth="1"/>
    <col min="9962" max="9962" width="7.375" style="6" customWidth="1"/>
    <col min="9963" max="9963" width="6.375" style="6" customWidth="1"/>
    <col min="9964" max="9964" width="13.125" style="6" customWidth="1"/>
    <col min="9965" max="9965" width="15.375" style="6" customWidth="1"/>
    <col min="9966" max="9966" width="21.25" style="6" customWidth="1"/>
    <col min="9967" max="10215" width="9.125" style="6" customWidth="1"/>
    <col min="10216" max="10216" width="6.375" style="6" customWidth="1"/>
    <col min="10217" max="10217" width="34.25" style="6" customWidth="1"/>
    <col min="10218" max="10218" width="7.375" style="6" customWidth="1"/>
    <col min="10219" max="10219" width="6.375" style="6" customWidth="1"/>
    <col min="10220" max="10220" width="13.125" style="6" customWidth="1"/>
    <col min="10221" max="10221" width="15.375" style="6" customWidth="1"/>
    <col min="10222" max="10222" width="21.25" style="6" customWidth="1"/>
    <col min="10223" max="10471" width="9.125" style="6" customWidth="1"/>
    <col min="10472" max="10472" width="6.375" style="6" customWidth="1"/>
    <col min="10473" max="10473" width="34.25" style="6" customWidth="1"/>
    <col min="10474" max="10474" width="7.375" style="6" customWidth="1"/>
    <col min="10475" max="10475" width="6.375" style="6" customWidth="1"/>
    <col min="10476" max="10476" width="13.125" style="6" customWidth="1"/>
    <col min="10477" max="10477" width="15.375" style="6" customWidth="1"/>
    <col min="10478" max="10478" width="21.25" style="6" customWidth="1"/>
    <col min="10479" max="10727" width="9.125" style="6" customWidth="1"/>
    <col min="10728" max="10728" width="6.375" style="6" customWidth="1"/>
    <col min="10729" max="10729" width="34.25" style="6" customWidth="1"/>
    <col min="10730" max="10730" width="7.375" style="6" customWidth="1"/>
    <col min="10731" max="10731" width="6.375" style="6" customWidth="1"/>
    <col min="10732" max="10732" width="13.125" style="6" customWidth="1"/>
    <col min="10733" max="10733" width="15.375" style="6" customWidth="1"/>
    <col min="10734" max="10734" width="21.25" style="6" customWidth="1"/>
    <col min="10735" max="10983" width="9.125" style="6" customWidth="1"/>
    <col min="10984" max="10984" width="6.375" style="6" customWidth="1"/>
    <col min="10985" max="10985" width="34.25" style="6" customWidth="1"/>
    <col min="10986" max="10986" width="7.375" style="6" customWidth="1"/>
    <col min="10987" max="10987" width="6.375" style="6" customWidth="1"/>
    <col min="10988" max="10988" width="13.125" style="6" customWidth="1"/>
    <col min="10989" max="10989" width="15.375" style="6" customWidth="1"/>
    <col min="10990" max="10990" width="21.25" style="6" customWidth="1"/>
    <col min="10991" max="11239" width="9.125" style="6" customWidth="1"/>
    <col min="11240" max="11240" width="6.375" style="6" customWidth="1"/>
    <col min="11241" max="11241" width="34.25" style="6" customWidth="1"/>
    <col min="11242" max="11242" width="7.375" style="6" customWidth="1"/>
    <col min="11243" max="11243" width="6.375" style="6" customWidth="1"/>
    <col min="11244" max="11244" width="13.125" style="6" customWidth="1"/>
    <col min="11245" max="11245" width="15.375" style="6" customWidth="1"/>
    <col min="11246" max="11246" width="21.25" style="6" customWidth="1"/>
    <col min="11247" max="11495" width="9.125" style="6" customWidth="1"/>
    <col min="11496" max="11496" width="6.375" style="6" customWidth="1"/>
    <col min="11497" max="11497" width="34.25" style="6" customWidth="1"/>
    <col min="11498" max="11498" width="7.375" style="6" customWidth="1"/>
    <col min="11499" max="11499" width="6.375" style="6" customWidth="1"/>
    <col min="11500" max="11500" width="13.125" style="6" customWidth="1"/>
    <col min="11501" max="11501" width="15.375" style="6" customWidth="1"/>
    <col min="11502" max="11502" width="21.25" style="6" customWidth="1"/>
    <col min="11503" max="11751" width="9.125" style="6" customWidth="1"/>
    <col min="11752" max="11752" width="6.375" style="6" customWidth="1"/>
    <col min="11753" max="11753" width="34.25" style="6" customWidth="1"/>
    <col min="11754" max="11754" width="7.375" style="6" customWidth="1"/>
    <col min="11755" max="11755" width="6.375" style="6" customWidth="1"/>
    <col min="11756" max="11756" width="13.125" style="6" customWidth="1"/>
    <col min="11757" max="11757" width="15.375" style="6" customWidth="1"/>
    <col min="11758" max="11758" width="21.25" style="6" customWidth="1"/>
    <col min="11759" max="12007" width="9.125" style="6" customWidth="1"/>
    <col min="12008" max="12008" width="6.375" style="6" customWidth="1"/>
    <col min="12009" max="12009" width="34.25" style="6" customWidth="1"/>
    <col min="12010" max="12010" width="7.375" style="6" customWidth="1"/>
    <col min="12011" max="12011" width="6.375" style="6" customWidth="1"/>
    <col min="12012" max="12012" width="13.125" style="6" customWidth="1"/>
    <col min="12013" max="12013" width="15.375" style="6" customWidth="1"/>
    <col min="12014" max="12014" width="21.25" style="6" customWidth="1"/>
    <col min="12015" max="12263" width="9.125" style="6" customWidth="1"/>
    <col min="12264" max="12264" width="6.375" style="6" customWidth="1"/>
    <col min="12265" max="12265" width="34.25" style="6" customWidth="1"/>
    <col min="12266" max="12266" width="7.375" style="6" customWidth="1"/>
    <col min="12267" max="12267" width="6.375" style="6" customWidth="1"/>
    <col min="12268" max="12268" width="13.125" style="6" customWidth="1"/>
    <col min="12269" max="12269" width="15.375" style="6" customWidth="1"/>
    <col min="12270" max="12270" width="21.25" style="6" customWidth="1"/>
    <col min="12271" max="12519" width="9.125" style="6" customWidth="1"/>
    <col min="12520" max="12520" width="6.375" style="6" customWidth="1"/>
    <col min="12521" max="12521" width="34.25" style="6" customWidth="1"/>
    <col min="12522" max="12522" width="7.375" style="6" customWidth="1"/>
    <col min="12523" max="12523" width="6.375" style="6" customWidth="1"/>
    <col min="12524" max="12524" width="13.125" style="6" customWidth="1"/>
    <col min="12525" max="12525" width="15.375" style="6" customWidth="1"/>
    <col min="12526" max="12526" width="21.25" style="6" customWidth="1"/>
    <col min="12527" max="12775" width="9.125" style="6" customWidth="1"/>
    <col min="12776" max="12776" width="6.375" style="6" customWidth="1"/>
    <col min="12777" max="12777" width="34.25" style="6" customWidth="1"/>
    <col min="12778" max="12778" width="7.375" style="6" customWidth="1"/>
    <col min="12779" max="12779" width="6.375" style="6" customWidth="1"/>
    <col min="12780" max="12780" width="13.125" style="6" customWidth="1"/>
    <col min="12781" max="12781" width="15.375" style="6" customWidth="1"/>
    <col min="12782" max="12782" width="21.25" style="6" customWidth="1"/>
    <col min="12783" max="13031" width="9.125" style="6" customWidth="1"/>
    <col min="13032" max="13032" width="6.375" style="6" customWidth="1"/>
    <col min="13033" max="13033" width="34.25" style="6" customWidth="1"/>
    <col min="13034" max="13034" width="7.375" style="6" customWidth="1"/>
    <col min="13035" max="13035" width="6.375" style="6" customWidth="1"/>
    <col min="13036" max="13036" width="13.125" style="6" customWidth="1"/>
    <col min="13037" max="13037" width="15.375" style="6" customWidth="1"/>
    <col min="13038" max="13038" width="21.25" style="6" customWidth="1"/>
    <col min="13039" max="13287" width="9.125" style="6" customWidth="1"/>
    <col min="13288" max="13288" width="6.375" style="6" customWidth="1"/>
    <col min="13289" max="13289" width="34.25" style="6" customWidth="1"/>
    <col min="13290" max="13290" width="7.375" style="6" customWidth="1"/>
    <col min="13291" max="13291" width="6.375" style="6" customWidth="1"/>
    <col min="13292" max="13292" width="13.125" style="6" customWidth="1"/>
    <col min="13293" max="13293" width="15.375" style="6" customWidth="1"/>
    <col min="13294" max="13294" width="21.25" style="6" customWidth="1"/>
    <col min="13295" max="13543" width="9.125" style="6" customWidth="1"/>
    <col min="13544" max="13544" width="6.375" style="6" customWidth="1"/>
    <col min="13545" max="13545" width="34.25" style="6" customWidth="1"/>
    <col min="13546" max="13546" width="7.375" style="6" customWidth="1"/>
    <col min="13547" max="13547" width="6.375" style="6" customWidth="1"/>
    <col min="13548" max="13548" width="13.125" style="6" customWidth="1"/>
    <col min="13549" max="13549" width="15.375" style="6" customWidth="1"/>
    <col min="13550" max="13550" width="21.25" style="6" customWidth="1"/>
    <col min="13551" max="13799" width="9.125" style="6" customWidth="1"/>
    <col min="13800" max="13800" width="6.375" style="6" customWidth="1"/>
    <col min="13801" max="13801" width="34.25" style="6" customWidth="1"/>
    <col min="13802" max="13802" width="7.375" style="6" customWidth="1"/>
    <col min="13803" max="13803" width="6.375" style="6" customWidth="1"/>
    <col min="13804" max="13804" width="13.125" style="6" customWidth="1"/>
    <col min="13805" max="13805" width="15.375" style="6" customWidth="1"/>
    <col min="13806" max="13806" width="21.25" style="6" customWidth="1"/>
    <col min="13807" max="14055" width="9.125" style="6" customWidth="1"/>
    <col min="14056" max="14056" width="6.375" style="6" customWidth="1"/>
    <col min="14057" max="14057" width="34.25" style="6" customWidth="1"/>
    <col min="14058" max="14058" width="7.375" style="6" customWidth="1"/>
    <col min="14059" max="14059" width="6.375" style="6" customWidth="1"/>
    <col min="14060" max="14060" width="13.125" style="6" customWidth="1"/>
    <col min="14061" max="14061" width="15.375" style="6" customWidth="1"/>
    <col min="14062" max="14062" width="21.25" style="6" customWidth="1"/>
    <col min="14063" max="14311" width="9.125" style="6" customWidth="1"/>
    <col min="14312" max="14312" width="6.375" style="6" customWidth="1"/>
    <col min="14313" max="14313" width="34.25" style="6" customWidth="1"/>
    <col min="14314" max="14314" width="7.375" style="6" customWidth="1"/>
    <col min="14315" max="14315" width="6.375" style="6" customWidth="1"/>
    <col min="14316" max="14316" width="13.125" style="6" customWidth="1"/>
    <col min="14317" max="14317" width="15.375" style="6" customWidth="1"/>
    <col min="14318" max="14318" width="21.25" style="6" customWidth="1"/>
    <col min="14319" max="14567" width="9.125" style="6" customWidth="1"/>
    <col min="14568" max="14568" width="6.375" style="6" customWidth="1"/>
    <col min="14569" max="14569" width="34.25" style="6" customWidth="1"/>
    <col min="14570" max="14570" width="7.375" style="6" customWidth="1"/>
    <col min="14571" max="14571" width="6.375" style="6" customWidth="1"/>
    <col min="14572" max="14572" width="13.125" style="6" customWidth="1"/>
    <col min="14573" max="14573" width="15.375" style="6" customWidth="1"/>
    <col min="14574" max="14574" width="21.25" style="6" customWidth="1"/>
    <col min="14575" max="14823" width="9.125" style="6" customWidth="1"/>
    <col min="14824" max="14824" width="6.375" style="6" customWidth="1"/>
    <col min="14825" max="14825" width="34.25" style="6" customWidth="1"/>
    <col min="14826" max="14826" width="7.375" style="6" customWidth="1"/>
    <col min="14827" max="14827" width="6.375" style="6" customWidth="1"/>
    <col min="14828" max="14828" width="13.125" style="6" customWidth="1"/>
    <col min="14829" max="14829" width="15.375" style="6" customWidth="1"/>
    <col min="14830" max="14830" width="21.25" style="6" customWidth="1"/>
    <col min="14831" max="15079" width="9.125" style="6" customWidth="1"/>
    <col min="15080" max="15080" width="6.375" style="6" customWidth="1"/>
    <col min="15081" max="15081" width="34.25" style="6" customWidth="1"/>
    <col min="15082" max="15082" width="7.375" style="6" customWidth="1"/>
    <col min="15083" max="15083" width="6.375" style="6" customWidth="1"/>
    <col min="15084" max="15084" width="13.125" style="6" customWidth="1"/>
    <col min="15085" max="15085" width="15.375" style="6" customWidth="1"/>
    <col min="15086" max="15086" width="21.25" style="6" customWidth="1"/>
    <col min="15087" max="15335" width="9.125" style="6" customWidth="1"/>
    <col min="15336" max="15336" width="6.375" style="6" customWidth="1"/>
    <col min="15337" max="15337" width="34.25" style="6" customWidth="1"/>
    <col min="15338" max="15338" width="7.375" style="6" customWidth="1"/>
    <col min="15339" max="15339" width="6.375" style="6" customWidth="1"/>
    <col min="15340" max="15340" width="13.125" style="6" customWidth="1"/>
    <col min="15341" max="15341" width="15.375" style="6" customWidth="1"/>
    <col min="15342" max="15342" width="21.25" style="6" customWidth="1"/>
    <col min="15343" max="15591" width="9.125" style="6" customWidth="1"/>
    <col min="15592" max="15592" width="6.375" style="6" customWidth="1"/>
    <col min="15593" max="15593" width="34.25" style="6" customWidth="1"/>
    <col min="15594" max="15594" width="7.375" style="6" customWidth="1"/>
    <col min="15595" max="15595" width="6.375" style="6" customWidth="1"/>
    <col min="15596" max="15596" width="13.125" style="6" customWidth="1"/>
    <col min="15597" max="15597" width="15.375" style="6" customWidth="1"/>
    <col min="15598" max="15598" width="21.25" style="6" customWidth="1"/>
    <col min="15599" max="15847" width="9.125" style="6" customWidth="1"/>
    <col min="15848" max="15848" width="6.375" style="6" customWidth="1"/>
    <col min="15849" max="15849" width="34.25" style="6" customWidth="1"/>
    <col min="15850" max="15850" width="7.375" style="6" customWidth="1"/>
    <col min="15851" max="15851" width="6.375" style="6" customWidth="1"/>
    <col min="15852" max="15852" width="13.125" style="6" customWidth="1"/>
    <col min="15853" max="15853" width="15.375" style="6" customWidth="1"/>
    <col min="15854" max="15854" width="21.25" style="6" customWidth="1"/>
    <col min="15855" max="16103" width="9.125" style="6" customWidth="1"/>
    <col min="16104" max="16104" width="6.375" style="6" customWidth="1"/>
    <col min="16105" max="16105" width="34.25" style="6" customWidth="1"/>
    <col min="16106" max="16106" width="7.375" style="6" customWidth="1"/>
    <col min="16107" max="16107" width="6.375" style="6" customWidth="1"/>
    <col min="16108" max="16108" width="13.125" style="6" customWidth="1"/>
    <col min="16109" max="16109" width="15.375" style="6" customWidth="1"/>
    <col min="16110" max="16110" width="21.25" style="6" customWidth="1"/>
    <col min="16111" max="16384" width="9.125" style="6" customWidth="1"/>
  </cols>
  <sheetData>
    <row r="1" spans="1:13" ht="48" customHeight="1"/>
    <row r="2" spans="1:13" s="1" customFormat="1" ht="51" customHeight="1">
      <c r="A2" s="10" t="s">
        <v>507</v>
      </c>
      <c r="B2" s="11"/>
      <c r="C2" s="12"/>
      <c r="D2" s="11"/>
      <c r="E2" s="14"/>
      <c r="F2" s="86"/>
      <c r="G2" s="14"/>
      <c r="H2" s="14"/>
      <c r="I2" s="15"/>
      <c r="J2" s="15"/>
      <c r="K2" s="91"/>
      <c r="L2" s="15"/>
    </row>
    <row r="3" spans="1:13" ht="26.25" customHeight="1">
      <c r="A3" s="16"/>
      <c r="B3" s="17" t="s">
        <v>440</v>
      </c>
      <c r="C3" s="213"/>
      <c r="D3" s="217"/>
      <c r="E3" s="214"/>
      <c r="F3" s="218"/>
      <c r="G3" s="214"/>
      <c r="H3" s="214"/>
      <c r="I3" s="220"/>
      <c r="J3" s="220"/>
      <c r="K3" s="221"/>
      <c r="L3" s="220"/>
    </row>
    <row r="4" spans="1:13" ht="26.25" customHeight="1">
      <c r="A4" s="18"/>
      <c r="B4" s="5" t="s">
        <v>441</v>
      </c>
      <c r="C4" s="222"/>
      <c r="D4" s="217"/>
      <c r="E4" s="214"/>
      <c r="F4" s="218"/>
      <c r="G4" s="214"/>
      <c r="H4" s="214"/>
      <c r="I4" s="220"/>
      <c r="J4" s="220"/>
      <c r="K4" s="221"/>
      <c r="L4" s="220"/>
    </row>
    <row r="5" spans="1:13" ht="26.25" customHeight="1">
      <c r="A5" s="18"/>
      <c r="B5" s="5" t="s">
        <v>442</v>
      </c>
      <c r="C5" s="216"/>
      <c r="D5" s="217"/>
      <c r="E5" s="214"/>
      <c r="F5" s="218"/>
      <c r="G5" s="214"/>
      <c r="H5" s="214"/>
      <c r="I5" s="220"/>
      <c r="J5" s="220"/>
      <c r="K5" s="221"/>
      <c r="L5" s="220"/>
    </row>
    <row r="6" spans="1:13" ht="26.25" customHeight="1">
      <c r="A6" s="18"/>
      <c r="B6" s="5" t="s">
        <v>443</v>
      </c>
      <c r="C6" s="213" t="str">
        <f>INDEX(總表!$B$9:$B$47,MATCH('10A'!A9,總表!$A$9:$A$48,0))</f>
        <v>Kho rác thải nguy hại
危害廢物庫</v>
      </c>
      <c r="D6" s="217"/>
      <c r="E6" s="214"/>
      <c r="F6" s="218"/>
      <c r="G6" s="214"/>
      <c r="H6" s="214"/>
      <c r="I6" s="220"/>
      <c r="J6" s="220"/>
      <c r="K6" s="221"/>
      <c r="L6" s="220"/>
    </row>
    <row r="7" spans="1:13" ht="26.25" customHeight="1">
      <c r="A7" s="18"/>
      <c r="B7" s="5" t="s">
        <v>444</v>
      </c>
      <c r="C7" s="223" t="s">
        <v>445</v>
      </c>
      <c r="D7" s="224"/>
      <c r="E7" s="224"/>
      <c r="F7" s="224"/>
      <c r="G7" s="224"/>
      <c r="H7" s="224"/>
      <c r="I7" s="224"/>
      <c r="J7" s="224"/>
      <c r="K7" s="224"/>
      <c r="L7" s="224"/>
    </row>
    <row r="8" spans="1:13" s="2" customFormat="1" ht="41.25" customHeight="1">
      <c r="A8" s="19" t="s">
        <v>446</v>
      </c>
      <c r="B8" s="19" t="s">
        <v>508</v>
      </c>
      <c r="C8" s="19" t="s">
        <v>509</v>
      </c>
      <c r="D8" s="19" t="s">
        <v>448</v>
      </c>
      <c r="E8" s="19" t="s">
        <v>449</v>
      </c>
      <c r="F8" s="84" t="s">
        <v>510</v>
      </c>
      <c r="G8" s="19" t="s">
        <v>511</v>
      </c>
      <c r="H8" s="19" t="s">
        <v>512</v>
      </c>
      <c r="I8" s="21" t="s">
        <v>450</v>
      </c>
      <c r="J8" s="21" t="s">
        <v>452</v>
      </c>
      <c r="K8" s="84" t="s">
        <v>513</v>
      </c>
      <c r="L8" s="21" t="s">
        <v>514</v>
      </c>
    </row>
    <row r="9" spans="1:13" s="3" customFormat="1" ht="25.5" customHeight="1">
      <c r="A9" s="22" t="s">
        <v>467</v>
      </c>
      <c r="B9" s="23" t="str">
        <f>C6</f>
        <v>Kho rác thải nguy hại
危害廢物庫</v>
      </c>
      <c r="C9" s="23" t="s">
        <v>515</v>
      </c>
      <c r="D9" s="22"/>
      <c r="E9" s="25"/>
      <c r="F9" s="25"/>
      <c r="G9" s="25">
        <f>_xlfn.XLOOKUP(B9, Rate_Master!$A:$A, Rate_Master!$C:$C, "")</f>
        <v>0</v>
      </c>
      <c r="H9" s="25">
        <f>_xlfn.XLOOKUP(B9, Rate_Master!$A:$A, Rate_Master!$D:$D, "")</f>
        <v>0</v>
      </c>
      <c r="I9" s="26"/>
      <c r="J9" s="26">
        <f>SUBTOTAL(9,J10:J166)</f>
        <v>1987246162.0900385</v>
      </c>
      <c r="K9" s="26">
        <f>SUBTOTAL(9,K10:K166)</f>
        <v>1988765216.7945478</v>
      </c>
      <c r="L9" s="26"/>
      <c r="M9" s="103"/>
    </row>
    <row r="10" spans="1:13" s="3" customFormat="1" ht="25.5" customHeight="1">
      <c r="A10" s="22" t="str">
        <f>$A$9&amp;".C"</f>
        <v>10A.C</v>
      </c>
      <c r="B10" s="23" t="s">
        <v>1</v>
      </c>
      <c r="C10" s="23" t="s">
        <v>515</v>
      </c>
      <c r="D10" s="22"/>
      <c r="E10" s="25"/>
      <c r="F10" s="25"/>
      <c r="G10" s="25">
        <f>_xlfn.XLOOKUP(B10, Rate_Master!$A:$A, Rate_Master!$C:$C, "")</f>
        <v>0</v>
      </c>
      <c r="H10" s="25">
        <f>_xlfn.XLOOKUP(B10, Rate_Master!$A:$A, Rate_Master!$D:$D, "")</f>
        <v>0</v>
      </c>
      <c r="I10" s="26"/>
      <c r="J10" s="26"/>
      <c r="K10" s="89"/>
      <c r="L10" s="26"/>
    </row>
    <row r="11" spans="1:13" s="3" customFormat="1" ht="25.5" customHeight="1">
      <c r="A11" s="22" t="str">
        <f>$A$10&amp;1</f>
        <v>10A.C1</v>
      </c>
      <c r="B11" s="23" t="s">
        <v>2</v>
      </c>
      <c r="C11" s="23" t="s">
        <v>515</v>
      </c>
      <c r="D11" s="22"/>
      <c r="E11" s="25"/>
      <c r="F11" s="25"/>
      <c r="G11" s="25">
        <f>_xlfn.XLOOKUP(B11, Rate_Master!$A:$A, Rate_Master!$C:$C, "")</f>
        <v>0</v>
      </c>
      <c r="H11" s="25">
        <f>_xlfn.XLOOKUP(B11, Rate_Master!$A:$A, Rate_Master!$D:$D, "")</f>
        <v>0</v>
      </c>
      <c r="I11" s="26"/>
      <c r="J11" s="26">
        <f>SUBTOTAL(9,J12:J22)</f>
        <v>259959799.99999997</v>
      </c>
      <c r="K11" s="89">
        <f>SUBTOTAL(9,K12:K22)</f>
        <v>259959799.99999997</v>
      </c>
      <c r="L11" s="26"/>
    </row>
    <row r="12" spans="1:13" s="4" customFormat="1" ht="25.5" customHeight="1" outlineLevel="1">
      <c r="A12" s="27" t="str">
        <f t="shared" ref="A12:A22" si="0">$A$11&amp;"."&amp;ROW()-ROW($A$11)</f>
        <v>10A.C1.1</v>
      </c>
      <c r="B12" s="28" t="s">
        <v>3</v>
      </c>
      <c r="C12" s="28" t="s">
        <v>515</v>
      </c>
      <c r="D12" s="29" t="s">
        <v>516</v>
      </c>
      <c r="E12" s="31">
        <v>0</v>
      </c>
      <c r="F12" s="31">
        <v>0</v>
      </c>
      <c r="G12" s="31">
        <f>_xlfn.XLOOKUP(B12, Rate_Master!$A:$A, Rate_Master!$C:$C, "")</f>
        <v>0</v>
      </c>
      <c r="H12" s="31">
        <f>_xlfn.XLOOKUP(B12, Rate_Master!$A:$A, Rate_Master!$D:$D, "")</f>
        <v>114999999.99999999</v>
      </c>
      <c r="I12" s="32">
        <f t="shared" ref="I12:I22" si="1">G12+H12</f>
        <v>114999999.99999999</v>
      </c>
      <c r="J12" s="32">
        <f t="shared" ref="J12:J22" si="2">I12*E12</f>
        <v>0</v>
      </c>
      <c r="K12" s="58">
        <f t="shared" ref="K12:K22" si="3">I12*F12</f>
        <v>0</v>
      </c>
      <c r="L12" s="32"/>
    </row>
    <row r="13" spans="1:13" s="4" customFormat="1" ht="25.5" customHeight="1" outlineLevel="1">
      <c r="A13" s="27" t="str">
        <f t="shared" si="0"/>
        <v>10A.C1.2</v>
      </c>
      <c r="B13" s="28" t="s">
        <v>4</v>
      </c>
      <c r="C13" s="28" t="s">
        <v>515</v>
      </c>
      <c r="D13" s="29" t="s">
        <v>517</v>
      </c>
      <c r="E13" s="31">
        <v>0</v>
      </c>
      <c r="F13" s="31">
        <v>0</v>
      </c>
      <c r="G13" s="31">
        <f>_xlfn.XLOOKUP(B13, Rate_Master!$A:$A, Rate_Master!$C:$C, "")</f>
        <v>425499.99999999994</v>
      </c>
      <c r="H13" s="31">
        <f>_xlfn.XLOOKUP(B13, Rate_Master!$A:$A, Rate_Master!$D:$D, "")</f>
        <v>0</v>
      </c>
      <c r="I13" s="32">
        <f t="shared" si="1"/>
        <v>425499.99999999994</v>
      </c>
      <c r="J13" s="32">
        <f t="shared" si="2"/>
        <v>0</v>
      </c>
      <c r="K13" s="58">
        <f t="shared" si="3"/>
        <v>0</v>
      </c>
      <c r="L13" s="32"/>
    </row>
    <row r="14" spans="1:13" s="4" customFormat="1" ht="25.5" customHeight="1" outlineLevel="1">
      <c r="A14" s="27" t="str">
        <f t="shared" si="0"/>
        <v>10A.C1.3</v>
      </c>
      <c r="B14" s="28" t="s">
        <v>5</v>
      </c>
      <c r="C14" s="28" t="s">
        <v>515</v>
      </c>
      <c r="D14" s="29" t="s">
        <v>517</v>
      </c>
      <c r="E14" s="31">
        <v>0</v>
      </c>
      <c r="F14" s="31">
        <v>0</v>
      </c>
      <c r="G14" s="31">
        <f>_xlfn.XLOOKUP(B14, Rate_Master!$A:$A, Rate_Master!$C:$C, "")</f>
        <v>0</v>
      </c>
      <c r="H14" s="31">
        <f>_xlfn.XLOOKUP(B14, Rate_Master!$A:$A, Rate_Master!$D:$D, "")</f>
        <v>69000</v>
      </c>
      <c r="I14" s="32">
        <f t="shared" si="1"/>
        <v>69000</v>
      </c>
      <c r="J14" s="32">
        <f t="shared" si="2"/>
        <v>0</v>
      </c>
      <c r="K14" s="58">
        <f t="shared" si="3"/>
        <v>0</v>
      </c>
      <c r="L14" s="32"/>
    </row>
    <row r="15" spans="1:13" s="4" customFormat="1" ht="25.5" customHeight="1" outlineLevel="1">
      <c r="A15" s="27" t="str">
        <f t="shared" si="0"/>
        <v>10A.C1.4</v>
      </c>
      <c r="B15" s="28" t="s">
        <v>6</v>
      </c>
      <c r="C15" s="28" t="s">
        <v>515</v>
      </c>
      <c r="D15" s="29" t="s">
        <v>517</v>
      </c>
      <c r="E15" s="31">
        <v>0</v>
      </c>
      <c r="F15" s="31">
        <v>0</v>
      </c>
      <c r="G15" s="31">
        <f>_xlfn.XLOOKUP(B15, Rate_Master!$A:$A, Rate_Master!$C:$C, "")</f>
        <v>0</v>
      </c>
      <c r="H15" s="31">
        <f>_xlfn.XLOOKUP(B15, Rate_Master!$A:$A, Rate_Master!$D:$D, "")</f>
        <v>57499.999999999993</v>
      </c>
      <c r="I15" s="32">
        <f t="shared" si="1"/>
        <v>57499.999999999993</v>
      </c>
      <c r="J15" s="32">
        <f t="shared" si="2"/>
        <v>0</v>
      </c>
      <c r="K15" s="58">
        <f t="shared" si="3"/>
        <v>0</v>
      </c>
      <c r="L15" s="32"/>
    </row>
    <row r="16" spans="1:13" s="4" customFormat="1" ht="102" customHeight="1" outlineLevel="1">
      <c r="A16" s="27" t="str">
        <f t="shared" si="0"/>
        <v>10A.C1.5</v>
      </c>
      <c r="B16" s="28" t="s">
        <v>7</v>
      </c>
      <c r="C16" s="28" t="s">
        <v>515</v>
      </c>
      <c r="D16" s="29" t="s">
        <v>518</v>
      </c>
      <c r="E16" s="31">
        <v>0</v>
      </c>
      <c r="F16" s="31">
        <v>0</v>
      </c>
      <c r="G16" s="31">
        <f>_xlfn.XLOOKUP(B16, Rate_Master!$A:$A, Rate_Master!$C:$C, "")</f>
        <v>0</v>
      </c>
      <c r="H16" s="31">
        <f>_xlfn.XLOOKUP(B16, Rate_Master!$A:$A, Rate_Master!$D:$D, "")</f>
        <v>13799999.999999998</v>
      </c>
      <c r="I16" s="32">
        <f t="shared" si="1"/>
        <v>13799999.999999998</v>
      </c>
      <c r="J16" s="32">
        <f t="shared" si="2"/>
        <v>0</v>
      </c>
      <c r="K16" s="58">
        <f t="shared" si="3"/>
        <v>0</v>
      </c>
      <c r="L16" s="32"/>
    </row>
    <row r="17" spans="1:12" s="4" customFormat="1" ht="25.5" customHeight="1" outlineLevel="1">
      <c r="A17" s="27" t="str">
        <f t="shared" si="0"/>
        <v>10A.C1.6</v>
      </c>
      <c r="B17" s="28" t="s">
        <v>8</v>
      </c>
      <c r="C17" s="28" t="s">
        <v>515</v>
      </c>
      <c r="D17" s="29" t="s">
        <v>518</v>
      </c>
      <c r="E17" s="31">
        <v>5</v>
      </c>
      <c r="F17" s="31">
        <v>5</v>
      </c>
      <c r="G17" s="31">
        <f>_xlfn.XLOOKUP(B17, Rate_Master!$A:$A, Rate_Master!$C:$C, "")</f>
        <v>0</v>
      </c>
      <c r="H17" s="31">
        <f>_xlfn.XLOOKUP(B17, Rate_Master!$A:$A, Rate_Master!$D:$D, "")</f>
        <v>252999.99999999997</v>
      </c>
      <c r="I17" s="66">
        <f t="shared" si="1"/>
        <v>252999.99999999997</v>
      </c>
      <c r="J17" s="32">
        <f t="shared" si="2"/>
        <v>1264999.9999999998</v>
      </c>
      <c r="K17" s="58">
        <f t="shared" si="3"/>
        <v>1264999.9999999998</v>
      </c>
      <c r="L17" s="32"/>
    </row>
    <row r="18" spans="1:12" s="4" customFormat="1" ht="25.5" customHeight="1" outlineLevel="1">
      <c r="A18" s="27" t="str">
        <f t="shared" si="0"/>
        <v>10A.C1.7</v>
      </c>
      <c r="B18" s="28" t="s">
        <v>9</v>
      </c>
      <c r="C18" s="28" t="s">
        <v>515</v>
      </c>
      <c r="D18" s="29" t="s">
        <v>517</v>
      </c>
      <c r="E18" s="31">
        <v>462</v>
      </c>
      <c r="F18" s="31">
        <v>462</v>
      </c>
      <c r="G18" s="31">
        <f>_xlfn.XLOOKUP(B18, Rate_Master!$A:$A, Rate_Master!$C:$C, "")</f>
        <v>402499.99999999994</v>
      </c>
      <c r="H18" s="31">
        <f>_xlfn.XLOOKUP(B18, Rate_Master!$A:$A, Rate_Master!$D:$D, "")</f>
        <v>0</v>
      </c>
      <c r="I18" s="66">
        <f t="shared" si="1"/>
        <v>402499.99999999994</v>
      </c>
      <c r="J18" s="32">
        <f t="shared" si="2"/>
        <v>185954999.99999997</v>
      </c>
      <c r="K18" s="58">
        <f t="shared" si="3"/>
        <v>185954999.99999997</v>
      </c>
      <c r="L18" s="32"/>
    </row>
    <row r="19" spans="1:12" s="4" customFormat="1" ht="25.5" customHeight="1" outlineLevel="1">
      <c r="A19" s="27" t="str">
        <f t="shared" si="0"/>
        <v>10A.C1.8</v>
      </c>
      <c r="B19" s="28" t="s">
        <v>10</v>
      </c>
      <c r="C19" s="28" t="s">
        <v>515</v>
      </c>
      <c r="D19" s="29" t="s">
        <v>518</v>
      </c>
      <c r="E19" s="31">
        <v>21</v>
      </c>
      <c r="F19" s="31">
        <v>21</v>
      </c>
      <c r="G19" s="31">
        <f>_xlfn.XLOOKUP(B19, Rate_Master!$A:$A, Rate_Master!$C:$C, "")</f>
        <v>80500</v>
      </c>
      <c r="H19" s="31">
        <f>_xlfn.XLOOKUP(B19, Rate_Master!$A:$A, Rate_Master!$D:$D, "")</f>
        <v>0</v>
      </c>
      <c r="I19" s="66">
        <f t="shared" si="1"/>
        <v>80500</v>
      </c>
      <c r="J19" s="32">
        <f t="shared" si="2"/>
        <v>1690500</v>
      </c>
      <c r="K19" s="58">
        <f t="shared" si="3"/>
        <v>1690500</v>
      </c>
      <c r="L19" s="32"/>
    </row>
    <row r="20" spans="1:12" s="4" customFormat="1" ht="25.5" customHeight="1" outlineLevel="1">
      <c r="A20" s="27" t="str">
        <f t="shared" si="0"/>
        <v>10A.C1.9</v>
      </c>
      <c r="B20" s="28" t="s">
        <v>11</v>
      </c>
      <c r="C20" s="28" t="s">
        <v>515</v>
      </c>
      <c r="D20" s="29" t="s">
        <v>517</v>
      </c>
      <c r="E20" s="31">
        <v>445.2</v>
      </c>
      <c r="F20" s="31">
        <v>445.2</v>
      </c>
      <c r="G20" s="31">
        <f>_xlfn.XLOOKUP(B20, Rate_Master!$A:$A, Rate_Master!$C:$C, "")</f>
        <v>0</v>
      </c>
      <c r="H20" s="31">
        <f>_xlfn.XLOOKUP(B20, Rate_Master!$A:$A, Rate_Master!$D:$D, "")</f>
        <v>69000</v>
      </c>
      <c r="I20" s="66">
        <f t="shared" si="1"/>
        <v>69000</v>
      </c>
      <c r="J20" s="32">
        <f t="shared" si="2"/>
        <v>30718800</v>
      </c>
      <c r="K20" s="58">
        <f t="shared" si="3"/>
        <v>30718800</v>
      </c>
      <c r="L20" s="32"/>
    </row>
    <row r="21" spans="1:12" s="4" customFormat="1" ht="25.5" customHeight="1" outlineLevel="1">
      <c r="A21" s="27" t="str">
        <f t="shared" si="0"/>
        <v>10A.C1.10</v>
      </c>
      <c r="B21" s="28" t="s">
        <v>12</v>
      </c>
      <c r="C21" s="28" t="s">
        <v>515</v>
      </c>
      <c r="D21" s="29" t="s">
        <v>517</v>
      </c>
      <c r="E21" s="31">
        <v>466.2</v>
      </c>
      <c r="F21" s="31">
        <v>466.2</v>
      </c>
      <c r="G21" s="31">
        <f>_xlfn.XLOOKUP(B21, Rate_Master!$A:$A, Rate_Master!$C:$C, "")</f>
        <v>0</v>
      </c>
      <c r="H21" s="31">
        <f>_xlfn.XLOOKUP(B21, Rate_Master!$A:$A, Rate_Master!$D:$D, "")</f>
        <v>57499.999999999993</v>
      </c>
      <c r="I21" s="66">
        <f t="shared" si="1"/>
        <v>57499.999999999993</v>
      </c>
      <c r="J21" s="32">
        <f t="shared" si="2"/>
        <v>26806499.999999996</v>
      </c>
      <c r="K21" s="58">
        <f t="shared" si="3"/>
        <v>26806499.999999996</v>
      </c>
      <c r="L21" s="32"/>
    </row>
    <row r="22" spans="1:12" s="4" customFormat="1" ht="63.75" customHeight="1" outlineLevel="1">
      <c r="A22" s="27" t="str">
        <f t="shared" si="0"/>
        <v>10A.C1.11</v>
      </c>
      <c r="B22" s="28" t="s">
        <v>13</v>
      </c>
      <c r="C22" s="28" t="s">
        <v>515</v>
      </c>
      <c r="D22" s="29" t="s">
        <v>518</v>
      </c>
      <c r="E22" s="31">
        <v>21</v>
      </c>
      <c r="F22" s="31">
        <v>21</v>
      </c>
      <c r="G22" s="31">
        <f>_xlfn.XLOOKUP(B22, Rate_Master!$A:$A, Rate_Master!$C:$C, "")</f>
        <v>482999.99999999994</v>
      </c>
      <c r="H22" s="31">
        <f>_xlfn.XLOOKUP(B22, Rate_Master!$A:$A, Rate_Master!$D:$D, "")</f>
        <v>161000</v>
      </c>
      <c r="I22" s="66">
        <f t="shared" si="1"/>
        <v>644000</v>
      </c>
      <c r="J22" s="32">
        <f t="shared" si="2"/>
        <v>13524000</v>
      </c>
      <c r="K22" s="58">
        <f t="shared" si="3"/>
        <v>13524000</v>
      </c>
      <c r="L22" s="32"/>
    </row>
    <row r="23" spans="1:12" s="3" customFormat="1" ht="25.5" customHeight="1">
      <c r="A23" s="22" t="str">
        <f>$A$10&amp;2</f>
        <v>10A.C2</v>
      </c>
      <c r="B23" s="23" t="s">
        <v>14</v>
      </c>
      <c r="C23" s="23" t="s">
        <v>515</v>
      </c>
      <c r="D23" s="22"/>
      <c r="E23" s="25"/>
      <c r="F23" s="25"/>
      <c r="G23" s="25">
        <f>_xlfn.XLOOKUP(B23, Rate_Master!$A:$A, Rate_Master!$C:$C, "")</f>
        <v>0</v>
      </c>
      <c r="H23" s="25">
        <f>_xlfn.XLOOKUP(B23, Rate_Master!$A:$A, Rate_Master!$D:$D, "")</f>
        <v>0</v>
      </c>
      <c r="I23" s="26"/>
      <c r="J23" s="26">
        <f>SUBTOTAL(9,J24:J31)</f>
        <v>46105770.100000001</v>
      </c>
      <c r="K23" s="89">
        <f>SUBTOTAL(9,K24:K31)</f>
        <v>46105770.100000001</v>
      </c>
      <c r="L23" s="26"/>
    </row>
    <row r="24" spans="1:12" s="4" customFormat="1" ht="25.5" hidden="1" customHeight="1" outlineLevel="1">
      <c r="A24" s="27" t="str">
        <f t="shared" ref="A24:A31" si="4">$A$23&amp;"."&amp;ROW()-ROW($A$23)</f>
        <v>10A.C2.1</v>
      </c>
      <c r="B24" s="28" t="s">
        <v>15</v>
      </c>
      <c r="C24" s="28" t="s">
        <v>515</v>
      </c>
      <c r="D24" s="29" t="s">
        <v>519</v>
      </c>
      <c r="E24" s="31">
        <v>50.56</v>
      </c>
      <c r="F24" s="31">
        <v>50.56</v>
      </c>
      <c r="G24" s="31">
        <f>_xlfn.XLOOKUP(B24, Rate_Master!$A:$A, Rate_Master!$C:$C, "")</f>
        <v>0</v>
      </c>
      <c r="H24" s="31">
        <f>_xlfn.XLOOKUP(B24, Rate_Master!$A:$A, Rate_Master!$D:$D, "")</f>
        <v>32199.999999999996</v>
      </c>
      <c r="I24" s="66">
        <f t="shared" ref="I24:I31" si="5">G24+H24</f>
        <v>32199.999999999996</v>
      </c>
      <c r="J24" s="32">
        <f t="shared" ref="J24:J31" si="6">I24*E24</f>
        <v>1628032</v>
      </c>
      <c r="K24" s="58">
        <f t="shared" ref="K24:K31" si="7">I24*F24</f>
        <v>1628032</v>
      </c>
      <c r="L24" s="32"/>
    </row>
    <row r="25" spans="1:12" s="4" customFormat="1" ht="25.5" hidden="1" customHeight="1" outlineLevel="1">
      <c r="A25" s="27" t="str">
        <f t="shared" si="4"/>
        <v>10A.C2.2</v>
      </c>
      <c r="B25" s="28" t="s">
        <v>16</v>
      </c>
      <c r="C25" s="28" t="s">
        <v>515</v>
      </c>
      <c r="D25" s="29" t="s">
        <v>520</v>
      </c>
      <c r="E25" s="31">
        <v>69.131</v>
      </c>
      <c r="F25" s="31">
        <v>69.131</v>
      </c>
      <c r="G25" s="31">
        <f>_xlfn.XLOOKUP(B25, Rate_Master!$A:$A, Rate_Master!$C:$C, "")</f>
        <v>0</v>
      </c>
      <c r="H25" s="31">
        <f>_xlfn.XLOOKUP(B25, Rate_Master!$A:$A, Rate_Master!$D:$D, "")</f>
        <v>17250</v>
      </c>
      <c r="I25" s="66">
        <f t="shared" si="5"/>
        <v>17250</v>
      </c>
      <c r="J25" s="32">
        <f t="shared" si="6"/>
        <v>1192509.75</v>
      </c>
      <c r="K25" s="58">
        <f t="shared" si="7"/>
        <v>1192509.75</v>
      </c>
      <c r="L25" s="32"/>
    </row>
    <row r="26" spans="1:12" s="4" customFormat="1" ht="25.5" hidden="1" customHeight="1" outlineLevel="1">
      <c r="A26" s="27" t="str">
        <f t="shared" si="4"/>
        <v>10A.C2.3</v>
      </c>
      <c r="B26" s="28" t="s">
        <v>17</v>
      </c>
      <c r="C26" s="28" t="s">
        <v>515</v>
      </c>
      <c r="D26" s="29" t="s">
        <v>519</v>
      </c>
      <c r="E26" s="31">
        <v>35.118000000000002</v>
      </c>
      <c r="F26" s="31">
        <v>35.118000000000002</v>
      </c>
      <c r="G26" s="31">
        <f>_xlfn.XLOOKUP(B26, Rate_Master!$A:$A, Rate_Master!$C:$C, "")</f>
        <v>0</v>
      </c>
      <c r="H26" s="31">
        <f>_xlfn.XLOOKUP(B26, Rate_Master!$A:$A, Rate_Master!$D:$D, "")</f>
        <v>37950</v>
      </c>
      <c r="I26" s="66">
        <f t="shared" si="5"/>
        <v>37950</v>
      </c>
      <c r="J26" s="32">
        <f t="shared" si="6"/>
        <v>1332728.1000000001</v>
      </c>
      <c r="K26" s="58">
        <f t="shared" si="7"/>
        <v>1332728.1000000001</v>
      </c>
      <c r="L26" s="32"/>
    </row>
    <row r="27" spans="1:12" s="4" customFormat="1" ht="25.5" hidden="1" customHeight="1" outlineLevel="1">
      <c r="A27" s="27" t="str">
        <f t="shared" si="4"/>
        <v>10A.C2.4</v>
      </c>
      <c r="B27" s="34" t="s">
        <v>18</v>
      </c>
      <c r="C27" s="34" t="s">
        <v>521</v>
      </c>
      <c r="D27" s="29" t="s">
        <v>519</v>
      </c>
      <c r="E27" s="31">
        <v>15.442</v>
      </c>
      <c r="F27" s="31">
        <v>15.442</v>
      </c>
      <c r="G27" s="31">
        <f>_xlfn.XLOOKUP(B27, Rate_Master!$A:$A, Rate_Master!$C:$C, "")</f>
        <v>0</v>
      </c>
      <c r="H27" s="31">
        <f>_xlfn.XLOOKUP(B27, Rate_Master!$A:$A, Rate_Master!$D:$D, "")</f>
        <v>32199.999999999996</v>
      </c>
      <c r="I27" s="66">
        <f t="shared" si="5"/>
        <v>32199.999999999996</v>
      </c>
      <c r="J27" s="32">
        <f t="shared" si="6"/>
        <v>497232.39999999997</v>
      </c>
      <c r="K27" s="58">
        <f t="shared" si="7"/>
        <v>497232.39999999997</v>
      </c>
      <c r="L27" s="32"/>
    </row>
    <row r="28" spans="1:12" s="4" customFormat="1" ht="25.5" hidden="1" customHeight="1" outlineLevel="1">
      <c r="A28" s="27" t="str">
        <f t="shared" si="4"/>
        <v>10A.C2.5</v>
      </c>
      <c r="B28" s="28" t="s">
        <v>19</v>
      </c>
      <c r="C28" s="28" t="s">
        <v>515</v>
      </c>
      <c r="D28" s="29" t="s">
        <v>520</v>
      </c>
      <c r="E28" s="31">
        <v>69.131</v>
      </c>
      <c r="F28" s="31">
        <v>69.131</v>
      </c>
      <c r="G28" s="31">
        <f>_xlfn.XLOOKUP(B28, Rate_Master!$A:$A, Rate_Master!$C:$C, "")</f>
        <v>6899.9999999999991</v>
      </c>
      <c r="H28" s="31">
        <f>_xlfn.XLOOKUP(B28, Rate_Master!$A:$A, Rate_Master!$D:$D, "")</f>
        <v>1724.9999999999998</v>
      </c>
      <c r="I28" s="66">
        <f t="shared" si="5"/>
        <v>8624.9999999999982</v>
      </c>
      <c r="J28" s="32">
        <f t="shared" si="6"/>
        <v>596254.87499999988</v>
      </c>
      <c r="K28" s="58">
        <f t="shared" si="7"/>
        <v>596254.87499999988</v>
      </c>
      <c r="L28" s="32"/>
    </row>
    <row r="29" spans="1:12" s="4" customFormat="1" ht="38.25" hidden="1" customHeight="1" outlineLevel="1">
      <c r="A29" s="27" t="str">
        <f t="shared" si="4"/>
        <v>10A.C2.6</v>
      </c>
      <c r="B29" s="28" t="s">
        <v>20</v>
      </c>
      <c r="C29" s="28" t="s">
        <v>515</v>
      </c>
      <c r="D29" s="29" t="s">
        <v>520</v>
      </c>
      <c r="E29" s="31">
        <v>153.39699999999999</v>
      </c>
      <c r="F29" s="31">
        <v>153.39699999999999</v>
      </c>
      <c r="G29" s="31">
        <f>_xlfn.XLOOKUP(B29, Rate_Master!$A:$A, Rate_Master!$C:$C, "")</f>
        <v>34500</v>
      </c>
      <c r="H29" s="31">
        <f>_xlfn.XLOOKUP(B29, Rate_Master!$A:$A, Rate_Master!$D:$D, "")</f>
        <v>5750</v>
      </c>
      <c r="I29" s="66">
        <f t="shared" si="5"/>
        <v>40250</v>
      </c>
      <c r="J29" s="32">
        <f t="shared" si="6"/>
        <v>6174229.25</v>
      </c>
      <c r="K29" s="58">
        <f t="shared" si="7"/>
        <v>6174229.25</v>
      </c>
      <c r="L29" s="32"/>
    </row>
    <row r="30" spans="1:12" s="4" customFormat="1" ht="25.5" hidden="1" customHeight="1" outlineLevel="1">
      <c r="A30" s="27" t="str">
        <f t="shared" si="4"/>
        <v>10A.C2.7</v>
      </c>
      <c r="B30" s="34" t="s">
        <v>21</v>
      </c>
      <c r="C30" s="28" t="s">
        <v>515</v>
      </c>
      <c r="D30" s="29" t="s">
        <v>520</v>
      </c>
      <c r="E30" s="31">
        <v>153.39699999999999</v>
      </c>
      <c r="F30" s="31">
        <v>153.39699999999999</v>
      </c>
      <c r="G30" s="31">
        <f>_xlfn.XLOOKUP(B30, Rate_Master!$A:$A, Rate_Master!$C:$C, "")</f>
        <v>0</v>
      </c>
      <c r="H30" s="31">
        <f>_xlfn.XLOOKUP(B30, Rate_Master!$A:$A, Rate_Master!$D:$D, "")</f>
        <v>13799.999999999998</v>
      </c>
      <c r="I30" s="32">
        <f t="shared" si="5"/>
        <v>13799.999999999998</v>
      </c>
      <c r="J30" s="32">
        <f t="shared" si="6"/>
        <v>2116878.5999999996</v>
      </c>
      <c r="K30" s="58">
        <f t="shared" si="7"/>
        <v>2116878.5999999996</v>
      </c>
      <c r="L30" s="32"/>
    </row>
    <row r="31" spans="1:12" s="4" customFormat="1" ht="25.5" hidden="1" customHeight="1" outlineLevel="1">
      <c r="A31" s="27" t="str">
        <f t="shared" si="4"/>
        <v>10A.C2.8</v>
      </c>
      <c r="B31" s="28" t="s">
        <v>22</v>
      </c>
      <c r="C31" s="28" t="s">
        <v>515</v>
      </c>
      <c r="D31" s="29" t="s">
        <v>519</v>
      </c>
      <c r="E31" s="31">
        <v>52.884999999999998</v>
      </c>
      <c r="F31" s="31">
        <v>52.884999999999998</v>
      </c>
      <c r="G31" s="31">
        <f>_xlfn.XLOOKUP(B31, Rate_Master!$A:$A, Rate_Master!$C:$C, "")</f>
        <v>512325</v>
      </c>
      <c r="H31" s="31">
        <f>_xlfn.XLOOKUP(B31, Rate_Master!$A:$A, Rate_Master!$D:$D, "")</f>
        <v>103499.99999999999</v>
      </c>
      <c r="I31" s="66">
        <f t="shared" si="5"/>
        <v>615825</v>
      </c>
      <c r="J31" s="32">
        <f t="shared" si="6"/>
        <v>32567905.125</v>
      </c>
      <c r="K31" s="58">
        <f t="shared" si="7"/>
        <v>32567905.125</v>
      </c>
      <c r="L31" s="32"/>
    </row>
    <row r="32" spans="1:12" s="3" customFormat="1" ht="25.5" customHeight="1" collapsed="1">
      <c r="A32" s="22" t="str">
        <f>$A$10&amp;3</f>
        <v>10A.C3</v>
      </c>
      <c r="B32" s="23" t="s">
        <v>23</v>
      </c>
      <c r="C32" s="23" t="s">
        <v>515</v>
      </c>
      <c r="D32" s="22"/>
      <c r="E32" s="25"/>
      <c r="F32" s="25"/>
      <c r="G32" s="25">
        <f>_xlfn.XLOOKUP(B32, Rate_Master!$A:$A, Rate_Master!$C:$C, "")</f>
        <v>0</v>
      </c>
      <c r="H32" s="25">
        <f>_xlfn.XLOOKUP(B32, Rate_Master!$A:$A, Rate_Master!$D:$D, "")</f>
        <v>0</v>
      </c>
      <c r="I32" s="26"/>
      <c r="J32" s="26">
        <f>SUBTOTAL(9,J33:J39)</f>
        <v>97604692.740277767</v>
      </c>
      <c r="K32" s="89">
        <f>SUBTOTAL(9,K33:K39)</f>
        <v>97604692.740277767</v>
      </c>
      <c r="L32" s="26"/>
    </row>
    <row r="33" spans="1:12" s="4" customFormat="1" ht="25.5" hidden="1" customHeight="1" outlineLevel="1">
      <c r="A33" s="27" t="str">
        <f t="shared" ref="A33:A39" si="8">$A$32&amp;"."&amp;ROW()-ROW($A$32)</f>
        <v>10A.C3.1</v>
      </c>
      <c r="B33" s="28" t="s">
        <v>24</v>
      </c>
      <c r="C33" s="28" t="s">
        <v>515</v>
      </c>
      <c r="D33" s="29" t="s">
        <v>519</v>
      </c>
      <c r="E33" s="31">
        <v>6.9130000000000003</v>
      </c>
      <c r="F33" s="31">
        <v>6.9130000000000003</v>
      </c>
      <c r="G33" s="30">
        <f>_xlfn.XLOOKUP(B33, Rate_Master!$A:$A, Rate_Master!$C:$C, "")</f>
        <v>1249762.5</v>
      </c>
      <c r="H33" s="30">
        <f>_xlfn.XLOOKUP(B33, Rate_Master!$A:$A, Rate_Master!$D:$D, "")</f>
        <v>206999.99999999997</v>
      </c>
      <c r="I33" s="66">
        <f t="shared" ref="I33:I39" si="9">G33+H33</f>
        <v>1456762.5</v>
      </c>
      <c r="J33" s="32">
        <f t="shared" ref="J33:J39" si="10">I33*E33</f>
        <v>10070599.1625</v>
      </c>
      <c r="K33" s="58">
        <f t="shared" ref="K33:K39" si="11">I33*F33</f>
        <v>10070599.1625</v>
      </c>
      <c r="L33" s="32"/>
    </row>
    <row r="34" spans="1:12" s="4" customFormat="1" ht="51" hidden="1" customHeight="1" outlineLevel="1">
      <c r="A34" s="27" t="str">
        <f t="shared" si="8"/>
        <v>10A.C3.2</v>
      </c>
      <c r="B34" s="28" t="s">
        <v>25</v>
      </c>
      <c r="C34" s="28" t="s">
        <v>515</v>
      </c>
      <c r="D34" s="29" t="s">
        <v>519</v>
      </c>
      <c r="E34" s="31">
        <v>34.125999999999998</v>
      </c>
      <c r="F34" s="31">
        <v>34.125999999999998</v>
      </c>
      <c r="G34" s="30">
        <f>_xlfn.XLOOKUP(B34, Rate_Master!$A:$A, Rate_Master!$C:$C, "")</f>
        <v>1607444.4444444443</v>
      </c>
      <c r="H34" s="30">
        <f>_xlfn.XLOOKUP(B34, Rate_Master!$A:$A, Rate_Master!$D:$D, "")</f>
        <v>149500</v>
      </c>
      <c r="I34" s="66">
        <f t="shared" si="9"/>
        <v>1756944.4444444443</v>
      </c>
      <c r="J34" s="32">
        <f t="shared" si="10"/>
        <v>59957486.111111104</v>
      </c>
      <c r="K34" s="58">
        <f t="shared" si="11"/>
        <v>59957486.111111104</v>
      </c>
      <c r="L34" s="32"/>
    </row>
    <row r="35" spans="1:12" s="4" customFormat="1" ht="25.5" hidden="1" customHeight="1" outlineLevel="1">
      <c r="A35" s="27" t="str">
        <f t="shared" si="8"/>
        <v>10A.C3.3</v>
      </c>
      <c r="B35" s="28" t="s">
        <v>26</v>
      </c>
      <c r="C35" s="28" t="s">
        <v>515</v>
      </c>
      <c r="D35" s="29" t="s">
        <v>519</v>
      </c>
      <c r="E35" s="31">
        <v>8.8420000000000005</v>
      </c>
      <c r="F35" s="31">
        <v>8.8420000000000005</v>
      </c>
      <c r="G35" s="30">
        <f>_xlfn.XLOOKUP(B35, Rate_Master!$A:$A, Rate_Master!$C:$C, "")</f>
        <v>1520555.5555555553</v>
      </c>
      <c r="H35" s="30">
        <f>_xlfn.XLOOKUP(B35, Rate_Master!$A:$A, Rate_Master!$D:$D, "")</f>
        <v>252999.99999999997</v>
      </c>
      <c r="I35" s="66">
        <f t="shared" si="9"/>
        <v>1773555.5555555553</v>
      </c>
      <c r="J35" s="32">
        <f t="shared" si="10"/>
        <v>15681778.22222222</v>
      </c>
      <c r="K35" s="58">
        <f t="shared" si="11"/>
        <v>15681778.22222222</v>
      </c>
      <c r="L35" s="32"/>
    </row>
    <row r="36" spans="1:12" s="4" customFormat="1" ht="25.5" hidden="1" customHeight="1" outlineLevel="1">
      <c r="A36" s="27" t="str">
        <f t="shared" si="8"/>
        <v>10A.C3.4</v>
      </c>
      <c r="B36" s="28" t="s">
        <v>27</v>
      </c>
      <c r="C36" s="28" t="s">
        <v>515</v>
      </c>
      <c r="D36" s="29" t="s">
        <v>519</v>
      </c>
      <c r="E36" s="31">
        <v>5.8319999999999999</v>
      </c>
      <c r="F36" s="31">
        <v>5.8319999999999999</v>
      </c>
      <c r="G36" s="30">
        <f>_xlfn.XLOOKUP(B36, Rate_Master!$A:$A, Rate_Master!$C:$C, "")</f>
        <v>1520555.5555555553</v>
      </c>
      <c r="H36" s="30">
        <f>_xlfn.XLOOKUP(B36, Rate_Master!$A:$A, Rate_Master!$D:$D, "")</f>
        <v>149500</v>
      </c>
      <c r="I36" s="66">
        <f t="shared" si="9"/>
        <v>1670055.5555555553</v>
      </c>
      <c r="J36" s="32">
        <f t="shared" si="10"/>
        <v>9739763.9999999981</v>
      </c>
      <c r="K36" s="58">
        <f t="shared" si="11"/>
        <v>9739763.9999999981</v>
      </c>
      <c r="L36" s="32"/>
    </row>
    <row r="37" spans="1:12" s="4" customFormat="1" ht="25.5" hidden="1" customHeight="1" outlineLevel="1">
      <c r="A37" s="27" t="str">
        <f t="shared" si="8"/>
        <v>10A.C3.5</v>
      </c>
      <c r="B37" s="28" t="s">
        <v>28</v>
      </c>
      <c r="C37" s="28" t="s">
        <v>515</v>
      </c>
      <c r="D37" s="29" t="s">
        <v>519</v>
      </c>
      <c r="E37" s="31">
        <v>0</v>
      </c>
      <c r="F37" s="31">
        <v>0</v>
      </c>
      <c r="G37" s="30">
        <f>_xlfn.XLOOKUP(B37, Rate_Master!$A:$A, Rate_Master!$C:$C, "")</f>
        <v>1390222.2222222222</v>
      </c>
      <c r="H37" s="30">
        <f>_xlfn.XLOOKUP(B37, Rate_Master!$A:$A, Rate_Master!$D:$D, "")</f>
        <v>149500</v>
      </c>
      <c r="I37" s="66">
        <f t="shared" si="9"/>
        <v>1539722.2222222222</v>
      </c>
      <c r="J37" s="32">
        <f t="shared" si="10"/>
        <v>0</v>
      </c>
      <c r="K37" s="58">
        <f t="shared" si="11"/>
        <v>0</v>
      </c>
      <c r="L37" s="32"/>
    </row>
    <row r="38" spans="1:12" s="4" customFormat="1" ht="25.5" hidden="1" customHeight="1" outlineLevel="1">
      <c r="A38" s="27" t="str">
        <f t="shared" si="8"/>
        <v>10A.C3.6</v>
      </c>
      <c r="B38" s="28" t="s">
        <v>29</v>
      </c>
      <c r="C38" s="28" t="s">
        <v>515</v>
      </c>
      <c r="D38" s="29" t="s">
        <v>519</v>
      </c>
      <c r="E38" s="31">
        <v>0.70399999999999996</v>
      </c>
      <c r="F38" s="31">
        <v>0.70399999999999996</v>
      </c>
      <c r="G38" s="30">
        <f>_xlfn.XLOOKUP(B38, Rate_Master!$A:$A, Rate_Master!$C:$C, "")</f>
        <v>1390222.2222222222</v>
      </c>
      <c r="H38" s="30">
        <f>_xlfn.XLOOKUP(B38, Rate_Master!$A:$A, Rate_Master!$D:$D, "")</f>
        <v>149500</v>
      </c>
      <c r="I38" s="66">
        <f t="shared" si="9"/>
        <v>1539722.2222222222</v>
      </c>
      <c r="J38" s="32">
        <f t="shared" si="10"/>
        <v>1083964.4444444445</v>
      </c>
      <c r="K38" s="58">
        <f t="shared" si="11"/>
        <v>1083964.4444444445</v>
      </c>
      <c r="L38" s="32"/>
    </row>
    <row r="39" spans="1:12" s="4" customFormat="1" ht="38.25" hidden="1" customHeight="1" outlineLevel="1">
      <c r="A39" s="27" t="str">
        <f t="shared" si="8"/>
        <v>10A.C3.7</v>
      </c>
      <c r="B39" s="28" t="s">
        <v>30</v>
      </c>
      <c r="C39" s="28" t="s">
        <v>515</v>
      </c>
      <c r="D39" s="29" t="s">
        <v>519</v>
      </c>
      <c r="E39" s="31">
        <v>3.5200000000000002E-2</v>
      </c>
      <c r="F39" s="31">
        <v>3.5200000000000002E-2</v>
      </c>
      <c r="G39" s="30">
        <f>_xlfn.XLOOKUP(B39, Rate_Master!$A:$A, Rate_Master!$C:$C, "")</f>
        <v>22425000</v>
      </c>
      <c r="H39" s="30">
        <f>_xlfn.XLOOKUP(B39, Rate_Master!$A:$A, Rate_Master!$D:$D, "")</f>
        <v>8003999.9999999991</v>
      </c>
      <c r="I39" s="66">
        <f t="shared" si="9"/>
        <v>30429000</v>
      </c>
      <c r="J39" s="32">
        <f t="shared" si="10"/>
        <v>1071100.8</v>
      </c>
      <c r="K39" s="58">
        <f t="shared" si="11"/>
        <v>1071100.8</v>
      </c>
      <c r="L39" s="32"/>
    </row>
    <row r="40" spans="1:12" s="3" customFormat="1" ht="25.5" customHeight="1" collapsed="1">
      <c r="A40" s="22" t="str">
        <f>$A$10&amp;4</f>
        <v>10A.C4</v>
      </c>
      <c r="B40" s="23" t="s">
        <v>31</v>
      </c>
      <c r="C40" s="23" t="s">
        <v>515</v>
      </c>
      <c r="D40" s="22"/>
      <c r="E40" s="25"/>
      <c r="F40" s="25"/>
      <c r="G40" s="25">
        <f>_xlfn.XLOOKUP(B40, Rate_Master!$A:$A, Rate_Master!$C:$C, "")</f>
        <v>0</v>
      </c>
      <c r="H40" s="25">
        <f>_xlfn.XLOOKUP(B40, Rate_Master!$A:$A, Rate_Master!$D:$D, "")</f>
        <v>0</v>
      </c>
      <c r="I40" s="26"/>
      <c r="J40" s="26">
        <f>SUBTOTAL(9,J41:J45)</f>
        <v>75433330</v>
      </c>
      <c r="K40" s="89">
        <f>SUBTOTAL(9,K41:K45)</f>
        <v>75433330</v>
      </c>
      <c r="L40" s="26"/>
    </row>
    <row r="41" spans="1:12" s="4" customFormat="1" ht="25.5" hidden="1" customHeight="1" outlineLevel="1">
      <c r="A41" s="27" t="str">
        <f>$A$40&amp;"."&amp;ROW()-ROW($A$40)</f>
        <v>10A.C4.1</v>
      </c>
      <c r="B41" s="28" t="s">
        <v>32</v>
      </c>
      <c r="C41" s="28" t="s">
        <v>515</v>
      </c>
      <c r="D41" s="29" t="s">
        <v>520</v>
      </c>
      <c r="E41" s="31">
        <v>24.942</v>
      </c>
      <c r="F41" s="31">
        <v>24.942</v>
      </c>
      <c r="G41" s="30">
        <f>_xlfn.XLOOKUP(B41, Rate_Master!$A:$A, Rate_Master!$C:$C, "")</f>
        <v>80500</v>
      </c>
      <c r="H41" s="30">
        <f>_xlfn.XLOOKUP(B41, Rate_Master!$A:$A, Rate_Master!$D:$D, "")</f>
        <v>92000</v>
      </c>
      <c r="I41" s="66">
        <f>G41+H41</f>
        <v>172500</v>
      </c>
      <c r="J41" s="32">
        <f>I41*E41</f>
        <v>4302495</v>
      </c>
      <c r="K41" s="58">
        <f>I41*F41</f>
        <v>4302495</v>
      </c>
      <c r="L41" s="32"/>
    </row>
    <row r="42" spans="1:12" s="4" customFormat="1" ht="38.25" hidden="1" customHeight="1" outlineLevel="1">
      <c r="A42" s="27" t="str">
        <f>$A$40&amp;"."&amp;ROW()-ROW($A$40)</f>
        <v>10A.C4.2</v>
      </c>
      <c r="B42" s="28" t="s">
        <v>33</v>
      </c>
      <c r="C42" s="28" t="s">
        <v>515</v>
      </c>
      <c r="D42" s="29" t="s">
        <v>520</v>
      </c>
      <c r="E42" s="31">
        <v>95.414000000000001</v>
      </c>
      <c r="F42" s="31">
        <v>95.414000000000001</v>
      </c>
      <c r="G42" s="30">
        <f>_xlfn.XLOOKUP(B42, Rate_Master!$A:$A, Rate_Master!$C:$C, "")</f>
        <v>126499.99999999999</v>
      </c>
      <c r="H42" s="30">
        <f>_xlfn.XLOOKUP(B42, Rate_Master!$A:$A, Rate_Master!$D:$D, "")</f>
        <v>103499.99999999999</v>
      </c>
      <c r="I42" s="66">
        <f>G42+H42</f>
        <v>229999.99999999997</v>
      </c>
      <c r="J42" s="32">
        <f>I42*E42</f>
        <v>21945219.999999996</v>
      </c>
      <c r="K42" s="58">
        <f>I42*F42</f>
        <v>21945219.999999996</v>
      </c>
      <c r="L42" s="32"/>
    </row>
    <row r="43" spans="1:12" s="4" customFormat="1" ht="25.5" hidden="1" customHeight="1" outlineLevel="1">
      <c r="A43" s="27" t="str">
        <f>$A$40&amp;"."&amp;ROW()-ROW($A$40)</f>
        <v>10A.C4.3</v>
      </c>
      <c r="B43" s="28" t="s">
        <v>34</v>
      </c>
      <c r="C43" s="28" t="s">
        <v>515</v>
      </c>
      <c r="D43" s="29" t="s">
        <v>520</v>
      </c>
      <c r="E43" s="31">
        <v>118.384</v>
      </c>
      <c r="F43" s="31">
        <v>118.384</v>
      </c>
      <c r="G43" s="30">
        <f>_xlfn.XLOOKUP(B43, Rate_Master!$A:$A, Rate_Master!$C:$C, "")</f>
        <v>126499.99999999999</v>
      </c>
      <c r="H43" s="30">
        <f>_xlfn.XLOOKUP(B43, Rate_Master!$A:$A, Rate_Master!$D:$D, "")</f>
        <v>149500</v>
      </c>
      <c r="I43" s="66">
        <f>G43+H43</f>
        <v>276000</v>
      </c>
      <c r="J43" s="32">
        <f>I43*E43</f>
        <v>32673984</v>
      </c>
      <c r="K43" s="58">
        <f>I43*F43</f>
        <v>32673984</v>
      </c>
      <c r="L43" s="32"/>
    </row>
    <row r="44" spans="1:12" s="4" customFormat="1" ht="25.5" hidden="1" customHeight="1" outlineLevel="1">
      <c r="A44" s="27" t="str">
        <f>$A$40&amp;"."&amp;ROW()-ROW($A$40)</f>
        <v>10A.C4.4</v>
      </c>
      <c r="B44" s="28" t="s">
        <v>35</v>
      </c>
      <c r="C44" s="28" t="s">
        <v>515</v>
      </c>
      <c r="D44" s="29" t="s">
        <v>520</v>
      </c>
      <c r="E44" s="31">
        <v>60.793999999999997</v>
      </c>
      <c r="F44" s="31">
        <v>60.793999999999997</v>
      </c>
      <c r="G44" s="30">
        <f>_xlfn.XLOOKUP(B44, Rate_Master!$A:$A, Rate_Master!$C:$C, "")</f>
        <v>126499.99999999999</v>
      </c>
      <c r="H44" s="30">
        <f>_xlfn.XLOOKUP(B44, Rate_Master!$A:$A, Rate_Master!$D:$D, "")</f>
        <v>114999.99999999999</v>
      </c>
      <c r="I44" s="66">
        <f>G44+H44</f>
        <v>241499.99999999997</v>
      </c>
      <c r="J44" s="32">
        <f>I44*E44</f>
        <v>14681750.999999998</v>
      </c>
      <c r="K44" s="58">
        <f>I44*F44</f>
        <v>14681750.999999998</v>
      </c>
      <c r="L44" s="32"/>
    </row>
    <row r="45" spans="1:12" s="4" customFormat="1" ht="25.5" hidden="1" customHeight="1" outlineLevel="1">
      <c r="A45" s="27" t="str">
        <f>$A$40&amp;"."&amp;ROW()-ROW($A$40)</f>
        <v>10A.C4.5</v>
      </c>
      <c r="B45" s="28" t="s">
        <v>36</v>
      </c>
      <c r="C45" s="28" t="s">
        <v>515</v>
      </c>
      <c r="D45" s="29" t="s">
        <v>520</v>
      </c>
      <c r="E45" s="31">
        <v>8.16</v>
      </c>
      <c r="F45" s="31">
        <v>8.16</v>
      </c>
      <c r="G45" s="30">
        <f>_xlfn.XLOOKUP(B45, Rate_Master!$A:$A, Rate_Master!$C:$C, "")</f>
        <v>126499.99999999999</v>
      </c>
      <c r="H45" s="30">
        <f>_xlfn.XLOOKUP(B45, Rate_Master!$A:$A, Rate_Master!$D:$D, "")</f>
        <v>97749.999999999985</v>
      </c>
      <c r="I45" s="66">
        <f>G45+H45</f>
        <v>224249.99999999997</v>
      </c>
      <c r="J45" s="32">
        <f>I45*E45</f>
        <v>1829879.9999999998</v>
      </c>
      <c r="K45" s="58">
        <f>I45*F45</f>
        <v>1829879.9999999998</v>
      </c>
      <c r="L45" s="32"/>
    </row>
    <row r="46" spans="1:12" s="3" customFormat="1" ht="25.5" customHeight="1" collapsed="1">
      <c r="A46" s="22" t="str">
        <f>$A$10&amp;5</f>
        <v>10A.C5</v>
      </c>
      <c r="B46" s="23" t="s">
        <v>37</v>
      </c>
      <c r="C46" s="23" t="s">
        <v>515</v>
      </c>
      <c r="D46" s="22"/>
      <c r="E46" s="25"/>
      <c r="F46" s="25"/>
      <c r="G46" s="25">
        <f>_xlfn.XLOOKUP(B46, Rate_Master!$A:$A, Rate_Master!$C:$C, "")</f>
        <v>0</v>
      </c>
      <c r="H46" s="25">
        <f>_xlfn.XLOOKUP(B46, Rate_Master!$A:$A, Rate_Master!$D:$D, "")</f>
        <v>0</v>
      </c>
      <c r="I46" s="26"/>
      <c r="J46" s="26">
        <f>SUBTOTAL(9,J47:J51)</f>
        <v>281741495.66514361</v>
      </c>
      <c r="K46" s="89">
        <f>SUBTOTAL(9,K47:K51)</f>
        <v>281741495.66514361</v>
      </c>
      <c r="L46" s="26"/>
    </row>
    <row r="47" spans="1:12" s="4" customFormat="1" ht="38.25" hidden="1" customHeight="1" outlineLevel="1">
      <c r="A47" s="27" t="str">
        <f>$A$46&amp;"."&amp;ROW()-ROW($A$46)</f>
        <v>10A.C5.1</v>
      </c>
      <c r="B47" s="28" t="s">
        <v>38</v>
      </c>
      <c r="C47" s="28" t="s">
        <v>522</v>
      </c>
      <c r="D47" s="29" t="s">
        <v>523</v>
      </c>
      <c r="E47" s="31">
        <v>10551.4045555556</v>
      </c>
      <c r="F47" s="31">
        <v>10551.4045555556</v>
      </c>
      <c r="G47" s="30">
        <f>_xlfn.XLOOKUP(B47, Rate_Master!$A:$A, Rate_Master!$C:$C, "")</f>
        <v>16770.564999999999</v>
      </c>
      <c r="H47" s="30">
        <f>_xlfn.XLOOKUP(B47, Rate_Master!$A:$A, Rate_Master!$D:$D, "")</f>
        <v>2875</v>
      </c>
      <c r="I47" s="66">
        <f t="shared" ref="I47:I55" si="12">G47+H47</f>
        <v>19645.564999999999</v>
      </c>
      <c r="J47" s="32">
        <f>I47*E47</f>
        <v>207288304.03746364</v>
      </c>
      <c r="K47" s="58">
        <f>I47*F47</f>
        <v>207288304.03746364</v>
      </c>
      <c r="L47" s="32"/>
    </row>
    <row r="48" spans="1:12" s="4" customFormat="1" ht="25.5" hidden="1" customHeight="1" outlineLevel="1">
      <c r="A48" s="27" t="str">
        <f>$A$46&amp;"."&amp;ROW()-ROW($A$46)</f>
        <v>10A.C5.2</v>
      </c>
      <c r="B48" s="28" t="s">
        <v>39</v>
      </c>
      <c r="C48" s="28" t="s">
        <v>522</v>
      </c>
      <c r="D48" s="29" t="s">
        <v>523</v>
      </c>
      <c r="E48" s="31">
        <v>2829.2069999999999</v>
      </c>
      <c r="F48" s="31">
        <v>2829.2069999999999</v>
      </c>
      <c r="G48" s="30">
        <f>_xlfn.XLOOKUP(B48, Rate_Master!$A:$A, Rate_Master!$C:$C, "")</f>
        <v>16770.564999999999</v>
      </c>
      <c r="H48" s="30">
        <f>_xlfn.XLOOKUP(B48, Rate_Master!$A:$A, Rate_Master!$D:$D, "")</f>
        <v>3679.9999999999995</v>
      </c>
      <c r="I48" s="66">
        <f t="shared" si="12"/>
        <v>20450.564999999999</v>
      </c>
      <c r="J48" s="32">
        <f>I48*E48</f>
        <v>57858881.651954994</v>
      </c>
      <c r="K48" s="58">
        <f>I48*F48</f>
        <v>57858881.651954994</v>
      </c>
      <c r="L48" s="32"/>
    </row>
    <row r="49" spans="1:16" s="4" customFormat="1" ht="25.5" hidden="1" customHeight="1" outlineLevel="1">
      <c r="A49" s="27" t="str">
        <f>$A$46&amp;"."&amp;ROW()-ROW($A$46)</f>
        <v>10A.C5.3</v>
      </c>
      <c r="B49" s="28" t="s">
        <v>40</v>
      </c>
      <c r="C49" s="28" t="s">
        <v>522</v>
      </c>
      <c r="D49" s="29" t="s">
        <v>523</v>
      </c>
      <c r="E49" s="31">
        <v>820.66499999999996</v>
      </c>
      <c r="F49" s="31">
        <v>820.66499999999996</v>
      </c>
      <c r="G49" s="30">
        <f>_xlfn.XLOOKUP(B49, Rate_Master!$A:$A, Rate_Master!$C:$C, "")</f>
        <v>16770.564999999999</v>
      </c>
      <c r="H49" s="30">
        <f>_xlfn.XLOOKUP(B49, Rate_Master!$A:$A, Rate_Master!$D:$D, "")</f>
        <v>3449.9999999999995</v>
      </c>
      <c r="I49" s="66">
        <f t="shared" si="12"/>
        <v>20220.564999999999</v>
      </c>
      <c r="J49" s="32">
        <f>I49*E49</f>
        <v>16594309.975724999</v>
      </c>
      <c r="K49" s="58">
        <f>I49*F49</f>
        <v>16594309.975724999</v>
      </c>
      <c r="L49" s="32"/>
    </row>
    <row r="50" spans="1:16" s="4" customFormat="1" ht="25.5" hidden="1" customHeight="1" outlineLevel="1">
      <c r="A50" s="27" t="str">
        <f>$A$46&amp;"."&amp;ROW()-ROW($A$46)</f>
        <v>10A.C5.4</v>
      </c>
      <c r="B50" s="28" t="s">
        <v>41</v>
      </c>
      <c r="C50" s="28" t="s">
        <v>522</v>
      </c>
      <c r="D50" s="29" t="s">
        <v>523</v>
      </c>
      <c r="E50" s="31">
        <v>0</v>
      </c>
      <c r="F50" s="31">
        <v>0</v>
      </c>
      <c r="G50" s="30">
        <f>_xlfn.XLOOKUP(B50, Rate_Master!$A:$A, Rate_Master!$C:$C, "")</f>
        <v>16770.564999999999</v>
      </c>
      <c r="H50" s="30">
        <f>_xlfn.XLOOKUP(B50, Rate_Master!$A:$A, Rate_Master!$D:$D, "")</f>
        <v>3679.9999999999995</v>
      </c>
      <c r="I50" s="32">
        <f t="shared" si="12"/>
        <v>20450.564999999999</v>
      </c>
      <c r="J50" s="32">
        <f>I50*E50</f>
        <v>0</v>
      </c>
      <c r="K50" s="58">
        <f>I50*F50</f>
        <v>0</v>
      </c>
      <c r="L50" s="32"/>
    </row>
    <row r="51" spans="1:16" s="4" customFormat="1" ht="25.5" hidden="1" customHeight="1" outlineLevel="1">
      <c r="A51" s="27" t="str">
        <f>$A$46&amp;"."&amp;ROW()-ROW($A$46)</f>
        <v>10A.C5.5</v>
      </c>
      <c r="B51" s="28" t="s">
        <v>42</v>
      </c>
      <c r="C51" s="28" t="s">
        <v>524</v>
      </c>
      <c r="D51" s="29" t="s">
        <v>523</v>
      </c>
      <c r="E51" s="31">
        <v>0</v>
      </c>
      <c r="F51" s="31">
        <v>0</v>
      </c>
      <c r="G51" s="30">
        <f>_xlfn.XLOOKUP(B51, Rate_Master!$A:$A, Rate_Master!$C:$C, "")</f>
        <v>17834.66</v>
      </c>
      <c r="H51" s="30">
        <f>_xlfn.XLOOKUP(B51, Rate_Master!$A:$A, Rate_Master!$D:$D, "")</f>
        <v>3449.9999999999995</v>
      </c>
      <c r="I51" s="32">
        <f t="shared" si="12"/>
        <v>21284.66</v>
      </c>
      <c r="J51" s="32">
        <f>I51*E51</f>
        <v>0</v>
      </c>
      <c r="K51" s="58">
        <f>I51*F51</f>
        <v>0</v>
      </c>
      <c r="L51" s="32"/>
    </row>
    <row r="52" spans="1:16" s="3" customFormat="1" ht="25.5" customHeight="1" collapsed="1">
      <c r="A52" s="22" t="str">
        <f>$A$10&amp;6</f>
        <v>10A.C6</v>
      </c>
      <c r="B52" s="23" t="s">
        <v>43</v>
      </c>
      <c r="C52" s="23" t="s">
        <v>515</v>
      </c>
      <c r="D52" s="22"/>
      <c r="E52" s="25"/>
      <c r="F52" s="25"/>
      <c r="G52" s="25">
        <f>_xlfn.XLOOKUP(B52, Rate_Master!$A:$A, Rate_Master!$C:$C, "")</f>
        <v>0</v>
      </c>
      <c r="H52" s="25">
        <f>_xlfn.XLOOKUP(B52, Rate_Master!$A:$A, Rate_Master!$D:$D, "")</f>
        <v>0</v>
      </c>
      <c r="I52" s="26">
        <f t="shared" si="12"/>
        <v>0</v>
      </c>
      <c r="J52" s="26">
        <f>SUBTOTAL(9,J53:J55)</f>
        <v>10042830.4</v>
      </c>
      <c r="K52" s="89">
        <f>SUBTOTAL(9,K53:K55)</f>
        <v>10042830.4</v>
      </c>
      <c r="L52" s="26"/>
    </row>
    <row r="53" spans="1:16" s="4" customFormat="1" ht="25.5" hidden="1" customHeight="1" outlineLevel="1">
      <c r="A53" s="27" t="str">
        <f>$A$52&amp;"."&amp;ROW()-ROW($A$52)</f>
        <v>10A.C6.1</v>
      </c>
      <c r="B53" s="28" t="s">
        <v>44</v>
      </c>
      <c r="C53" s="28" t="s">
        <v>515</v>
      </c>
      <c r="D53" s="29" t="s">
        <v>520</v>
      </c>
      <c r="E53" s="31">
        <v>162.90700000000001</v>
      </c>
      <c r="F53" s="31">
        <v>162.90700000000001</v>
      </c>
      <c r="G53" s="30">
        <f>_xlfn.XLOOKUP(B53, Rate_Master!$A:$A, Rate_Master!$C:$C, "")</f>
        <v>14949.999999999998</v>
      </c>
      <c r="H53" s="30">
        <f>_xlfn.XLOOKUP(B53, Rate_Master!$A:$A, Rate_Master!$D:$D, "")</f>
        <v>17250</v>
      </c>
      <c r="I53" s="32">
        <f t="shared" si="12"/>
        <v>32200</v>
      </c>
      <c r="J53" s="32">
        <f>I53*E53</f>
        <v>5245605.4000000004</v>
      </c>
      <c r="K53" s="58">
        <f>I53*F53</f>
        <v>5245605.4000000004</v>
      </c>
      <c r="L53" s="32"/>
    </row>
    <row r="54" spans="1:16" s="4" customFormat="1" ht="51" hidden="1" customHeight="1" outlineLevel="1">
      <c r="A54" s="27" t="str">
        <f>$A$52&amp;"."&amp;ROW()-ROW($A$52)</f>
        <v>10A.C6.2</v>
      </c>
      <c r="B54" s="34" t="s">
        <v>45</v>
      </c>
      <c r="C54" s="28" t="s">
        <v>515</v>
      </c>
      <c r="D54" s="29" t="s">
        <v>517</v>
      </c>
      <c r="E54" s="31">
        <v>166.86</v>
      </c>
      <c r="F54" s="31">
        <v>166.86</v>
      </c>
      <c r="G54" s="30">
        <f>_xlfn.XLOOKUP(B54, Rate_Master!$A:$A, Rate_Master!$C:$C, "")</f>
        <v>5750</v>
      </c>
      <c r="H54" s="30">
        <f>_xlfn.XLOOKUP(B54, Rate_Master!$A:$A, Rate_Master!$D:$D, "")</f>
        <v>23000</v>
      </c>
      <c r="I54" s="32">
        <f t="shared" si="12"/>
        <v>28750</v>
      </c>
      <c r="J54" s="32">
        <f>I54*E54</f>
        <v>4797225</v>
      </c>
      <c r="K54" s="58">
        <f>I54*F54</f>
        <v>4797225</v>
      </c>
      <c r="L54" s="32"/>
    </row>
    <row r="55" spans="1:16" s="4" customFormat="1" ht="38.25" hidden="1" customHeight="1" outlineLevel="1">
      <c r="A55" s="27" t="str">
        <f>$A$52&amp;"."&amp;ROW()-ROW($A$52)</f>
        <v>10A.C6.3</v>
      </c>
      <c r="B55" s="28" t="s">
        <v>46</v>
      </c>
      <c r="C55" s="28" t="s">
        <v>515</v>
      </c>
      <c r="D55" s="29" t="s">
        <v>517</v>
      </c>
      <c r="E55" s="31">
        <v>0</v>
      </c>
      <c r="F55" s="31">
        <v>0</v>
      </c>
      <c r="G55" s="30">
        <f>_xlfn.XLOOKUP(B55, Rate_Master!$A:$A, Rate_Master!$C:$C, "")</f>
        <v>172500</v>
      </c>
      <c r="H55" s="30">
        <f>_xlfn.XLOOKUP(B55, Rate_Master!$A:$A, Rate_Master!$D:$D, "")</f>
        <v>57499.999999999993</v>
      </c>
      <c r="I55" s="32">
        <f t="shared" si="12"/>
        <v>230000</v>
      </c>
      <c r="J55" s="32">
        <f>I55*E55</f>
        <v>0</v>
      </c>
      <c r="K55" s="58">
        <f>I55*F55</f>
        <v>0</v>
      </c>
      <c r="L55" s="32"/>
    </row>
    <row r="56" spans="1:16" s="3" customFormat="1" ht="25.5" customHeight="1" collapsed="1">
      <c r="A56" s="22" t="str">
        <f>$A$9&amp;".S"</f>
        <v>10A.S</v>
      </c>
      <c r="B56" s="23" t="s">
        <v>47</v>
      </c>
      <c r="C56" s="23" t="s">
        <v>515</v>
      </c>
      <c r="D56" s="22"/>
      <c r="E56" s="25"/>
      <c r="F56" s="25"/>
      <c r="G56" s="25">
        <f>_xlfn.XLOOKUP(B56, Rate_Master!$A:$A, Rate_Master!$C:$C, "")</f>
        <v>0</v>
      </c>
      <c r="H56" s="25">
        <f>_xlfn.XLOOKUP(B56, Rate_Master!$A:$A, Rate_Master!$D:$D, "")</f>
        <v>0</v>
      </c>
      <c r="I56" s="26"/>
      <c r="J56" s="26"/>
      <c r="K56" s="89"/>
      <c r="L56" s="26"/>
    </row>
    <row r="57" spans="1:16" s="3" customFormat="1" ht="25.5" customHeight="1">
      <c r="A57" s="22" t="str">
        <f>$A$56&amp;1</f>
        <v>10A.S1</v>
      </c>
      <c r="B57" s="23" t="s">
        <v>48</v>
      </c>
      <c r="C57" s="23" t="s">
        <v>515</v>
      </c>
      <c r="D57" s="22"/>
      <c r="E57" s="25"/>
      <c r="F57" s="87"/>
      <c r="G57" s="25">
        <f>_xlfn.XLOOKUP(B57, Rate_Master!$A:$A, Rate_Master!$C:$C, "")</f>
        <v>0</v>
      </c>
      <c r="H57" s="25">
        <f>_xlfn.XLOOKUP(B57, Rate_Master!$A:$A, Rate_Master!$D:$D, "")</f>
        <v>0</v>
      </c>
      <c r="I57" s="26"/>
      <c r="J57" s="26">
        <f>SUBTOTAL(9,J58:J72)</f>
        <v>266964483.23995394</v>
      </c>
      <c r="K57" s="26">
        <f>SUBTOTAL(9,K58:K72)</f>
        <v>260865228.07246318</v>
      </c>
      <c r="L57" s="26"/>
    </row>
    <row r="58" spans="1:16" s="4" customFormat="1" ht="51" hidden="1" customHeight="1" outlineLevel="1">
      <c r="A58" s="27" t="str">
        <f t="shared" ref="A58:A72" si="13">$A$57&amp;"."&amp;ROW()-ROW($A$57)</f>
        <v>10A.S1.1</v>
      </c>
      <c r="B58" s="28" t="s">
        <v>49</v>
      </c>
      <c r="C58" s="28" t="s">
        <v>525</v>
      </c>
      <c r="D58" s="29" t="s">
        <v>523</v>
      </c>
      <c r="E58" s="31">
        <v>5825.0567039999996</v>
      </c>
      <c r="F58" s="36">
        <v>5643.3637440000002</v>
      </c>
      <c r="G58" s="93">
        <f>_xlfn.XLOOKUP(B58, Rate_Master!$A:$A, Rate_Master!$C:$C, "")</f>
        <v>20475</v>
      </c>
      <c r="H58" s="93">
        <f>_xlfn.XLOOKUP(B58, Rate_Master!$A:$A, Rate_Master!$D:$D, "")</f>
        <v>0</v>
      </c>
      <c r="I58" s="67">
        <f t="shared" ref="I58:I72" si="14">+SUM(G58:H58)</f>
        <v>20475</v>
      </c>
      <c r="J58" s="32">
        <f t="shared" ref="J58:J72" si="15">I58*E58</f>
        <v>119268036.01439999</v>
      </c>
      <c r="K58" s="58">
        <f t="shared" ref="K58:K72" si="16">+F58*I58</f>
        <v>115547872.6584</v>
      </c>
      <c r="L58" s="32"/>
      <c r="N58" s="104"/>
      <c r="O58" s="104"/>
      <c r="P58" s="104"/>
    </row>
    <row r="59" spans="1:16" s="4" customFormat="1" ht="76.5" hidden="1" customHeight="1" outlineLevel="1">
      <c r="A59" s="27" t="str">
        <f t="shared" si="13"/>
        <v>10A.S1.2</v>
      </c>
      <c r="B59" s="28" t="s">
        <v>50</v>
      </c>
      <c r="C59" s="28" t="s">
        <v>526</v>
      </c>
      <c r="D59" s="29" t="s">
        <v>523</v>
      </c>
      <c r="E59" s="31">
        <v>2050.9954953824899</v>
      </c>
      <c r="F59" s="36">
        <v>1636.3259333333331</v>
      </c>
      <c r="G59" s="93">
        <f>_xlfn.XLOOKUP(B59, Rate_Master!$A:$A, Rate_Master!$C:$C, "")</f>
        <v>26775</v>
      </c>
      <c r="H59" s="93">
        <f>_xlfn.XLOOKUP(B59, Rate_Master!$A:$A, Rate_Master!$D:$D, "")</f>
        <v>0</v>
      </c>
      <c r="I59" s="67">
        <f t="shared" si="14"/>
        <v>26775</v>
      </c>
      <c r="J59" s="32">
        <f t="shared" si="15"/>
        <v>54915404.388866171</v>
      </c>
      <c r="K59" s="58">
        <f t="shared" si="16"/>
        <v>43812626.864999995</v>
      </c>
      <c r="L59" s="32"/>
      <c r="N59" s="104"/>
      <c r="O59" s="104"/>
      <c r="P59" s="104"/>
    </row>
    <row r="60" spans="1:16" s="4" customFormat="1" ht="76.5" hidden="1" customHeight="1" outlineLevel="1">
      <c r="A60" s="27" t="str">
        <f t="shared" si="13"/>
        <v>10A.S1.3</v>
      </c>
      <c r="B60" s="28" t="s">
        <v>51</v>
      </c>
      <c r="C60" s="28" t="s">
        <v>527</v>
      </c>
      <c r="D60" s="29" t="s">
        <v>523</v>
      </c>
      <c r="E60" s="31">
        <v>165.725295662169</v>
      </c>
      <c r="F60" s="36">
        <v>385.07792673599999</v>
      </c>
      <c r="G60" s="93">
        <f>_xlfn.XLOOKUP(B60, Rate_Master!$A:$A, Rate_Master!$C:$C, "")</f>
        <v>36750</v>
      </c>
      <c r="H60" s="93">
        <f>_xlfn.XLOOKUP(B60, Rate_Master!$A:$A, Rate_Master!$D:$D, "")</f>
        <v>0</v>
      </c>
      <c r="I60" s="67">
        <f t="shared" si="14"/>
        <v>36750</v>
      </c>
      <c r="J60" s="32">
        <f t="shared" si="15"/>
        <v>6090404.6155847106</v>
      </c>
      <c r="K60" s="58">
        <f t="shared" si="16"/>
        <v>14151613.807548</v>
      </c>
      <c r="L60" s="32"/>
      <c r="N60" s="104"/>
      <c r="O60" s="104"/>
      <c r="P60" s="104"/>
    </row>
    <row r="61" spans="1:16" s="4" customFormat="1" ht="76.5" hidden="1" customHeight="1" outlineLevel="1">
      <c r="A61" s="27" t="str">
        <f t="shared" si="13"/>
        <v>10A.S1.4</v>
      </c>
      <c r="B61" s="28" t="s">
        <v>52</v>
      </c>
      <c r="C61" s="28" t="s">
        <v>527</v>
      </c>
      <c r="D61" s="29" t="s">
        <v>523</v>
      </c>
      <c r="E61" s="31">
        <v>0</v>
      </c>
      <c r="F61" s="36"/>
      <c r="G61" s="93">
        <f>_xlfn.XLOOKUP(B61, Rate_Master!$A:$A, Rate_Master!$C:$C, "")</f>
        <v>26775</v>
      </c>
      <c r="H61" s="93">
        <f>_xlfn.XLOOKUP(B61, Rate_Master!$A:$A, Rate_Master!$D:$D, "")</f>
        <v>0</v>
      </c>
      <c r="I61" s="67">
        <f t="shared" si="14"/>
        <v>26775</v>
      </c>
      <c r="J61" s="32">
        <f t="shared" si="15"/>
        <v>0</v>
      </c>
      <c r="K61" s="58">
        <f t="shared" si="16"/>
        <v>0</v>
      </c>
      <c r="L61" s="32"/>
      <c r="N61" s="104"/>
      <c r="O61" s="104"/>
      <c r="P61" s="104"/>
    </row>
    <row r="62" spans="1:16" s="4" customFormat="1" ht="25.5" hidden="1" customHeight="1" outlineLevel="1">
      <c r="A62" s="27" t="str">
        <f t="shared" si="13"/>
        <v>10A.S1.5</v>
      </c>
      <c r="B62" s="28" t="s">
        <v>53</v>
      </c>
      <c r="C62" s="28" t="s">
        <v>528</v>
      </c>
      <c r="D62" s="29" t="s">
        <v>523</v>
      </c>
      <c r="E62" s="31">
        <v>767.00583749999998</v>
      </c>
      <c r="F62" s="36">
        <v>774.32517749999988</v>
      </c>
      <c r="G62" s="93">
        <f>_xlfn.XLOOKUP(B62, Rate_Master!$A:$A, Rate_Master!$C:$C, "")</f>
        <v>22365</v>
      </c>
      <c r="H62" s="93">
        <f>_xlfn.XLOOKUP(B62, Rate_Master!$A:$A, Rate_Master!$D:$D, "")</f>
        <v>0</v>
      </c>
      <c r="I62" s="67">
        <f t="shared" si="14"/>
        <v>22365</v>
      </c>
      <c r="J62" s="32">
        <f t="shared" si="15"/>
        <v>17154085.555687498</v>
      </c>
      <c r="K62" s="58">
        <f t="shared" si="16"/>
        <v>17317782.594787497</v>
      </c>
      <c r="L62" s="32"/>
      <c r="N62" s="104"/>
      <c r="O62" s="104"/>
      <c r="P62" s="104"/>
    </row>
    <row r="63" spans="1:16" s="4" customFormat="1" ht="38.25" hidden="1" customHeight="1" outlineLevel="1">
      <c r="A63" s="27" t="str">
        <f t="shared" si="13"/>
        <v>10A.S1.6</v>
      </c>
      <c r="B63" s="28" t="s">
        <v>54</v>
      </c>
      <c r="C63" s="28" t="s">
        <v>529</v>
      </c>
      <c r="D63" s="29" t="s">
        <v>523</v>
      </c>
      <c r="E63" s="31">
        <v>66.984483339066102</v>
      </c>
      <c r="F63" s="36">
        <v>47.951999999999998</v>
      </c>
      <c r="G63" s="93">
        <f>_xlfn.XLOOKUP(B63, Rate_Master!$A:$A, Rate_Master!$C:$C, "")</f>
        <v>36750</v>
      </c>
      <c r="H63" s="93">
        <f>_xlfn.XLOOKUP(B63, Rate_Master!$A:$A, Rate_Master!$D:$D, "")</f>
        <v>0</v>
      </c>
      <c r="I63" s="67">
        <f t="shared" si="14"/>
        <v>36750</v>
      </c>
      <c r="J63" s="32">
        <f t="shared" si="15"/>
        <v>2461679.7627106793</v>
      </c>
      <c r="K63" s="58">
        <f t="shared" si="16"/>
        <v>1762236</v>
      </c>
      <c r="L63" s="32"/>
      <c r="N63" s="104"/>
      <c r="O63" s="104"/>
      <c r="P63" s="104"/>
    </row>
    <row r="64" spans="1:16" s="4" customFormat="1" ht="25.5" hidden="1" customHeight="1" outlineLevel="1">
      <c r="A64" s="27" t="str">
        <f t="shared" si="13"/>
        <v>10A.S1.7</v>
      </c>
      <c r="B64" s="28" t="s">
        <v>55</v>
      </c>
      <c r="C64" s="28" t="s">
        <v>530</v>
      </c>
      <c r="D64" s="29" t="s">
        <v>523</v>
      </c>
      <c r="E64" s="31">
        <v>0</v>
      </c>
      <c r="F64" s="36">
        <v>203.96980534969731</v>
      </c>
      <c r="G64" s="93">
        <f>_xlfn.XLOOKUP(B64, Rate_Master!$A:$A, Rate_Master!$C:$C, "")</f>
        <v>27930</v>
      </c>
      <c r="H64" s="93">
        <f>_xlfn.XLOOKUP(B64, Rate_Master!$A:$A, Rate_Master!$D:$D, "")</f>
        <v>0</v>
      </c>
      <c r="I64" s="67">
        <f t="shared" si="14"/>
        <v>27930</v>
      </c>
      <c r="J64" s="32">
        <f t="shared" si="15"/>
        <v>0</v>
      </c>
      <c r="K64" s="58">
        <f t="shared" si="16"/>
        <v>5696876.663417046</v>
      </c>
      <c r="L64" s="32"/>
      <c r="N64" s="104"/>
      <c r="O64" s="104"/>
      <c r="P64" s="104"/>
    </row>
    <row r="65" spans="1:16" s="4" customFormat="1" ht="25.5" hidden="1" customHeight="1" outlineLevel="1">
      <c r="A65" s="27" t="str">
        <f t="shared" si="13"/>
        <v>10A.S1.8</v>
      </c>
      <c r="B65" s="28" t="s">
        <v>56</v>
      </c>
      <c r="C65" s="28" t="s">
        <v>531</v>
      </c>
      <c r="D65" s="29" t="s">
        <v>523</v>
      </c>
      <c r="E65" s="31">
        <v>168.48</v>
      </c>
      <c r="F65" s="36">
        <v>206.96842808224449</v>
      </c>
      <c r="G65" s="93">
        <f>_xlfn.XLOOKUP(B65, Rate_Master!$A:$A, Rate_Master!$C:$C, "")</f>
        <v>52500</v>
      </c>
      <c r="H65" s="93">
        <f>_xlfn.XLOOKUP(B65, Rate_Master!$A:$A, Rate_Master!$D:$D, "")</f>
        <v>0</v>
      </c>
      <c r="I65" s="67">
        <f t="shared" si="14"/>
        <v>52500</v>
      </c>
      <c r="J65" s="32">
        <f t="shared" si="15"/>
        <v>8845200</v>
      </c>
      <c r="K65" s="58">
        <f t="shared" si="16"/>
        <v>10865842.474317836</v>
      </c>
      <c r="L65" s="32"/>
      <c r="N65" s="104"/>
      <c r="O65" s="104"/>
      <c r="P65" s="104"/>
    </row>
    <row r="66" spans="1:16" s="4" customFormat="1" ht="25.5" hidden="1" customHeight="1" outlineLevel="1">
      <c r="A66" s="27" t="str">
        <f t="shared" si="13"/>
        <v>10A.S1.9</v>
      </c>
      <c r="B66" s="28" t="s">
        <v>57</v>
      </c>
      <c r="C66" s="28" t="s">
        <v>532</v>
      </c>
      <c r="D66" s="29" t="s">
        <v>523</v>
      </c>
      <c r="E66" s="31">
        <v>54.811999999999998</v>
      </c>
      <c r="F66" s="36">
        <v>44.039200000000008</v>
      </c>
      <c r="G66" s="93">
        <f>_xlfn.XLOOKUP(B66, Rate_Master!$A:$A, Rate_Master!$C:$C, "")</f>
        <v>60900</v>
      </c>
      <c r="H66" s="93">
        <f>_xlfn.XLOOKUP(B66, Rate_Master!$A:$A, Rate_Master!$D:$D, "")</f>
        <v>0</v>
      </c>
      <c r="I66" s="67">
        <f t="shared" si="14"/>
        <v>60900</v>
      </c>
      <c r="J66" s="32">
        <f t="shared" si="15"/>
        <v>3338050.8</v>
      </c>
      <c r="K66" s="58">
        <f t="shared" si="16"/>
        <v>2681987.2800000007</v>
      </c>
      <c r="L66" s="32"/>
      <c r="N66" s="104"/>
      <c r="O66" s="104"/>
      <c r="P66" s="104"/>
    </row>
    <row r="67" spans="1:16" s="4" customFormat="1" ht="25.5" hidden="1" customHeight="1" outlineLevel="1">
      <c r="A67" s="27" t="str">
        <f t="shared" si="13"/>
        <v>10A.S1.10</v>
      </c>
      <c r="B67" s="28" t="s">
        <v>58</v>
      </c>
      <c r="C67" s="28" t="s">
        <v>533</v>
      </c>
      <c r="D67" s="29" t="s">
        <v>523</v>
      </c>
      <c r="E67" s="31">
        <v>13.054</v>
      </c>
      <c r="F67" s="36">
        <v>10.08</v>
      </c>
      <c r="G67" s="93">
        <f>_xlfn.XLOOKUP(B67, Rate_Master!$A:$A, Rate_Master!$C:$C, "")</f>
        <v>60900</v>
      </c>
      <c r="H67" s="93">
        <f>_xlfn.XLOOKUP(B67, Rate_Master!$A:$A, Rate_Master!$D:$D, "")</f>
        <v>0</v>
      </c>
      <c r="I67" s="67">
        <f t="shared" si="14"/>
        <v>60900</v>
      </c>
      <c r="J67" s="32">
        <f t="shared" si="15"/>
        <v>794988.6</v>
      </c>
      <c r="K67" s="58">
        <f t="shared" si="16"/>
        <v>613872</v>
      </c>
      <c r="L67" s="32"/>
      <c r="N67" s="104"/>
      <c r="O67" s="104"/>
      <c r="P67" s="104"/>
    </row>
    <row r="68" spans="1:16" s="4" customFormat="1" ht="25.5" hidden="1" customHeight="1" outlineLevel="1">
      <c r="A68" s="27" t="str">
        <f t="shared" si="13"/>
        <v>10A.S1.11</v>
      </c>
      <c r="B68" s="28" t="s">
        <v>59</v>
      </c>
      <c r="C68" s="28" t="s">
        <v>534</v>
      </c>
      <c r="D68" s="29" t="s">
        <v>518</v>
      </c>
      <c r="E68" s="31">
        <v>256</v>
      </c>
      <c r="F68" s="36">
        <v>208</v>
      </c>
      <c r="G68" s="93">
        <f>_xlfn.XLOOKUP(B68, Rate_Master!$A:$A, Rate_Master!$C:$C, "")</f>
        <v>21000</v>
      </c>
      <c r="H68" s="93">
        <f>_xlfn.XLOOKUP(B68, Rate_Master!$A:$A, Rate_Master!$D:$D, "")</f>
        <v>0</v>
      </c>
      <c r="I68" s="67">
        <f t="shared" si="14"/>
        <v>21000</v>
      </c>
      <c r="J68" s="32">
        <f t="shared" si="15"/>
        <v>5376000</v>
      </c>
      <c r="K68" s="58">
        <f t="shared" si="16"/>
        <v>4368000</v>
      </c>
      <c r="L68" s="32"/>
      <c r="N68" s="104"/>
      <c r="O68" s="104"/>
      <c r="P68" s="104"/>
    </row>
    <row r="69" spans="1:16" s="4" customFormat="1" ht="25.5" hidden="1" customHeight="1" outlineLevel="1">
      <c r="A69" s="27" t="str">
        <f t="shared" si="13"/>
        <v>10A.S1.12</v>
      </c>
      <c r="B69" s="28" t="s">
        <v>60</v>
      </c>
      <c r="C69" s="28" t="s">
        <v>515</v>
      </c>
      <c r="D69" s="29" t="s">
        <v>523</v>
      </c>
      <c r="E69" s="31">
        <v>168.48</v>
      </c>
      <c r="F69" s="36">
        <v>206.96842808224449</v>
      </c>
      <c r="G69" s="93">
        <f>_xlfn.XLOOKUP(B69, Rate_Master!$A:$A, Rate_Master!$C:$C, "")</f>
        <v>630</v>
      </c>
      <c r="H69" s="93">
        <f>_xlfn.XLOOKUP(B69, Rate_Master!$A:$A, Rate_Master!$D:$D, "")</f>
        <v>0</v>
      </c>
      <c r="I69" s="67">
        <f t="shared" si="14"/>
        <v>630</v>
      </c>
      <c r="J69" s="32">
        <f t="shared" si="15"/>
        <v>106142.39999999999</v>
      </c>
      <c r="K69" s="58">
        <f t="shared" si="16"/>
        <v>130390.10969181402</v>
      </c>
      <c r="L69" s="32"/>
      <c r="N69" s="104"/>
      <c r="O69" s="104"/>
      <c r="P69" s="104"/>
    </row>
    <row r="70" spans="1:16" s="4" customFormat="1" ht="25.5" hidden="1" customHeight="1" outlineLevel="1">
      <c r="A70" s="27" t="str">
        <f t="shared" si="13"/>
        <v>10A.S1.13</v>
      </c>
      <c r="B70" s="28" t="s">
        <v>61</v>
      </c>
      <c r="C70" s="28" t="s">
        <v>515</v>
      </c>
      <c r="D70" s="29" t="s">
        <v>523</v>
      </c>
      <c r="E70" s="31">
        <v>8875.7678158837207</v>
      </c>
      <c r="F70" s="36">
        <v>8745.1337869190302</v>
      </c>
      <c r="G70" s="93">
        <f>_xlfn.XLOOKUP(B70, Rate_Master!$A:$A, Rate_Master!$C:$C, "")</f>
        <v>630</v>
      </c>
      <c r="H70" s="93">
        <f>_xlfn.XLOOKUP(B70, Rate_Master!$A:$A, Rate_Master!$D:$D, "")</f>
        <v>0</v>
      </c>
      <c r="I70" s="67">
        <f t="shared" si="14"/>
        <v>630</v>
      </c>
      <c r="J70" s="32">
        <f t="shared" si="15"/>
        <v>5591733.7240067441</v>
      </c>
      <c r="K70" s="58">
        <f t="shared" si="16"/>
        <v>5509434.2857589889</v>
      </c>
      <c r="L70" s="32"/>
      <c r="N70" s="104"/>
      <c r="O70" s="104"/>
      <c r="P70" s="104"/>
    </row>
    <row r="71" spans="1:16" s="4" customFormat="1" ht="25.5" hidden="1" customHeight="1" outlineLevel="1">
      <c r="A71" s="27" t="str">
        <f t="shared" si="13"/>
        <v>10A.S1.14</v>
      </c>
      <c r="B71" s="28" t="s">
        <v>62</v>
      </c>
      <c r="C71" s="28" t="s">
        <v>515</v>
      </c>
      <c r="D71" s="29" t="s">
        <v>518</v>
      </c>
      <c r="E71" s="31">
        <v>64</v>
      </c>
      <c r="F71" s="36">
        <v>48</v>
      </c>
      <c r="G71" s="93">
        <f>_xlfn.XLOOKUP(B71, Rate_Master!$A:$A, Rate_Master!$C:$C, "")</f>
        <v>0</v>
      </c>
      <c r="H71" s="93">
        <f>_xlfn.XLOOKUP(B71, Rate_Master!$A:$A, Rate_Master!$D:$D, "")</f>
        <v>264500</v>
      </c>
      <c r="I71" s="67">
        <f t="shared" si="14"/>
        <v>264500</v>
      </c>
      <c r="J71" s="32">
        <f t="shared" si="15"/>
        <v>16928000</v>
      </c>
      <c r="K71" s="58">
        <f t="shared" si="16"/>
        <v>12696000</v>
      </c>
      <c r="L71" s="32"/>
      <c r="N71" s="104"/>
      <c r="O71" s="104"/>
      <c r="P71" s="104"/>
    </row>
    <row r="72" spans="1:16" s="4" customFormat="1" ht="25.5" hidden="1" customHeight="1" outlineLevel="1">
      <c r="A72" s="27" t="str">
        <f t="shared" si="13"/>
        <v>10A.S1.15</v>
      </c>
      <c r="B72" s="28" t="s">
        <v>63</v>
      </c>
      <c r="C72" s="28" t="s">
        <v>515</v>
      </c>
      <c r="D72" s="29" t="s">
        <v>523</v>
      </c>
      <c r="E72" s="31">
        <v>8875.7678158837207</v>
      </c>
      <c r="F72" s="36">
        <v>8745.1337869190302</v>
      </c>
      <c r="G72" s="93">
        <f>_xlfn.XLOOKUP(B72, Rate_Master!$A:$A, Rate_Master!$C:$C, "")</f>
        <v>2940</v>
      </c>
      <c r="H72" s="93">
        <f>_xlfn.XLOOKUP(B72, Rate_Master!$A:$A, Rate_Master!$D:$D, "")</f>
        <v>0</v>
      </c>
      <c r="I72" s="67">
        <f t="shared" si="14"/>
        <v>2940</v>
      </c>
      <c r="J72" s="32">
        <f t="shared" si="15"/>
        <v>26094757.37869814</v>
      </c>
      <c r="K72" s="58">
        <f t="shared" si="16"/>
        <v>25710693.333541948</v>
      </c>
      <c r="L72" s="32"/>
      <c r="N72" s="104"/>
      <c r="O72" s="104"/>
      <c r="P72" s="104"/>
    </row>
    <row r="73" spans="1:16" s="3" customFormat="1" ht="25.5" customHeight="1" collapsed="1">
      <c r="A73" s="22" t="str">
        <f>$A$56&amp;2</f>
        <v>10A.S2</v>
      </c>
      <c r="B73" s="23" t="s">
        <v>64</v>
      </c>
      <c r="C73" s="23" t="s">
        <v>515</v>
      </c>
      <c r="D73" s="22"/>
      <c r="E73" s="25"/>
      <c r="F73" s="87"/>
      <c r="G73" s="25">
        <f>_xlfn.XLOOKUP(B73, Rate_Master!$A:$A, Rate_Master!$C:$C, "")</f>
        <v>0</v>
      </c>
      <c r="H73" s="25">
        <f>_xlfn.XLOOKUP(B73, Rate_Master!$A:$A, Rate_Master!$D:$D, "")</f>
        <v>0</v>
      </c>
      <c r="I73" s="68"/>
      <c r="J73" s="26">
        <f>SUBTOTAL(9,J74:J78)</f>
        <v>0</v>
      </c>
      <c r="K73" s="89"/>
      <c r="L73" s="26"/>
      <c r="N73" s="104"/>
      <c r="O73" s="104"/>
      <c r="P73" s="104"/>
    </row>
    <row r="74" spans="1:16" s="4" customFormat="1" ht="25.5" hidden="1" customHeight="1" outlineLevel="1">
      <c r="A74" s="37" t="str">
        <f>$A$73&amp;"."&amp;ROW()-ROW($A$73)</f>
        <v>10A.S2.1</v>
      </c>
      <c r="B74" s="38" t="s">
        <v>65</v>
      </c>
      <c r="C74" s="38" t="s">
        <v>535</v>
      </c>
      <c r="D74" s="39" t="s">
        <v>520</v>
      </c>
      <c r="E74" s="40">
        <v>0</v>
      </c>
      <c r="F74" s="88"/>
      <c r="G74" s="42">
        <f>_xlfn.XLOOKUP(B74, Rate_Master!$A:$A, Rate_Master!$C:$C, "")</f>
        <v>0</v>
      </c>
      <c r="H74" s="42">
        <f>_xlfn.XLOOKUP(B74, Rate_Master!$A:$A, Rate_Master!$D:$D, "")</f>
        <v>0</v>
      </c>
      <c r="I74" s="69">
        <f>G74+H74</f>
        <v>0</v>
      </c>
      <c r="J74" s="41">
        <f>I74*E74</f>
        <v>0</v>
      </c>
      <c r="K74" s="92"/>
      <c r="L74" s="41"/>
      <c r="N74" s="104"/>
      <c r="O74" s="104"/>
      <c r="P74" s="104"/>
    </row>
    <row r="75" spans="1:16" s="4" customFormat="1" ht="25.5" hidden="1" customHeight="1" outlineLevel="1">
      <c r="A75" s="37" t="str">
        <f>$A$73&amp;"."&amp;ROW()-ROW($A$73)</f>
        <v>10A.S2.2</v>
      </c>
      <c r="B75" s="38" t="s">
        <v>66</v>
      </c>
      <c r="C75" s="38" t="s">
        <v>536</v>
      </c>
      <c r="D75" s="39" t="s">
        <v>518</v>
      </c>
      <c r="E75" s="40">
        <v>0</v>
      </c>
      <c r="F75" s="88"/>
      <c r="G75" s="42">
        <f>_xlfn.XLOOKUP(B75, Rate_Master!$A:$A, Rate_Master!$C:$C, "")</f>
        <v>0</v>
      </c>
      <c r="H75" s="42">
        <f>_xlfn.XLOOKUP(B75, Rate_Master!$A:$A, Rate_Master!$D:$D, "")</f>
        <v>0</v>
      </c>
      <c r="I75" s="69">
        <f>G75+H75</f>
        <v>0</v>
      </c>
      <c r="J75" s="41">
        <f>I75*E75</f>
        <v>0</v>
      </c>
      <c r="K75" s="92"/>
      <c r="L75" s="41"/>
      <c r="N75" s="104"/>
      <c r="O75" s="104"/>
      <c r="P75" s="104"/>
    </row>
    <row r="76" spans="1:16" s="4" customFormat="1" ht="25.5" hidden="1" customHeight="1" outlineLevel="1">
      <c r="A76" s="37" t="str">
        <f>$A$73&amp;"."&amp;ROW()-ROW($A$73)</f>
        <v>10A.S2.3</v>
      </c>
      <c r="B76" s="38" t="s">
        <v>67</v>
      </c>
      <c r="C76" s="38" t="s">
        <v>515</v>
      </c>
      <c r="D76" s="39" t="s">
        <v>520</v>
      </c>
      <c r="E76" s="40">
        <v>0</v>
      </c>
      <c r="F76" s="88"/>
      <c r="G76" s="42">
        <f>_xlfn.XLOOKUP(B76, Rate_Master!$A:$A, Rate_Master!$C:$C, "")</f>
        <v>0</v>
      </c>
      <c r="H76" s="42">
        <f>_xlfn.XLOOKUP(B76, Rate_Master!$A:$A, Rate_Master!$D:$D, "")</f>
        <v>0</v>
      </c>
      <c r="I76" s="69">
        <f>G76+H76</f>
        <v>0</v>
      </c>
      <c r="J76" s="41">
        <f>I76*E76</f>
        <v>0</v>
      </c>
      <c r="K76" s="92"/>
      <c r="L76" s="41"/>
      <c r="N76" s="104"/>
      <c r="O76" s="104"/>
      <c r="P76" s="104"/>
    </row>
    <row r="77" spans="1:16" s="4" customFormat="1" ht="25.5" hidden="1" customHeight="1" outlineLevel="1">
      <c r="A77" s="37" t="str">
        <f>$A$73&amp;"."&amp;ROW()-ROW($A$73)</f>
        <v>10A.S2.4</v>
      </c>
      <c r="B77" s="38" t="s">
        <v>68</v>
      </c>
      <c r="C77" s="38" t="s">
        <v>515</v>
      </c>
      <c r="D77" s="39" t="s">
        <v>457</v>
      </c>
      <c r="E77" s="40">
        <v>0</v>
      </c>
      <c r="F77" s="88"/>
      <c r="G77" s="42">
        <f>_xlfn.XLOOKUP(B77, Rate_Master!$A:$A, Rate_Master!$C:$C, "")</f>
        <v>0</v>
      </c>
      <c r="H77" s="42">
        <f>_xlfn.XLOOKUP(B77, Rate_Master!$A:$A, Rate_Master!$D:$D, "")</f>
        <v>0</v>
      </c>
      <c r="I77" s="69">
        <f>G77+H77</f>
        <v>0</v>
      </c>
      <c r="J77" s="41">
        <f>I77*E77</f>
        <v>0</v>
      </c>
      <c r="K77" s="92"/>
      <c r="L77" s="41"/>
      <c r="N77" s="104"/>
      <c r="O77" s="104"/>
      <c r="P77" s="104"/>
    </row>
    <row r="78" spans="1:16" s="4" customFormat="1" ht="25.5" hidden="1" customHeight="1" outlineLevel="1">
      <c r="A78" s="37" t="str">
        <f>$A$73&amp;"."&amp;ROW()-ROW($A$73)</f>
        <v>10A.S2.5</v>
      </c>
      <c r="B78" s="38" t="s">
        <v>69</v>
      </c>
      <c r="C78" s="38" t="s">
        <v>515</v>
      </c>
      <c r="D78" s="39" t="s">
        <v>520</v>
      </c>
      <c r="E78" s="40">
        <v>0</v>
      </c>
      <c r="F78" s="88"/>
      <c r="G78" s="42">
        <f>_xlfn.XLOOKUP(B78, Rate_Master!$A:$A, Rate_Master!$C:$C, "")</f>
        <v>0</v>
      </c>
      <c r="H78" s="42">
        <f>_xlfn.XLOOKUP(B78, Rate_Master!$A:$A, Rate_Master!$D:$D, "")</f>
        <v>0</v>
      </c>
      <c r="I78" s="69">
        <f>G78+H78</f>
        <v>0</v>
      </c>
      <c r="J78" s="41">
        <f>I78*E78</f>
        <v>0</v>
      </c>
      <c r="K78" s="92"/>
      <c r="L78" s="41"/>
      <c r="N78" s="104"/>
      <c r="O78" s="104"/>
      <c r="P78" s="104"/>
    </row>
    <row r="79" spans="1:16" s="3" customFormat="1" ht="25.5" customHeight="1" collapsed="1">
      <c r="A79" s="22" t="str">
        <f>$A$56&amp;3</f>
        <v>10A.S3</v>
      </c>
      <c r="B79" s="23" t="s">
        <v>70</v>
      </c>
      <c r="C79" s="23" t="s">
        <v>515</v>
      </c>
      <c r="D79" s="22"/>
      <c r="E79" s="25"/>
      <c r="F79" s="87"/>
      <c r="G79" s="25">
        <f>_xlfn.XLOOKUP(B79, Rate_Master!$A:$A, Rate_Master!$C:$C, "")</f>
        <v>0</v>
      </c>
      <c r="H79" s="25">
        <f>_xlfn.XLOOKUP(B79, Rate_Master!$A:$A, Rate_Master!$D:$D, "")</f>
        <v>0</v>
      </c>
      <c r="I79" s="68"/>
      <c r="J79" s="26">
        <f>SUBTOTAL(9,J80:J93)</f>
        <v>302533867.31652713</v>
      </c>
      <c r="K79" s="26">
        <f>SUBTOTAL(9,K80:K93)</f>
        <v>313126641.51652718</v>
      </c>
      <c r="L79" s="26"/>
      <c r="N79" s="104"/>
      <c r="O79" s="104"/>
      <c r="P79" s="104"/>
    </row>
    <row r="80" spans="1:16" s="4" customFormat="1" ht="51" hidden="1" customHeight="1" outlineLevel="1">
      <c r="A80" s="27" t="str">
        <f t="shared" ref="A80:A93" si="17">$A$79&amp;"."&amp;ROW()-ROW($A$79)</f>
        <v>10A.S3.1</v>
      </c>
      <c r="B80" s="28" t="s">
        <v>71</v>
      </c>
      <c r="C80" s="28" t="str">
        <f>+'9A'!C80</f>
        <v xml:space="preserve">Tôn liên doanh Việt hàn, AZ170
</v>
      </c>
      <c r="D80" s="29" t="s">
        <v>520</v>
      </c>
      <c r="E80" s="31">
        <v>171.63900000000001</v>
      </c>
      <c r="F80" s="36">
        <v>174.68100000000001</v>
      </c>
      <c r="G80" s="93">
        <f>_xlfn.XLOOKUP(B80, Rate_Master!$A:$A, Rate_Master!$C:$C, "")</f>
        <v>248399.99999999997</v>
      </c>
      <c r="H80" s="93">
        <f>_xlfn.XLOOKUP(B80, Rate_Master!$A:$A, Rate_Master!$D:$D, "")</f>
        <v>34500</v>
      </c>
      <c r="I80" s="67">
        <f t="shared" ref="I80:I93" si="18">+SUM(G80:H80)</f>
        <v>282900</v>
      </c>
      <c r="J80" s="32">
        <f t="shared" ref="J80:J93" si="19">I80*E80</f>
        <v>48556673.100000001</v>
      </c>
      <c r="K80" s="58">
        <f t="shared" ref="K80:K93" si="20">+F80*I80</f>
        <v>49417254.900000006</v>
      </c>
      <c r="L80" s="32"/>
      <c r="N80" s="104"/>
      <c r="O80" s="104"/>
      <c r="P80" s="104"/>
    </row>
    <row r="81" spans="1:16" s="4" customFormat="1" ht="51" hidden="1" customHeight="1" outlineLevel="1">
      <c r="A81" s="27" t="str">
        <f t="shared" si="17"/>
        <v>10A.S3.2</v>
      </c>
      <c r="B81" s="28" t="s">
        <v>72</v>
      </c>
      <c r="C81" s="28" t="str">
        <f>+'9A'!C81</f>
        <v xml:space="preserve">Tôn liên doanh Việt hàn, AZ170
</v>
      </c>
      <c r="D81" s="29" t="s">
        <v>520</v>
      </c>
      <c r="E81" s="31">
        <v>0</v>
      </c>
      <c r="F81" s="36"/>
      <c r="G81" s="93">
        <f>_xlfn.XLOOKUP(B81, Rate_Master!$A:$A, Rate_Master!$C:$C, "")</f>
        <v>206999.99999999997</v>
      </c>
      <c r="H81" s="93">
        <f>_xlfn.XLOOKUP(B81, Rate_Master!$A:$A, Rate_Master!$D:$D, "")</f>
        <v>34500</v>
      </c>
      <c r="I81" s="67">
        <f t="shared" si="18"/>
        <v>241499.99999999997</v>
      </c>
      <c r="J81" s="32">
        <f t="shared" si="19"/>
        <v>0</v>
      </c>
      <c r="K81" s="58">
        <f t="shared" si="20"/>
        <v>0</v>
      </c>
      <c r="L81" s="32"/>
      <c r="N81" s="104"/>
      <c r="O81" s="104"/>
      <c r="P81" s="104"/>
    </row>
    <row r="82" spans="1:16" s="4" customFormat="1" ht="63.75" hidden="1" customHeight="1" outlineLevel="1">
      <c r="A82" s="27" t="str">
        <f t="shared" si="17"/>
        <v>10A.S3.3</v>
      </c>
      <c r="B82" s="28" t="s">
        <v>73</v>
      </c>
      <c r="C82" s="28" t="str">
        <f>+'9A'!C82</f>
        <v xml:space="preserve">Tôn liên doanh Việt hàn, AZ170
</v>
      </c>
      <c r="D82" s="29" t="s">
        <v>520</v>
      </c>
      <c r="E82" s="31">
        <v>0</v>
      </c>
      <c r="F82" s="36"/>
      <c r="G82" s="93">
        <f>_xlfn.XLOOKUP(B82, Rate_Master!$A:$A, Rate_Master!$C:$C, "")</f>
        <v>195499.99999999997</v>
      </c>
      <c r="H82" s="93">
        <f>_xlfn.XLOOKUP(B82, Rate_Master!$A:$A, Rate_Master!$D:$D, "")</f>
        <v>34500</v>
      </c>
      <c r="I82" s="67">
        <f t="shared" si="18"/>
        <v>229999.99999999997</v>
      </c>
      <c r="J82" s="32">
        <f t="shared" si="19"/>
        <v>0</v>
      </c>
      <c r="K82" s="58">
        <f t="shared" si="20"/>
        <v>0</v>
      </c>
      <c r="L82" s="32"/>
      <c r="N82" s="104"/>
      <c r="O82" s="104"/>
      <c r="P82" s="104"/>
    </row>
    <row r="83" spans="1:16" s="4" customFormat="1" ht="25.5" hidden="1" customHeight="1" outlineLevel="1">
      <c r="A83" s="27" t="str">
        <f t="shared" si="17"/>
        <v>10A.S3.4</v>
      </c>
      <c r="B83" s="28" t="s">
        <v>74</v>
      </c>
      <c r="C83" s="28" t="s">
        <v>515</v>
      </c>
      <c r="D83" s="29" t="s">
        <v>520</v>
      </c>
      <c r="E83" s="31">
        <v>0</v>
      </c>
      <c r="F83" s="36">
        <v>174.68100000000001</v>
      </c>
      <c r="G83" s="93">
        <f>_xlfn.XLOOKUP(B83, Rate_Master!$A:$A, Rate_Master!$C:$C, "")</f>
        <v>23000</v>
      </c>
      <c r="H83" s="93">
        <f>_xlfn.XLOOKUP(B83, Rate_Master!$A:$A, Rate_Master!$D:$D, "")</f>
        <v>11500</v>
      </c>
      <c r="I83" s="67">
        <f t="shared" si="18"/>
        <v>34500</v>
      </c>
      <c r="J83" s="32">
        <f t="shared" si="19"/>
        <v>0</v>
      </c>
      <c r="K83" s="58">
        <f t="shared" si="20"/>
        <v>6026494.5</v>
      </c>
      <c r="L83" s="32"/>
      <c r="N83" s="104"/>
      <c r="O83" s="104"/>
      <c r="P83" s="104"/>
    </row>
    <row r="84" spans="1:16" s="4" customFormat="1" ht="25.5" hidden="1" customHeight="1" outlineLevel="1">
      <c r="A84" s="27" t="str">
        <f t="shared" si="17"/>
        <v>10A.S3.5</v>
      </c>
      <c r="B84" s="28" t="s">
        <v>75</v>
      </c>
      <c r="C84" s="28" t="s">
        <v>538</v>
      </c>
      <c r="D84" s="29" t="s">
        <v>517</v>
      </c>
      <c r="E84" s="31">
        <v>38.07</v>
      </c>
      <c r="F84" s="36">
        <v>101.056</v>
      </c>
      <c r="G84" s="93">
        <f>_xlfn.XLOOKUP(B84, Rate_Master!$A:$A, Rate_Master!$C:$C, "")</f>
        <v>110399.99999999999</v>
      </c>
      <c r="H84" s="93">
        <f>_xlfn.XLOOKUP(B84, Rate_Master!$A:$A, Rate_Master!$D:$D, "")</f>
        <v>17250</v>
      </c>
      <c r="I84" s="67">
        <f t="shared" si="18"/>
        <v>127649.99999999999</v>
      </c>
      <c r="J84" s="32">
        <f t="shared" si="19"/>
        <v>4859635.4999999991</v>
      </c>
      <c r="K84" s="58">
        <f t="shared" si="20"/>
        <v>12899798.399999999</v>
      </c>
      <c r="L84" s="32"/>
      <c r="N84" s="104"/>
      <c r="O84" s="104"/>
      <c r="P84" s="104"/>
    </row>
    <row r="85" spans="1:16" s="4" customFormat="1" ht="25.5" hidden="1" customHeight="1" outlineLevel="1">
      <c r="A85" s="27" t="str">
        <f t="shared" si="17"/>
        <v>10A.S3.6</v>
      </c>
      <c r="B85" s="28" t="s">
        <v>75</v>
      </c>
      <c r="C85" s="28" t="s">
        <v>539</v>
      </c>
      <c r="D85" s="29" t="s">
        <v>517</v>
      </c>
      <c r="E85" s="31">
        <v>38.07</v>
      </c>
      <c r="F85" s="36"/>
      <c r="G85" s="93">
        <f>_xlfn.XLOOKUP(B85, Rate_Master!$A:$A, Rate_Master!$C:$C, "")</f>
        <v>110399.99999999999</v>
      </c>
      <c r="H85" s="93">
        <f>_xlfn.XLOOKUP(B85, Rate_Master!$A:$A, Rate_Master!$D:$D, "")</f>
        <v>17250</v>
      </c>
      <c r="I85" s="67">
        <f t="shared" si="18"/>
        <v>127649.99999999999</v>
      </c>
      <c r="J85" s="32">
        <f t="shared" si="19"/>
        <v>4859635.4999999991</v>
      </c>
      <c r="K85" s="58">
        <f t="shared" si="20"/>
        <v>0</v>
      </c>
      <c r="L85" s="32"/>
      <c r="N85" s="104"/>
      <c r="O85" s="104"/>
      <c r="P85" s="104"/>
    </row>
    <row r="86" spans="1:16" s="4" customFormat="1" ht="25.5" hidden="1" customHeight="1" outlineLevel="1">
      <c r="A86" s="27" t="str">
        <f t="shared" si="17"/>
        <v>10A.S3.7</v>
      </c>
      <c r="B86" s="28" t="s">
        <v>76</v>
      </c>
      <c r="C86" s="28" t="s">
        <v>540</v>
      </c>
      <c r="D86" s="29" t="s">
        <v>517</v>
      </c>
      <c r="E86" s="31">
        <v>0</v>
      </c>
      <c r="F86" s="36"/>
      <c r="G86" s="93">
        <f>_xlfn.XLOOKUP(B86, Rate_Master!$A:$A, Rate_Master!$C:$C, "")</f>
        <v>1976115.3983999996</v>
      </c>
      <c r="H86" s="93">
        <f>_xlfn.XLOOKUP(B86, Rate_Master!$A:$A, Rate_Master!$D:$D, "")</f>
        <v>28749.999999999996</v>
      </c>
      <c r="I86" s="67">
        <f t="shared" si="18"/>
        <v>2004865.3983999996</v>
      </c>
      <c r="J86" s="32">
        <f t="shared" si="19"/>
        <v>0</v>
      </c>
      <c r="K86" s="58">
        <f t="shared" si="20"/>
        <v>0</v>
      </c>
      <c r="L86" s="32"/>
      <c r="N86" s="104"/>
      <c r="O86" s="104"/>
      <c r="P86" s="104"/>
    </row>
    <row r="87" spans="1:16" s="4" customFormat="1" ht="25.5" hidden="1" customHeight="1" outlineLevel="1">
      <c r="A87" s="27" t="str">
        <f t="shared" si="17"/>
        <v>10A.S3.8</v>
      </c>
      <c r="B87" s="28" t="s">
        <v>77</v>
      </c>
      <c r="C87" s="28" t="s">
        <v>541</v>
      </c>
      <c r="D87" s="29" t="s">
        <v>517</v>
      </c>
      <c r="E87" s="31">
        <v>23.4</v>
      </c>
      <c r="F87" s="36">
        <v>23.4</v>
      </c>
      <c r="G87" s="93">
        <f>_xlfn.XLOOKUP(B87, Rate_Master!$A:$A, Rate_Master!$C:$C, "")</f>
        <v>1077881.1263999997</v>
      </c>
      <c r="H87" s="93">
        <f>_xlfn.XLOOKUP(B87, Rate_Master!$A:$A, Rate_Master!$D:$D, "")</f>
        <v>23000</v>
      </c>
      <c r="I87" s="67">
        <f t="shared" si="18"/>
        <v>1100881.1263999997</v>
      </c>
      <c r="J87" s="32">
        <f t="shared" si="19"/>
        <v>25760618.357759994</v>
      </c>
      <c r="K87" s="58">
        <f t="shared" si="20"/>
        <v>25760618.357759994</v>
      </c>
      <c r="L87" s="32"/>
      <c r="N87" s="104"/>
      <c r="O87" s="104"/>
      <c r="P87" s="104"/>
    </row>
    <row r="88" spans="1:16" s="4" customFormat="1" ht="25.5" hidden="1" customHeight="1" outlineLevel="1">
      <c r="A88" s="27" t="str">
        <f t="shared" si="17"/>
        <v>10A.S3.9</v>
      </c>
      <c r="B88" s="28" t="s">
        <v>205</v>
      </c>
      <c r="C88" s="28" t="s">
        <v>515</v>
      </c>
      <c r="D88" s="29" t="s">
        <v>518</v>
      </c>
      <c r="E88" s="31">
        <v>4</v>
      </c>
      <c r="F88" s="36">
        <v>4</v>
      </c>
      <c r="G88" s="93">
        <f>_xlfn.XLOOKUP(B88, Rate_Master!$A:$A, Rate_Master!$C:$C, "")</f>
        <v>112699.99999999999</v>
      </c>
      <c r="H88" s="93">
        <f>_xlfn.XLOOKUP(B88, Rate_Master!$A:$A, Rate_Master!$D:$D, "")</f>
        <v>0</v>
      </c>
      <c r="I88" s="67">
        <f t="shared" si="18"/>
        <v>112699.99999999999</v>
      </c>
      <c r="J88" s="32">
        <f t="shared" si="19"/>
        <v>450799.99999999994</v>
      </c>
      <c r="K88" s="58">
        <f t="shared" si="20"/>
        <v>450799.99999999994</v>
      </c>
      <c r="L88" s="32"/>
      <c r="N88" s="104"/>
      <c r="O88" s="104"/>
      <c r="P88" s="104"/>
    </row>
    <row r="89" spans="1:16" s="4" customFormat="1" ht="63.75" hidden="1" customHeight="1" outlineLevel="1">
      <c r="A89" s="27" t="str">
        <f t="shared" si="17"/>
        <v>10A.S3.10</v>
      </c>
      <c r="B89" s="28" t="s">
        <v>206</v>
      </c>
      <c r="C89" s="28" t="s">
        <v>542</v>
      </c>
      <c r="D89" s="29" t="s">
        <v>517</v>
      </c>
      <c r="E89" s="31">
        <v>29.2</v>
      </c>
      <c r="F89" s="36">
        <v>28.28</v>
      </c>
      <c r="G89" s="93">
        <f>_xlfn.XLOOKUP(B89, Rate_Master!$A:$A, Rate_Master!$C:$C, "")</f>
        <v>162150</v>
      </c>
      <c r="H89" s="93">
        <f>_xlfn.XLOOKUP(B89, Rate_Master!$A:$A, Rate_Master!$D:$D, "")</f>
        <v>0</v>
      </c>
      <c r="I89" s="67">
        <f t="shared" si="18"/>
        <v>162150</v>
      </c>
      <c r="J89" s="32">
        <f t="shared" si="19"/>
        <v>4734780</v>
      </c>
      <c r="K89" s="58">
        <f t="shared" si="20"/>
        <v>4585602</v>
      </c>
      <c r="L89" s="32"/>
      <c r="N89" s="104"/>
      <c r="O89" s="104"/>
      <c r="P89" s="104"/>
    </row>
    <row r="90" spans="1:16" s="4" customFormat="1" ht="25.5" hidden="1" customHeight="1" outlineLevel="1">
      <c r="A90" s="27" t="str">
        <f t="shared" si="17"/>
        <v>10A.S3.11</v>
      </c>
      <c r="B90" s="28" t="s">
        <v>80</v>
      </c>
      <c r="C90" s="28" t="s">
        <v>515</v>
      </c>
      <c r="D90" s="29" t="s">
        <v>457</v>
      </c>
      <c r="E90" s="31">
        <v>1</v>
      </c>
      <c r="F90" s="36">
        <v>1</v>
      </c>
      <c r="G90" s="93">
        <f>_xlfn.XLOOKUP(B90, Rate_Master!$A:$A, Rate_Master!$C:$C, "")</f>
        <v>0</v>
      </c>
      <c r="H90" s="93">
        <f>_xlfn.XLOOKUP(B90, Rate_Master!$A:$A, Rate_Master!$D:$D, "")</f>
        <v>57499999.999999993</v>
      </c>
      <c r="I90" s="67">
        <f t="shared" si="18"/>
        <v>57499999.999999993</v>
      </c>
      <c r="J90" s="32">
        <f t="shared" si="19"/>
        <v>57499999.999999993</v>
      </c>
      <c r="K90" s="58">
        <f t="shared" si="20"/>
        <v>57499999.999999993</v>
      </c>
      <c r="L90" s="32"/>
      <c r="N90" s="104"/>
      <c r="O90" s="104"/>
      <c r="P90" s="104"/>
    </row>
    <row r="91" spans="1:16" s="4" customFormat="1" ht="25.5" hidden="1" customHeight="1" outlineLevel="1">
      <c r="A91" s="27" t="str">
        <f t="shared" si="17"/>
        <v>10A.S3.12</v>
      </c>
      <c r="B91" s="28" t="s">
        <v>81</v>
      </c>
      <c r="C91" s="28" t="s">
        <v>515</v>
      </c>
      <c r="D91" s="29" t="s">
        <v>520</v>
      </c>
      <c r="E91" s="31">
        <v>171.63900000000001</v>
      </c>
      <c r="F91" s="36">
        <v>174.68100000000001</v>
      </c>
      <c r="G91" s="93">
        <f>_xlfn.XLOOKUP(B91, Rate_Master!$A:$A, Rate_Master!$C:$C, "")</f>
        <v>0</v>
      </c>
      <c r="H91" s="93">
        <f>_xlfn.XLOOKUP(B91, Rate_Master!$A:$A, Rate_Master!$D:$D, "")</f>
        <v>40250</v>
      </c>
      <c r="I91" s="67">
        <f t="shared" si="18"/>
        <v>40250</v>
      </c>
      <c r="J91" s="32">
        <f t="shared" si="19"/>
        <v>6908469.75</v>
      </c>
      <c r="K91" s="58">
        <f t="shared" si="20"/>
        <v>7030910.2500000009</v>
      </c>
      <c r="L91" s="32"/>
      <c r="N91" s="104"/>
      <c r="O91" s="104"/>
      <c r="P91" s="104"/>
    </row>
    <row r="92" spans="1:16" s="4" customFormat="1" ht="38.25" hidden="1" customHeight="1" outlineLevel="1">
      <c r="A92" s="27" t="str">
        <f t="shared" si="17"/>
        <v>10A.S3.13</v>
      </c>
      <c r="B92" s="28" t="s">
        <v>82</v>
      </c>
      <c r="C92" s="28" t="s">
        <v>515</v>
      </c>
      <c r="D92" s="29" t="s">
        <v>517</v>
      </c>
      <c r="E92" s="31">
        <v>128.74</v>
      </c>
      <c r="F92" s="36">
        <v>152.73599999999999</v>
      </c>
      <c r="G92" s="93">
        <f>_xlfn.XLOOKUP(B92, Rate_Master!$A:$A, Rate_Master!$C:$C, "")</f>
        <v>0</v>
      </c>
      <c r="H92" s="93">
        <f>_xlfn.XLOOKUP(B92, Rate_Master!$A:$A, Rate_Master!$D:$D, "")</f>
        <v>23000</v>
      </c>
      <c r="I92" s="67">
        <f t="shared" si="18"/>
        <v>23000</v>
      </c>
      <c r="J92" s="32">
        <f t="shared" si="19"/>
        <v>2961020</v>
      </c>
      <c r="K92" s="58">
        <f t="shared" si="20"/>
        <v>3512928</v>
      </c>
      <c r="L92" s="32"/>
      <c r="N92" s="104"/>
      <c r="O92" s="104"/>
      <c r="P92" s="104"/>
    </row>
    <row r="93" spans="1:16" s="4" customFormat="1" ht="25.5" hidden="1" customHeight="1" outlineLevel="1">
      <c r="A93" s="27" t="str">
        <f t="shared" si="17"/>
        <v>10A.S3.14</v>
      </c>
      <c r="B93" s="28" t="s">
        <v>83</v>
      </c>
      <c r="C93" s="28" t="s">
        <v>543</v>
      </c>
      <c r="D93" s="29" t="s">
        <v>457</v>
      </c>
      <c r="E93" s="31">
        <v>1</v>
      </c>
      <c r="F93" s="36">
        <v>1</v>
      </c>
      <c r="G93" s="93">
        <f>_xlfn.XLOOKUP(B93, Rate_Master!$A:$A, Rate_Master!$C:$C, "")</f>
        <v>145942235.10876715</v>
      </c>
      <c r="H93" s="93">
        <f>_xlfn.XLOOKUP(B93, Rate_Master!$A:$A, Rate_Master!$D:$D, "")</f>
        <v>0</v>
      </c>
      <c r="I93" s="67">
        <f t="shared" si="18"/>
        <v>145942235.10876715</v>
      </c>
      <c r="J93" s="32">
        <f t="shared" si="19"/>
        <v>145942235.10876715</v>
      </c>
      <c r="K93" s="58">
        <f t="shared" si="20"/>
        <v>145942235.10876715</v>
      </c>
      <c r="L93" s="32"/>
      <c r="N93" s="104"/>
      <c r="O93" s="104"/>
      <c r="P93" s="104"/>
    </row>
    <row r="94" spans="1:16" s="3" customFormat="1" ht="25.5" customHeight="1" collapsed="1">
      <c r="A94" s="22" t="str">
        <f>$A$56&amp;4</f>
        <v>10A.S4</v>
      </c>
      <c r="B94" s="23" t="s">
        <v>84</v>
      </c>
      <c r="C94" s="23" t="s">
        <v>515</v>
      </c>
      <c r="D94" s="22"/>
      <c r="E94" s="25"/>
      <c r="F94" s="87"/>
      <c r="G94" s="25">
        <f>_xlfn.XLOOKUP(B94, Rate_Master!$A:$A, Rate_Master!$C:$C, "")</f>
        <v>0</v>
      </c>
      <c r="H94" s="25">
        <f>_xlfn.XLOOKUP(B94, Rate_Master!$A:$A, Rate_Master!$D:$D, "")</f>
        <v>0</v>
      </c>
      <c r="I94" s="68"/>
      <c r="J94" s="26">
        <f>SUBTOTAL(9,J95:J102)</f>
        <v>6992127.3279999997</v>
      </c>
      <c r="K94" s="26">
        <f>SUBTOTAL(9,K95:K102)</f>
        <v>4017663.0000000005</v>
      </c>
      <c r="L94" s="26"/>
      <c r="N94" s="104"/>
      <c r="O94" s="104"/>
      <c r="P94" s="104"/>
    </row>
    <row r="95" spans="1:16" s="4" customFormat="1" ht="38.25" hidden="1" customHeight="1" outlineLevel="1">
      <c r="A95" s="27" t="str">
        <f t="shared" ref="A95:A102" si="21">$A$94&amp;"."&amp;ROW()-ROW($A$94)</f>
        <v>10A.S4.1</v>
      </c>
      <c r="B95" s="28" t="s">
        <v>85</v>
      </c>
      <c r="C95" s="28" t="s">
        <v>544</v>
      </c>
      <c r="D95" s="29" t="s">
        <v>517</v>
      </c>
      <c r="E95" s="31">
        <v>0</v>
      </c>
      <c r="F95" s="36"/>
      <c r="G95" s="30">
        <f>_xlfn.XLOOKUP(B95, Rate_Master!$A:$A, Rate_Master!$C:$C, "")</f>
        <v>5175000</v>
      </c>
      <c r="H95" s="30">
        <f>_xlfn.XLOOKUP(B95, Rate_Master!$A:$A, Rate_Master!$D:$D, "")</f>
        <v>0</v>
      </c>
      <c r="I95" s="67">
        <f t="shared" ref="I95:I102" si="22">+SUM(G95:H95)</f>
        <v>5175000</v>
      </c>
      <c r="J95" s="32">
        <f t="shared" ref="J95:J102" si="23">I95*E95</f>
        <v>0</v>
      </c>
      <c r="K95" s="58">
        <f t="shared" ref="K95:K102" si="24">+F95*I95</f>
        <v>0</v>
      </c>
      <c r="L95" s="32"/>
      <c r="N95" s="104"/>
      <c r="O95" s="104"/>
      <c r="P95" s="104"/>
    </row>
    <row r="96" spans="1:16" s="4" customFormat="1" ht="38.25" hidden="1" customHeight="1" outlineLevel="1">
      <c r="A96" s="27" t="str">
        <f t="shared" si="21"/>
        <v>10A.S4.2</v>
      </c>
      <c r="B96" s="28" t="s">
        <v>86</v>
      </c>
      <c r="C96" s="28" t="s">
        <v>545</v>
      </c>
      <c r="D96" s="29" t="s">
        <v>517</v>
      </c>
      <c r="E96" s="31">
        <v>0</v>
      </c>
      <c r="F96" s="36"/>
      <c r="G96" s="30">
        <f>_xlfn.XLOOKUP(B96, Rate_Master!$A:$A, Rate_Master!$C:$C, "")</f>
        <v>0</v>
      </c>
      <c r="H96" s="30">
        <f>_xlfn.XLOOKUP(B96, Rate_Master!$A:$A, Rate_Master!$D:$D, "")</f>
        <v>0</v>
      </c>
      <c r="I96" s="67">
        <f t="shared" si="22"/>
        <v>0</v>
      </c>
      <c r="J96" s="32">
        <f t="shared" si="23"/>
        <v>0</v>
      </c>
      <c r="K96" s="58">
        <f t="shared" si="24"/>
        <v>0</v>
      </c>
      <c r="L96" s="32"/>
      <c r="N96" s="104"/>
      <c r="O96" s="104"/>
      <c r="P96" s="104"/>
    </row>
    <row r="97" spans="1:16" s="4" customFormat="1" ht="38.25" hidden="1" customHeight="1" outlineLevel="1">
      <c r="A97" s="27" t="str">
        <f t="shared" si="21"/>
        <v>10A.S4.3</v>
      </c>
      <c r="B97" s="28" t="s">
        <v>87</v>
      </c>
      <c r="C97" s="28" t="s">
        <v>546</v>
      </c>
      <c r="D97" s="29" t="s">
        <v>517</v>
      </c>
      <c r="E97" s="31">
        <v>0</v>
      </c>
      <c r="F97" s="36"/>
      <c r="G97" s="30">
        <f>_xlfn.XLOOKUP(B97, Rate_Master!$A:$A, Rate_Master!$C:$C, "")</f>
        <v>0</v>
      </c>
      <c r="H97" s="30">
        <f>_xlfn.XLOOKUP(B97, Rate_Master!$A:$A, Rate_Master!$D:$D, "")</f>
        <v>0</v>
      </c>
      <c r="I97" s="67">
        <f t="shared" si="22"/>
        <v>0</v>
      </c>
      <c r="J97" s="32">
        <f t="shared" si="23"/>
        <v>0</v>
      </c>
      <c r="K97" s="58">
        <f t="shared" si="24"/>
        <v>0</v>
      </c>
      <c r="L97" s="32"/>
      <c r="N97" s="104"/>
      <c r="O97" s="104"/>
      <c r="P97" s="104"/>
    </row>
    <row r="98" spans="1:16" s="4" customFormat="1" ht="25.5" hidden="1" customHeight="1" outlineLevel="1">
      <c r="A98" s="27" t="str">
        <f t="shared" si="21"/>
        <v>10A.S4.4</v>
      </c>
      <c r="B98" s="28" t="s">
        <v>88</v>
      </c>
      <c r="C98" s="28" t="s">
        <v>546</v>
      </c>
      <c r="D98" s="29" t="s">
        <v>517</v>
      </c>
      <c r="E98" s="31">
        <v>0</v>
      </c>
      <c r="F98" s="36"/>
      <c r="G98" s="30">
        <f>_xlfn.XLOOKUP(B98, Rate_Master!$A:$A, Rate_Master!$C:$C, "")</f>
        <v>0</v>
      </c>
      <c r="H98" s="30">
        <f>_xlfn.XLOOKUP(B98, Rate_Master!$A:$A, Rate_Master!$D:$D, "")</f>
        <v>0</v>
      </c>
      <c r="I98" s="67">
        <f t="shared" si="22"/>
        <v>0</v>
      </c>
      <c r="J98" s="32">
        <f t="shared" si="23"/>
        <v>0</v>
      </c>
      <c r="K98" s="58">
        <f t="shared" si="24"/>
        <v>0</v>
      </c>
      <c r="L98" s="32"/>
      <c r="N98" s="104"/>
      <c r="O98" s="104"/>
      <c r="P98" s="104"/>
    </row>
    <row r="99" spans="1:16" s="4" customFormat="1" ht="51" hidden="1" customHeight="1" outlineLevel="1">
      <c r="A99" s="27" t="str">
        <f t="shared" si="21"/>
        <v>10A.S4.5</v>
      </c>
      <c r="B99" s="28" t="s">
        <v>89</v>
      </c>
      <c r="C99" s="28" t="s">
        <v>547</v>
      </c>
      <c r="D99" s="29" t="s">
        <v>520</v>
      </c>
      <c r="E99" s="31">
        <v>190.476</v>
      </c>
      <c r="F99" s="36">
        <v>174.68100000000001</v>
      </c>
      <c r="G99" s="93">
        <f>_xlfn.XLOOKUP(B99, Rate_Master!$A:$A, Rate_Master!$C:$C, "")</f>
        <v>17250</v>
      </c>
      <c r="H99" s="93">
        <f>_xlfn.XLOOKUP(B99, Rate_Master!$A:$A, Rate_Master!$D:$D, "")</f>
        <v>5750</v>
      </c>
      <c r="I99" s="67">
        <f t="shared" si="22"/>
        <v>23000</v>
      </c>
      <c r="J99" s="32">
        <f t="shared" si="23"/>
        <v>4380948</v>
      </c>
      <c r="K99" s="58">
        <f t="shared" si="24"/>
        <v>4017663.0000000005</v>
      </c>
      <c r="L99" s="32"/>
      <c r="N99" s="104"/>
      <c r="O99" s="104"/>
      <c r="P99" s="104"/>
    </row>
    <row r="100" spans="1:16" s="4" customFormat="1" ht="38.25" hidden="1" customHeight="1" outlineLevel="1">
      <c r="A100" s="27" t="str">
        <f t="shared" si="21"/>
        <v>10A.S4.6</v>
      </c>
      <c r="B100" s="28" t="s">
        <v>90</v>
      </c>
      <c r="C100" s="28" t="s">
        <v>548</v>
      </c>
      <c r="D100" s="29" t="s">
        <v>520</v>
      </c>
      <c r="E100" s="31">
        <v>133.56415999999999</v>
      </c>
      <c r="F100" s="36"/>
      <c r="G100" s="30">
        <f>_xlfn.XLOOKUP(B100, Rate_Master!$A:$A, Rate_Master!$C:$C, "")</f>
        <v>0</v>
      </c>
      <c r="H100" s="30">
        <f>_xlfn.XLOOKUP(B100, Rate_Master!$A:$A, Rate_Master!$D:$D, "")</f>
        <v>0</v>
      </c>
      <c r="I100" s="67">
        <f t="shared" si="22"/>
        <v>0</v>
      </c>
      <c r="J100" s="32">
        <f t="shared" si="23"/>
        <v>0</v>
      </c>
      <c r="K100" s="58">
        <f t="shared" si="24"/>
        <v>0</v>
      </c>
      <c r="L100" s="32" t="s">
        <v>571</v>
      </c>
      <c r="N100" s="104"/>
      <c r="O100" s="104"/>
      <c r="P100" s="104"/>
    </row>
    <row r="101" spans="1:16" s="4" customFormat="1" ht="25.5" hidden="1" customHeight="1" outlineLevel="1">
      <c r="A101" s="27" t="str">
        <f t="shared" si="21"/>
        <v>10A.S4.7</v>
      </c>
      <c r="B101" s="28" t="s">
        <v>91</v>
      </c>
      <c r="C101" s="28" t="s">
        <v>515</v>
      </c>
      <c r="D101" s="29" t="s">
        <v>457</v>
      </c>
      <c r="E101" s="31">
        <v>1</v>
      </c>
      <c r="F101" s="36"/>
      <c r="G101" s="30">
        <f>_xlfn.XLOOKUP(B101, Rate_Master!$A:$A, Rate_Master!$C:$C, "")</f>
        <v>0</v>
      </c>
      <c r="H101" s="30">
        <f>_xlfn.XLOOKUP(B101, Rate_Master!$A:$A, Rate_Master!$D:$D, "")</f>
        <v>0</v>
      </c>
      <c r="I101" s="67">
        <f t="shared" si="22"/>
        <v>0</v>
      </c>
      <c r="J101" s="32">
        <f t="shared" si="23"/>
        <v>0</v>
      </c>
      <c r="K101" s="58">
        <f t="shared" si="24"/>
        <v>0</v>
      </c>
      <c r="L101" s="32" t="s">
        <v>571</v>
      </c>
      <c r="N101" s="104"/>
      <c r="O101" s="104"/>
      <c r="P101" s="104"/>
    </row>
    <row r="102" spans="1:16" s="4" customFormat="1" ht="51" hidden="1" customHeight="1" outlineLevel="1">
      <c r="A102" s="27" t="str">
        <f t="shared" si="21"/>
        <v>10A.S4.8</v>
      </c>
      <c r="B102" s="28" t="s">
        <v>92</v>
      </c>
      <c r="C102" s="28" t="s">
        <v>550</v>
      </c>
      <c r="D102" s="29" t="s">
        <v>520</v>
      </c>
      <c r="E102" s="31">
        <v>133.56415999999999</v>
      </c>
      <c r="F102" s="36"/>
      <c r="G102" s="30">
        <f>_xlfn.XLOOKUP(B102, Rate_Master!$A:$A, Rate_Master!$C:$C, "")</f>
        <v>16099.999999999998</v>
      </c>
      <c r="H102" s="30">
        <f>_xlfn.XLOOKUP(B102, Rate_Master!$A:$A, Rate_Master!$D:$D, "")</f>
        <v>3449.9999999999995</v>
      </c>
      <c r="I102" s="67">
        <f t="shared" si="22"/>
        <v>19549.999999999996</v>
      </c>
      <c r="J102" s="32">
        <f t="shared" si="23"/>
        <v>2611179.3279999993</v>
      </c>
      <c r="K102" s="58">
        <f t="shared" si="24"/>
        <v>0</v>
      </c>
      <c r="L102" s="32" t="s">
        <v>571</v>
      </c>
      <c r="N102" s="104"/>
      <c r="O102" s="104"/>
      <c r="P102" s="104"/>
    </row>
    <row r="103" spans="1:16" s="3" customFormat="1" ht="25.5" customHeight="1" collapsed="1">
      <c r="A103" s="22" t="str">
        <f>$A$9&amp;".F"</f>
        <v>10A.F</v>
      </c>
      <c r="B103" s="23" t="s">
        <v>93</v>
      </c>
      <c r="C103" s="23" t="s">
        <v>515</v>
      </c>
      <c r="D103" s="22"/>
      <c r="E103" s="25"/>
      <c r="F103" s="25"/>
      <c r="G103" s="25">
        <f>_xlfn.XLOOKUP(B103, Rate_Master!$A:$A, Rate_Master!$C:$C, "")</f>
        <v>0</v>
      </c>
      <c r="H103" s="25">
        <f>_xlfn.XLOOKUP(B103, Rate_Master!$A:$A, Rate_Master!$D:$D, "")</f>
        <v>0</v>
      </c>
      <c r="I103" s="26">
        <f>G103+H103</f>
        <v>0</v>
      </c>
      <c r="J103" s="26"/>
      <c r="K103" s="89"/>
      <c r="L103" s="26"/>
    </row>
    <row r="104" spans="1:16" s="3" customFormat="1" ht="25.5" customHeight="1">
      <c r="A104" s="22" t="str">
        <f>$A$103&amp;1</f>
        <v>10A.F1</v>
      </c>
      <c r="B104" s="23" t="s">
        <v>94</v>
      </c>
      <c r="C104" s="23" t="s">
        <v>515</v>
      </c>
      <c r="D104" s="22"/>
      <c r="E104" s="25"/>
      <c r="F104" s="25"/>
      <c r="G104" s="25">
        <f>_xlfn.XLOOKUP(B104, Rate_Master!$A:$A, Rate_Master!$C:$C, "")</f>
        <v>0</v>
      </c>
      <c r="H104" s="25">
        <f>_xlfn.XLOOKUP(B104, Rate_Master!$A:$A, Rate_Master!$D:$D, "")</f>
        <v>0</v>
      </c>
      <c r="I104" s="26">
        <f>G104+H104</f>
        <v>0</v>
      </c>
      <c r="J104" s="26">
        <f>SUBTOTAL(9,J105:J122)</f>
        <v>512434981.90013564</v>
      </c>
      <c r="K104" s="89">
        <f>SUBTOTAL(9,K105:K122)</f>
        <v>512434981.90013564</v>
      </c>
      <c r="L104" s="26"/>
    </row>
    <row r="105" spans="1:16" s="4" customFormat="1" ht="25.5" customHeight="1" outlineLevel="1">
      <c r="A105" s="27" t="str">
        <f t="shared" ref="A105:A122" si="25">$A$104&amp;"."&amp;ROW()-ROW($A$104)</f>
        <v>10A.F1.1</v>
      </c>
      <c r="B105" s="35" t="s">
        <v>95</v>
      </c>
      <c r="C105" s="34" t="s">
        <v>551</v>
      </c>
      <c r="D105" s="29" t="s">
        <v>519</v>
      </c>
      <c r="E105" s="31">
        <v>91.762</v>
      </c>
      <c r="F105" s="31">
        <v>91.762</v>
      </c>
      <c r="G105" s="30">
        <f>_xlfn.XLOOKUP(B105, Rate_Master!$A:$A, Rate_Master!$C:$C, "")</f>
        <v>1587600.0077618286</v>
      </c>
      <c r="H105" s="30">
        <f>_xlfn.XLOOKUP(B105, Rate_Master!$A:$A, Rate_Master!$D:$D, "")</f>
        <v>1086539.80861244</v>
      </c>
      <c r="I105" s="32">
        <f>+H105+G105</f>
        <v>2674139.8163742684</v>
      </c>
      <c r="J105" s="32">
        <f t="shared" ref="J105:J122" si="26">I105*E105</f>
        <v>245384417.83013561</v>
      </c>
      <c r="K105" s="58">
        <f t="shared" ref="K105:K122" si="27">I105*F105</f>
        <v>245384417.83013561</v>
      </c>
      <c r="L105" s="32"/>
    </row>
    <row r="106" spans="1:16" s="4" customFormat="1" ht="25.5" customHeight="1" outlineLevel="1">
      <c r="A106" s="27" t="str">
        <f t="shared" si="25"/>
        <v>10A.F1.2</v>
      </c>
      <c r="B106" s="35" t="s">
        <v>96</v>
      </c>
      <c r="C106" s="34" t="s">
        <v>551</v>
      </c>
      <c r="D106" s="29" t="s">
        <v>519</v>
      </c>
      <c r="E106" s="31">
        <v>0</v>
      </c>
      <c r="F106" s="31">
        <v>0</v>
      </c>
      <c r="G106" s="30">
        <f>_xlfn.XLOOKUP(B106, Rate_Master!$A:$A, Rate_Master!$C:$C, "")</f>
        <v>1368500</v>
      </c>
      <c r="H106" s="30">
        <f>_xlfn.XLOOKUP(B106, Rate_Master!$A:$A, Rate_Master!$D:$D, "")</f>
        <v>948749.99999999988</v>
      </c>
      <c r="I106" s="32">
        <v>0</v>
      </c>
      <c r="J106" s="32">
        <f t="shared" si="26"/>
        <v>0</v>
      </c>
      <c r="K106" s="58">
        <f t="shared" si="27"/>
        <v>0</v>
      </c>
      <c r="L106" s="32"/>
    </row>
    <row r="107" spans="1:16" s="4" customFormat="1" ht="63.75" customHeight="1" outlineLevel="1">
      <c r="A107" s="27" t="str">
        <f t="shared" si="25"/>
        <v>10A.F1.3</v>
      </c>
      <c r="B107" s="28" t="s">
        <v>97</v>
      </c>
      <c r="C107" s="34" t="s">
        <v>552</v>
      </c>
      <c r="D107" s="29" t="s">
        <v>520</v>
      </c>
      <c r="E107" s="31">
        <v>0</v>
      </c>
      <c r="F107" s="31">
        <v>0</v>
      </c>
      <c r="G107" s="31">
        <f>_xlfn.XLOOKUP(B107, Rate_Master!$A:$A, Rate_Master!$C:$C, "")</f>
        <v>229999.99999999997</v>
      </c>
      <c r="H107" s="31">
        <f>_xlfn.XLOOKUP(B107, Rate_Master!$A:$A, Rate_Master!$D:$D, "")</f>
        <v>46000</v>
      </c>
      <c r="I107" s="32">
        <v>0</v>
      </c>
      <c r="J107" s="32">
        <f t="shared" si="26"/>
        <v>0</v>
      </c>
      <c r="K107" s="58">
        <f t="shared" si="27"/>
        <v>0</v>
      </c>
      <c r="L107" s="32"/>
    </row>
    <row r="108" spans="1:16" s="4" customFormat="1" ht="51" customHeight="1" outlineLevel="1">
      <c r="A108" s="27" t="str">
        <f t="shared" si="25"/>
        <v>10A.F1.4</v>
      </c>
      <c r="B108" s="28" t="s">
        <v>98</v>
      </c>
      <c r="C108" s="34" t="s">
        <v>553</v>
      </c>
      <c r="D108" s="29" t="s">
        <v>520</v>
      </c>
      <c r="E108" s="31">
        <v>0</v>
      </c>
      <c r="F108" s="31">
        <v>0</v>
      </c>
      <c r="G108" s="31">
        <f>_xlfn.XLOOKUP(B108, Rate_Master!$A:$A, Rate_Master!$C:$C, "")</f>
        <v>0</v>
      </c>
      <c r="H108" s="31">
        <f>_xlfn.XLOOKUP(B108, Rate_Master!$A:$A, Rate_Master!$D:$D, "")</f>
        <v>0</v>
      </c>
      <c r="I108" s="32">
        <v>0</v>
      </c>
      <c r="J108" s="32">
        <f t="shared" si="26"/>
        <v>0</v>
      </c>
      <c r="K108" s="58">
        <f t="shared" si="27"/>
        <v>0</v>
      </c>
      <c r="L108" s="32"/>
    </row>
    <row r="109" spans="1:16" s="4" customFormat="1" ht="51" customHeight="1" outlineLevel="1">
      <c r="A109" s="27" t="str">
        <f t="shared" si="25"/>
        <v>10A.F1.5</v>
      </c>
      <c r="B109" s="28" t="s">
        <v>99</v>
      </c>
      <c r="C109" s="34" t="s">
        <v>553</v>
      </c>
      <c r="D109" s="29" t="s">
        <v>520</v>
      </c>
      <c r="E109" s="31">
        <v>0</v>
      </c>
      <c r="F109" s="31">
        <v>0</v>
      </c>
      <c r="G109" s="31">
        <f>_xlfn.XLOOKUP(B109, Rate_Master!$A:$A, Rate_Master!$C:$C, "")</f>
        <v>931499.99999999988</v>
      </c>
      <c r="H109" s="31">
        <f>_xlfn.XLOOKUP(B109, Rate_Master!$A:$A, Rate_Master!$D:$D, "")</f>
        <v>114999.99999999999</v>
      </c>
      <c r="I109" s="32">
        <v>0</v>
      </c>
      <c r="J109" s="32">
        <f t="shared" si="26"/>
        <v>0</v>
      </c>
      <c r="K109" s="58">
        <f t="shared" si="27"/>
        <v>0</v>
      </c>
      <c r="L109" s="32"/>
    </row>
    <row r="110" spans="1:16" s="4" customFormat="1" ht="25.5" customHeight="1" outlineLevel="1">
      <c r="A110" s="27" t="str">
        <f t="shared" si="25"/>
        <v>10A.F1.6</v>
      </c>
      <c r="B110" s="28" t="s">
        <v>100</v>
      </c>
      <c r="C110" s="34" t="s">
        <v>554</v>
      </c>
      <c r="D110" s="29" t="s">
        <v>520</v>
      </c>
      <c r="E110" s="31">
        <v>0</v>
      </c>
      <c r="F110" s="31">
        <v>0</v>
      </c>
      <c r="G110" s="31">
        <f>_xlfn.XLOOKUP(B110, Rate_Master!$A:$A, Rate_Master!$C:$C, "")</f>
        <v>1586790</v>
      </c>
      <c r="H110" s="31">
        <f>_xlfn.XLOOKUP(B110, Rate_Master!$A:$A, Rate_Master!$D:$D, "")</f>
        <v>372210</v>
      </c>
      <c r="I110" s="32">
        <v>0</v>
      </c>
      <c r="J110" s="32">
        <f t="shared" si="26"/>
        <v>0</v>
      </c>
      <c r="K110" s="58">
        <f t="shared" si="27"/>
        <v>0</v>
      </c>
      <c r="L110" s="32"/>
    </row>
    <row r="111" spans="1:16" s="4" customFormat="1" ht="51" customHeight="1" outlineLevel="1">
      <c r="A111" s="27" t="str">
        <f t="shared" si="25"/>
        <v>10A.F1.7</v>
      </c>
      <c r="B111" s="28" t="s">
        <v>101</v>
      </c>
      <c r="C111" s="28" t="s">
        <v>515</v>
      </c>
      <c r="D111" s="29" t="s">
        <v>520</v>
      </c>
      <c r="E111" s="31">
        <v>0</v>
      </c>
      <c r="F111" s="31">
        <v>0</v>
      </c>
      <c r="G111" s="31">
        <f>_xlfn.XLOOKUP(B111, Rate_Master!$A:$A, Rate_Master!$C:$C, "")</f>
        <v>1121250</v>
      </c>
      <c r="H111" s="31">
        <f>_xlfn.XLOOKUP(B111, Rate_Master!$A:$A, Rate_Master!$D:$D, "")</f>
        <v>114999.99999999999</v>
      </c>
      <c r="I111" s="32">
        <v>0</v>
      </c>
      <c r="J111" s="32">
        <f t="shared" si="26"/>
        <v>0</v>
      </c>
      <c r="K111" s="58">
        <f t="shared" si="27"/>
        <v>0</v>
      </c>
      <c r="L111" s="32"/>
    </row>
    <row r="112" spans="1:16" s="4" customFormat="1" ht="51" customHeight="1" outlineLevel="1">
      <c r="A112" s="27" t="str">
        <f t="shared" si="25"/>
        <v>10A.F1.8</v>
      </c>
      <c r="B112" s="28" t="s">
        <v>102</v>
      </c>
      <c r="C112" s="34" t="s">
        <v>555</v>
      </c>
      <c r="D112" s="29" t="s">
        <v>520</v>
      </c>
      <c r="E112" s="31">
        <v>0</v>
      </c>
      <c r="F112" s="31">
        <v>0</v>
      </c>
      <c r="G112" s="31">
        <f>_xlfn.XLOOKUP(B112, Rate_Master!$A:$A, Rate_Master!$C:$C, "")</f>
        <v>0</v>
      </c>
      <c r="H112" s="31">
        <f>_xlfn.XLOOKUP(B112, Rate_Master!$A:$A, Rate_Master!$D:$D, "")</f>
        <v>0</v>
      </c>
      <c r="I112" s="32">
        <v>0</v>
      </c>
      <c r="J112" s="32">
        <f t="shared" si="26"/>
        <v>0</v>
      </c>
      <c r="K112" s="58">
        <f t="shared" si="27"/>
        <v>0</v>
      </c>
      <c r="L112" s="32"/>
    </row>
    <row r="113" spans="1:12" s="4" customFormat="1" ht="51" customHeight="1" outlineLevel="1">
      <c r="A113" s="27" t="str">
        <f t="shared" si="25"/>
        <v>10A.F1.9</v>
      </c>
      <c r="B113" s="28" t="s">
        <v>103</v>
      </c>
      <c r="C113" s="34" t="s">
        <v>555</v>
      </c>
      <c r="D113" s="29" t="s">
        <v>520</v>
      </c>
      <c r="E113" s="31">
        <v>0</v>
      </c>
      <c r="F113" s="31">
        <v>0</v>
      </c>
      <c r="G113" s="31">
        <f>_xlfn.XLOOKUP(B113, Rate_Master!$A:$A, Rate_Master!$C:$C, "")</f>
        <v>0</v>
      </c>
      <c r="H113" s="31">
        <f>_xlfn.XLOOKUP(B113, Rate_Master!$A:$A, Rate_Master!$D:$D, "")</f>
        <v>0</v>
      </c>
      <c r="I113" s="32">
        <v>0</v>
      </c>
      <c r="J113" s="32">
        <f t="shared" si="26"/>
        <v>0</v>
      </c>
      <c r="K113" s="58">
        <f t="shared" si="27"/>
        <v>0</v>
      </c>
      <c r="L113" s="32"/>
    </row>
    <row r="114" spans="1:12" s="4" customFormat="1" ht="25.5" customHeight="1" outlineLevel="1">
      <c r="A114" s="27" t="str">
        <f t="shared" si="25"/>
        <v>10A.F1.10</v>
      </c>
      <c r="B114" s="28" t="s">
        <v>104</v>
      </c>
      <c r="C114" s="28" t="s">
        <v>515</v>
      </c>
      <c r="D114" s="29" t="s">
        <v>520</v>
      </c>
      <c r="E114" s="31">
        <v>504.64</v>
      </c>
      <c r="F114" s="31">
        <v>504.64</v>
      </c>
      <c r="G114" s="30">
        <f>_xlfn.XLOOKUP(B114, Rate_Master!$A:$A, Rate_Master!$C:$C, "")</f>
        <v>46000</v>
      </c>
      <c r="H114" s="30">
        <f>_xlfn.XLOOKUP(B114, Rate_Master!$A:$A, Rate_Master!$D:$D, "")</f>
        <v>34500</v>
      </c>
      <c r="I114" s="32">
        <f>+H114+G114</f>
        <v>80500</v>
      </c>
      <c r="J114" s="32">
        <f t="shared" si="26"/>
        <v>40623520</v>
      </c>
      <c r="K114" s="58">
        <f t="shared" si="27"/>
        <v>40623520</v>
      </c>
      <c r="L114" s="32"/>
    </row>
    <row r="115" spans="1:12" s="4" customFormat="1" ht="25.5" customHeight="1" outlineLevel="1">
      <c r="A115" s="27" t="str">
        <f t="shared" si="25"/>
        <v>10A.F1.11</v>
      </c>
      <c r="B115" s="28" t="s">
        <v>105</v>
      </c>
      <c r="C115" s="34" t="s">
        <v>556</v>
      </c>
      <c r="D115" s="29" t="s">
        <v>520</v>
      </c>
      <c r="E115" s="31">
        <v>504.71800000000002</v>
      </c>
      <c r="F115" s="31">
        <v>504.71800000000002</v>
      </c>
      <c r="G115" s="30">
        <f>_xlfn.XLOOKUP(B115, Rate_Master!$A:$A, Rate_Master!$C:$C, "")</f>
        <v>26565.000000000004</v>
      </c>
      <c r="H115" s="30">
        <f>_xlfn.XLOOKUP(B115, Rate_Master!$A:$A, Rate_Master!$D:$D, "")</f>
        <v>132250</v>
      </c>
      <c r="I115" s="32">
        <f>+H115+G115</f>
        <v>158815</v>
      </c>
      <c r="J115" s="32">
        <f t="shared" si="26"/>
        <v>80156789.170000002</v>
      </c>
      <c r="K115" s="58">
        <f t="shared" si="27"/>
        <v>80156789.170000002</v>
      </c>
      <c r="L115" s="32"/>
    </row>
    <row r="116" spans="1:12" s="4" customFormat="1" ht="25.5" customHeight="1" outlineLevel="1">
      <c r="A116" s="27" t="str">
        <f t="shared" si="25"/>
        <v>10A.F1.12</v>
      </c>
      <c r="B116" s="28" t="s">
        <v>106</v>
      </c>
      <c r="C116" s="34" t="s">
        <v>556</v>
      </c>
      <c r="D116" s="29" t="s">
        <v>520</v>
      </c>
      <c r="E116" s="31">
        <v>481.56</v>
      </c>
      <c r="F116" s="31">
        <v>481.56</v>
      </c>
      <c r="G116" s="30">
        <f>_xlfn.XLOOKUP(B116, Rate_Master!$A:$A, Rate_Master!$C:$C, "")</f>
        <v>26565.000000000004</v>
      </c>
      <c r="H116" s="30">
        <f>_xlfn.XLOOKUP(B116, Rate_Master!$A:$A, Rate_Master!$D:$D, "")</f>
        <v>117299.99999999999</v>
      </c>
      <c r="I116" s="32">
        <f>+H116+G116</f>
        <v>143865</v>
      </c>
      <c r="J116" s="32">
        <f t="shared" si="26"/>
        <v>69279629.400000006</v>
      </c>
      <c r="K116" s="58">
        <f t="shared" si="27"/>
        <v>69279629.400000006</v>
      </c>
      <c r="L116" s="32"/>
    </row>
    <row r="117" spans="1:12" s="4" customFormat="1" ht="38.25" customHeight="1" outlineLevel="1">
      <c r="A117" s="27" t="str">
        <f t="shared" si="25"/>
        <v>10A.F1.13</v>
      </c>
      <c r="B117" s="28" t="s">
        <v>107</v>
      </c>
      <c r="C117" s="28" t="s">
        <v>515</v>
      </c>
      <c r="D117" s="29" t="s">
        <v>520</v>
      </c>
      <c r="E117" s="31">
        <v>0</v>
      </c>
      <c r="F117" s="31">
        <v>0</v>
      </c>
      <c r="G117" s="31">
        <f>_xlfn.XLOOKUP(B117, Rate_Master!$A:$A, Rate_Master!$C:$C, "")</f>
        <v>218499.99999999997</v>
      </c>
      <c r="H117" s="31">
        <f>_xlfn.XLOOKUP(B117, Rate_Master!$A:$A, Rate_Master!$D:$D, "")</f>
        <v>138000</v>
      </c>
      <c r="I117" s="32">
        <v>0</v>
      </c>
      <c r="J117" s="32">
        <f t="shared" si="26"/>
        <v>0</v>
      </c>
      <c r="K117" s="58">
        <f t="shared" si="27"/>
        <v>0</v>
      </c>
      <c r="L117" s="32"/>
    </row>
    <row r="118" spans="1:12" s="4" customFormat="1" ht="25.5" customHeight="1" outlineLevel="1">
      <c r="A118" s="27" t="str">
        <f t="shared" si="25"/>
        <v>10A.F1.14</v>
      </c>
      <c r="B118" s="34" t="s">
        <v>108</v>
      </c>
      <c r="C118" s="28" t="s">
        <v>515</v>
      </c>
      <c r="D118" s="29" t="s">
        <v>520</v>
      </c>
      <c r="E118" s="31">
        <v>504.71800000000002</v>
      </c>
      <c r="F118" s="31">
        <v>504.71800000000002</v>
      </c>
      <c r="G118" s="30">
        <f>_xlfn.XLOOKUP(B118, Rate_Master!$A:$A, Rate_Master!$C:$C, "")</f>
        <v>51749.999999999993</v>
      </c>
      <c r="H118" s="30">
        <f>_xlfn.XLOOKUP(B118, Rate_Master!$A:$A, Rate_Master!$D:$D, "")</f>
        <v>34500</v>
      </c>
      <c r="I118" s="32">
        <f>+H118+G118</f>
        <v>86250</v>
      </c>
      <c r="J118" s="32">
        <f t="shared" si="26"/>
        <v>43531927.5</v>
      </c>
      <c r="K118" s="58">
        <f t="shared" si="27"/>
        <v>43531927.5</v>
      </c>
      <c r="L118" s="32"/>
    </row>
    <row r="119" spans="1:12" s="4" customFormat="1" ht="25.5" customHeight="1" outlineLevel="1">
      <c r="A119" s="27" t="str">
        <f t="shared" si="25"/>
        <v>10A.F1.15</v>
      </c>
      <c r="B119" s="34" t="s">
        <v>109</v>
      </c>
      <c r="C119" s="28" t="s">
        <v>515</v>
      </c>
      <c r="D119" s="29" t="s">
        <v>520</v>
      </c>
      <c r="E119" s="31">
        <v>481.56</v>
      </c>
      <c r="F119" s="31">
        <v>481.56</v>
      </c>
      <c r="G119" s="31">
        <f>_xlfn.XLOOKUP(B119, Rate_Master!$A:$A, Rate_Master!$C:$C, "")</f>
        <v>46000</v>
      </c>
      <c r="H119" s="31">
        <f>_xlfn.XLOOKUP(B119, Rate_Master!$A:$A, Rate_Master!$D:$D, "")</f>
        <v>19550</v>
      </c>
      <c r="I119" s="32">
        <f>+H119+G119</f>
        <v>65550</v>
      </c>
      <c r="J119" s="32">
        <f t="shared" si="26"/>
        <v>31566258</v>
      </c>
      <c r="K119" s="58">
        <f t="shared" si="27"/>
        <v>31566258</v>
      </c>
      <c r="L119" s="32"/>
    </row>
    <row r="120" spans="1:12" s="4" customFormat="1" ht="53.25" customHeight="1" outlineLevel="1">
      <c r="A120" s="27" t="str">
        <f t="shared" si="25"/>
        <v>10A.F1.16</v>
      </c>
      <c r="B120" s="34" t="s">
        <v>110</v>
      </c>
      <c r="C120" s="28" t="s">
        <v>515</v>
      </c>
      <c r="D120" s="29" t="s">
        <v>520</v>
      </c>
      <c r="E120" s="31">
        <v>0</v>
      </c>
      <c r="F120" s="31">
        <v>0</v>
      </c>
      <c r="G120" s="31">
        <f>_xlfn.XLOOKUP(B120, Rate_Master!$A:$A, Rate_Master!$C:$C, "")</f>
        <v>51749.999999999993</v>
      </c>
      <c r="H120" s="31">
        <f>_xlfn.XLOOKUP(B120, Rate_Master!$A:$A, Rate_Master!$D:$D, "")</f>
        <v>17250</v>
      </c>
      <c r="I120" s="32">
        <v>0</v>
      </c>
      <c r="J120" s="32">
        <f t="shared" si="26"/>
        <v>0</v>
      </c>
      <c r="K120" s="58">
        <f t="shared" si="27"/>
        <v>0</v>
      </c>
      <c r="L120" s="32"/>
    </row>
    <row r="121" spans="1:12" s="4" customFormat="1" ht="25.5" customHeight="1" outlineLevel="1">
      <c r="A121" s="27" t="str">
        <f t="shared" si="25"/>
        <v>10A.F1.17</v>
      </c>
      <c r="B121" s="34" t="s">
        <v>111</v>
      </c>
      <c r="C121" s="28" t="s">
        <v>515</v>
      </c>
      <c r="D121" s="29" t="s">
        <v>520</v>
      </c>
      <c r="E121" s="31">
        <v>0</v>
      </c>
      <c r="F121" s="31">
        <v>0</v>
      </c>
      <c r="G121" s="31">
        <f>_xlfn.XLOOKUP(B121, Rate_Master!$A:$A, Rate_Master!$C:$C, "")</f>
        <v>172500</v>
      </c>
      <c r="H121" s="31">
        <f>_xlfn.XLOOKUP(B121, Rate_Master!$A:$A, Rate_Master!$D:$D, "")</f>
        <v>28749.999999999996</v>
      </c>
      <c r="I121" s="32">
        <v>0</v>
      </c>
      <c r="J121" s="32">
        <f t="shared" si="26"/>
        <v>0</v>
      </c>
      <c r="K121" s="58">
        <f t="shared" si="27"/>
        <v>0</v>
      </c>
      <c r="L121" s="32"/>
    </row>
    <row r="122" spans="1:12" s="4" customFormat="1" ht="38.25" customHeight="1" outlineLevel="1">
      <c r="A122" s="27" t="str">
        <f t="shared" si="25"/>
        <v>10A.F1.18</v>
      </c>
      <c r="B122" s="34" t="s">
        <v>112</v>
      </c>
      <c r="C122" s="34" t="s">
        <v>557</v>
      </c>
      <c r="D122" s="29" t="s">
        <v>517</v>
      </c>
      <c r="E122" s="31">
        <v>8.8000000000000007</v>
      </c>
      <c r="F122" s="31">
        <v>8.8000000000000007</v>
      </c>
      <c r="G122" s="31">
        <f>_xlfn.XLOOKUP(B122, Rate_Master!$A:$A, Rate_Master!$C:$C, "")</f>
        <v>163300</v>
      </c>
      <c r="H122" s="31">
        <f>_xlfn.XLOOKUP(B122, Rate_Master!$A:$A, Rate_Master!$D:$D, "")</f>
        <v>51749.999999999993</v>
      </c>
      <c r="I122" s="32">
        <f>+H122+G122</f>
        <v>215050</v>
      </c>
      <c r="J122" s="32">
        <f t="shared" si="26"/>
        <v>1892440.0000000002</v>
      </c>
      <c r="K122" s="58">
        <f t="shared" si="27"/>
        <v>1892440.0000000002</v>
      </c>
      <c r="L122" s="32"/>
    </row>
    <row r="123" spans="1:12" s="3" customFormat="1" ht="25.5" customHeight="1">
      <c r="A123" s="22" t="str">
        <f>$A$103&amp;2</f>
        <v>10A.F2</v>
      </c>
      <c r="B123" s="23" t="s">
        <v>113</v>
      </c>
      <c r="C123" s="23" t="s">
        <v>515</v>
      </c>
      <c r="D123" s="22"/>
      <c r="E123" s="25"/>
      <c r="F123" s="25"/>
      <c r="G123" s="25">
        <f>_xlfn.XLOOKUP(B123, Rate_Master!$A:$A, Rate_Master!$C:$C, "")</f>
        <v>0</v>
      </c>
      <c r="H123" s="25">
        <f>_xlfn.XLOOKUP(B123, Rate_Master!$A:$A, Rate_Master!$D:$D, "")</f>
        <v>0</v>
      </c>
      <c r="I123" s="26">
        <v>0</v>
      </c>
      <c r="J123" s="26">
        <f>SUBTOTAL(9,J124:J128)</f>
        <v>12739327.399999999</v>
      </c>
      <c r="K123" s="89">
        <f>SUBTOTAL(9,K124:K128)</f>
        <v>12739327.399999999</v>
      </c>
      <c r="L123" s="26"/>
    </row>
    <row r="124" spans="1:12" s="4" customFormat="1" ht="51" hidden="1" customHeight="1" outlineLevel="1">
      <c r="A124" s="27" t="str">
        <f>$A$123&amp;"."&amp;ROW()-ROW($A$123)</f>
        <v>10A.F2.1</v>
      </c>
      <c r="B124" s="34" t="s">
        <v>114</v>
      </c>
      <c r="C124" s="28" t="s">
        <v>515</v>
      </c>
      <c r="D124" s="29" t="s">
        <v>520</v>
      </c>
      <c r="E124" s="31">
        <v>0</v>
      </c>
      <c r="F124" s="31">
        <v>0</v>
      </c>
      <c r="G124" s="30">
        <f>_xlfn.XLOOKUP(B124, Rate_Master!$A:$A, Rate_Master!$C:$C, "")</f>
        <v>206999.99999999997</v>
      </c>
      <c r="H124" s="30">
        <f>_xlfn.XLOOKUP(B124, Rate_Master!$A:$A, Rate_Master!$D:$D, "")</f>
        <v>126499.99999999999</v>
      </c>
      <c r="I124" s="32">
        <v>0</v>
      </c>
      <c r="J124" s="32">
        <f>I124*E124</f>
        <v>0</v>
      </c>
      <c r="K124" s="58">
        <f>I124*F124</f>
        <v>0</v>
      </c>
      <c r="L124" s="32"/>
    </row>
    <row r="125" spans="1:12" s="4" customFormat="1" ht="51" hidden="1" customHeight="1" outlineLevel="1">
      <c r="A125" s="27" t="str">
        <f>$A$123&amp;"."&amp;ROW()-ROW($A$123)</f>
        <v>10A.F2.2</v>
      </c>
      <c r="B125" s="28" t="s">
        <v>115</v>
      </c>
      <c r="C125" s="28" t="s">
        <v>515</v>
      </c>
      <c r="D125" s="29" t="s">
        <v>520</v>
      </c>
      <c r="E125" s="31">
        <v>162.90700000000001</v>
      </c>
      <c r="F125" s="31">
        <v>162.90700000000001</v>
      </c>
      <c r="G125" s="30">
        <f>_xlfn.XLOOKUP(B125, Rate_Master!$A:$A, Rate_Master!$C:$C, "")</f>
        <v>28749.999999999996</v>
      </c>
      <c r="H125" s="30">
        <f>_xlfn.XLOOKUP(B125, Rate_Master!$A:$A, Rate_Master!$D:$D, "")</f>
        <v>49449.999999999993</v>
      </c>
      <c r="I125" s="32">
        <f>+H125+G125</f>
        <v>78199.999999999985</v>
      </c>
      <c r="J125" s="32">
        <f>I125*E125</f>
        <v>12739327.399999999</v>
      </c>
      <c r="K125" s="58">
        <f>I125*F125</f>
        <v>12739327.399999999</v>
      </c>
      <c r="L125" s="32"/>
    </row>
    <row r="126" spans="1:12" s="4" customFormat="1" ht="51" hidden="1" customHeight="1" outlineLevel="1">
      <c r="A126" s="27" t="str">
        <f>$A$123&amp;"."&amp;ROW()-ROW($A$123)</f>
        <v>10A.F2.3</v>
      </c>
      <c r="B126" s="34" t="s">
        <v>116</v>
      </c>
      <c r="C126" s="28" t="s">
        <v>515</v>
      </c>
      <c r="D126" s="29" t="s">
        <v>520</v>
      </c>
      <c r="E126" s="31">
        <v>0</v>
      </c>
      <c r="F126" s="31">
        <v>0</v>
      </c>
      <c r="G126" s="31">
        <f>_xlfn.XLOOKUP(B126, Rate_Master!$A:$A, Rate_Master!$C:$C, "")</f>
        <v>0</v>
      </c>
      <c r="H126" s="31">
        <f>_xlfn.XLOOKUP(B126, Rate_Master!$A:$A, Rate_Master!$D:$D, "")</f>
        <v>0</v>
      </c>
      <c r="I126" s="32">
        <v>0</v>
      </c>
      <c r="J126" s="32">
        <f>I126*E126</f>
        <v>0</v>
      </c>
      <c r="K126" s="58">
        <f>I126*F126</f>
        <v>0</v>
      </c>
      <c r="L126" s="32"/>
    </row>
    <row r="127" spans="1:12" s="4" customFormat="1" ht="51" hidden="1" customHeight="1" outlineLevel="1">
      <c r="A127" s="27" t="str">
        <f>$A$123&amp;"."&amp;ROW()-ROW($A$123)</f>
        <v>10A.F2.4</v>
      </c>
      <c r="B127" s="34" t="s">
        <v>117</v>
      </c>
      <c r="C127" s="28" t="s">
        <v>515</v>
      </c>
      <c r="D127" s="29" t="s">
        <v>520</v>
      </c>
      <c r="E127" s="31">
        <v>0</v>
      </c>
      <c r="F127" s="31">
        <v>0</v>
      </c>
      <c r="G127" s="31">
        <f>_xlfn.XLOOKUP(B127, Rate_Master!$A:$A, Rate_Master!$C:$C, "")</f>
        <v>0</v>
      </c>
      <c r="H127" s="31">
        <f>_xlfn.XLOOKUP(B127, Rate_Master!$A:$A, Rate_Master!$D:$D, "")</f>
        <v>0</v>
      </c>
      <c r="I127" s="32">
        <v>0</v>
      </c>
      <c r="J127" s="32">
        <f>I127*E127</f>
        <v>0</v>
      </c>
      <c r="K127" s="58">
        <f>I127*F127</f>
        <v>0</v>
      </c>
      <c r="L127" s="32"/>
    </row>
    <row r="128" spans="1:12" s="4" customFormat="1" ht="38.25" hidden="1" customHeight="1" outlineLevel="1">
      <c r="A128" s="27" t="str">
        <f>$A$123&amp;"."&amp;ROW()-ROW($A$123)</f>
        <v>10A.F2.5</v>
      </c>
      <c r="B128" s="34" t="s">
        <v>118</v>
      </c>
      <c r="C128" s="28" t="s">
        <v>515</v>
      </c>
      <c r="D128" s="29" t="s">
        <v>520</v>
      </c>
      <c r="E128" s="31">
        <v>0</v>
      </c>
      <c r="F128" s="31">
        <v>0</v>
      </c>
      <c r="G128" s="31">
        <f>_xlfn.XLOOKUP(B128, Rate_Master!$A:$A, Rate_Master!$C:$C, "")</f>
        <v>0</v>
      </c>
      <c r="H128" s="31">
        <f>_xlfn.XLOOKUP(B128, Rate_Master!$A:$A, Rate_Master!$D:$D, "")</f>
        <v>0</v>
      </c>
      <c r="I128" s="32">
        <v>0</v>
      </c>
      <c r="J128" s="32">
        <f>I128*E128</f>
        <v>0</v>
      </c>
      <c r="K128" s="58">
        <f>I128*F128</f>
        <v>0</v>
      </c>
      <c r="L128" s="32"/>
    </row>
    <row r="129" spans="1:12" s="3" customFormat="1" ht="25.5" customHeight="1" collapsed="1">
      <c r="A129" s="22" t="str">
        <f>$A$103&amp;3</f>
        <v>10A.F3</v>
      </c>
      <c r="B129" s="23" t="s">
        <v>119</v>
      </c>
      <c r="C129" s="23" t="s">
        <v>515</v>
      </c>
      <c r="D129" s="22"/>
      <c r="E129" s="25"/>
      <c r="F129" s="25"/>
      <c r="G129" s="25">
        <f>_xlfn.XLOOKUP(B129, Rate_Master!$A:$A, Rate_Master!$C:$C, "")</f>
        <v>0</v>
      </c>
      <c r="H129" s="25">
        <f>_xlfn.XLOOKUP(B129, Rate_Master!$A:$A, Rate_Master!$D:$D, "")</f>
        <v>0</v>
      </c>
      <c r="I129" s="26">
        <v>0</v>
      </c>
      <c r="J129" s="26">
        <f>SUBTOTAL(9,J130:J137)</f>
        <v>0</v>
      </c>
      <c r="K129" s="89">
        <f>SUBTOTAL(9,K130:K137)</f>
        <v>0</v>
      </c>
      <c r="L129" s="26"/>
    </row>
    <row r="130" spans="1:12" s="4" customFormat="1" ht="25.5" hidden="1" customHeight="1" outlineLevel="1">
      <c r="A130" s="37" t="str">
        <f t="shared" ref="A130:A137" si="28">$A$129&amp;"."&amp;ROW()-ROW($A$129)</f>
        <v>10A.F3.1</v>
      </c>
      <c r="B130" s="43" t="s">
        <v>120</v>
      </c>
      <c r="C130" s="38" t="s">
        <v>515</v>
      </c>
      <c r="D130" s="39" t="s">
        <v>520</v>
      </c>
      <c r="E130" s="40">
        <v>0</v>
      </c>
      <c r="F130" s="40">
        <v>0</v>
      </c>
      <c r="G130" s="40">
        <f>_xlfn.XLOOKUP(B130, Rate_Master!$A:$A, Rate_Master!$C:$C, "")</f>
        <v>28749.999999999996</v>
      </c>
      <c r="H130" s="40">
        <f>_xlfn.XLOOKUP(B130, Rate_Master!$A:$A, Rate_Master!$D:$D, "")</f>
        <v>0</v>
      </c>
      <c r="I130" s="41">
        <v>0</v>
      </c>
      <c r="J130" s="41">
        <f t="shared" ref="J130:J137" si="29">I130*E130</f>
        <v>0</v>
      </c>
      <c r="K130" s="92">
        <f t="shared" ref="K130:K137" si="30">I130*F130</f>
        <v>0</v>
      </c>
      <c r="L130" s="41"/>
    </row>
    <row r="131" spans="1:12" s="4" customFormat="1" ht="25.5" hidden="1" customHeight="1" outlineLevel="1">
      <c r="A131" s="37" t="str">
        <f t="shared" si="28"/>
        <v>10A.F3.2</v>
      </c>
      <c r="B131" s="43" t="s">
        <v>121</v>
      </c>
      <c r="C131" s="38" t="s">
        <v>515</v>
      </c>
      <c r="D131" s="39" t="s">
        <v>520</v>
      </c>
      <c r="E131" s="40">
        <v>0</v>
      </c>
      <c r="F131" s="40">
        <v>0</v>
      </c>
      <c r="G131" s="40">
        <f>_xlfn.XLOOKUP(B131, Rate_Master!$A:$A, Rate_Master!$C:$C, "")</f>
        <v>0</v>
      </c>
      <c r="H131" s="40">
        <f>_xlfn.XLOOKUP(B131, Rate_Master!$A:$A, Rate_Master!$D:$D, "")</f>
        <v>0</v>
      </c>
      <c r="I131" s="41">
        <v>0</v>
      </c>
      <c r="J131" s="41">
        <f t="shared" si="29"/>
        <v>0</v>
      </c>
      <c r="K131" s="92">
        <f t="shared" si="30"/>
        <v>0</v>
      </c>
      <c r="L131" s="41"/>
    </row>
    <row r="132" spans="1:12" s="4" customFormat="1" ht="38.25" hidden="1" customHeight="1" outlineLevel="1">
      <c r="A132" s="37" t="str">
        <f t="shared" si="28"/>
        <v>10A.F3.3</v>
      </c>
      <c r="B132" s="43" t="s">
        <v>122</v>
      </c>
      <c r="C132" s="38" t="s">
        <v>515</v>
      </c>
      <c r="D132" s="39" t="s">
        <v>520</v>
      </c>
      <c r="E132" s="40">
        <v>0</v>
      </c>
      <c r="F132" s="40">
        <v>0</v>
      </c>
      <c r="G132" s="40">
        <f>_xlfn.XLOOKUP(B132, Rate_Master!$A:$A, Rate_Master!$C:$C, "")</f>
        <v>51749.999999999993</v>
      </c>
      <c r="H132" s="40">
        <f>_xlfn.XLOOKUP(B132, Rate_Master!$A:$A, Rate_Master!$D:$D, "")</f>
        <v>23000</v>
      </c>
      <c r="I132" s="41">
        <v>0</v>
      </c>
      <c r="J132" s="41">
        <f t="shared" si="29"/>
        <v>0</v>
      </c>
      <c r="K132" s="92">
        <f t="shared" si="30"/>
        <v>0</v>
      </c>
      <c r="L132" s="41"/>
    </row>
    <row r="133" spans="1:12" s="4" customFormat="1" ht="25.5" hidden="1" customHeight="1" outlineLevel="1">
      <c r="A133" s="37" t="str">
        <f t="shared" si="28"/>
        <v>10A.F3.4</v>
      </c>
      <c r="B133" s="43" t="s">
        <v>123</v>
      </c>
      <c r="C133" s="38" t="s">
        <v>515</v>
      </c>
      <c r="D133" s="39" t="s">
        <v>520</v>
      </c>
      <c r="E133" s="40">
        <v>0</v>
      </c>
      <c r="F133" s="40">
        <v>0</v>
      </c>
      <c r="G133" s="40">
        <f>_xlfn.XLOOKUP(B133, Rate_Master!$A:$A, Rate_Master!$C:$C, "")</f>
        <v>172500</v>
      </c>
      <c r="H133" s="40">
        <f>_xlfn.XLOOKUP(B133, Rate_Master!$A:$A, Rate_Master!$D:$D, "")</f>
        <v>34500</v>
      </c>
      <c r="I133" s="41">
        <v>0</v>
      </c>
      <c r="J133" s="41">
        <f t="shared" si="29"/>
        <v>0</v>
      </c>
      <c r="K133" s="92">
        <f t="shared" si="30"/>
        <v>0</v>
      </c>
      <c r="L133" s="41"/>
    </row>
    <row r="134" spans="1:12" s="4" customFormat="1" ht="51" hidden="1" customHeight="1" outlineLevel="1">
      <c r="A134" s="37" t="str">
        <f t="shared" si="28"/>
        <v>10A.F3.5</v>
      </c>
      <c r="B134" s="38" t="s">
        <v>124</v>
      </c>
      <c r="C134" s="43" t="s">
        <v>553</v>
      </c>
      <c r="D134" s="39" t="s">
        <v>520</v>
      </c>
      <c r="E134" s="40">
        <v>0</v>
      </c>
      <c r="F134" s="40">
        <v>0</v>
      </c>
      <c r="G134" s="42">
        <f>_xlfn.XLOOKUP(B134, Rate_Master!$A:$A, Rate_Master!$C:$C, "")</f>
        <v>1069500</v>
      </c>
      <c r="H134" s="42">
        <f>_xlfn.XLOOKUP(B134, Rate_Master!$A:$A, Rate_Master!$D:$D, "")</f>
        <v>172500</v>
      </c>
      <c r="I134" s="41">
        <v>0</v>
      </c>
      <c r="J134" s="41">
        <f t="shared" si="29"/>
        <v>0</v>
      </c>
      <c r="K134" s="92">
        <f t="shared" si="30"/>
        <v>0</v>
      </c>
      <c r="L134" s="41"/>
    </row>
    <row r="135" spans="1:12" s="4" customFormat="1" ht="51" hidden="1" customHeight="1" outlineLevel="1">
      <c r="A135" s="37" t="str">
        <f t="shared" si="28"/>
        <v>10A.F3.6</v>
      </c>
      <c r="B135" s="43" t="s">
        <v>125</v>
      </c>
      <c r="C135" s="38" t="s">
        <v>515</v>
      </c>
      <c r="D135" s="39" t="s">
        <v>520</v>
      </c>
      <c r="E135" s="40">
        <v>0</v>
      </c>
      <c r="F135" s="40">
        <v>0</v>
      </c>
      <c r="G135" s="42">
        <f>_xlfn.XLOOKUP(B135, Rate_Master!$A:$A, Rate_Master!$C:$C, "")</f>
        <v>965999.99999999988</v>
      </c>
      <c r="H135" s="42">
        <f>_xlfn.XLOOKUP(B135, Rate_Master!$A:$A, Rate_Master!$D:$D, "")</f>
        <v>138000</v>
      </c>
      <c r="I135" s="41">
        <v>0</v>
      </c>
      <c r="J135" s="41">
        <f t="shared" si="29"/>
        <v>0</v>
      </c>
      <c r="K135" s="92">
        <f t="shared" si="30"/>
        <v>0</v>
      </c>
      <c r="L135" s="41"/>
    </row>
    <row r="136" spans="1:12" s="4" customFormat="1" ht="25.5" hidden="1" customHeight="1" outlineLevel="1">
      <c r="A136" s="37" t="str">
        <f t="shared" si="28"/>
        <v>10A.F3.7</v>
      </c>
      <c r="B136" s="38" t="s">
        <v>126</v>
      </c>
      <c r="C136" s="38" t="s">
        <v>515</v>
      </c>
      <c r="D136" s="39" t="s">
        <v>520</v>
      </c>
      <c r="E136" s="40">
        <v>0</v>
      </c>
      <c r="F136" s="40">
        <v>0</v>
      </c>
      <c r="G136" s="42">
        <f>_xlfn.XLOOKUP(B136, Rate_Master!$A:$A, Rate_Master!$C:$C, "")</f>
        <v>0</v>
      </c>
      <c r="H136" s="42">
        <f>_xlfn.XLOOKUP(B136, Rate_Master!$A:$A, Rate_Master!$D:$D, "")</f>
        <v>0</v>
      </c>
      <c r="I136" s="41">
        <v>0</v>
      </c>
      <c r="J136" s="41">
        <f t="shared" si="29"/>
        <v>0</v>
      </c>
      <c r="K136" s="92">
        <f t="shared" si="30"/>
        <v>0</v>
      </c>
      <c r="L136" s="41"/>
    </row>
    <row r="137" spans="1:12" s="4" customFormat="1" ht="25.5" hidden="1" customHeight="1" outlineLevel="1">
      <c r="A137" s="37" t="str">
        <f t="shared" si="28"/>
        <v>10A.F3.8</v>
      </c>
      <c r="B137" s="43" t="s">
        <v>127</v>
      </c>
      <c r="C137" s="38" t="s">
        <v>515</v>
      </c>
      <c r="D137" s="39" t="s">
        <v>520</v>
      </c>
      <c r="E137" s="40">
        <v>0</v>
      </c>
      <c r="F137" s="40">
        <v>0</v>
      </c>
      <c r="G137" s="42">
        <f>_xlfn.XLOOKUP(B137, Rate_Master!$A:$A, Rate_Master!$C:$C, "")</f>
        <v>0</v>
      </c>
      <c r="H137" s="42">
        <f>_xlfn.XLOOKUP(B137, Rate_Master!$A:$A, Rate_Master!$D:$D, "")</f>
        <v>0</v>
      </c>
      <c r="I137" s="41">
        <v>0</v>
      </c>
      <c r="J137" s="41">
        <f t="shared" si="29"/>
        <v>0</v>
      </c>
      <c r="K137" s="92">
        <f t="shared" si="30"/>
        <v>0</v>
      </c>
      <c r="L137" s="41"/>
    </row>
    <row r="138" spans="1:12" s="3" customFormat="1" ht="25.5" customHeight="1" collapsed="1">
      <c r="A138" s="22" t="str">
        <f>$A$103&amp;4</f>
        <v>10A.F4</v>
      </c>
      <c r="B138" s="23" t="s">
        <v>128</v>
      </c>
      <c r="C138" s="23" t="s">
        <v>515</v>
      </c>
      <c r="D138" s="22"/>
      <c r="E138" s="25"/>
      <c r="F138" s="25"/>
      <c r="G138" s="25">
        <f>_xlfn.XLOOKUP(B138, Rate_Master!$A:$A, Rate_Master!$C:$C, "")</f>
        <v>0</v>
      </c>
      <c r="H138" s="25">
        <f>_xlfn.XLOOKUP(B138, Rate_Master!$A:$A, Rate_Master!$D:$D, "")</f>
        <v>0</v>
      </c>
      <c r="I138" s="26">
        <v>0</v>
      </c>
      <c r="J138" s="26">
        <f>SUBTOTAL(9,J139:J140)</f>
        <v>50264200</v>
      </c>
      <c r="K138" s="89">
        <f>SUBTOTAL(9,K139:K140)</f>
        <v>50264200</v>
      </c>
      <c r="L138" s="26"/>
    </row>
    <row r="139" spans="1:12" s="4" customFormat="1" ht="38.25" hidden="1" customHeight="1" outlineLevel="1">
      <c r="A139" s="27" t="str">
        <f>$A$138&amp;"."&amp;ROW()-ROW($A$138)</f>
        <v>10A.F4.1</v>
      </c>
      <c r="B139" s="28" t="s">
        <v>209</v>
      </c>
      <c r="C139" s="28" t="s">
        <v>558</v>
      </c>
      <c r="D139" s="29" t="s">
        <v>516</v>
      </c>
      <c r="E139" s="31">
        <v>2</v>
      </c>
      <c r="F139" s="31">
        <v>2</v>
      </c>
      <c r="G139" s="31">
        <f>_xlfn.XLOOKUP(B139, Rate_Master!$A:$A, Rate_Master!$C:$C, "")</f>
        <v>6047849.9999999991</v>
      </c>
      <c r="H139" s="31">
        <f>_xlfn.XLOOKUP(B139, Rate_Master!$A:$A, Rate_Master!$D:$D, "")</f>
        <v>2351750</v>
      </c>
      <c r="I139" s="70">
        <f>+G139+H139</f>
        <v>8399600</v>
      </c>
      <c r="J139" s="32">
        <f>I139*E139</f>
        <v>16799200</v>
      </c>
      <c r="K139" s="58">
        <f>I139*F139</f>
        <v>16799200</v>
      </c>
      <c r="L139" s="32"/>
    </row>
    <row r="140" spans="1:12" s="4" customFormat="1" ht="76.5" hidden="1" customHeight="1" outlineLevel="1">
      <c r="A140" s="27" t="str">
        <f>$A$138&amp;"."&amp;ROW()-ROW($A$138)</f>
        <v>10A.F4.2</v>
      </c>
      <c r="B140" s="56" t="s">
        <v>135</v>
      </c>
      <c r="C140" s="28" t="s">
        <v>558</v>
      </c>
      <c r="D140" s="29" t="s">
        <v>516</v>
      </c>
      <c r="E140" s="31">
        <v>1</v>
      </c>
      <c r="F140" s="31">
        <v>1</v>
      </c>
      <c r="G140" s="31">
        <f>_xlfn.XLOOKUP(B140, Rate_Master!$A:$A, Rate_Master!$C:$C, "")</f>
        <v>33119999.999999996</v>
      </c>
      <c r="H140" s="31">
        <f>_xlfn.XLOOKUP(B140, Rate_Master!$A:$A, Rate_Master!$D:$D, "")</f>
        <v>345000</v>
      </c>
      <c r="I140" s="70">
        <f>+G140+H140</f>
        <v>33464999.999999996</v>
      </c>
      <c r="J140" s="32">
        <f>I140*E140</f>
        <v>33464999.999999996</v>
      </c>
      <c r="K140" s="58">
        <f>I140*F140</f>
        <v>33464999.999999996</v>
      </c>
      <c r="L140" s="71" t="s">
        <v>559</v>
      </c>
    </row>
    <row r="141" spans="1:12" s="3" customFormat="1" ht="25.5" customHeight="1" collapsed="1">
      <c r="A141" s="22" t="str">
        <f>$A$103&amp;5</f>
        <v>10A.F5</v>
      </c>
      <c r="B141" s="23" t="s">
        <v>143</v>
      </c>
      <c r="C141" s="23" t="s">
        <v>515</v>
      </c>
      <c r="D141" s="22"/>
      <c r="E141" s="25"/>
      <c r="F141" s="25"/>
      <c r="G141" s="25">
        <f>_xlfn.XLOOKUP(B141, Rate_Master!$A:$A, Rate_Master!$C:$C, "")</f>
        <v>0</v>
      </c>
      <c r="H141" s="25">
        <f>_xlfn.XLOOKUP(B141, Rate_Master!$A:$A, Rate_Master!$D:$D, "")</f>
        <v>0</v>
      </c>
      <c r="I141" s="26">
        <v>0</v>
      </c>
      <c r="J141" s="26">
        <f>SUBTOTAL(9,J142:J144)</f>
        <v>0</v>
      </c>
      <c r="K141" s="89">
        <f>SUBTOTAL(9,K142:K144)</f>
        <v>0</v>
      </c>
      <c r="L141" s="26"/>
    </row>
    <row r="142" spans="1:12" s="4" customFormat="1" ht="51" hidden="1" customHeight="1" outlineLevel="1">
      <c r="A142" s="37" t="str">
        <f>$A$141&amp;"."&amp;ROW()-ROW($A$141)</f>
        <v>10A.F5.1</v>
      </c>
      <c r="B142" s="43" t="s">
        <v>144</v>
      </c>
      <c r="C142" s="38" t="s">
        <v>515</v>
      </c>
      <c r="D142" s="39" t="s">
        <v>517</v>
      </c>
      <c r="E142" s="40">
        <v>0</v>
      </c>
      <c r="F142" s="40">
        <v>0</v>
      </c>
      <c r="G142" s="40">
        <f>_xlfn.XLOOKUP(B142, Rate_Master!$A:$A, Rate_Master!$C:$C, "")</f>
        <v>161000</v>
      </c>
      <c r="H142" s="40">
        <f>_xlfn.XLOOKUP(B142, Rate_Master!$A:$A, Rate_Master!$D:$D, "")</f>
        <v>34500</v>
      </c>
      <c r="I142" s="41">
        <v>0</v>
      </c>
      <c r="J142" s="41">
        <f>I142*E142</f>
        <v>0</v>
      </c>
      <c r="K142" s="92">
        <f>I142*F142</f>
        <v>0</v>
      </c>
      <c r="L142" s="41"/>
    </row>
    <row r="143" spans="1:12" s="4" customFormat="1" ht="38.25" hidden="1" customHeight="1" outlineLevel="1">
      <c r="A143" s="37" t="str">
        <f>$A$141&amp;"."&amp;ROW()-ROW($A$141)</f>
        <v>10A.F5.2</v>
      </c>
      <c r="B143" s="43" t="s">
        <v>145</v>
      </c>
      <c r="C143" s="38" t="s">
        <v>515</v>
      </c>
      <c r="D143" s="39" t="s">
        <v>517</v>
      </c>
      <c r="E143" s="40">
        <v>0</v>
      </c>
      <c r="F143" s="40">
        <v>0</v>
      </c>
      <c r="G143" s="40">
        <f>_xlfn.XLOOKUP(B143, Rate_Master!$A:$A, Rate_Master!$C:$C, "")</f>
        <v>517499.99999999994</v>
      </c>
      <c r="H143" s="40">
        <f>_xlfn.XLOOKUP(B143, Rate_Master!$A:$A, Rate_Master!$D:$D, "")</f>
        <v>57499.999999999993</v>
      </c>
      <c r="I143" s="41">
        <v>0</v>
      </c>
      <c r="J143" s="41">
        <f>I143*E143</f>
        <v>0</v>
      </c>
      <c r="K143" s="92">
        <f>I143*F143</f>
        <v>0</v>
      </c>
      <c r="L143" s="41"/>
    </row>
    <row r="144" spans="1:12" s="4" customFormat="1" ht="38.25" hidden="1" customHeight="1" outlineLevel="1">
      <c r="A144" s="37" t="str">
        <f>$A$141&amp;"."&amp;ROW()-ROW($A$141)</f>
        <v>10A.F5.3</v>
      </c>
      <c r="B144" s="43" t="s">
        <v>146</v>
      </c>
      <c r="C144" s="38" t="s">
        <v>515</v>
      </c>
      <c r="D144" s="39" t="s">
        <v>517</v>
      </c>
      <c r="E144" s="40">
        <v>0</v>
      </c>
      <c r="F144" s="40">
        <v>0</v>
      </c>
      <c r="G144" s="40">
        <f>_xlfn.XLOOKUP(B144, Rate_Master!$A:$A, Rate_Master!$C:$C, "")</f>
        <v>632500</v>
      </c>
      <c r="H144" s="40">
        <f>_xlfn.XLOOKUP(B144, Rate_Master!$A:$A, Rate_Master!$D:$D, "")</f>
        <v>57499.999999999993</v>
      </c>
      <c r="I144" s="41">
        <v>0</v>
      </c>
      <c r="J144" s="41">
        <f>I144*E144</f>
        <v>0</v>
      </c>
      <c r="K144" s="92">
        <f>I144*F144</f>
        <v>0</v>
      </c>
      <c r="L144" s="41"/>
    </row>
    <row r="145" spans="1:12" s="3" customFormat="1" ht="25.5" customHeight="1" collapsed="1">
      <c r="A145" s="22" t="str">
        <f>$A$103&amp;6</f>
        <v>10A.F6</v>
      </c>
      <c r="B145" s="23" t="s">
        <v>147</v>
      </c>
      <c r="C145" s="23" t="s">
        <v>515</v>
      </c>
      <c r="D145" s="22"/>
      <c r="E145" s="25"/>
      <c r="F145" s="25"/>
      <c r="G145" s="25">
        <f>_xlfn.XLOOKUP(B145, Rate_Master!$A:$A, Rate_Master!$C:$C, "")</f>
        <v>0</v>
      </c>
      <c r="H145" s="25">
        <f>_xlfn.XLOOKUP(B145, Rate_Master!$A:$A, Rate_Master!$D:$D, "")</f>
        <v>0</v>
      </c>
      <c r="I145" s="26">
        <v>0</v>
      </c>
      <c r="J145" s="26">
        <f>SUBTOTAL(9,J146:J150)</f>
        <v>0</v>
      </c>
      <c r="K145" s="89">
        <f>SUBTOTAL(9,K146:K150)</f>
        <v>0</v>
      </c>
      <c r="L145" s="26"/>
    </row>
    <row r="146" spans="1:12" s="4" customFormat="1" ht="51" hidden="1" customHeight="1" outlineLevel="1">
      <c r="A146" s="37" t="str">
        <f>$A$145&amp;"."&amp;ROW()-ROW($A$145)</f>
        <v>10A.F6.1</v>
      </c>
      <c r="B146" s="43" t="s">
        <v>148</v>
      </c>
      <c r="C146" s="43" t="s">
        <v>515</v>
      </c>
      <c r="D146" s="39" t="s">
        <v>520</v>
      </c>
      <c r="E146" s="40">
        <v>0</v>
      </c>
      <c r="F146" s="40">
        <v>0</v>
      </c>
      <c r="G146" s="40">
        <f>_xlfn.XLOOKUP(B146, Rate_Master!$A:$A, Rate_Master!$C:$C, "")</f>
        <v>155000</v>
      </c>
      <c r="H146" s="40">
        <f>_xlfn.XLOOKUP(B146, Rate_Master!$A:$A, Rate_Master!$D:$D, "")</f>
        <v>45000</v>
      </c>
      <c r="I146" s="41">
        <v>0</v>
      </c>
      <c r="J146" s="41">
        <f>I146*E146</f>
        <v>0</v>
      </c>
      <c r="K146" s="92">
        <f>I146*F146</f>
        <v>0</v>
      </c>
      <c r="L146" s="41"/>
    </row>
    <row r="147" spans="1:12" s="4" customFormat="1" ht="25.5" hidden="1" customHeight="1" outlineLevel="1">
      <c r="A147" s="37" t="str">
        <f>$A$145&amp;"."&amp;ROW()-ROW($A$145)</f>
        <v>10A.F6.2</v>
      </c>
      <c r="B147" s="43" t="s">
        <v>149</v>
      </c>
      <c r="C147" s="43" t="s">
        <v>515</v>
      </c>
      <c r="D147" s="39" t="s">
        <v>520</v>
      </c>
      <c r="E147" s="40">
        <v>0</v>
      </c>
      <c r="F147" s="40">
        <v>0</v>
      </c>
      <c r="G147" s="40">
        <f>_xlfn.XLOOKUP(B147, Rate_Master!$A:$A, Rate_Master!$C:$C, "")</f>
        <v>310500</v>
      </c>
      <c r="H147" s="40">
        <f>_xlfn.XLOOKUP(B147, Rate_Master!$A:$A, Rate_Master!$D:$D, "")</f>
        <v>34500</v>
      </c>
      <c r="I147" s="41">
        <v>0</v>
      </c>
      <c r="J147" s="41">
        <f>I147*E147</f>
        <v>0</v>
      </c>
      <c r="K147" s="92">
        <f>I147*F147</f>
        <v>0</v>
      </c>
      <c r="L147" s="41"/>
    </row>
    <row r="148" spans="1:12" s="4" customFormat="1" ht="51" hidden="1" customHeight="1" outlineLevel="1">
      <c r="A148" s="37" t="str">
        <f>$A$145&amp;"."&amp;ROW()-ROW($A$145)</f>
        <v>10A.F6.3</v>
      </c>
      <c r="B148" s="43" t="s">
        <v>150</v>
      </c>
      <c r="C148" s="43" t="s">
        <v>515</v>
      </c>
      <c r="D148" s="39" t="s">
        <v>520</v>
      </c>
      <c r="E148" s="40">
        <v>0</v>
      </c>
      <c r="F148" s="40">
        <v>0</v>
      </c>
      <c r="G148" s="40">
        <f>_xlfn.XLOOKUP(B148, Rate_Master!$A:$A, Rate_Master!$C:$C, "")</f>
        <v>287500</v>
      </c>
      <c r="H148" s="40">
        <f>_xlfn.XLOOKUP(B148, Rate_Master!$A:$A, Rate_Master!$D:$D, "")</f>
        <v>69000</v>
      </c>
      <c r="I148" s="41">
        <v>0</v>
      </c>
      <c r="J148" s="41">
        <f>I148*E148</f>
        <v>0</v>
      </c>
      <c r="K148" s="92">
        <f>I148*F148</f>
        <v>0</v>
      </c>
      <c r="L148" s="41"/>
    </row>
    <row r="149" spans="1:12" s="4" customFormat="1" ht="51" hidden="1" customHeight="1" outlineLevel="1">
      <c r="A149" s="37" t="str">
        <f>$A$145&amp;"."&amp;ROW()-ROW($A$145)</f>
        <v>10A.F6.4</v>
      </c>
      <c r="B149" s="43" t="s">
        <v>151</v>
      </c>
      <c r="C149" s="43" t="s">
        <v>515</v>
      </c>
      <c r="D149" s="39" t="s">
        <v>520</v>
      </c>
      <c r="E149" s="40">
        <v>0</v>
      </c>
      <c r="F149" s="40">
        <v>0</v>
      </c>
      <c r="G149" s="40">
        <f>_xlfn.XLOOKUP(B149, Rate_Master!$A:$A, Rate_Master!$C:$C, "")</f>
        <v>23000</v>
      </c>
      <c r="H149" s="40">
        <f>_xlfn.XLOOKUP(B149, Rate_Master!$A:$A, Rate_Master!$D:$D, "")</f>
        <v>126499.99999999999</v>
      </c>
      <c r="I149" s="41">
        <v>0</v>
      </c>
      <c r="J149" s="41">
        <f>I149*E149</f>
        <v>0</v>
      </c>
      <c r="K149" s="92">
        <f>I149*F149</f>
        <v>0</v>
      </c>
      <c r="L149" s="41"/>
    </row>
    <row r="150" spans="1:12" s="4" customFormat="1" ht="63.75" hidden="1" customHeight="1" outlineLevel="1">
      <c r="A150" s="37" t="str">
        <f>$A$145&amp;"."&amp;ROW()-ROW($A$145)</f>
        <v>10A.F6.5</v>
      </c>
      <c r="B150" s="43" t="s">
        <v>152</v>
      </c>
      <c r="C150" s="43" t="s">
        <v>560</v>
      </c>
      <c r="D150" s="39" t="s">
        <v>517</v>
      </c>
      <c r="E150" s="40">
        <v>0</v>
      </c>
      <c r="F150" s="40">
        <v>0</v>
      </c>
      <c r="G150" s="40">
        <f>_xlfn.XLOOKUP(B150, Rate_Master!$A:$A, Rate_Master!$C:$C, "")</f>
        <v>155250</v>
      </c>
      <c r="H150" s="40">
        <f>_xlfn.XLOOKUP(B150, Rate_Master!$A:$A, Rate_Master!$D:$D, "")</f>
        <v>57499.999999999993</v>
      </c>
      <c r="I150" s="41"/>
      <c r="J150" s="41"/>
      <c r="K150" s="92"/>
      <c r="L150" s="41"/>
    </row>
    <row r="151" spans="1:12" s="3" customFormat="1" ht="25.5" customHeight="1" collapsed="1">
      <c r="A151" s="22" t="str">
        <f>$A$103&amp;7</f>
        <v>10A.F7</v>
      </c>
      <c r="B151" s="23" t="s">
        <v>84</v>
      </c>
      <c r="C151" s="23" t="s">
        <v>515</v>
      </c>
      <c r="D151" s="22"/>
      <c r="E151" s="25"/>
      <c r="F151" s="25"/>
      <c r="G151" s="25">
        <f>_xlfn.XLOOKUP(B151, Rate_Master!$A:$A, Rate_Master!$C:$C, "")</f>
        <v>0</v>
      </c>
      <c r="H151" s="25">
        <f>_xlfn.XLOOKUP(B151, Rate_Master!$A:$A, Rate_Master!$D:$D, "")</f>
        <v>0</v>
      </c>
      <c r="I151" s="26">
        <v>0</v>
      </c>
      <c r="J151" s="26">
        <f>SUBTOTAL(9,J152:J165)</f>
        <v>64429256</v>
      </c>
      <c r="K151" s="89">
        <f>SUBTOTAL(9,K152:K165)</f>
        <v>64429256</v>
      </c>
      <c r="L151" s="26"/>
    </row>
    <row r="152" spans="1:12" s="4" customFormat="1" ht="38.25" customHeight="1" outlineLevel="1">
      <c r="A152" s="27" t="str">
        <f t="shared" ref="A152:A165" si="31">$A$151&amp;"."&amp;ROW()-ROW($A$151)</f>
        <v>10A.F7.1</v>
      </c>
      <c r="B152" s="48" t="s">
        <v>153</v>
      </c>
      <c r="C152" s="34" t="s">
        <v>561</v>
      </c>
      <c r="D152" s="29" t="s">
        <v>517</v>
      </c>
      <c r="E152" s="31">
        <v>0</v>
      </c>
      <c r="F152" s="31">
        <v>0</v>
      </c>
      <c r="G152" s="31">
        <f>_xlfn.XLOOKUP(B152, Rate_Master!$A:$A, Rate_Master!$C:$C, "")</f>
        <v>4024999.9999999995</v>
      </c>
      <c r="H152" s="31">
        <f>_xlfn.XLOOKUP(B152, Rate_Master!$A:$A, Rate_Master!$D:$D, "")</f>
        <v>1380000</v>
      </c>
      <c r="I152" s="32">
        <v>0</v>
      </c>
      <c r="J152" s="32">
        <f>I152*E152</f>
        <v>0</v>
      </c>
      <c r="K152" s="58">
        <f>I152*F152</f>
        <v>0</v>
      </c>
      <c r="L152" s="32"/>
    </row>
    <row r="153" spans="1:12" s="4" customFormat="1" ht="38.25" customHeight="1" outlineLevel="1">
      <c r="A153" s="27" t="str">
        <f t="shared" si="31"/>
        <v>10A.F7.2</v>
      </c>
      <c r="B153" s="48" t="s">
        <v>167</v>
      </c>
      <c r="C153" s="34"/>
      <c r="D153" s="29" t="s">
        <v>517</v>
      </c>
      <c r="E153" s="31"/>
      <c r="F153" s="31"/>
      <c r="G153" s="31">
        <f>_xlfn.XLOOKUP(B153, Rate_Master!$A:$A, Rate_Master!$C:$C, "")</f>
        <v>0</v>
      </c>
      <c r="H153" s="31">
        <f>_xlfn.XLOOKUP(B153, Rate_Master!$A:$A, Rate_Master!$D:$D, "")</f>
        <v>0</v>
      </c>
      <c r="I153" s="32"/>
      <c r="J153" s="32"/>
      <c r="K153" s="58"/>
      <c r="L153" s="32"/>
    </row>
    <row r="154" spans="1:12" s="4" customFormat="1" ht="38.25" customHeight="1" outlineLevel="1">
      <c r="A154" s="27" t="str">
        <f t="shared" si="31"/>
        <v>10A.F7.3</v>
      </c>
      <c r="B154" s="48" t="s">
        <v>154</v>
      </c>
      <c r="C154" s="28" t="s">
        <v>515</v>
      </c>
      <c r="D154" s="50" t="s">
        <v>517</v>
      </c>
      <c r="E154" s="31">
        <v>0</v>
      </c>
      <c r="F154" s="31">
        <v>0</v>
      </c>
      <c r="G154" s="31">
        <f>_xlfn.XLOOKUP(B154, Rate_Master!$A:$A, Rate_Master!$C:$C, "")</f>
        <v>359375</v>
      </c>
      <c r="H154" s="31">
        <f>_xlfn.XLOOKUP(B154, Rate_Master!$A:$A, Rate_Master!$D:$D, "")</f>
        <v>71875</v>
      </c>
      <c r="I154" s="32">
        <v>0</v>
      </c>
      <c r="J154" s="32">
        <f t="shared" ref="J154:J165" si="32">I154*E154</f>
        <v>0</v>
      </c>
      <c r="K154" s="58">
        <f t="shared" ref="K154:K165" si="33">I154*F154</f>
        <v>0</v>
      </c>
      <c r="L154" s="32"/>
    </row>
    <row r="155" spans="1:12" s="4" customFormat="1" ht="25.5" customHeight="1" outlineLevel="1">
      <c r="A155" s="27" t="str">
        <f t="shared" si="31"/>
        <v>10A.F7.4</v>
      </c>
      <c r="B155" s="51" t="s">
        <v>155</v>
      </c>
      <c r="C155" s="28" t="s">
        <v>515</v>
      </c>
      <c r="D155" s="50" t="s">
        <v>517</v>
      </c>
      <c r="E155" s="31">
        <v>0</v>
      </c>
      <c r="F155" s="31">
        <v>0</v>
      </c>
      <c r="G155" s="31">
        <f>_xlfn.XLOOKUP(B155, Rate_Master!$A:$A, Rate_Master!$C:$C, "")</f>
        <v>1954999.9999999998</v>
      </c>
      <c r="H155" s="31">
        <f>_xlfn.XLOOKUP(B155, Rate_Master!$A:$A, Rate_Master!$D:$D, "")</f>
        <v>114999.99999999999</v>
      </c>
      <c r="I155" s="32">
        <v>0</v>
      </c>
      <c r="J155" s="32">
        <f t="shared" si="32"/>
        <v>0</v>
      </c>
      <c r="K155" s="58">
        <f t="shared" si="33"/>
        <v>0</v>
      </c>
      <c r="L155" s="32"/>
    </row>
    <row r="156" spans="1:12" s="4" customFormat="1" ht="51" customHeight="1" outlineLevel="1">
      <c r="A156" s="27" t="str">
        <f t="shared" si="31"/>
        <v>10A.F7.5</v>
      </c>
      <c r="B156" s="51" t="s">
        <v>168</v>
      </c>
      <c r="C156" s="28"/>
      <c r="D156" s="50" t="s">
        <v>517</v>
      </c>
      <c r="E156" s="31"/>
      <c r="F156" s="31"/>
      <c r="G156" s="31">
        <f>_xlfn.XLOOKUP(B156, Rate_Master!$A:$A, Rate_Master!$C:$C, "")</f>
        <v>0</v>
      </c>
      <c r="H156" s="31">
        <f>_xlfn.XLOOKUP(B156, Rate_Master!$A:$A, Rate_Master!$D:$D, "")</f>
        <v>0</v>
      </c>
      <c r="I156" s="32"/>
      <c r="J156" s="32">
        <f t="shared" si="32"/>
        <v>0</v>
      </c>
      <c r="K156" s="58">
        <f t="shared" si="33"/>
        <v>0</v>
      </c>
      <c r="L156" s="32"/>
    </row>
    <row r="157" spans="1:12" s="4" customFormat="1" ht="51" customHeight="1" outlineLevel="1">
      <c r="A157" s="27" t="str">
        <f t="shared" si="31"/>
        <v>10A.F7.6</v>
      </c>
      <c r="B157" s="48" t="s">
        <v>156</v>
      </c>
      <c r="C157" s="28" t="s">
        <v>515</v>
      </c>
      <c r="D157" s="54" t="s">
        <v>518</v>
      </c>
      <c r="E157" s="31">
        <v>0</v>
      </c>
      <c r="F157" s="31">
        <v>0</v>
      </c>
      <c r="G157" s="31">
        <f>_xlfn.XLOOKUP(B157, Rate_Master!$A:$A, Rate_Master!$C:$C, "")</f>
        <v>1724999.9999999998</v>
      </c>
      <c r="H157" s="31">
        <f>_xlfn.XLOOKUP(B157, Rate_Master!$A:$A, Rate_Master!$D:$D, "")</f>
        <v>287500</v>
      </c>
      <c r="I157" s="32">
        <v>0</v>
      </c>
      <c r="J157" s="32">
        <f t="shared" si="32"/>
        <v>0</v>
      </c>
      <c r="K157" s="58">
        <f t="shared" si="33"/>
        <v>0</v>
      </c>
      <c r="L157" s="32"/>
    </row>
    <row r="158" spans="1:12" s="4" customFormat="1" ht="25.5" customHeight="1" outlineLevel="1">
      <c r="A158" s="27" t="str">
        <f t="shared" si="31"/>
        <v>10A.F7.7</v>
      </c>
      <c r="B158" s="48" t="s">
        <v>157</v>
      </c>
      <c r="C158" s="28" t="s">
        <v>515</v>
      </c>
      <c r="D158" s="29" t="s">
        <v>517</v>
      </c>
      <c r="E158" s="31">
        <v>0</v>
      </c>
      <c r="F158" s="31">
        <v>0</v>
      </c>
      <c r="G158" s="31">
        <f>_xlfn.XLOOKUP(B158, Rate_Master!$A:$A, Rate_Master!$C:$C, "")</f>
        <v>632500</v>
      </c>
      <c r="H158" s="31">
        <f>_xlfn.XLOOKUP(B158, Rate_Master!$A:$A, Rate_Master!$D:$D, "")</f>
        <v>57499.999999999993</v>
      </c>
      <c r="I158" s="32">
        <v>0</v>
      </c>
      <c r="J158" s="32">
        <f t="shared" si="32"/>
        <v>0</v>
      </c>
      <c r="K158" s="58">
        <f t="shared" si="33"/>
        <v>0</v>
      </c>
      <c r="L158" s="32"/>
    </row>
    <row r="159" spans="1:12" s="4" customFormat="1" ht="25.5" customHeight="1" outlineLevel="1">
      <c r="A159" s="27" t="str">
        <f t="shared" si="31"/>
        <v>10A.F7.8</v>
      </c>
      <c r="B159" s="34" t="s">
        <v>158</v>
      </c>
      <c r="C159" s="56" t="s">
        <v>562</v>
      </c>
      <c r="D159" s="29" t="s">
        <v>516</v>
      </c>
      <c r="E159" s="31">
        <v>0</v>
      </c>
      <c r="F159" s="31">
        <v>0</v>
      </c>
      <c r="G159" s="31">
        <f>_xlfn.XLOOKUP(B159, Rate_Master!$A:$A, Rate_Master!$C:$C, "")</f>
        <v>68400000</v>
      </c>
      <c r="H159" s="31">
        <f>_xlfn.XLOOKUP(B159, Rate_Master!$A:$A, Rate_Master!$D:$D, "")</f>
        <v>26600000</v>
      </c>
      <c r="I159" s="32">
        <v>0</v>
      </c>
      <c r="J159" s="32">
        <f t="shared" si="32"/>
        <v>0</v>
      </c>
      <c r="K159" s="58">
        <f t="shared" si="33"/>
        <v>0</v>
      </c>
      <c r="L159" s="32"/>
    </row>
    <row r="160" spans="1:12" s="4" customFormat="1" ht="25.5" customHeight="1" outlineLevel="1">
      <c r="A160" s="27" t="str">
        <f t="shared" si="31"/>
        <v>10A.F7.9</v>
      </c>
      <c r="B160" s="34" t="s">
        <v>159</v>
      </c>
      <c r="C160" s="28" t="s">
        <v>515</v>
      </c>
      <c r="D160" s="29" t="s">
        <v>516</v>
      </c>
      <c r="E160" s="31">
        <v>0</v>
      </c>
      <c r="F160" s="31">
        <v>0</v>
      </c>
      <c r="G160" s="31">
        <f>_xlfn.XLOOKUP(B160, Rate_Master!$A:$A, Rate_Master!$C:$C, "")</f>
        <v>25200000</v>
      </c>
      <c r="H160" s="31">
        <f>_xlfn.XLOOKUP(B160, Rate_Master!$A:$A, Rate_Master!$D:$D, "")</f>
        <v>9800000.0000000019</v>
      </c>
      <c r="I160" s="32">
        <v>0</v>
      </c>
      <c r="J160" s="32">
        <f t="shared" si="32"/>
        <v>0</v>
      </c>
      <c r="K160" s="58">
        <f t="shared" si="33"/>
        <v>0</v>
      </c>
      <c r="L160" s="32"/>
    </row>
    <row r="161" spans="1:12" s="4" customFormat="1" ht="25.5" customHeight="1" outlineLevel="1">
      <c r="A161" s="27" t="str">
        <f t="shared" si="31"/>
        <v>10A.F7.10</v>
      </c>
      <c r="B161" s="34" t="s">
        <v>160</v>
      </c>
      <c r="C161" s="28" t="s">
        <v>515</v>
      </c>
      <c r="D161" s="29" t="s">
        <v>518</v>
      </c>
      <c r="E161" s="31">
        <v>0</v>
      </c>
      <c r="F161" s="31">
        <v>0</v>
      </c>
      <c r="G161" s="31">
        <f>_xlfn.XLOOKUP(B161, Rate_Master!$A:$A, Rate_Master!$C:$C, "")</f>
        <v>1440000</v>
      </c>
      <c r="H161" s="31">
        <f>_xlfn.XLOOKUP(B161, Rate_Master!$A:$A, Rate_Master!$D:$D, "")</f>
        <v>560000</v>
      </c>
      <c r="I161" s="32">
        <v>0</v>
      </c>
      <c r="J161" s="32">
        <f t="shared" si="32"/>
        <v>0</v>
      </c>
      <c r="K161" s="58">
        <f t="shared" si="33"/>
        <v>0</v>
      </c>
      <c r="L161" s="32"/>
    </row>
    <row r="162" spans="1:12" s="4" customFormat="1" ht="25.5" customHeight="1" outlineLevel="1">
      <c r="A162" s="27" t="str">
        <f t="shared" si="31"/>
        <v>10A.F7.11</v>
      </c>
      <c r="B162" s="48" t="s">
        <v>161</v>
      </c>
      <c r="C162" s="28" t="s">
        <v>515</v>
      </c>
      <c r="D162" s="29" t="s">
        <v>517</v>
      </c>
      <c r="E162" s="31">
        <v>0</v>
      </c>
      <c r="F162" s="31">
        <v>0</v>
      </c>
      <c r="G162" s="31">
        <f>_xlfn.XLOOKUP(B162, Rate_Master!$A:$A, Rate_Master!$C:$C, "")</f>
        <v>149500</v>
      </c>
      <c r="H162" s="31">
        <f>_xlfn.XLOOKUP(B162, Rate_Master!$A:$A, Rate_Master!$D:$D, "")</f>
        <v>34500</v>
      </c>
      <c r="I162" s="32">
        <v>0</v>
      </c>
      <c r="J162" s="32">
        <f t="shared" si="32"/>
        <v>0</v>
      </c>
      <c r="K162" s="58">
        <f t="shared" si="33"/>
        <v>0</v>
      </c>
      <c r="L162" s="32"/>
    </row>
    <row r="163" spans="1:12" s="4" customFormat="1" ht="38.25" customHeight="1" outlineLevel="1">
      <c r="A163" s="27" t="str">
        <f t="shared" si="31"/>
        <v>10A.F7.12</v>
      </c>
      <c r="B163" s="34" t="s">
        <v>162</v>
      </c>
      <c r="C163" s="28" t="s">
        <v>515</v>
      </c>
      <c r="D163" s="29" t="s">
        <v>517</v>
      </c>
      <c r="E163" s="31">
        <v>0</v>
      </c>
      <c r="F163" s="31">
        <v>0</v>
      </c>
      <c r="G163" s="31">
        <f>_xlfn.XLOOKUP(B163, Rate_Master!$A:$A, Rate_Master!$C:$C, "")</f>
        <v>252000</v>
      </c>
      <c r="H163" s="31">
        <f>_xlfn.XLOOKUP(B163, Rate_Master!$A:$A, Rate_Master!$D:$D, "")</f>
        <v>98000</v>
      </c>
      <c r="I163" s="32">
        <v>0</v>
      </c>
      <c r="J163" s="32">
        <f t="shared" si="32"/>
        <v>0</v>
      </c>
      <c r="K163" s="58">
        <f t="shared" si="33"/>
        <v>0</v>
      </c>
      <c r="L163" s="32"/>
    </row>
    <row r="164" spans="1:12" s="4" customFormat="1" ht="25.5" customHeight="1" outlineLevel="1">
      <c r="A164" s="27" t="str">
        <f t="shared" si="31"/>
        <v>10A.F7.13</v>
      </c>
      <c r="B164" s="34" t="s">
        <v>210</v>
      </c>
      <c r="C164" s="28" t="s">
        <v>515</v>
      </c>
      <c r="D164" s="29" t="s">
        <v>518</v>
      </c>
      <c r="E164" s="31">
        <v>1</v>
      </c>
      <c r="F164" s="31">
        <v>1</v>
      </c>
      <c r="G164" s="31">
        <f>_xlfn.XLOOKUP(B164, Rate_Master!$A:$A, Rate_Master!$C:$C, "")</f>
        <v>35999600</v>
      </c>
      <c r="H164" s="31">
        <f>_xlfn.XLOOKUP(B164, Rate_Master!$A:$A, Rate_Master!$D:$D, "")</f>
        <v>14000099.999999998</v>
      </c>
      <c r="I164" s="32">
        <f>+G164+H164</f>
        <v>49999700</v>
      </c>
      <c r="J164" s="32">
        <f t="shared" si="32"/>
        <v>49999700</v>
      </c>
      <c r="K164" s="58">
        <f t="shared" si="33"/>
        <v>49999700</v>
      </c>
      <c r="L164" s="32"/>
    </row>
    <row r="165" spans="1:12" s="4" customFormat="1" ht="25.5" customHeight="1" outlineLevel="1">
      <c r="A165" s="27" t="str">
        <f t="shared" si="31"/>
        <v>10A.F7.14</v>
      </c>
      <c r="B165" s="34" t="s">
        <v>211</v>
      </c>
      <c r="C165" s="28" t="s">
        <v>515</v>
      </c>
      <c r="D165" s="29" t="s">
        <v>517</v>
      </c>
      <c r="E165" s="31">
        <v>56.52</v>
      </c>
      <c r="F165" s="31">
        <v>56.52</v>
      </c>
      <c r="G165" s="31">
        <f>_xlfn.XLOOKUP(B165, Rate_Master!$A:$A, Rate_Master!$C:$C, "")</f>
        <v>184000</v>
      </c>
      <c r="H165" s="31">
        <f>_xlfn.XLOOKUP(B165, Rate_Master!$A:$A, Rate_Master!$D:$D, "")</f>
        <v>71300</v>
      </c>
      <c r="I165" s="32">
        <f>+G165+H165</f>
        <v>255300</v>
      </c>
      <c r="J165" s="32">
        <f t="shared" si="32"/>
        <v>14429556</v>
      </c>
      <c r="K165" s="58">
        <f t="shared" si="33"/>
        <v>14429556</v>
      </c>
      <c r="L165" s="32"/>
    </row>
    <row r="166" spans="1:12">
      <c r="F166" s="8"/>
    </row>
  </sheetData>
  <mergeCells count="5">
    <mergeCell ref="C5:L5"/>
    <mergeCell ref="C4:L4"/>
    <mergeCell ref="C3:L3"/>
    <mergeCell ref="C7:L7"/>
    <mergeCell ref="C6:L6"/>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1:P167"/>
  <sheetViews>
    <sheetView topLeftCell="A8" zoomScale="85" zoomScaleNormal="85" workbookViewId="0">
      <pane ySplit="1" topLeftCell="A9" activePane="bottomLeft" state="frozen"/>
      <selection activeCell="A8" sqref="A8"/>
      <selection pane="bottomLeft" activeCell="A13" sqref="A13"/>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6" width="14" style="85" customWidth="1"/>
    <col min="7" max="8" width="14" style="8" customWidth="1" outlineLevel="1"/>
    <col min="9" max="10" width="14" style="9" customWidth="1"/>
    <col min="11" max="11" width="14" style="90" customWidth="1"/>
    <col min="12" max="12" width="14" style="9" customWidth="1"/>
    <col min="13" max="13" width="10.5" style="6" bestFit="1" customWidth="1"/>
    <col min="14" max="231" width="9.125" style="6" customWidth="1"/>
    <col min="232" max="232" width="6.375" style="6" customWidth="1"/>
    <col min="233" max="233" width="34.25" style="6" customWidth="1"/>
    <col min="234" max="234" width="7.375" style="6" customWidth="1"/>
    <col min="235" max="235" width="6.375" style="6" customWidth="1"/>
    <col min="236" max="236" width="13.125" style="6" customWidth="1"/>
    <col min="237" max="237" width="15.375" style="6" customWidth="1"/>
    <col min="238" max="238" width="21.25" style="6" customWidth="1"/>
    <col min="239" max="487" width="9.125" style="6" customWidth="1"/>
    <col min="488" max="488" width="6.375" style="6" customWidth="1"/>
    <col min="489" max="489" width="34.25" style="6" customWidth="1"/>
    <col min="490" max="490" width="7.375" style="6" customWidth="1"/>
    <col min="491" max="491" width="6.375" style="6" customWidth="1"/>
    <col min="492" max="492" width="13.125" style="6" customWidth="1"/>
    <col min="493" max="493" width="15.375" style="6" customWidth="1"/>
    <col min="494" max="494" width="21.25" style="6" customWidth="1"/>
    <col min="495" max="743" width="9.125" style="6" customWidth="1"/>
    <col min="744" max="744" width="6.375" style="6" customWidth="1"/>
    <col min="745" max="745" width="34.25" style="6" customWidth="1"/>
    <col min="746" max="746" width="7.375" style="6" customWidth="1"/>
    <col min="747" max="747" width="6.375" style="6" customWidth="1"/>
    <col min="748" max="748" width="13.125" style="6" customWidth="1"/>
    <col min="749" max="749" width="15.375" style="6" customWidth="1"/>
    <col min="750" max="750" width="21.25" style="6" customWidth="1"/>
    <col min="751" max="999" width="9.125" style="6" customWidth="1"/>
    <col min="1000" max="1000" width="6.375" style="6" customWidth="1"/>
    <col min="1001" max="1001" width="34.25" style="6" customWidth="1"/>
    <col min="1002" max="1002" width="7.375" style="6" customWidth="1"/>
    <col min="1003" max="1003" width="6.375" style="6" customWidth="1"/>
    <col min="1004" max="1004" width="13.125" style="6" customWidth="1"/>
    <col min="1005" max="1005" width="15.375" style="6" customWidth="1"/>
    <col min="1006" max="1006" width="21.25" style="6" customWidth="1"/>
    <col min="1007" max="1255" width="9.125" style="6" customWidth="1"/>
    <col min="1256" max="1256" width="6.375" style="6" customWidth="1"/>
    <col min="1257" max="1257" width="34.25" style="6" customWidth="1"/>
    <col min="1258" max="1258" width="7.375" style="6" customWidth="1"/>
    <col min="1259" max="1259" width="6.375" style="6" customWidth="1"/>
    <col min="1260" max="1260" width="13.125" style="6" customWidth="1"/>
    <col min="1261" max="1261" width="15.375" style="6" customWidth="1"/>
    <col min="1262" max="1262" width="21.25" style="6" customWidth="1"/>
    <col min="1263" max="1511" width="9.125" style="6" customWidth="1"/>
    <col min="1512" max="1512" width="6.375" style="6" customWidth="1"/>
    <col min="1513" max="1513" width="34.25" style="6" customWidth="1"/>
    <col min="1514" max="1514" width="7.375" style="6" customWidth="1"/>
    <col min="1515" max="1515" width="6.375" style="6" customWidth="1"/>
    <col min="1516" max="1516" width="13.125" style="6" customWidth="1"/>
    <col min="1517" max="1517" width="15.375" style="6" customWidth="1"/>
    <col min="1518" max="1518" width="21.25" style="6" customWidth="1"/>
    <col min="1519" max="1767" width="9.125" style="6" customWidth="1"/>
    <col min="1768" max="1768" width="6.375" style="6" customWidth="1"/>
    <col min="1769" max="1769" width="34.25" style="6" customWidth="1"/>
    <col min="1770" max="1770" width="7.375" style="6" customWidth="1"/>
    <col min="1771" max="1771" width="6.375" style="6" customWidth="1"/>
    <col min="1772" max="1772" width="13.125" style="6" customWidth="1"/>
    <col min="1773" max="1773" width="15.375" style="6" customWidth="1"/>
    <col min="1774" max="1774" width="21.25" style="6" customWidth="1"/>
    <col min="1775" max="2023" width="9.125" style="6" customWidth="1"/>
    <col min="2024" max="2024" width="6.375" style="6" customWidth="1"/>
    <col min="2025" max="2025" width="34.25" style="6" customWidth="1"/>
    <col min="2026" max="2026" width="7.375" style="6" customWidth="1"/>
    <col min="2027" max="2027" width="6.375" style="6" customWidth="1"/>
    <col min="2028" max="2028" width="13.125" style="6" customWidth="1"/>
    <col min="2029" max="2029" width="15.375" style="6" customWidth="1"/>
    <col min="2030" max="2030" width="21.25" style="6" customWidth="1"/>
    <col min="2031" max="2279" width="9.125" style="6" customWidth="1"/>
    <col min="2280" max="2280" width="6.375" style="6" customWidth="1"/>
    <col min="2281" max="2281" width="34.25" style="6" customWidth="1"/>
    <col min="2282" max="2282" width="7.375" style="6" customWidth="1"/>
    <col min="2283" max="2283" width="6.375" style="6" customWidth="1"/>
    <col min="2284" max="2284" width="13.125" style="6" customWidth="1"/>
    <col min="2285" max="2285" width="15.375" style="6" customWidth="1"/>
    <col min="2286" max="2286" width="21.25" style="6" customWidth="1"/>
    <col min="2287" max="2535" width="9.125" style="6" customWidth="1"/>
    <col min="2536" max="2536" width="6.375" style="6" customWidth="1"/>
    <col min="2537" max="2537" width="34.25" style="6" customWidth="1"/>
    <col min="2538" max="2538" width="7.375" style="6" customWidth="1"/>
    <col min="2539" max="2539" width="6.375" style="6" customWidth="1"/>
    <col min="2540" max="2540" width="13.125" style="6" customWidth="1"/>
    <col min="2541" max="2541" width="15.375" style="6" customWidth="1"/>
    <col min="2542" max="2542" width="21.25" style="6" customWidth="1"/>
    <col min="2543" max="2791" width="9.125" style="6" customWidth="1"/>
    <col min="2792" max="2792" width="6.375" style="6" customWidth="1"/>
    <col min="2793" max="2793" width="34.25" style="6" customWidth="1"/>
    <col min="2794" max="2794" width="7.375" style="6" customWidth="1"/>
    <col min="2795" max="2795" width="6.375" style="6" customWidth="1"/>
    <col min="2796" max="2796" width="13.125" style="6" customWidth="1"/>
    <col min="2797" max="2797" width="15.375" style="6" customWidth="1"/>
    <col min="2798" max="2798" width="21.25" style="6" customWidth="1"/>
    <col min="2799" max="3047" width="9.125" style="6" customWidth="1"/>
    <col min="3048" max="3048" width="6.375" style="6" customWidth="1"/>
    <col min="3049" max="3049" width="34.25" style="6" customWidth="1"/>
    <col min="3050" max="3050" width="7.375" style="6" customWidth="1"/>
    <col min="3051" max="3051" width="6.375" style="6" customWidth="1"/>
    <col min="3052" max="3052" width="13.125" style="6" customWidth="1"/>
    <col min="3053" max="3053" width="15.375" style="6" customWidth="1"/>
    <col min="3054" max="3054" width="21.25" style="6" customWidth="1"/>
    <col min="3055" max="3303" width="9.125" style="6" customWidth="1"/>
    <col min="3304" max="3304" width="6.375" style="6" customWidth="1"/>
    <col min="3305" max="3305" width="34.25" style="6" customWidth="1"/>
    <col min="3306" max="3306" width="7.375" style="6" customWidth="1"/>
    <col min="3307" max="3307" width="6.375" style="6" customWidth="1"/>
    <col min="3308" max="3308" width="13.125" style="6" customWidth="1"/>
    <col min="3309" max="3309" width="15.375" style="6" customWidth="1"/>
    <col min="3310" max="3310" width="21.25" style="6" customWidth="1"/>
    <col min="3311" max="3559" width="9.125" style="6" customWidth="1"/>
    <col min="3560" max="3560" width="6.375" style="6" customWidth="1"/>
    <col min="3561" max="3561" width="34.25" style="6" customWidth="1"/>
    <col min="3562" max="3562" width="7.375" style="6" customWidth="1"/>
    <col min="3563" max="3563" width="6.375" style="6" customWidth="1"/>
    <col min="3564" max="3564" width="13.125" style="6" customWidth="1"/>
    <col min="3565" max="3565" width="15.375" style="6" customWidth="1"/>
    <col min="3566" max="3566" width="21.25" style="6" customWidth="1"/>
    <col min="3567" max="3815" width="9.125" style="6" customWidth="1"/>
    <col min="3816" max="3816" width="6.375" style="6" customWidth="1"/>
    <col min="3817" max="3817" width="34.25" style="6" customWidth="1"/>
    <col min="3818" max="3818" width="7.375" style="6" customWidth="1"/>
    <col min="3819" max="3819" width="6.375" style="6" customWidth="1"/>
    <col min="3820" max="3820" width="13.125" style="6" customWidth="1"/>
    <col min="3821" max="3821" width="15.375" style="6" customWidth="1"/>
    <col min="3822" max="3822" width="21.25" style="6" customWidth="1"/>
    <col min="3823" max="4071" width="9.125" style="6" customWidth="1"/>
    <col min="4072" max="4072" width="6.375" style="6" customWidth="1"/>
    <col min="4073" max="4073" width="34.25" style="6" customWidth="1"/>
    <col min="4074" max="4074" width="7.375" style="6" customWidth="1"/>
    <col min="4075" max="4075" width="6.375" style="6" customWidth="1"/>
    <col min="4076" max="4076" width="13.125" style="6" customWidth="1"/>
    <col min="4077" max="4077" width="15.375" style="6" customWidth="1"/>
    <col min="4078" max="4078" width="21.25" style="6" customWidth="1"/>
    <col min="4079" max="4327" width="9.125" style="6" customWidth="1"/>
    <col min="4328" max="4328" width="6.375" style="6" customWidth="1"/>
    <col min="4329" max="4329" width="34.25" style="6" customWidth="1"/>
    <col min="4330" max="4330" width="7.375" style="6" customWidth="1"/>
    <col min="4331" max="4331" width="6.375" style="6" customWidth="1"/>
    <col min="4332" max="4332" width="13.125" style="6" customWidth="1"/>
    <col min="4333" max="4333" width="15.375" style="6" customWidth="1"/>
    <col min="4334" max="4334" width="21.25" style="6" customWidth="1"/>
    <col min="4335" max="4583" width="9.125" style="6" customWidth="1"/>
    <col min="4584" max="4584" width="6.375" style="6" customWidth="1"/>
    <col min="4585" max="4585" width="34.25" style="6" customWidth="1"/>
    <col min="4586" max="4586" width="7.375" style="6" customWidth="1"/>
    <col min="4587" max="4587" width="6.375" style="6" customWidth="1"/>
    <col min="4588" max="4588" width="13.125" style="6" customWidth="1"/>
    <col min="4589" max="4589" width="15.375" style="6" customWidth="1"/>
    <col min="4590" max="4590" width="21.25" style="6" customWidth="1"/>
    <col min="4591" max="4839" width="9.125" style="6" customWidth="1"/>
    <col min="4840" max="4840" width="6.375" style="6" customWidth="1"/>
    <col min="4841" max="4841" width="34.25" style="6" customWidth="1"/>
    <col min="4842" max="4842" width="7.375" style="6" customWidth="1"/>
    <col min="4843" max="4843" width="6.375" style="6" customWidth="1"/>
    <col min="4844" max="4844" width="13.125" style="6" customWidth="1"/>
    <col min="4845" max="4845" width="15.375" style="6" customWidth="1"/>
    <col min="4846" max="4846" width="21.25" style="6" customWidth="1"/>
    <col min="4847" max="5095" width="9.125" style="6" customWidth="1"/>
    <col min="5096" max="5096" width="6.375" style="6" customWidth="1"/>
    <col min="5097" max="5097" width="34.25" style="6" customWidth="1"/>
    <col min="5098" max="5098" width="7.375" style="6" customWidth="1"/>
    <col min="5099" max="5099" width="6.375" style="6" customWidth="1"/>
    <col min="5100" max="5100" width="13.125" style="6" customWidth="1"/>
    <col min="5101" max="5101" width="15.375" style="6" customWidth="1"/>
    <col min="5102" max="5102" width="21.25" style="6" customWidth="1"/>
    <col min="5103" max="5351" width="9.125" style="6" customWidth="1"/>
    <col min="5352" max="5352" width="6.375" style="6" customWidth="1"/>
    <col min="5353" max="5353" width="34.25" style="6" customWidth="1"/>
    <col min="5354" max="5354" width="7.375" style="6" customWidth="1"/>
    <col min="5355" max="5355" width="6.375" style="6" customWidth="1"/>
    <col min="5356" max="5356" width="13.125" style="6" customWidth="1"/>
    <col min="5357" max="5357" width="15.375" style="6" customWidth="1"/>
    <col min="5358" max="5358" width="21.25" style="6" customWidth="1"/>
    <col min="5359" max="5607" width="9.125" style="6" customWidth="1"/>
    <col min="5608" max="5608" width="6.375" style="6" customWidth="1"/>
    <col min="5609" max="5609" width="34.25" style="6" customWidth="1"/>
    <col min="5610" max="5610" width="7.375" style="6" customWidth="1"/>
    <col min="5611" max="5611" width="6.375" style="6" customWidth="1"/>
    <col min="5612" max="5612" width="13.125" style="6" customWidth="1"/>
    <col min="5613" max="5613" width="15.375" style="6" customWidth="1"/>
    <col min="5614" max="5614" width="21.25" style="6" customWidth="1"/>
    <col min="5615" max="5863" width="9.125" style="6" customWidth="1"/>
    <col min="5864" max="5864" width="6.375" style="6" customWidth="1"/>
    <col min="5865" max="5865" width="34.25" style="6" customWidth="1"/>
    <col min="5866" max="5866" width="7.375" style="6" customWidth="1"/>
    <col min="5867" max="5867" width="6.375" style="6" customWidth="1"/>
    <col min="5868" max="5868" width="13.125" style="6" customWidth="1"/>
    <col min="5869" max="5869" width="15.375" style="6" customWidth="1"/>
    <col min="5870" max="5870" width="21.25" style="6" customWidth="1"/>
    <col min="5871" max="6119" width="9.125" style="6" customWidth="1"/>
    <col min="6120" max="6120" width="6.375" style="6" customWidth="1"/>
    <col min="6121" max="6121" width="34.25" style="6" customWidth="1"/>
    <col min="6122" max="6122" width="7.375" style="6" customWidth="1"/>
    <col min="6123" max="6123" width="6.375" style="6" customWidth="1"/>
    <col min="6124" max="6124" width="13.125" style="6" customWidth="1"/>
    <col min="6125" max="6125" width="15.375" style="6" customWidth="1"/>
    <col min="6126" max="6126" width="21.25" style="6" customWidth="1"/>
    <col min="6127" max="6375" width="9.125" style="6" customWidth="1"/>
    <col min="6376" max="6376" width="6.375" style="6" customWidth="1"/>
    <col min="6377" max="6377" width="34.25" style="6" customWidth="1"/>
    <col min="6378" max="6378" width="7.375" style="6" customWidth="1"/>
    <col min="6379" max="6379" width="6.375" style="6" customWidth="1"/>
    <col min="6380" max="6380" width="13.125" style="6" customWidth="1"/>
    <col min="6381" max="6381" width="15.375" style="6" customWidth="1"/>
    <col min="6382" max="6382" width="21.25" style="6" customWidth="1"/>
    <col min="6383" max="6631" width="9.125" style="6" customWidth="1"/>
    <col min="6632" max="6632" width="6.375" style="6" customWidth="1"/>
    <col min="6633" max="6633" width="34.25" style="6" customWidth="1"/>
    <col min="6634" max="6634" width="7.375" style="6" customWidth="1"/>
    <col min="6635" max="6635" width="6.375" style="6" customWidth="1"/>
    <col min="6636" max="6636" width="13.125" style="6" customWidth="1"/>
    <col min="6637" max="6637" width="15.375" style="6" customWidth="1"/>
    <col min="6638" max="6638" width="21.25" style="6" customWidth="1"/>
    <col min="6639" max="6887" width="9.125" style="6" customWidth="1"/>
    <col min="6888" max="6888" width="6.375" style="6" customWidth="1"/>
    <col min="6889" max="6889" width="34.25" style="6" customWidth="1"/>
    <col min="6890" max="6890" width="7.375" style="6" customWidth="1"/>
    <col min="6891" max="6891" width="6.375" style="6" customWidth="1"/>
    <col min="6892" max="6892" width="13.125" style="6" customWidth="1"/>
    <col min="6893" max="6893" width="15.375" style="6" customWidth="1"/>
    <col min="6894" max="6894" width="21.25" style="6" customWidth="1"/>
    <col min="6895" max="7143" width="9.125" style="6" customWidth="1"/>
    <col min="7144" max="7144" width="6.375" style="6" customWidth="1"/>
    <col min="7145" max="7145" width="34.25" style="6" customWidth="1"/>
    <col min="7146" max="7146" width="7.375" style="6" customWidth="1"/>
    <col min="7147" max="7147" width="6.375" style="6" customWidth="1"/>
    <col min="7148" max="7148" width="13.125" style="6" customWidth="1"/>
    <col min="7149" max="7149" width="15.375" style="6" customWidth="1"/>
    <col min="7150" max="7150" width="21.25" style="6" customWidth="1"/>
    <col min="7151" max="7399" width="9.125" style="6" customWidth="1"/>
    <col min="7400" max="7400" width="6.375" style="6" customWidth="1"/>
    <col min="7401" max="7401" width="34.25" style="6" customWidth="1"/>
    <col min="7402" max="7402" width="7.375" style="6" customWidth="1"/>
    <col min="7403" max="7403" width="6.375" style="6" customWidth="1"/>
    <col min="7404" max="7404" width="13.125" style="6" customWidth="1"/>
    <col min="7405" max="7405" width="15.375" style="6" customWidth="1"/>
    <col min="7406" max="7406" width="21.25" style="6" customWidth="1"/>
    <col min="7407" max="7655" width="9.125" style="6" customWidth="1"/>
    <col min="7656" max="7656" width="6.375" style="6" customWidth="1"/>
    <col min="7657" max="7657" width="34.25" style="6" customWidth="1"/>
    <col min="7658" max="7658" width="7.375" style="6" customWidth="1"/>
    <col min="7659" max="7659" width="6.375" style="6" customWidth="1"/>
    <col min="7660" max="7660" width="13.125" style="6" customWidth="1"/>
    <col min="7661" max="7661" width="15.375" style="6" customWidth="1"/>
    <col min="7662" max="7662" width="21.25" style="6" customWidth="1"/>
    <col min="7663" max="7911" width="9.125" style="6" customWidth="1"/>
    <col min="7912" max="7912" width="6.375" style="6" customWidth="1"/>
    <col min="7913" max="7913" width="34.25" style="6" customWidth="1"/>
    <col min="7914" max="7914" width="7.375" style="6" customWidth="1"/>
    <col min="7915" max="7915" width="6.375" style="6" customWidth="1"/>
    <col min="7916" max="7916" width="13.125" style="6" customWidth="1"/>
    <col min="7917" max="7917" width="15.375" style="6" customWidth="1"/>
    <col min="7918" max="7918" width="21.25" style="6" customWidth="1"/>
    <col min="7919" max="8167" width="9.125" style="6" customWidth="1"/>
    <col min="8168" max="8168" width="6.375" style="6" customWidth="1"/>
    <col min="8169" max="8169" width="34.25" style="6" customWidth="1"/>
    <col min="8170" max="8170" width="7.375" style="6" customWidth="1"/>
    <col min="8171" max="8171" width="6.375" style="6" customWidth="1"/>
    <col min="8172" max="8172" width="13.125" style="6" customWidth="1"/>
    <col min="8173" max="8173" width="15.375" style="6" customWidth="1"/>
    <col min="8174" max="8174" width="21.25" style="6" customWidth="1"/>
    <col min="8175" max="8423" width="9.125" style="6" customWidth="1"/>
    <col min="8424" max="8424" width="6.375" style="6" customWidth="1"/>
    <col min="8425" max="8425" width="34.25" style="6" customWidth="1"/>
    <col min="8426" max="8426" width="7.375" style="6" customWidth="1"/>
    <col min="8427" max="8427" width="6.375" style="6" customWidth="1"/>
    <col min="8428" max="8428" width="13.125" style="6" customWidth="1"/>
    <col min="8429" max="8429" width="15.375" style="6" customWidth="1"/>
    <col min="8430" max="8430" width="21.25" style="6" customWidth="1"/>
    <col min="8431" max="8679" width="9.125" style="6" customWidth="1"/>
    <col min="8680" max="8680" width="6.375" style="6" customWidth="1"/>
    <col min="8681" max="8681" width="34.25" style="6" customWidth="1"/>
    <col min="8682" max="8682" width="7.375" style="6" customWidth="1"/>
    <col min="8683" max="8683" width="6.375" style="6" customWidth="1"/>
    <col min="8684" max="8684" width="13.125" style="6" customWidth="1"/>
    <col min="8685" max="8685" width="15.375" style="6" customWidth="1"/>
    <col min="8686" max="8686" width="21.25" style="6" customWidth="1"/>
    <col min="8687" max="8935" width="9.125" style="6" customWidth="1"/>
    <col min="8936" max="8936" width="6.375" style="6" customWidth="1"/>
    <col min="8937" max="8937" width="34.25" style="6" customWidth="1"/>
    <col min="8938" max="8938" width="7.375" style="6" customWidth="1"/>
    <col min="8939" max="8939" width="6.375" style="6" customWidth="1"/>
    <col min="8940" max="8940" width="13.125" style="6" customWidth="1"/>
    <col min="8941" max="8941" width="15.375" style="6" customWidth="1"/>
    <col min="8942" max="8942" width="21.25" style="6" customWidth="1"/>
    <col min="8943" max="9191" width="9.125" style="6" customWidth="1"/>
    <col min="9192" max="9192" width="6.375" style="6" customWidth="1"/>
    <col min="9193" max="9193" width="34.25" style="6" customWidth="1"/>
    <col min="9194" max="9194" width="7.375" style="6" customWidth="1"/>
    <col min="9195" max="9195" width="6.375" style="6" customWidth="1"/>
    <col min="9196" max="9196" width="13.125" style="6" customWidth="1"/>
    <col min="9197" max="9197" width="15.375" style="6" customWidth="1"/>
    <col min="9198" max="9198" width="21.25" style="6" customWidth="1"/>
    <col min="9199" max="9447" width="9.125" style="6" customWidth="1"/>
    <col min="9448" max="9448" width="6.375" style="6" customWidth="1"/>
    <col min="9449" max="9449" width="34.25" style="6" customWidth="1"/>
    <col min="9450" max="9450" width="7.375" style="6" customWidth="1"/>
    <col min="9451" max="9451" width="6.375" style="6" customWidth="1"/>
    <col min="9452" max="9452" width="13.125" style="6" customWidth="1"/>
    <col min="9453" max="9453" width="15.375" style="6" customWidth="1"/>
    <col min="9454" max="9454" width="21.25" style="6" customWidth="1"/>
    <col min="9455" max="9703" width="9.125" style="6" customWidth="1"/>
    <col min="9704" max="9704" width="6.375" style="6" customWidth="1"/>
    <col min="9705" max="9705" width="34.25" style="6" customWidth="1"/>
    <col min="9706" max="9706" width="7.375" style="6" customWidth="1"/>
    <col min="9707" max="9707" width="6.375" style="6" customWidth="1"/>
    <col min="9708" max="9708" width="13.125" style="6" customWidth="1"/>
    <col min="9709" max="9709" width="15.375" style="6" customWidth="1"/>
    <col min="9710" max="9710" width="21.25" style="6" customWidth="1"/>
    <col min="9711" max="9959" width="9.125" style="6" customWidth="1"/>
    <col min="9960" max="9960" width="6.375" style="6" customWidth="1"/>
    <col min="9961" max="9961" width="34.25" style="6" customWidth="1"/>
    <col min="9962" max="9962" width="7.375" style="6" customWidth="1"/>
    <col min="9963" max="9963" width="6.375" style="6" customWidth="1"/>
    <col min="9964" max="9964" width="13.125" style="6" customWidth="1"/>
    <col min="9965" max="9965" width="15.375" style="6" customWidth="1"/>
    <col min="9966" max="9966" width="21.25" style="6" customWidth="1"/>
    <col min="9967" max="10215" width="9.125" style="6" customWidth="1"/>
    <col min="10216" max="10216" width="6.375" style="6" customWidth="1"/>
    <col min="10217" max="10217" width="34.25" style="6" customWidth="1"/>
    <col min="10218" max="10218" width="7.375" style="6" customWidth="1"/>
    <col min="10219" max="10219" width="6.375" style="6" customWidth="1"/>
    <col min="10220" max="10220" width="13.125" style="6" customWidth="1"/>
    <col min="10221" max="10221" width="15.375" style="6" customWidth="1"/>
    <col min="10222" max="10222" width="21.25" style="6" customWidth="1"/>
    <col min="10223" max="10471" width="9.125" style="6" customWidth="1"/>
    <col min="10472" max="10472" width="6.375" style="6" customWidth="1"/>
    <col min="10473" max="10473" width="34.25" style="6" customWidth="1"/>
    <col min="10474" max="10474" width="7.375" style="6" customWidth="1"/>
    <col min="10475" max="10475" width="6.375" style="6" customWidth="1"/>
    <col min="10476" max="10476" width="13.125" style="6" customWidth="1"/>
    <col min="10477" max="10477" width="15.375" style="6" customWidth="1"/>
    <col min="10478" max="10478" width="21.25" style="6" customWidth="1"/>
    <col min="10479" max="10727" width="9.125" style="6" customWidth="1"/>
    <col min="10728" max="10728" width="6.375" style="6" customWidth="1"/>
    <col min="10729" max="10729" width="34.25" style="6" customWidth="1"/>
    <col min="10730" max="10730" width="7.375" style="6" customWidth="1"/>
    <col min="10731" max="10731" width="6.375" style="6" customWidth="1"/>
    <col min="10732" max="10732" width="13.125" style="6" customWidth="1"/>
    <col min="10733" max="10733" width="15.375" style="6" customWidth="1"/>
    <col min="10734" max="10734" width="21.25" style="6" customWidth="1"/>
    <col min="10735" max="10983" width="9.125" style="6" customWidth="1"/>
    <col min="10984" max="10984" width="6.375" style="6" customWidth="1"/>
    <col min="10985" max="10985" width="34.25" style="6" customWidth="1"/>
    <col min="10986" max="10986" width="7.375" style="6" customWidth="1"/>
    <col min="10987" max="10987" width="6.375" style="6" customWidth="1"/>
    <col min="10988" max="10988" width="13.125" style="6" customWidth="1"/>
    <col min="10989" max="10989" width="15.375" style="6" customWidth="1"/>
    <col min="10990" max="10990" width="21.25" style="6" customWidth="1"/>
    <col min="10991" max="11239" width="9.125" style="6" customWidth="1"/>
    <col min="11240" max="11240" width="6.375" style="6" customWidth="1"/>
    <col min="11241" max="11241" width="34.25" style="6" customWidth="1"/>
    <col min="11242" max="11242" width="7.375" style="6" customWidth="1"/>
    <col min="11243" max="11243" width="6.375" style="6" customWidth="1"/>
    <col min="11244" max="11244" width="13.125" style="6" customWidth="1"/>
    <col min="11245" max="11245" width="15.375" style="6" customWidth="1"/>
    <col min="11246" max="11246" width="21.25" style="6" customWidth="1"/>
    <col min="11247" max="11495" width="9.125" style="6" customWidth="1"/>
    <col min="11496" max="11496" width="6.375" style="6" customWidth="1"/>
    <col min="11497" max="11497" width="34.25" style="6" customWidth="1"/>
    <col min="11498" max="11498" width="7.375" style="6" customWidth="1"/>
    <col min="11499" max="11499" width="6.375" style="6" customWidth="1"/>
    <col min="11500" max="11500" width="13.125" style="6" customWidth="1"/>
    <col min="11501" max="11501" width="15.375" style="6" customWidth="1"/>
    <col min="11502" max="11502" width="21.25" style="6" customWidth="1"/>
    <col min="11503" max="11751" width="9.125" style="6" customWidth="1"/>
    <col min="11752" max="11752" width="6.375" style="6" customWidth="1"/>
    <col min="11753" max="11753" width="34.25" style="6" customWidth="1"/>
    <col min="11754" max="11754" width="7.375" style="6" customWidth="1"/>
    <col min="11755" max="11755" width="6.375" style="6" customWidth="1"/>
    <col min="11756" max="11756" width="13.125" style="6" customWidth="1"/>
    <col min="11757" max="11757" width="15.375" style="6" customWidth="1"/>
    <col min="11758" max="11758" width="21.25" style="6" customWidth="1"/>
    <col min="11759" max="12007" width="9.125" style="6" customWidth="1"/>
    <col min="12008" max="12008" width="6.375" style="6" customWidth="1"/>
    <col min="12009" max="12009" width="34.25" style="6" customWidth="1"/>
    <col min="12010" max="12010" width="7.375" style="6" customWidth="1"/>
    <col min="12011" max="12011" width="6.375" style="6" customWidth="1"/>
    <col min="12012" max="12012" width="13.125" style="6" customWidth="1"/>
    <col min="12013" max="12013" width="15.375" style="6" customWidth="1"/>
    <col min="12014" max="12014" width="21.25" style="6" customWidth="1"/>
    <col min="12015" max="12263" width="9.125" style="6" customWidth="1"/>
    <col min="12264" max="12264" width="6.375" style="6" customWidth="1"/>
    <col min="12265" max="12265" width="34.25" style="6" customWidth="1"/>
    <col min="12266" max="12266" width="7.375" style="6" customWidth="1"/>
    <col min="12267" max="12267" width="6.375" style="6" customWidth="1"/>
    <col min="12268" max="12268" width="13.125" style="6" customWidth="1"/>
    <col min="12269" max="12269" width="15.375" style="6" customWidth="1"/>
    <col min="12270" max="12270" width="21.25" style="6" customWidth="1"/>
    <col min="12271" max="12519" width="9.125" style="6" customWidth="1"/>
    <col min="12520" max="12520" width="6.375" style="6" customWidth="1"/>
    <col min="12521" max="12521" width="34.25" style="6" customWidth="1"/>
    <col min="12522" max="12522" width="7.375" style="6" customWidth="1"/>
    <col min="12523" max="12523" width="6.375" style="6" customWidth="1"/>
    <col min="12524" max="12524" width="13.125" style="6" customWidth="1"/>
    <col min="12525" max="12525" width="15.375" style="6" customWidth="1"/>
    <col min="12526" max="12526" width="21.25" style="6" customWidth="1"/>
    <col min="12527" max="12775" width="9.125" style="6" customWidth="1"/>
    <col min="12776" max="12776" width="6.375" style="6" customWidth="1"/>
    <col min="12777" max="12777" width="34.25" style="6" customWidth="1"/>
    <col min="12778" max="12778" width="7.375" style="6" customWidth="1"/>
    <col min="12779" max="12779" width="6.375" style="6" customWidth="1"/>
    <col min="12780" max="12780" width="13.125" style="6" customWidth="1"/>
    <col min="12781" max="12781" width="15.375" style="6" customWidth="1"/>
    <col min="12782" max="12782" width="21.25" style="6" customWidth="1"/>
    <col min="12783" max="13031" width="9.125" style="6" customWidth="1"/>
    <col min="13032" max="13032" width="6.375" style="6" customWidth="1"/>
    <col min="13033" max="13033" width="34.25" style="6" customWidth="1"/>
    <col min="13034" max="13034" width="7.375" style="6" customWidth="1"/>
    <col min="13035" max="13035" width="6.375" style="6" customWidth="1"/>
    <col min="13036" max="13036" width="13.125" style="6" customWidth="1"/>
    <col min="13037" max="13037" width="15.375" style="6" customWidth="1"/>
    <col min="13038" max="13038" width="21.25" style="6" customWidth="1"/>
    <col min="13039" max="13287" width="9.125" style="6" customWidth="1"/>
    <col min="13288" max="13288" width="6.375" style="6" customWidth="1"/>
    <col min="13289" max="13289" width="34.25" style="6" customWidth="1"/>
    <col min="13290" max="13290" width="7.375" style="6" customWidth="1"/>
    <col min="13291" max="13291" width="6.375" style="6" customWidth="1"/>
    <col min="13292" max="13292" width="13.125" style="6" customWidth="1"/>
    <col min="13293" max="13293" width="15.375" style="6" customWidth="1"/>
    <col min="13294" max="13294" width="21.25" style="6" customWidth="1"/>
    <col min="13295" max="13543" width="9.125" style="6" customWidth="1"/>
    <col min="13544" max="13544" width="6.375" style="6" customWidth="1"/>
    <col min="13545" max="13545" width="34.25" style="6" customWidth="1"/>
    <col min="13546" max="13546" width="7.375" style="6" customWidth="1"/>
    <col min="13547" max="13547" width="6.375" style="6" customWidth="1"/>
    <col min="13548" max="13548" width="13.125" style="6" customWidth="1"/>
    <col min="13549" max="13549" width="15.375" style="6" customWidth="1"/>
    <col min="13550" max="13550" width="21.25" style="6" customWidth="1"/>
    <col min="13551" max="13799" width="9.125" style="6" customWidth="1"/>
    <col min="13800" max="13800" width="6.375" style="6" customWidth="1"/>
    <col min="13801" max="13801" width="34.25" style="6" customWidth="1"/>
    <col min="13802" max="13802" width="7.375" style="6" customWidth="1"/>
    <col min="13803" max="13803" width="6.375" style="6" customWidth="1"/>
    <col min="13804" max="13804" width="13.125" style="6" customWidth="1"/>
    <col min="13805" max="13805" width="15.375" style="6" customWidth="1"/>
    <col min="13806" max="13806" width="21.25" style="6" customWidth="1"/>
    <col min="13807" max="14055" width="9.125" style="6" customWidth="1"/>
    <col min="14056" max="14056" width="6.375" style="6" customWidth="1"/>
    <col min="14057" max="14057" width="34.25" style="6" customWidth="1"/>
    <col min="14058" max="14058" width="7.375" style="6" customWidth="1"/>
    <col min="14059" max="14059" width="6.375" style="6" customWidth="1"/>
    <col min="14060" max="14060" width="13.125" style="6" customWidth="1"/>
    <col min="14061" max="14061" width="15.375" style="6" customWidth="1"/>
    <col min="14062" max="14062" width="21.25" style="6" customWidth="1"/>
    <col min="14063" max="14311" width="9.125" style="6" customWidth="1"/>
    <col min="14312" max="14312" width="6.375" style="6" customWidth="1"/>
    <col min="14313" max="14313" width="34.25" style="6" customWidth="1"/>
    <col min="14314" max="14314" width="7.375" style="6" customWidth="1"/>
    <col min="14315" max="14315" width="6.375" style="6" customWidth="1"/>
    <col min="14316" max="14316" width="13.125" style="6" customWidth="1"/>
    <col min="14317" max="14317" width="15.375" style="6" customWidth="1"/>
    <col min="14318" max="14318" width="21.25" style="6" customWidth="1"/>
    <col min="14319" max="14567" width="9.125" style="6" customWidth="1"/>
    <col min="14568" max="14568" width="6.375" style="6" customWidth="1"/>
    <col min="14569" max="14569" width="34.25" style="6" customWidth="1"/>
    <col min="14570" max="14570" width="7.375" style="6" customWidth="1"/>
    <col min="14571" max="14571" width="6.375" style="6" customWidth="1"/>
    <col min="14572" max="14572" width="13.125" style="6" customWidth="1"/>
    <col min="14573" max="14573" width="15.375" style="6" customWidth="1"/>
    <col min="14574" max="14574" width="21.25" style="6" customWidth="1"/>
    <col min="14575" max="14823" width="9.125" style="6" customWidth="1"/>
    <col min="14824" max="14824" width="6.375" style="6" customWidth="1"/>
    <col min="14825" max="14825" width="34.25" style="6" customWidth="1"/>
    <col min="14826" max="14826" width="7.375" style="6" customWidth="1"/>
    <col min="14827" max="14827" width="6.375" style="6" customWidth="1"/>
    <col min="14828" max="14828" width="13.125" style="6" customWidth="1"/>
    <col min="14829" max="14829" width="15.375" style="6" customWidth="1"/>
    <col min="14830" max="14830" width="21.25" style="6" customWidth="1"/>
    <col min="14831" max="15079" width="9.125" style="6" customWidth="1"/>
    <col min="15080" max="15080" width="6.375" style="6" customWidth="1"/>
    <col min="15081" max="15081" width="34.25" style="6" customWidth="1"/>
    <col min="15082" max="15082" width="7.375" style="6" customWidth="1"/>
    <col min="15083" max="15083" width="6.375" style="6" customWidth="1"/>
    <col min="15084" max="15084" width="13.125" style="6" customWidth="1"/>
    <col min="15085" max="15085" width="15.375" style="6" customWidth="1"/>
    <col min="15086" max="15086" width="21.25" style="6" customWidth="1"/>
    <col min="15087" max="15335" width="9.125" style="6" customWidth="1"/>
    <col min="15336" max="15336" width="6.375" style="6" customWidth="1"/>
    <col min="15337" max="15337" width="34.25" style="6" customWidth="1"/>
    <col min="15338" max="15338" width="7.375" style="6" customWidth="1"/>
    <col min="15339" max="15339" width="6.375" style="6" customWidth="1"/>
    <col min="15340" max="15340" width="13.125" style="6" customWidth="1"/>
    <col min="15341" max="15341" width="15.375" style="6" customWidth="1"/>
    <col min="15342" max="15342" width="21.25" style="6" customWidth="1"/>
    <col min="15343" max="15591" width="9.125" style="6" customWidth="1"/>
    <col min="15592" max="15592" width="6.375" style="6" customWidth="1"/>
    <col min="15593" max="15593" width="34.25" style="6" customWidth="1"/>
    <col min="15594" max="15594" width="7.375" style="6" customWidth="1"/>
    <col min="15595" max="15595" width="6.375" style="6" customWidth="1"/>
    <col min="15596" max="15596" width="13.125" style="6" customWidth="1"/>
    <col min="15597" max="15597" width="15.375" style="6" customWidth="1"/>
    <col min="15598" max="15598" width="21.25" style="6" customWidth="1"/>
    <col min="15599" max="15847" width="9.125" style="6" customWidth="1"/>
    <col min="15848" max="15848" width="6.375" style="6" customWidth="1"/>
    <col min="15849" max="15849" width="34.25" style="6" customWidth="1"/>
    <col min="15850" max="15850" width="7.375" style="6" customWidth="1"/>
    <col min="15851" max="15851" width="6.375" style="6" customWidth="1"/>
    <col min="15852" max="15852" width="13.125" style="6" customWidth="1"/>
    <col min="15853" max="15853" width="15.375" style="6" customWidth="1"/>
    <col min="15854" max="15854" width="21.25" style="6" customWidth="1"/>
    <col min="15855" max="16103" width="9.125" style="6" customWidth="1"/>
    <col min="16104" max="16104" width="6.375" style="6" customWidth="1"/>
    <col min="16105" max="16105" width="34.25" style="6" customWidth="1"/>
    <col min="16106" max="16106" width="7.375" style="6" customWidth="1"/>
    <col min="16107" max="16107" width="6.375" style="6" customWidth="1"/>
    <col min="16108" max="16108" width="13.125" style="6" customWidth="1"/>
    <col min="16109" max="16109" width="15.375" style="6" customWidth="1"/>
    <col min="16110" max="16110" width="21.25" style="6" customWidth="1"/>
    <col min="16111" max="16384" width="9.125" style="6" customWidth="1"/>
  </cols>
  <sheetData>
    <row r="1" spans="1:13" ht="48" customHeight="1"/>
    <row r="2" spans="1:13" s="1" customFormat="1" ht="51" customHeight="1">
      <c r="A2" s="10" t="s">
        <v>507</v>
      </c>
      <c r="B2" s="11"/>
      <c r="C2" s="12"/>
      <c r="D2" s="11"/>
      <c r="E2" s="14"/>
      <c r="F2" s="86"/>
      <c r="G2" s="14"/>
      <c r="H2" s="14"/>
      <c r="I2" s="15"/>
      <c r="J2" s="15"/>
      <c r="K2" s="91"/>
      <c r="L2" s="15"/>
    </row>
    <row r="3" spans="1:13" ht="26.25" customHeight="1">
      <c r="A3" s="16"/>
      <c r="B3" s="17" t="s">
        <v>440</v>
      </c>
      <c r="C3" s="213"/>
      <c r="D3" s="217"/>
      <c r="E3" s="214"/>
      <c r="F3" s="218"/>
      <c r="G3" s="214"/>
      <c r="H3" s="214"/>
      <c r="I3" s="220"/>
      <c r="J3" s="220"/>
      <c r="K3" s="221"/>
      <c r="L3" s="220"/>
    </row>
    <row r="4" spans="1:13" ht="26.25" customHeight="1">
      <c r="A4" s="18"/>
      <c r="B4" s="5" t="s">
        <v>441</v>
      </c>
      <c r="C4" s="222"/>
      <c r="D4" s="217"/>
      <c r="E4" s="214"/>
      <c r="F4" s="218"/>
      <c r="G4" s="214"/>
      <c r="H4" s="214"/>
      <c r="I4" s="220"/>
      <c r="J4" s="220"/>
      <c r="K4" s="221"/>
      <c r="L4" s="220"/>
    </row>
    <row r="5" spans="1:13" ht="26.25" customHeight="1">
      <c r="A5" s="18"/>
      <c r="B5" s="5" t="s">
        <v>442</v>
      </c>
      <c r="C5" s="216"/>
      <c r="D5" s="217"/>
      <c r="E5" s="214"/>
      <c r="F5" s="218"/>
      <c r="G5" s="214"/>
      <c r="H5" s="214"/>
      <c r="I5" s="220"/>
      <c r="J5" s="220"/>
      <c r="K5" s="221"/>
      <c r="L5" s="220"/>
    </row>
    <row r="6" spans="1:13" ht="26.25" customHeight="1">
      <c r="A6" s="18"/>
      <c r="B6" s="5" t="s">
        <v>443</v>
      </c>
      <c r="C6" s="213" t="str">
        <f>INDEX(總表!$B$9:$B$47,MATCH('11A'!A9,總表!$A$9:$A$48,0))</f>
        <v>Nhà trộn sơn, kho sơn
調漆房+油漆倉庫</v>
      </c>
      <c r="D6" s="217"/>
      <c r="E6" s="214"/>
      <c r="F6" s="218"/>
      <c r="G6" s="214"/>
      <c r="H6" s="214"/>
      <c r="I6" s="220"/>
      <c r="J6" s="220"/>
      <c r="K6" s="221"/>
      <c r="L6" s="220"/>
    </row>
    <row r="7" spans="1:13" ht="26.25" customHeight="1">
      <c r="A7" s="18"/>
      <c r="B7" s="5" t="s">
        <v>444</v>
      </c>
      <c r="C7" s="223" t="s">
        <v>445</v>
      </c>
      <c r="D7" s="224"/>
      <c r="E7" s="224"/>
      <c r="F7" s="224"/>
      <c r="G7" s="224"/>
      <c r="H7" s="224"/>
      <c r="I7" s="224"/>
      <c r="J7" s="224"/>
      <c r="K7" s="224"/>
      <c r="L7" s="224"/>
    </row>
    <row r="8" spans="1:13" s="2" customFormat="1" ht="41.25" customHeight="1">
      <c r="A8" s="19" t="s">
        <v>446</v>
      </c>
      <c r="B8" s="19" t="s">
        <v>508</v>
      </c>
      <c r="C8" s="19" t="s">
        <v>509</v>
      </c>
      <c r="D8" s="19" t="s">
        <v>448</v>
      </c>
      <c r="E8" s="19" t="s">
        <v>449</v>
      </c>
      <c r="F8" s="84" t="s">
        <v>510</v>
      </c>
      <c r="G8" s="19" t="s">
        <v>511</v>
      </c>
      <c r="H8" s="19" t="s">
        <v>512</v>
      </c>
      <c r="I8" s="21" t="s">
        <v>450</v>
      </c>
      <c r="J8" s="21" t="s">
        <v>452</v>
      </c>
      <c r="K8" s="84" t="s">
        <v>513</v>
      </c>
      <c r="L8" s="21" t="s">
        <v>514</v>
      </c>
    </row>
    <row r="9" spans="1:13" s="3" customFormat="1" ht="25.5" customHeight="1">
      <c r="A9" s="22" t="s">
        <v>468</v>
      </c>
      <c r="B9" s="23" t="str">
        <f>C6</f>
        <v>Nhà trộn sơn, kho sơn
調漆房+油漆倉庫</v>
      </c>
      <c r="C9" s="23" t="s">
        <v>515</v>
      </c>
      <c r="D9" s="22"/>
      <c r="E9" s="25"/>
      <c r="F9" s="25"/>
      <c r="G9" s="25">
        <f>_xlfn.XLOOKUP(B9, Rate_Master!$A:$A, Rate_Master!$C:$C, "")</f>
        <v>0</v>
      </c>
      <c r="H9" s="25">
        <f>_xlfn.XLOOKUP(B9, Rate_Master!$A:$A, Rate_Master!$D:$D, "")</f>
        <v>0</v>
      </c>
      <c r="I9" s="26"/>
      <c r="J9" s="26">
        <f>SUBTOTAL(9,J10:J167)</f>
        <v>6370625675.1176481</v>
      </c>
      <c r="K9" s="26">
        <f>SUBTOTAL(9,K10:K167)</f>
        <v>7021775274.6288748</v>
      </c>
      <c r="L9" s="26"/>
      <c r="M9" s="103"/>
    </row>
    <row r="10" spans="1:13" s="3" customFormat="1" ht="25.5" customHeight="1">
      <c r="A10" s="22" t="str">
        <f>$A$9&amp;".C"</f>
        <v>11A.C</v>
      </c>
      <c r="B10" s="23" t="s">
        <v>1</v>
      </c>
      <c r="C10" s="23" t="s">
        <v>515</v>
      </c>
      <c r="D10" s="22"/>
      <c r="E10" s="25"/>
      <c r="F10" s="25"/>
      <c r="G10" s="25">
        <f>_xlfn.XLOOKUP(B10, Rate_Master!$A:$A, Rate_Master!$C:$C, "")</f>
        <v>0</v>
      </c>
      <c r="H10" s="25">
        <f>_xlfn.XLOOKUP(B10, Rate_Master!$A:$A, Rate_Master!$D:$D, "")</f>
        <v>0</v>
      </c>
      <c r="I10" s="26"/>
      <c r="J10" s="26"/>
      <c r="K10" s="89"/>
      <c r="L10" s="26"/>
    </row>
    <row r="11" spans="1:13" s="3" customFormat="1" ht="25.5" customHeight="1">
      <c r="A11" s="22" t="str">
        <f>$A$10&amp;1</f>
        <v>11A.C1</v>
      </c>
      <c r="B11" s="23" t="s">
        <v>2</v>
      </c>
      <c r="C11" s="23" t="s">
        <v>515</v>
      </c>
      <c r="D11" s="22"/>
      <c r="E11" s="25"/>
      <c r="F11" s="25"/>
      <c r="G11" s="25">
        <f>_xlfn.XLOOKUP(B11, Rate_Master!$A:$A, Rate_Master!$C:$C, "")</f>
        <v>0</v>
      </c>
      <c r="H11" s="25">
        <f>_xlfn.XLOOKUP(B11, Rate_Master!$A:$A, Rate_Master!$D:$D, "")</f>
        <v>0</v>
      </c>
      <c r="I11" s="26"/>
      <c r="J11" s="26">
        <f>SUBTOTAL(9,J12:J22)</f>
        <v>680317000</v>
      </c>
      <c r="K11" s="89">
        <f>SUBTOTAL(9,K12:K22)</f>
        <v>680317000</v>
      </c>
      <c r="L11" s="26"/>
    </row>
    <row r="12" spans="1:13" s="4" customFormat="1" ht="25.5" customHeight="1" outlineLevel="1">
      <c r="A12" s="27" t="str">
        <f t="shared" ref="A12:A22" si="0">$A$11&amp;"."&amp;ROW()-ROW($A$11)</f>
        <v>11A.C1.1</v>
      </c>
      <c r="B12" s="28" t="s">
        <v>3</v>
      </c>
      <c r="C12" s="28" t="s">
        <v>515</v>
      </c>
      <c r="D12" s="29" t="s">
        <v>516</v>
      </c>
      <c r="E12" s="31">
        <v>0</v>
      </c>
      <c r="F12" s="31">
        <v>0</v>
      </c>
      <c r="G12" s="31">
        <f>_xlfn.XLOOKUP(B12, Rate_Master!$A:$A, Rate_Master!$C:$C, "")</f>
        <v>0</v>
      </c>
      <c r="H12" s="31">
        <f>_xlfn.XLOOKUP(B12, Rate_Master!$A:$A, Rate_Master!$D:$D, "")</f>
        <v>114999999.99999999</v>
      </c>
      <c r="I12" s="32">
        <v>0</v>
      </c>
      <c r="J12" s="32">
        <f t="shared" ref="J12:J22" si="1">I12*E12</f>
        <v>0</v>
      </c>
      <c r="K12" s="58">
        <f t="shared" ref="K12:K22" si="2">I12*F12</f>
        <v>0</v>
      </c>
      <c r="L12" s="32"/>
    </row>
    <row r="13" spans="1:13" s="4" customFormat="1" ht="25.5" customHeight="1" outlineLevel="1">
      <c r="A13" s="27" t="str">
        <f t="shared" si="0"/>
        <v>11A.C1.2</v>
      </c>
      <c r="B13" s="28" t="s">
        <v>4</v>
      </c>
      <c r="C13" s="28" t="s">
        <v>515</v>
      </c>
      <c r="D13" s="29" t="s">
        <v>517</v>
      </c>
      <c r="E13" s="31">
        <v>0</v>
      </c>
      <c r="F13" s="31">
        <v>0</v>
      </c>
      <c r="G13" s="31">
        <f>_xlfn.XLOOKUP(B13, Rate_Master!$A:$A, Rate_Master!$C:$C, "")</f>
        <v>425499.99999999994</v>
      </c>
      <c r="H13" s="31">
        <f>_xlfn.XLOOKUP(B13, Rate_Master!$A:$A, Rate_Master!$D:$D, "")</f>
        <v>0</v>
      </c>
      <c r="I13" s="32">
        <v>0</v>
      </c>
      <c r="J13" s="32">
        <f t="shared" si="1"/>
        <v>0</v>
      </c>
      <c r="K13" s="58">
        <f t="shared" si="2"/>
        <v>0</v>
      </c>
      <c r="L13" s="32"/>
    </row>
    <row r="14" spans="1:13" s="4" customFormat="1" ht="25.5" customHeight="1" outlineLevel="1">
      <c r="A14" s="27" t="str">
        <f t="shared" si="0"/>
        <v>11A.C1.3</v>
      </c>
      <c r="B14" s="28" t="s">
        <v>5</v>
      </c>
      <c r="C14" s="28" t="s">
        <v>515</v>
      </c>
      <c r="D14" s="29" t="s">
        <v>517</v>
      </c>
      <c r="E14" s="31">
        <v>0</v>
      </c>
      <c r="F14" s="31">
        <v>0</v>
      </c>
      <c r="G14" s="31">
        <f>_xlfn.XLOOKUP(B14, Rate_Master!$A:$A, Rate_Master!$C:$C, "")</f>
        <v>0</v>
      </c>
      <c r="H14" s="31">
        <f>_xlfn.XLOOKUP(B14, Rate_Master!$A:$A, Rate_Master!$D:$D, "")</f>
        <v>69000</v>
      </c>
      <c r="I14" s="32">
        <v>0</v>
      </c>
      <c r="J14" s="32">
        <f t="shared" si="1"/>
        <v>0</v>
      </c>
      <c r="K14" s="58">
        <f t="shared" si="2"/>
        <v>0</v>
      </c>
      <c r="L14" s="32"/>
    </row>
    <row r="15" spans="1:13" s="4" customFormat="1" ht="25.5" customHeight="1" outlineLevel="1">
      <c r="A15" s="27" t="str">
        <f t="shared" si="0"/>
        <v>11A.C1.4</v>
      </c>
      <c r="B15" s="28" t="s">
        <v>6</v>
      </c>
      <c r="C15" s="28" t="s">
        <v>515</v>
      </c>
      <c r="D15" s="29" t="s">
        <v>517</v>
      </c>
      <c r="E15" s="31">
        <v>0</v>
      </c>
      <c r="F15" s="31">
        <v>0</v>
      </c>
      <c r="G15" s="31">
        <f>_xlfn.XLOOKUP(B15, Rate_Master!$A:$A, Rate_Master!$C:$C, "")</f>
        <v>0</v>
      </c>
      <c r="H15" s="31">
        <f>_xlfn.XLOOKUP(B15, Rate_Master!$A:$A, Rate_Master!$D:$D, "")</f>
        <v>57499.999999999993</v>
      </c>
      <c r="I15" s="32">
        <v>0</v>
      </c>
      <c r="J15" s="32">
        <f t="shared" si="1"/>
        <v>0</v>
      </c>
      <c r="K15" s="58">
        <f t="shared" si="2"/>
        <v>0</v>
      </c>
      <c r="L15" s="32"/>
    </row>
    <row r="16" spans="1:13" s="4" customFormat="1" ht="102" customHeight="1" outlineLevel="1">
      <c r="A16" s="27" t="str">
        <f t="shared" si="0"/>
        <v>11A.C1.5</v>
      </c>
      <c r="B16" s="28" t="s">
        <v>7</v>
      </c>
      <c r="C16" s="28" t="s">
        <v>515</v>
      </c>
      <c r="D16" s="29" t="s">
        <v>518</v>
      </c>
      <c r="E16" s="31">
        <v>0</v>
      </c>
      <c r="F16" s="31">
        <v>0</v>
      </c>
      <c r="G16" s="31">
        <f>_xlfn.XLOOKUP(B16, Rate_Master!$A:$A, Rate_Master!$C:$C, "")</f>
        <v>0</v>
      </c>
      <c r="H16" s="31">
        <f>_xlfn.XLOOKUP(B16, Rate_Master!$A:$A, Rate_Master!$D:$D, "")</f>
        <v>13799999.999999998</v>
      </c>
      <c r="I16" s="32">
        <v>0</v>
      </c>
      <c r="J16" s="32">
        <f t="shared" si="1"/>
        <v>0</v>
      </c>
      <c r="K16" s="58">
        <f t="shared" si="2"/>
        <v>0</v>
      </c>
      <c r="L16" s="32"/>
    </row>
    <row r="17" spans="1:12" s="4" customFormat="1" ht="25.5" customHeight="1" outlineLevel="1">
      <c r="A17" s="27" t="str">
        <f t="shared" si="0"/>
        <v>11A.C1.6</v>
      </c>
      <c r="B17" s="28" t="s">
        <v>8</v>
      </c>
      <c r="C17" s="28" t="s">
        <v>515</v>
      </c>
      <c r="D17" s="29" t="s">
        <v>518</v>
      </c>
      <c r="E17" s="31">
        <v>11</v>
      </c>
      <c r="F17" s="31">
        <v>11</v>
      </c>
      <c r="G17" s="31">
        <f>_xlfn.XLOOKUP(B17, Rate_Master!$A:$A, Rate_Master!$C:$C, "")</f>
        <v>0</v>
      </c>
      <c r="H17" s="31">
        <f>_xlfn.XLOOKUP(B17, Rate_Master!$A:$A, Rate_Master!$D:$D, "")</f>
        <v>252999.99999999997</v>
      </c>
      <c r="I17" s="66">
        <f t="shared" ref="I17:I22" si="3">G17+H17</f>
        <v>252999.99999999997</v>
      </c>
      <c r="J17" s="32">
        <f t="shared" si="1"/>
        <v>2782999.9999999995</v>
      </c>
      <c r="K17" s="58">
        <f t="shared" si="2"/>
        <v>2782999.9999999995</v>
      </c>
      <c r="L17" s="32"/>
    </row>
    <row r="18" spans="1:12" s="4" customFormat="1" ht="25.5" customHeight="1" outlineLevel="1">
      <c r="A18" s="27" t="str">
        <f t="shared" si="0"/>
        <v>11A.C1.7</v>
      </c>
      <c r="B18" s="28" t="s">
        <v>9</v>
      </c>
      <c r="C18" s="28" t="s">
        <v>515</v>
      </c>
      <c r="D18" s="29" t="s">
        <v>517</v>
      </c>
      <c r="E18" s="31">
        <v>1210</v>
      </c>
      <c r="F18" s="31">
        <v>1210</v>
      </c>
      <c r="G18" s="31">
        <f>_xlfn.XLOOKUP(B18, Rate_Master!$A:$A, Rate_Master!$C:$C, "")</f>
        <v>402499.99999999994</v>
      </c>
      <c r="H18" s="31">
        <f>_xlfn.XLOOKUP(B18, Rate_Master!$A:$A, Rate_Master!$D:$D, "")</f>
        <v>0</v>
      </c>
      <c r="I18" s="66">
        <f t="shared" si="3"/>
        <v>402499.99999999994</v>
      </c>
      <c r="J18" s="32">
        <f t="shared" si="1"/>
        <v>487024999.99999994</v>
      </c>
      <c r="K18" s="58">
        <f t="shared" si="2"/>
        <v>487024999.99999994</v>
      </c>
      <c r="L18" s="32"/>
    </row>
    <row r="19" spans="1:12" s="4" customFormat="1" ht="25.5" customHeight="1" outlineLevel="1">
      <c r="A19" s="27" t="str">
        <f t="shared" si="0"/>
        <v>11A.C1.8</v>
      </c>
      <c r="B19" s="28" t="s">
        <v>10</v>
      </c>
      <c r="C19" s="28" t="s">
        <v>515</v>
      </c>
      <c r="D19" s="29" t="s">
        <v>518</v>
      </c>
      <c r="E19" s="31">
        <v>55</v>
      </c>
      <c r="F19" s="31">
        <v>55</v>
      </c>
      <c r="G19" s="31">
        <f>_xlfn.XLOOKUP(B19, Rate_Master!$A:$A, Rate_Master!$C:$C, "")</f>
        <v>80500</v>
      </c>
      <c r="H19" s="31">
        <f>_xlfn.XLOOKUP(B19, Rate_Master!$A:$A, Rate_Master!$D:$D, "")</f>
        <v>0</v>
      </c>
      <c r="I19" s="66">
        <f t="shared" si="3"/>
        <v>80500</v>
      </c>
      <c r="J19" s="32">
        <f t="shared" si="1"/>
        <v>4427500</v>
      </c>
      <c r="K19" s="58">
        <f t="shared" si="2"/>
        <v>4427500</v>
      </c>
      <c r="L19" s="32"/>
    </row>
    <row r="20" spans="1:12" s="4" customFormat="1" ht="25.5" customHeight="1" outlineLevel="1">
      <c r="A20" s="27" t="str">
        <f t="shared" si="0"/>
        <v>11A.C1.9</v>
      </c>
      <c r="B20" s="28" t="s">
        <v>11</v>
      </c>
      <c r="C20" s="28" t="s">
        <v>515</v>
      </c>
      <c r="D20" s="29" t="s">
        <v>517</v>
      </c>
      <c r="E20" s="31">
        <v>1166</v>
      </c>
      <c r="F20" s="31">
        <v>1166</v>
      </c>
      <c r="G20" s="31">
        <f>_xlfn.XLOOKUP(B20, Rate_Master!$A:$A, Rate_Master!$C:$C, "")</f>
        <v>0</v>
      </c>
      <c r="H20" s="31">
        <f>_xlfn.XLOOKUP(B20, Rate_Master!$A:$A, Rate_Master!$D:$D, "")</f>
        <v>69000</v>
      </c>
      <c r="I20" s="66">
        <f t="shared" si="3"/>
        <v>69000</v>
      </c>
      <c r="J20" s="32">
        <f t="shared" si="1"/>
        <v>80454000</v>
      </c>
      <c r="K20" s="58">
        <f t="shared" si="2"/>
        <v>80454000</v>
      </c>
      <c r="L20" s="32"/>
    </row>
    <row r="21" spans="1:12" s="4" customFormat="1" ht="25.5" customHeight="1" outlineLevel="1">
      <c r="A21" s="27" t="str">
        <f t="shared" si="0"/>
        <v>11A.C1.10</v>
      </c>
      <c r="B21" s="28" t="s">
        <v>12</v>
      </c>
      <c r="C21" s="28" t="s">
        <v>515</v>
      </c>
      <c r="D21" s="29" t="s">
        <v>517</v>
      </c>
      <c r="E21" s="31">
        <v>1221</v>
      </c>
      <c r="F21" s="31">
        <v>1221</v>
      </c>
      <c r="G21" s="31">
        <f>_xlfn.XLOOKUP(B21, Rate_Master!$A:$A, Rate_Master!$C:$C, "")</f>
        <v>0</v>
      </c>
      <c r="H21" s="31">
        <f>_xlfn.XLOOKUP(B21, Rate_Master!$A:$A, Rate_Master!$D:$D, "")</f>
        <v>57499.999999999993</v>
      </c>
      <c r="I21" s="66">
        <f t="shared" si="3"/>
        <v>57499.999999999993</v>
      </c>
      <c r="J21" s="32">
        <f t="shared" si="1"/>
        <v>70207499.999999985</v>
      </c>
      <c r="K21" s="58">
        <f t="shared" si="2"/>
        <v>70207499.999999985</v>
      </c>
      <c r="L21" s="32"/>
    </row>
    <row r="22" spans="1:12" s="4" customFormat="1" ht="63.75" customHeight="1" outlineLevel="1">
      <c r="A22" s="27" t="str">
        <f t="shared" si="0"/>
        <v>11A.C1.11</v>
      </c>
      <c r="B22" s="28" t="s">
        <v>13</v>
      </c>
      <c r="C22" s="28" t="s">
        <v>515</v>
      </c>
      <c r="D22" s="29" t="s">
        <v>518</v>
      </c>
      <c r="E22" s="31">
        <v>55</v>
      </c>
      <c r="F22" s="31">
        <v>55</v>
      </c>
      <c r="G22" s="31">
        <f>_xlfn.XLOOKUP(B22, Rate_Master!$A:$A, Rate_Master!$C:$C, "")</f>
        <v>482999.99999999994</v>
      </c>
      <c r="H22" s="31">
        <f>_xlfn.XLOOKUP(B22, Rate_Master!$A:$A, Rate_Master!$D:$D, "")</f>
        <v>161000</v>
      </c>
      <c r="I22" s="66">
        <f t="shared" si="3"/>
        <v>644000</v>
      </c>
      <c r="J22" s="32">
        <f t="shared" si="1"/>
        <v>35420000</v>
      </c>
      <c r="K22" s="58">
        <f t="shared" si="2"/>
        <v>35420000</v>
      </c>
      <c r="L22" s="32"/>
    </row>
    <row r="23" spans="1:12" s="3" customFormat="1" ht="25.5" customHeight="1">
      <c r="A23" s="22" t="str">
        <f>$A$10&amp;2</f>
        <v>11A.C2</v>
      </c>
      <c r="B23" s="23" t="s">
        <v>14</v>
      </c>
      <c r="C23" s="23" t="s">
        <v>515</v>
      </c>
      <c r="D23" s="22"/>
      <c r="E23" s="25"/>
      <c r="F23" s="25"/>
      <c r="G23" s="25">
        <f>_xlfn.XLOOKUP(B23, Rate_Master!$A:$A, Rate_Master!$C:$C, "")</f>
        <v>0</v>
      </c>
      <c r="H23" s="25">
        <f>_xlfn.XLOOKUP(B23, Rate_Master!$A:$A, Rate_Master!$D:$D, "")</f>
        <v>0</v>
      </c>
      <c r="I23" s="26"/>
      <c r="J23" s="26">
        <f>SUBTOTAL(9,J24:J31)</f>
        <v>174037628.19999999</v>
      </c>
      <c r="K23" s="89">
        <f>SUBTOTAL(9,K24:K31)</f>
        <v>174037628.19999999</v>
      </c>
      <c r="L23" s="26"/>
    </row>
    <row r="24" spans="1:12" s="4" customFormat="1" ht="25.5" hidden="1" customHeight="1" outlineLevel="1">
      <c r="A24" s="27" t="str">
        <f t="shared" ref="A24:A31" si="4">$A$23&amp;"."&amp;ROW()-ROW($A$23)</f>
        <v>11A.C2.1</v>
      </c>
      <c r="B24" s="28" t="s">
        <v>15</v>
      </c>
      <c r="C24" s="28" t="s">
        <v>515</v>
      </c>
      <c r="D24" s="29" t="s">
        <v>519</v>
      </c>
      <c r="E24" s="31">
        <v>121.18</v>
      </c>
      <c r="F24" s="31">
        <v>121.18</v>
      </c>
      <c r="G24" s="31">
        <f>_xlfn.XLOOKUP(B24, Rate_Master!$A:$A, Rate_Master!$C:$C, "")</f>
        <v>0</v>
      </c>
      <c r="H24" s="31">
        <f>_xlfn.XLOOKUP(B24, Rate_Master!$A:$A, Rate_Master!$D:$D, "")</f>
        <v>32199.999999999996</v>
      </c>
      <c r="I24" s="66">
        <f t="shared" ref="I24:I31" si="5">G24+H24</f>
        <v>32199.999999999996</v>
      </c>
      <c r="J24" s="32">
        <f t="shared" ref="J24:J31" si="6">I24*E24</f>
        <v>3901996</v>
      </c>
      <c r="K24" s="58">
        <f t="shared" ref="K24:K31" si="7">I24*F24</f>
        <v>3901996</v>
      </c>
      <c r="L24" s="32"/>
    </row>
    <row r="25" spans="1:12" s="4" customFormat="1" ht="25.5" hidden="1" customHeight="1" outlineLevel="1">
      <c r="A25" s="27" t="str">
        <f t="shared" si="4"/>
        <v>11A.C2.2</v>
      </c>
      <c r="B25" s="28" t="s">
        <v>16</v>
      </c>
      <c r="C25" s="28" t="s">
        <v>515</v>
      </c>
      <c r="D25" s="29" t="s">
        <v>520</v>
      </c>
      <c r="E25" s="31">
        <v>197.136</v>
      </c>
      <c r="F25" s="31">
        <v>197.136</v>
      </c>
      <c r="G25" s="31">
        <f>_xlfn.XLOOKUP(B25, Rate_Master!$A:$A, Rate_Master!$C:$C, "")</f>
        <v>0</v>
      </c>
      <c r="H25" s="31">
        <f>_xlfn.XLOOKUP(B25, Rate_Master!$A:$A, Rate_Master!$D:$D, "")</f>
        <v>17250</v>
      </c>
      <c r="I25" s="66">
        <f t="shared" si="5"/>
        <v>17250</v>
      </c>
      <c r="J25" s="32">
        <f t="shared" si="6"/>
        <v>3400596</v>
      </c>
      <c r="K25" s="58">
        <f t="shared" si="7"/>
        <v>3400596</v>
      </c>
      <c r="L25" s="32"/>
    </row>
    <row r="26" spans="1:12" s="4" customFormat="1" ht="25.5" hidden="1" customHeight="1" outlineLevel="1">
      <c r="A26" s="27" t="str">
        <f t="shared" si="4"/>
        <v>11A.C2.3</v>
      </c>
      <c r="B26" s="28" t="s">
        <v>17</v>
      </c>
      <c r="C26" s="28" t="s">
        <v>515</v>
      </c>
      <c r="D26" s="29" t="s">
        <v>519</v>
      </c>
      <c r="E26" s="31">
        <v>83.212000000000003</v>
      </c>
      <c r="F26" s="31">
        <v>83.212000000000003</v>
      </c>
      <c r="G26" s="31">
        <f>_xlfn.XLOOKUP(B26, Rate_Master!$A:$A, Rate_Master!$C:$C, "")</f>
        <v>0</v>
      </c>
      <c r="H26" s="31">
        <f>_xlfn.XLOOKUP(B26, Rate_Master!$A:$A, Rate_Master!$D:$D, "")</f>
        <v>37950</v>
      </c>
      <c r="I26" s="66">
        <f t="shared" si="5"/>
        <v>37950</v>
      </c>
      <c r="J26" s="32">
        <f t="shared" si="6"/>
        <v>3157895.4</v>
      </c>
      <c r="K26" s="58">
        <f t="shared" si="7"/>
        <v>3157895.4</v>
      </c>
      <c r="L26" s="32"/>
    </row>
    <row r="27" spans="1:12" s="4" customFormat="1" ht="25.5" hidden="1" customHeight="1" outlineLevel="1">
      <c r="A27" s="27" t="str">
        <f t="shared" si="4"/>
        <v>11A.C2.4</v>
      </c>
      <c r="B27" s="34" t="s">
        <v>18</v>
      </c>
      <c r="C27" s="34" t="s">
        <v>521</v>
      </c>
      <c r="D27" s="29" t="s">
        <v>519</v>
      </c>
      <c r="E27" s="31">
        <v>37.968000000000004</v>
      </c>
      <c r="F27" s="31">
        <v>37.968000000000004</v>
      </c>
      <c r="G27" s="31">
        <f>_xlfn.XLOOKUP(B27, Rate_Master!$A:$A, Rate_Master!$C:$C, "")</f>
        <v>0</v>
      </c>
      <c r="H27" s="31">
        <f>_xlfn.XLOOKUP(B27, Rate_Master!$A:$A, Rate_Master!$D:$D, "")</f>
        <v>32199.999999999996</v>
      </c>
      <c r="I27" s="66">
        <f t="shared" si="5"/>
        <v>32199.999999999996</v>
      </c>
      <c r="J27" s="32">
        <f t="shared" si="6"/>
        <v>1222569.5999999999</v>
      </c>
      <c r="K27" s="58">
        <f t="shared" si="7"/>
        <v>1222569.5999999999</v>
      </c>
      <c r="L27" s="32"/>
    </row>
    <row r="28" spans="1:12" s="4" customFormat="1" ht="25.5" hidden="1" customHeight="1" outlineLevel="1">
      <c r="A28" s="27" t="str">
        <f t="shared" si="4"/>
        <v>11A.C2.5</v>
      </c>
      <c r="B28" s="28" t="s">
        <v>19</v>
      </c>
      <c r="C28" s="28" t="s">
        <v>515</v>
      </c>
      <c r="D28" s="29" t="s">
        <v>520</v>
      </c>
      <c r="E28" s="31">
        <v>197.136</v>
      </c>
      <c r="F28" s="31">
        <v>197.136</v>
      </c>
      <c r="G28" s="31">
        <f>_xlfn.XLOOKUP(B28, Rate_Master!$A:$A, Rate_Master!$C:$C, "")</f>
        <v>6899.9999999999991</v>
      </c>
      <c r="H28" s="31">
        <f>_xlfn.XLOOKUP(B28, Rate_Master!$A:$A, Rate_Master!$D:$D, "")</f>
        <v>1724.9999999999998</v>
      </c>
      <c r="I28" s="66">
        <f t="shared" si="5"/>
        <v>8624.9999999999982</v>
      </c>
      <c r="J28" s="32">
        <f t="shared" si="6"/>
        <v>1700297.9999999995</v>
      </c>
      <c r="K28" s="58">
        <f t="shared" si="7"/>
        <v>1700297.9999999995</v>
      </c>
      <c r="L28" s="32"/>
    </row>
    <row r="29" spans="1:12" s="4" customFormat="1" ht="38.25" hidden="1" customHeight="1" outlineLevel="1">
      <c r="A29" s="27" t="str">
        <f t="shared" si="4"/>
        <v>11A.C2.6</v>
      </c>
      <c r="B29" s="28" t="s">
        <v>20</v>
      </c>
      <c r="C29" s="28" t="s">
        <v>515</v>
      </c>
      <c r="D29" s="29" t="s">
        <v>520</v>
      </c>
      <c r="E29" s="31">
        <v>702.12599999999998</v>
      </c>
      <c r="F29" s="31">
        <v>702.12599999999998</v>
      </c>
      <c r="G29" s="31">
        <f>_xlfn.XLOOKUP(B29, Rate_Master!$A:$A, Rate_Master!$C:$C, "")</f>
        <v>34500</v>
      </c>
      <c r="H29" s="31">
        <f>_xlfn.XLOOKUP(B29, Rate_Master!$A:$A, Rate_Master!$D:$D, "")</f>
        <v>5750</v>
      </c>
      <c r="I29" s="66">
        <f t="shared" si="5"/>
        <v>40250</v>
      </c>
      <c r="J29" s="32">
        <f t="shared" si="6"/>
        <v>28260571.5</v>
      </c>
      <c r="K29" s="58">
        <f t="shared" si="7"/>
        <v>28260571.5</v>
      </c>
      <c r="L29" s="32"/>
    </row>
    <row r="30" spans="1:12" s="4" customFormat="1" ht="25.5" hidden="1" customHeight="1" outlineLevel="1">
      <c r="A30" s="27" t="str">
        <f t="shared" si="4"/>
        <v>11A.C2.7</v>
      </c>
      <c r="B30" s="34" t="s">
        <v>21</v>
      </c>
      <c r="C30" s="28" t="s">
        <v>515</v>
      </c>
      <c r="D30" s="29" t="s">
        <v>520</v>
      </c>
      <c r="E30" s="31">
        <v>702.12599999999998</v>
      </c>
      <c r="F30" s="31">
        <v>702.12599999999998</v>
      </c>
      <c r="G30" s="31">
        <f>_xlfn.XLOOKUP(B30, Rate_Master!$A:$A, Rate_Master!$C:$C, "")</f>
        <v>0</v>
      </c>
      <c r="H30" s="31">
        <f>_xlfn.XLOOKUP(B30, Rate_Master!$A:$A, Rate_Master!$D:$D, "")</f>
        <v>13799.999999999998</v>
      </c>
      <c r="I30" s="32">
        <f t="shared" si="5"/>
        <v>13799.999999999998</v>
      </c>
      <c r="J30" s="32">
        <f t="shared" si="6"/>
        <v>9689338.7999999989</v>
      </c>
      <c r="K30" s="58">
        <f t="shared" si="7"/>
        <v>9689338.7999999989</v>
      </c>
      <c r="L30" s="32"/>
    </row>
    <row r="31" spans="1:12" s="4" customFormat="1" ht="25.5" hidden="1" customHeight="1" outlineLevel="1">
      <c r="A31" s="27" t="str">
        <f t="shared" si="4"/>
        <v>11A.C2.8</v>
      </c>
      <c r="B31" s="28" t="s">
        <v>22</v>
      </c>
      <c r="C31" s="28" t="s">
        <v>515</v>
      </c>
      <c r="D31" s="29" t="s">
        <v>519</v>
      </c>
      <c r="E31" s="31">
        <v>199.25200000000001</v>
      </c>
      <c r="F31" s="31">
        <v>199.25200000000001</v>
      </c>
      <c r="G31" s="31">
        <f>_xlfn.XLOOKUP(B31, Rate_Master!$A:$A, Rate_Master!$C:$C, "")</f>
        <v>512325</v>
      </c>
      <c r="H31" s="31">
        <f>_xlfn.XLOOKUP(B31, Rate_Master!$A:$A, Rate_Master!$D:$D, "")</f>
        <v>103499.99999999999</v>
      </c>
      <c r="I31" s="66">
        <f t="shared" si="5"/>
        <v>615825</v>
      </c>
      <c r="J31" s="32">
        <f t="shared" si="6"/>
        <v>122704362.90000001</v>
      </c>
      <c r="K31" s="58">
        <f t="shared" si="7"/>
        <v>122704362.90000001</v>
      </c>
      <c r="L31" s="32"/>
    </row>
    <row r="32" spans="1:12" s="3" customFormat="1" ht="25.5" customHeight="1" collapsed="1">
      <c r="A32" s="22" t="str">
        <f>$A$10&amp;3</f>
        <v>11A.C3</v>
      </c>
      <c r="B32" s="23" t="s">
        <v>23</v>
      </c>
      <c r="C32" s="23" t="s">
        <v>515</v>
      </c>
      <c r="D32" s="22"/>
      <c r="E32" s="25"/>
      <c r="F32" s="25"/>
      <c r="G32" s="25">
        <f>_xlfn.XLOOKUP(B32, Rate_Master!$A:$A, Rate_Master!$C:$C, "")</f>
        <v>0</v>
      </c>
      <c r="H32" s="25">
        <f>_xlfn.XLOOKUP(B32, Rate_Master!$A:$A, Rate_Master!$D:$D, "")</f>
        <v>0</v>
      </c>
      <c r="I32" s="26"/>
      <c r="J32" s="26">
        <f>SUBTOTAL(9,J33:J39)</f>
        <v>581939178.51944435</v>
      </c>
      <c r="K32" s="89">
        <f>SUBTOTAL(9,K33:K39)</f>
        <v>581939178.51944435</v>
      </c>
      <c r="L32" s="26"/>
    </row>
    <row r="33" spans="1:12" s="4" customFormat="1" ht="25.5" hidden="1" customHeight="1" outlineLevel="1">
      <c r="A33" s="27" t="str">
        <f t="shared" ref="A33:A39" si="8">$A$32&amp;"."&amp;ROW()-ROW($A$32)</f>
        <v>11A.C3.1</v>
      </c>
      <c r="B33" s="28" t="s">
        <v>24</v>
      </c>
      <c r="C33" s="28" t="s">
        <v>515</v>
      </c>
      <c r="D33" s="29" t="s">
        <v>519</v>
      </c>
      <c r="E33" s="31">
        <v>19.713999999999999</v>
      </c>
      <c r="F33" s="31">
        <v>19.713999999999999</v>
      </c>
      <c r="G33" s="30">
        <f>_xlfn.XLOOKUP(B33, Rate_Master!$A:$A, Rate_Master!$C:$C, "")</f>
        <v>1249762.5</v>
      </c>
      <c r="H33" s="30">
        <f>_xlfn.XLOOKUP(B33, Rate_Master!$A:$A, Rate_Master!$D:$D, "")</f>
        <v>206999.99999999997</v>
      </c>
      <c r="I33" s="66">
        <f>G33+H33</f>
        <v>1456762.5</v>
      </c>
      <c r="J33" s="32">
        <f t="shared" ref="J33:J39" si="9">I33*E33</f>
        <v>28718615.924999997</v>
      </c>
      <c r="K33" s="58">
        <f t="shared" ref="K33:K39" si="10">I33*F33</f>
        <v>28718615.924999997</v>
      </c>
      <c r="L33" s="32"/>
    </row>
    <row r="34" spans="1:12" s="4" customFormat="1" ht="51" hidden="1" customHeight="1" outlineLevel="1">
      <c r="A34" s="27" t="str">
        <f t="shared" si="8"/>
        <v>11A.C3.2</v>
      </c>
      <c r="B34" s="28" t="s">
        <v>25</v>
      </c>
      <c r="C34" s="28" t="s">
        <v>515</v>
      </c>
      <c r="D34" s="29" t="s">
        <v>519</v>
      </c>
      <c r="E34" s="31">
        <v>93.233000000000004</v>
      </c>
      <c r="F34" s="31">
        <v>93.233000000000004</v>
      </c>
      <c r="G34" s="30">
        <f>_xlfn.XLOOKUP(B34, Rate_Master!$A:$A, Rate_Master!$C:$C, "")</f>
        <v>1607444.4444444443</v>
      </c>
      <c r="H34" s="30">
        <f>_xlfn.XLOOKUP(B34, Rate_Master!$A:$A, Rate_Master!$D:$D, "")</f>
        <v>149500</v>
      </c>
      <c r="I34" s="66">
        <f>G34+H34</f>
        <v>1756944.4444444443</v>
      </c>
      <c r="J34" s="32">
        <f t="shared" si="9"/>
        <v>163805201.38888887</v>
      </c>
      <c r="K34" s="58">
        <f t="shared" si="10"/>
        <v>163805201.38888887</v>
      </c>
      <c r="L34" s="32"/>
    </row>
    <row r="35" spans="1:12" s="4" customFormat="1" ht="25.5" hidden="1" customHeight="1" outlineLevel="1">
      <c r="A35" s="27" t="str">
        <f t="shared" si="8"/>
        <v>11A.C3.3</v>
      </c>
      <c r="B35" s="28" t="s">
        <v>26</v>
      </c>
      <c r="C35" s="28" t="s">
        <v>515</v>
      </c>
      <c r="D35" s="29" t="s">
        <v>519</v>
      </c>
      <c r="E35" s="31">
        <v>31.98</v>
      </c>
      <c r="F35" s="31">
        <v>31.98</v>
      </c>
      <c r="G35" s="30">
        <f>_xlfn.XLOOKUP(B35, Rate_Master!$A:$A, Rate_Master!$C:$C, "")</f>
        <v>1520555.5555555553</v>
      </c>
      <c r="H35" s="30">
        <f>_xlfn.XLOOKUP(B35, Rate_Master!$A:$A, Rate_Master!$D:$D, "")</f>
        <v>252999.99999999997</v>
      </c>
      <c r="I35" s="66">
        <f>G35+H35</f>
        <v>1773555.5555555553</v>
      </c>
      <c r="J35" s="32">
        <f t="shared" si="9"/>
        <v>56718306.666666657</v>
      </c>
      <c r="K35" s="58">
        <f t="shared" si="10"/>
        <v>56718306.666666657</v>
      </c>
      <c r="L35" s="32"/>
    </row>
    <row r="36" spans="1:12" s="4" customFormat="1" ht="25.5" hidden="1" customHeight="1" outlineLevel="1">
      <c r="A36" s="27" t="str">
        <f t="shared" si="8"/>
        <v>11A.C3.4</v>
      </c>
      <c r="B36" s="28" t="s">
        <v>27</v>
      </c>
      <c r="C36" s="28" t="s">
        <v>515</v>
      </c>
      <c r="D36" s="29" t="s">
        <v>519</v>
      </c>
      <c r="E36" s="31">
        <v>164.50899999999999</v>
      </c>
      <c r="F36" s="31">
        <v>164.50899999999999</v>
      </c>
      <c r="G36" s="30">
        <f>_xlfn.XLOOKUP(B36, Rate_Master!$A:$A, Rate_Master!$C:$C, "")</f>
        <v>1520555.5555555553</v>
      </c>
      <c r="H36" s="30">
        <f>_xlfn.XLOOKUP(B36, Rate_Master!$A:$A, Rate_Master!$D:$D, "")</f>
        <v>149500</v>
      </c>
      <c r="I36" s="66">
        <f>G36+H36</f>
        <v>1670055.5555555553</v>
      </c>
      <c r="J36" s="32">
        <f t="shared" si="9"/>
        <v>274739169.38888884</v>
      </c>
      <c r="K36" s="58">
        <f t="shared" si="10"/>
        <v>274739169.38888884</v>
      </c>
      <c r="L36" s="32"/>
    </row>
    <row r="37" spans="1:12" s="4" customFormat="1" ht="25.5" hidden="1" customHeight="1" outlineLevel="1">
      <c r="A37" s="27" t="str">
        <f t="shared" si="8"/>
        <v>11A.C3.5</v>
      </c>
      <c r="B37" s="28" t="s">
        <v>28</v>
      </c>
      <c r="C37" s="28" t="s">
        <v>515</v>
      </c>
      <c r="D37" s="29" t="s">
        <v>519</v>
      </c>
      <c r="E37" s="31">
        <v>37.641779999999997</v>
      </c>
      <c r="F37" s="31">
        <v>37.641779999999997</v>
      </c>
      <c r="G37" s="30">
        <f>_xlfn.XLOOKUP(B37, Rate_Master!$A:$A, Rate_Master!$C:$C, "")</f>
        <v>1390222.2222222222</v>
      </c>
      <c r="H37" s="30">
        <f>_xlfn.XLOOKUP(B37, Rate_Master!$A:$A, Rate_Master!$D:$D, "")</f>
        <v>149500</v>
      </c>
      <c r="I37" s="66">
        <f>G37+H37</f>
        <v>1539722.2222222222</v>
      </c>
      <c r="J37" s="32">
        <f t="shared" si="9"/>
        <v>57957885.149999999</v>
      </c>
      <c r="K37" s="58">
        <f t="shared" si="10"/>
        <v>57957885.149999999</v>
      </c>
      <c r="L37" s="32"/>
    </row>
    <row r="38" spans="1:12" s="4" customFormat="1" ht="25.5" hidden="1" customHeight="1" outlineLevel="1">
      <c r="A38" s="27" t="str">
        <f t="shared" si="8"/>
        <v>11A.C3.6</v>
      </c>
      <c r="B38" s="28" t="s">
        <v>29</v>
      </c>
      <c r="C38" s="28" t="s">
        <v>515</v>
      </c>
      <c r="D38" s="29" t="s">
        <v>519</v>
      </c>
      <c r="E38" s="31">
        <v>0</v>
      </c>
      <c r="F38" s="31">
        <v>0</v>
      </c>
      <c r="G38" s="30">
        <f>_xlfn.XLOOKUP(B38, Rate_Master!$A:$A, Rate_Master!$C:$C, "")</f>
        <v>1390222.2222222222</v>
      </c>
      <c r="H38" s="30">
        <f>_xlfn.XLOOKUP(B38, Rate_Master!$A:$A, Rate_Master!$D:$D, "")</f>
        <v>149500</v>
      </c>
      <c r="I38" s="32">
        <v>0</v>
      </c>
      <c r="J38" s="32">
        <f t="shared" si="9"/>
        <v>0</v>
      </c>
      <c r="K38" s="58">
        <f t="shared" si="10"/>
        <v>0</v>
      </c>
      <c r="L38" s="32"/>
    </row>
    <row r="39" spans="1:12" s="4" customFormat="1" ht="38.25" hidden="1" customHeight="1" outlineLevel="1">
      <c r="A39" s="27" t="str">
        <f t="shared" si="8"/>
        <v>11A.C3.7</v>
      </c>
      <c r="B39" s="28" t="s">
        <v>30</v>
      </c>
      <c r="C39" s="28" t="s">
        <v>515</v>
      </c>
      <c r="D39" s="29" t="s">
        <v>519</v>
      </c>
      <c r="E39" s="31">
        <v>0</v>
      </c>
      <c r="F39" s="31">
        <v>0</v>
      </c>
      <c r="G39" s="30">
        <f>_xlfn.XLOOKUP(B39, Rate_Master!$A:$A, Rate_Master!$C:$C, "")</f>
        <v>22425000</v>
      </c>
      <c r="H39" s="30">
        <f>_xlfn.XLOOKUP(B39, Rate_Master!$A:$A, Rate_Master!$D:$D, "")</f>
        <v>8003999.9999999991</v>
      </c>
      <c r="I39" s="32">
        <v>0</v>
      </c>
      <c r="J39" s="32">
        <f t="shared" si="9"/>
        <v>0</v>
      </c>
      <c r="K39" s="58">
        <f t="shared" si="10"/>
        <v>0</v>
      </c>
      <c r="L39" s="32"/>
    </row>
    <row r="40" spans="1:12" s="3" customFormat="1" ht="25.5" customHeight="1" collapsed="1">
      <c r="A40" s="22" t="str">
        <f>$A$10&amp;4</f>
        <v>11A.C4</v>
      </c>
      <c r="B40" s="23" t="s">
        <v>31</v>
      </c>
      <c r="C40" s="23" t="s">
        <v>515</v>
      </c>
      <c r="D40" s="22"/>
      <c r="E40" s="25"/>
      <c r="F40" s="25"/>
      <c r="G40" s="25">
        <f>_xlfn.XLOOKUP(B40, Rate_Master!$A:$A, Rate_Master!$C:$C, "")</f>
        <v>0</v>
      </c>
      <c r="H40" s="25">
        <f>_xlfn.XLOOKUP(B40, Rate_Master!$A:$A, Rate_Master!$D:$D, "")</f>
        <v>0</v>
      </c>
      <c r="I40" s="26"/>
      <c r="J40" s="26">
        <f>SUBTOTAL(9,J41:J45)</f>
        <v>434877065.49999988</v>
      </c>
      <c r="K40" s="89">
        <f>SUBTOTAL(9,K41:K45)</f>
        <v>434877065.49999988</v>
      </c>
      <c r="L40" s="26"/>
    </row>
    <row r="41" spans="1:12" s="4" customFormat="1" ht="25.5" hidden="1" customHeight="1" outlineLevel="1">
      <c r="A41" s="27" t="str">
        <f>$A$40&amp;"."&amp;ROW()-ROW($A$40)</f>
        <v>11A.C4.1</v>
      </c>
      <c r="B41" s="28" t="s">
        <v>32</v>
      </c>
      <c r="C41" s="28" t="s">
        <v>515</v>
      </c>
      <c r="D41" s="29" t="s">
        <v>520</v>
      </c>
      <c r="E41" s="31">
        <v>71.704999999999998</v>
      </c>
      <c r="F41" s="31">
        <v>71.704999999999998</v>
      </c>
      <c r="G41" s="30">
        <f>_xlfn.XLOOKUP(B41, Rate_Master!$A:$A, Rate_Master!$C:$C, "")</f>
        <v>80500</v>
      </c>
      <c r="H41" s="30">
        <f>_xlfn.XLOOKUP(B41, Rate_Master!$A:$A, Rate_Master!$D:$D, "")</f>
        <v>92000</v>
      </c>
      <c r="I41" s="66">
        <f>G41+H41</f>
        <v>172500</v>
      </c>
      <c r="J41" s="32">
        <f>I41*E41</f>
        <v>12369112.5</v>
      </c>
      <c r="K41" s="58">
        <f>I41*F41</f>
        <v>12369112.5</v>
      </c>
      <c r="L41" s="32"/>
    </row>
    <row r="42" spans="1:12" s="4" customFormat="1" ht="38.25" hidden="1" customHeight="1" outlineLevel="1">
      <c r="A42" s="27" t="str">
        <f>$A$40&amp;"."&amp;ROW()-ROW($A$40)</f>
        <v>11A.C4.2</v>
      </c>
      <c r="B42" s="28" t="s">
        <v>33</v>
      </c>
      <c r="C42" s="28" t="s">
        <v>515</v>
      </c>
      <c r="D42" s="29" t="s">
        <v>520</v>
      </c>
      <c r="E42" s="31">
        <v>319.73599999999999</v>
      </c>
      <c r="F42" s="31">
        <v>319.73599999999999</v>
      </c>
      <c r="G42" s="30">
        <f>_xlfn.XLOOKUP(B42, Rate_Master!$A:$A, Rate_Master!$C:$C, "")</f>
        <v>126499.99999999999</v>
      </c>
      <c r="H42" s="30">
        <f>_xlfn.XLOOKUP(B42, Rate_Master!$A:$A, Rate_Master!$D:$D, "")</f>
        <v>103499.99999999999</v>
      </c>
      <c r="I42" s="66">
        <f>G42+H42</f>
        <v>229999.99999999997</v>
      </c>
      <c r="J42" s="32">
        <f>I42*E42</f>
        <v>73539279.999999985</v>
      </c>
      <c r="K42" s="58">
        <f>I42*F42</f>
        <v>73539279.999999985</v>
      </c>
      <c r="L42" s="32"/>
    </row>
    <row r="43" spans="1:12" s="4" customFormat="1" ht="25.5" hidden="1" customHeight="1" outlineLevel="1">
      <c r="A43" s="27" t="str">
        <f>$A$40&amp;"."&amp;ROW()-ROW($A$40)</f>
        <v>11A.C4.3</v>
      </c>
      <c r="B43" s="28" t="s">
        <v>34</v>
      </c>
      <c r="C43" s="28" t="s">
        <v>515</v>
      </c>
      <c r="D43" s="29" t="s">
        <v>520</v>
      </c>
      <c r="E43" s="31">
        <v>323.27999999999997</v>
      </c>
      <c r="F43" s="31">
        <v>323.27999999999997</v>
      </c>
      <c r="G43" s="30">
        <f>_xlfn.XLOOKUP(B43, Rate_Master!$A:$A, Rate_Master!$C:$C, "")</f>
        <v>126499.99999999999</v>
      </c>
      <c r="H43" s="30">
        <f>_xlfn.XLOOKUP(B43, Rate_Master!$A:$A, Rate_Master!$D:$D, "")</f>
        <v>149500</v>
      </c>
      <c r="I43" s="66">
        <f>G43+H43</f>
        <v>276000</v>
      </c>
      <c r="J43" s="32">
        <f>I43*E43</f>
        <v>89225279.999999985</v>
      </c>
      <c r="K43" s="58">
        <f>I43*F43</f>
        <v>89225279.999999985</v>
      </c>
      <c r="L43" s="32"/>
    </row>
    <row r="44" spans="1:12" s="4" customFormat="1" ht="25.5" hidden="1" customHeight="1" outlineLevel="1">
      <c r="A44" s="27" t="str">
        <f>$A$40&amp;"."&amp;ROW()-ROW($A$40)</f>
        <v>11A.C4.4</v>
      </c>
      <c r="B44" s="28" t="s">
        <v>35</v>
      </c>
      <c r="C44" s="28" t="s">
        <v>515</v>
      </c>
      <c r="D44" s="29" t="s">
        <v>520</v>
      </c>
      <c r="E44" s="31">
        <v>1075.5419999999999</v>
      </c>
      <c r="F44" s="31">
        <v>1075.5419999999999</v>
      </c>
      <c r="G44" s="30">
        <f>_xlfn.XLOOKUP(B44, Rate_Master!$A:$A, Rate_Master!$C:$C, "")</f>
        <v>126499.99999999999</v>
      </c>
      <c r="H44" s="30">
        <f>_xlfn.XLOOKUP(B44, Rate_Master!$A:$A, Rate_Master!$D:$D, "")</f>
        <v>114999.99999999999</v>
      </c>
      <c r="I44" s="66">
        <f>G44+H44</f>
        <v>241499.99999999997</v>
      </c>
      <c r="J44" s="32">
        <f>I44*E44</f>
        <v>259743392.99999994</v>
      </c>
      <c r="K44" s="58">
        <f>I44*F44</f>
        <v>259743392.99999994</v>
      </c>
      <c r="L44" s="32"/>
    </row>
    <row r="45" spans="1:12" s="4" customFormat="1" ht="25.5" hidden="1" customHeight="1" outlineLevel="1">
      <c r="A45" s="27" t="str">
        <f>$A$40&amp;"."&amp;ROW()-ROW($A$40)</f>
        <v>11A.C4.5</v>
      </c>
      <c r="B45" s="28" t="s">
        <v>36</v>
      </c>
      <c r="C45" s="28" t="s">
        <v>515</v>
      </c>
      <c r="D45" s="29" t="s">
        <v>520</v>
      </c>
      <c r="E45" s="31">
        <v>0</v>
      </c>
      <c r="F45" s="31">
        <v>0</v>
      </c>
      <c r="G45" s="30">
        <f>_xlfn.XLOOKUP(B45, Rate_Master!$A:$A, Rate_Master!$C:$C, "")</f>
        <v>126499.99999999999</v>
      </c>
      <c r="H45" s="30">
        <f>_xlfn.XLOOKUP(B45, Rate_Master!$A:$A, Rate_Master!$D:$D, "")</f>
        <v>97749.999999999985</v>
      </c>
      <c r="I45" s="32">
        <v>0</v>
      </c>
      <c r="J45" s="32">
        <f>I45*E45</f>
        <v>0</v>
      </c>
      <c r="K45" s="58">
        <f>I45*F45</f>
        <v>0</v>
      </c>
      <c r="L45" s="32"/>
    </row>
    <row r="46" spans="1:12" s="3" customFormat="1" ht="25.5" customHeight="1" collapsed="1">
      <c r="A46" s="22" t="str">
        <f>$A$10&amp;5</f>
        <v>11A.C5</v>
      </c>
      <c r="B46" s="23" t="s">
        <v>37</v>
      </c>
      <c r="C46" s="23" t="s">
        <v>515</v>
      </c>
      <c r="D46" s="22"/>
      <c r="E46" s="25"/>
      <c r="F46" s="25"/>
      <c r="G46" s="25">
        <f>_xlfn.XLOOKUP(B46, Rate_Master!$A:$A, Rate_Master!$C:$C, "")</f>
        <v>0</v>
      </c>
      <c r="H46" s="25">
        <f>_xlfn.XLOOKUP(B46, Rate_Master!$A:$A, Rate_Master!$D:$D, "")</f>
        <v>0</v>
      </c>
      <c r="I46" s="26"/>
      <c r="J46" s="26">
        <f>SUBTOTAL(9,J47:J51)</f>
        <v>1379380446.866358</v>
      </c>
      <c r="K46" s="89">
        <f>SUBTOTAL(9,K47:K51)</f>
        <v>1379380446.866358</v>
      </c>
      <c r="L46" s="26"/>
    </row>
    <row r="47" spans="1:12" s="4" customFormat="1" ht="38.25" hidden="1" customHeight="1" outlineLevel="1">
      <c r="A47" s="27" t="str">
        <f>$A$46&amp;"."&amp;ROW()-ROW($A$46)</f>
        <v>11A.C5.1</v>
      </c>
      <c r="B47" s="28" t="s">
        <v>38</v>
      </c>
      <c r="C47" s="28" t="s">
        <v>522</v>
      </c>
      <c r="D47" s="29" t="s">
        <v>523</v>
      </c>
      <c r="E47" s="31">
        <v>30705.949074074098</v>
      </c>
      <c r="F47" s="31">
        <v>30705.949074074098</v>
      </c>
      <c r="G47" s="30">
        <f>_xlfn.XLOOKUP(B47, Rate_Master!$A:$A, Rate_Master!$C:$C, "")</f>
        <v>16770.564999999999</v>
      </c>
      <c r="H47" s="30">
        <f>_xlfn.XLOOKUP(B47, Rate_Master!$A:$A, Rate_Master!$D:$D, "")</f>
        <v>2875</v>
      </c>
      <c r="I47" s="66">
        <f>G47+H47</f>
        <v>19645.564999999999</v>
      </c>
      <c r="J47" s="32">
        <f>I47*E47</f>
        <v>603235718.42141247</v>
      </c>
      <c r="K47" s="58">
        <f>I47*F47</f>
        <v>603235718.42141247</v>
      </c>
      <c r="L47" s="32"/>
    </row>
    <row r="48" spans="1:12" s="4" customFormat="1" ht="25.5" hidden="1" customHeight="1" outlineLevel="1">
      <c r="A48" s="27" t="str">
        <f>$A$46&amp;"."&amp;ROW()-ROW($A$46)</f>
        <v>11A.C5.2</v>
      </c>
      <c r="B48" s="28" t="s">
        <v>39</v>
      </c>
      <c r="C48" s="28" t="s">
        <v>522</v>
      </c>
      <c r="D48" s="29" t="s">
        <v>523</v>
      </c>
      <c r="E48" s="31">
        <v>9812.9380000000001</v>
      </c>
      <c r="F48" s="31">
        <v>9812.9380000000001</v>
      </c>
      <c r="G48" s="30">
        <f>_xlfn.XLOOKUP(B48, Rate_Master!$A:$A, Rate_Master!$C:$C, "")</f>
        <v>16770.564999999999</v>
      </c>
      <c r="H48" s="30">
        <f>_xlfn.XLOOKUP(B48, Rate_Master!$A:$A, Rate_Master!$D:$D, "")</f>
        <v>3679.9999999999995</v>
      </c>
      <c r="I48" s="66">
        <f>G48+H48</f>
        <v>20450.564999999999</v>
      </c>
      <c r="J48" s="32">
        <f>I48*E48</f>
        <v>200680126.40996999</v>
      </c>
      <c r="K48" s="58">
        <f>I48*F48</f>
        <v>200680126.40996999</v>
      </c>
      <c r="L48" s="32"/>
    </row>
    <row r="49" spans="1:16" s="4" customFormat="1" ht="25.5" hidden="1" customHeight="1" outlineLevel="1">
      <c r="A49" s="27" t="str">
        <f>$A$46&amp;"."&amp;ROW()-ROW($A$46)</f>
        <v>11A.C5.3</v>
      </c>
      <c r="B49" s="28" t="s">
        <v>40</v>
      </c>
      <c r="C49" s="28" t="s">
        <v>522</v>
      </c>
      <c r="D49" s="29" t="s">
        <v>523</v>
      </c>
      <c r="E49" s="31">
        <v>22735.681</v>
      </c>
      <c r="F49" s="31">
        <v>22735.681</v>
      </c>
      <c r="G49" s="30">
        <f>_xlfn.XLOOKUP(B49, Rate_Master!$A:$A, Rate_Master!$C:$C, "")</f>
        <v>16770.564999999999</v>
      </c>
      <c r="H49" s="30">
        <f>_xlfn.XLOOKUP(B49, Rate_Master!$A:$A, Rate_Master!$D:$D, "")</f>
        <v>3449.9999999999995</v>
      </c>
      <c r="I49" s="66">
        <f>G49+H49</f>
        <v>20220.564999999999</v>
      </c>
      <c r="J49" s="32">
        <f>I49*E49</f>
        <v>459728315.479765</v>
      </c>
      <c r="K49" s="58">
        <f>I49*F49</f>
        <v>459728315.479765</v>
      </c>
      <c r="L49" s="32"/>
    </row>
    <row r="50" spans="1:16" s="4" customFormat="1" ht="25.5" hidden="1" customHeight="1" outlineLevel="1">
      <c r="A50" s="27" t="str">
        <f>$A$46&amp;"."&amp;ROW()-ROW($A$46)</f>
        <v>11A.C5.4</v>
      </c>
      <c r="B50" s="28" t="s">
        <v>41</v>
      </c>
      <c r="C50" s="28" t="s">
        <v>522</v>
      </c>
      <c r="D50" s="29" t="s">
        <v>523</v>
      </c>
      <c r="E50" s="31">
        <v>4797.4250000000002</v>
      </c>
      <c r="F50" s="31">
        <v>4797.4250000000002</v>
      </c>
      <c r="G50" s="30">
        <f>_xlfn.XLOOKUP(B50, Rate_Master!$A:$A, Rate_Master!$C:$C, "")</f>
        <v>16770.564999999999</v>
      </c>
      <c r="H50" s="30">
        <f>_xlfn.XLOOKUP(B50, Rate_Master!$A:$A, Rate_Master!$D:$D, "")</f>
        <v>3679.9999999999995</v>
      </c>
      <c r="I50" s="66">
        <f>G50+H50</f>
        <v>20450.564999999999</v>
      </c>
      <c r="J50" s="32">
        <f>I50*E50</f>
        <v>98110051.795124993</v>
      </c>
      <c r="K50" s="58">
        <f>I50*F50</f>
        <v>98110051.795124993</v>
      </c>
      <c r="L50" s="32"/>
    </row>
    <row r="51" spans="1:16" s="4" customFormat="1" ht="25.5" hidden="1" customHeight="1" outlineLevel="1">
      <c r="A51" s="27" t="str">
        <f>$A$46&amp;"."&amp;ROW()-ROW($A$46)</f>
        <v>11A.C5.5</v>
      </c>
      <c r="B51" s="28" t="s">
        <v>42</v>
      </c>
      <c r="C51" s="28" t="s">
        <v>524</v>
      </c>
      <c r="D51" s="29" t="s">
        <v>523</v>
      </c>
      <c r="E51" s="31">
        <v>828.11915999999997</v>
      </c>
      <c r="F51" s="31">
        <v>828.11915999999997</v>
      </c>
      <c r="G51" s="30">
        <f>_xlfn.XLOOKUP(B51, Rate_Master!$A:$A, Rate_Master!$C:$C, "")</f>
        <v>17834.66</v>
      </c>
      <c r="H51" s="30">
        <f>_xlfn.XLOOKUP(B51, Rate_Master!$A:$A, Rate_Master!$D:$D, "")</f>
        <v>3449.9999999999995</v>
      </c>
      <c r="I51" s="66">
        <f>G51+H51</f>
        <v>21284.66</v>
      </c>
      <c r="J51" s="32">
        <f>I51*E51</f>
        <v>17626234.760085598</v>
      </c>
      <c r="K51" s="58">
        <f>I51*F51</f>
        <v>17626234.760085598</v>
      </c>
      <c r="L51" s="32"/>
    </row>
    <row r="52" spans="1:16" s="3" customFormat="1" ht="25.5" customHeight="1" collapsed="1">
      <c r="A52" s="22" t="str">
        <f>$A$10&amp;6</f>
        <v>11A.C6</v>
      </c>
      <c r="B52" s="23" t="s">
        <v>43</v>
      </c>
      <c r="C52" s="23" t="s">
        <v>515</v>
      </c>
      <c r="D52" s="22"/>
      <c r="E52" s="25"/>
      <c r="F52" s="25"/>
      <c r="G52" s="25">
        <f>_xlfn.XLOOKUP(B52, Rate_Master!$A:$A, Rate_Master!$C:$C, "")</f>
        <v>0</v>
      </c>
      <c r="H52" s="25">
        <f>_xlfn.XLOOKUP(B52, Rate_Master!$A:$A, Rate_Master!$D:$D, "")</f>
        <v>0</v>
      </c>
      <c r="I52" s="26">
        <v>0</v>
      </c>
      <c r="J52" s="26">
        <f>SUBTOTAL(9,J53:J55)</f>
        <v>60296588.399999999</v>
      </c>
      <c r="K52" s="89">
        <f>SUBTOTAL(9,K53:K55)</f>
        <v>60296588.399999999</v>
      </c>
      <c r="L52" s="26"/>
    </row>
    <row r="53" spans="1:16" s="4" customFormat="1" ht="25.5" hidden="1" customHeight="1" outlineLevel="1">
      <c r="A53" s="27" t="str">
        <f>$A$52&amp;"."&amp;ROW()-ROW($A$52)</f>
        <v>11A.C6.1</v>
      </c>
      <c r="B53" s="28" t="s">
        <v>44</v>
      </c>
      <c r="C53" s="28" t="s">
        <v>515</v>
      </c>
      <c r="D53" s="29" t="s">
        <v>520</v>
      </c>
      <c r="E53" s="31">
        <v>1315.422</v>
      </c>
      <c r="F53" s="31">
        <v>1315.422</v>
      </c>
      <c r="G53" s="30">
        <f>_xlfn.XLOOKUP(B53, Rate_Master!$A:$A, Rate_Master!$C:$C, "")</f>
        <v>14949.999999999998</v>
      </c>
      <c r="H53" s="30">
        <f>_xlfn.XLOOKUP(B53, Rate_Master!$A:$A, Rate_Master!$D:$D, "")</f>
        <v>17250</v>
      </c>
      <c r="I53" s="32">
        <f>G53+H53</f>
        <v>32200</v>
      </c>
      <c r="J53" s="32">
        <f>I53*E53</f>
        <v>42356588.399999999</v>
      </c>
      <c r="K53" s="58">
        <f>I53*F53</f>
        <v>42356588.399999999</v>
      </c>
      <c r="L53" s="32"/>
    </row>
    <row r="54" spans="1:16" s="4" customFormat="1" ht="51" hidden="1" customHeight="1" outlineLevel="1">
      <c r="A54" s="27" t="str">
        <f>$A$52&amp;"."&amp;ROW()-ROW($A$52)</f>
        <v>11A.C6.2</v>
      </c>
      <c r="B54" s="34" t="s">
        <v>45</v>
      </c>
      <c r="C54" s="28" t="s">
        <v>515</v>
      </c>
      <c r="D54" s="29" t="s">
        <v>517</v>
      </c>
      <c r="E54" s="31">
        <v>624</v>
      </c>
      <c r="F54" s="31">
        <v>624</v>
      </c>
      <c r="G54" s="30">
        <f>_xlfn.XLOOKUP(B54, Rate_Master!$A:$A, Rate_Master!$C:$C, "")</f>
        <v>5750</v>
      </c>
      <c r="H54" s="30">
        <f>_xlfn.XLOOKUP(B54, Rate_Master!$A:$A, Rate_Master!$D:$D, "")</f>
        <v>23000</v>
      </c>
      <c r="I54" s="32">
        <f>G54+H54</f>
        <v>28750</v>
      </c>
      <c r="J54" s="32">
        <f>I54*E54</f>
        <v>17940000</v>
      </c>
      <c r="K54" s="58">
        <f>I54*F54</f>
        <v>17940000</v>
      </c>
      <c r="L54" s="32"/>
    </row>
    <row r="55" spans="1:16" s="4" customFormat="1" ht="38.25" hidden="1" customHeight="1" outlineLevel="1">
      <c r="A55" s="27" t="str">
        <f>$A$52&amp;"."&amp;ROW()-ROW($A$52)</f>
        <v>11A.C6.3</v>
      </c>
      <c r="B55" s="28" t="s">
        <v>46</v>
      </c>
      <c r="C55" s="28" t="s">
        <v>515</v>
      </c>
      <c r="D55" s="29" t="s">
        <v>517</v>
      </c>
      <c r="E55" s="31">
        <v>0</v>
      </c>
      <c r="F55" s="31">
        <v>0</v>
      </c>
      <c r="G55" s="30">
        <f>_xlfn.XLOOKUP(B55, Rate_Master!$A:$A, Rate_Master!$C:$C, "")</f>
        <v>172500</v>
      </c>
      <c r="H55" s="30">
        <f>_xlfn.XLOOKUP(B55, Rate_Master!$A:$A, Rate_Master!$D:$D, "")</f>
        <v>57499.999999999993</v>
      </c>
      <c r="I55" s="32">
        <v>0</v>
      </c>
      <c r="J55" s="32">
        <f>I55*E55</f>
        <v>0</v>
      </c>
      <c r="K55" s="58">
        <f>I55*F55</f>
        <v>0</v>
      </c>
      <c r="L55" s="32"/>
    </row>
    <row r="56" spans="1:16" s="3" customFormat="1" ht="25.5" customHeight="1" collapsed="1">
      <c r="A56" s="22" t="str">
        <f>$A$9&amp;".S"</f>
        <v>11A.S</v>
      </c>
      <c r="B56" s="23" t="s">
        <v>47</v>
      </c>
      <c r="C56" s="23" t="s">
        <v>515</v>
      </c>
      <c r="D56" s="22"/>
      <c r="E56" s="25"/>
      <c r="F56" s="25"/>
      <c r="G56" s="25">
        <f>_xlfn.XLOOKUP(B56, Rate_Master!$A:$A, Rate_Master!$C:$C, "")</f>
        <v>0</v>
      </c>
      <c r="H56" s="25">
        <f>_xlfn.XLOOKUP(B56, Rate_Master!$A:$A, Rate_Master!$D:$D, "")</f>
        <v>0</v>
      </c>
      <c r="I56" s="26"/>
      <c r="J56" s="26"/>
      <c r="K56" s="89"/>
      <c r="L56" s="26"/>
    </row>
    <row r="57" spans="1:16" s="3" customFormat="1" ht="25.5" customHeight="1">
      <c r="A57" s="22" t="str">
        <f>$A$56&amp;1</f>
        <v>11A.S1</v>
      </c>
      <c r="B57" s="23" t="s">
        <v>48</v>
      </c>
      <c r="C57" s="23" t="s">
        <v>515</v>
      </c>
      <c r="D57" s="22"/>
      <c r="E57" s="25"/>
      <c r="F57" s="25"/>
      <c r="G57" s="25">
        <f>_xlfn.XLOOKUP(B57, Rate_Master!$A:$A, Rate_Master!$C:$C, "")</f>
        <v>0</v>
      </c>
      <c r="H57" s="25">
        <f>_xlfn.XLOOKUP(B57, Rate_Master!$A:$A, Rate_Master!$D:$D, "")</f>
        <v>0</v>
      </c>
      <c r="I57" s="26"/>
      <c r="J57" s="26">
        <f>SUBTOTAL(9,J58:J72)</f>
        <v>425000155.45780218</v>
      </c>
      <c r="K57" s="26">
        <f>SUBTOTAL(9,K58:K72)</f>
        <v>1010963882.5723734</v>
      </c>
      <c r="L57" s="26"/>
    </row>
    <row r="58" spans="1:16" s="4" customFormat="1" ht="51" hidden="1" customHeight="1" outlineLevel="1">
      <c r="A58" s="27" t="str">
        <f t="shared" ref="A58:A72" si="11">$A$57&amp;"."&amp;ROW()-ROW($A$57)</f>
        <v>11A.S1.1</v>
      </c>
      <c r="B58" s="28" t="s">
        <v>49</v>
      </c>
      <c r="C58" s="28" t="s">
        <v>525</v>
      </c>
      <c r="D58" s="29" t="s">
        <v>523</v>
      </c>
      <c r="E58" s="31">
        <v>1604.3902848</v>
      </c>
      <c r="F58" s="36">
        <v>27134.674867999998</v>
      </c>
      <c r="G58" s="93">
        <f>_xlfn.XLOOKUP(B58, Rate_Master!$A:$A, Rate_Master!$C:$C, "")</f>
        <v>20475</v>
      </c>
      <c r="H58" s="93">
        <f>_xlfn.XLOOKUP(B58, Rate_Master!$A:$A, Rate_Master!$D:$D, "")</f>
        <v>0</v>
      </c>
      <c r="I58" s="67">
        <f t="shared" ref="I58:I72" si="12">+SUM(G58:H58)</f>
        <v>20475</v>
      </c>
      <c r="J58" s="32">
        <f t="shared" ref="J58:J72" si="13">I58*E58</f>
        <v>32849891.081280001</v>
      </c>
      <c r="K58" s="58">
        <f t="shared" ref="K58:K72" si="14">+F58*I58</f>
        <v>555582467.92229998</v>
      </c>
      <c r="L58" s="32"/>
      <c r="N58" s="104"/>
      <c r="O58" s="104"/>
      <c r="P58" s="104"/>
    </row>
    <row r="59" spans="1:16" s="4" customFormat="1" ht="76.5" hidden="1" customHeight="1" outlineLevel="1">
      <c r="A59" s="27" t="str">
        <f t="shared" si="11"/>
        <v>11A.S1.2</v>
      </c>
      <c r="B59" s="28" t="s">
        <v>50</v>
      </c>
      <c r="C59" s="28" t="s">
        <v>526</v>
      </c>
      <c r="D59" s="29" t="s">
        <v>523</v>
      </c>
      <c r="E59" s="31">
        <v>7539.8232318401197</v>
      </c>
      <c r="F59" s="36">
        <v>2025.9663</v>
      </c>
      <c r="G59" s="93">
        <f>_xlfn.XLOOKUP(B59, Rate_Master!$A:$A, Rate_Master!$C:$C, "")</f>
        <v>26775</v>
      </c>
      <c r="H59" s="93">
        <f>_xlfn.XLOOKUP(B59, Rate_Master!$A:$A, Rate_Master!$D:$D, "")</f>
        <v>0</v>
      </c>
      <c r="I59" s="67">
        <f t="shared" si="12"/>
        <v>26775</v>
      </c>
      <c r="J59" s="32">
        <f t="shared" si="13"/>
        <v>201878767.03251919</v>
      </c>
      <c r="K59" s="58">
        <f t="shared" si="14"/>
        <v>54245247.682500005</v>
      </c>
      <c r="L59" s="32"/>
      <c r="N59" s="104"/>
      <c r="O59" s="104"/>
      <c r="P59" s="104"/>
    </row>
    <row r="60" spans="1:16" s="4" customFormat="1" ht="76.5" hidden="1" customHeight="1" outlineLevel="1">
      <c r="A60" s="27" t="str">
        <f t="shared" si="11"/>
        <v>11A.S1.3</v>
      </c>
      <c r="B60" s="28" t="s">
        <v>51</v>
      </c>
      <c r="C60" s="28" t="s">
        <v>527</v>
      </c>
      <c r="D60" s="29" t="s">
        <v>523</v>
      </c>
      <c r="E60" s="31">
        <v>470.99685229849803</v>
      </c>
      <c r="F60" s="36">
        <v>555.01241318400002</v>
      </c>
      <c r="G60" s="93">
        <f>_xlfn.XLOOKUP(B60, Rate_Master!$A:$A, Rate_Master!$C:$C, "")</f>
        <v>36750</v>
      </c>
      <c r="H60" s="93">
        <f>_xlfn.XLOOKUP(B60, Rate_Master!$A:$A, Rate_Master!$D:$D, "")</f>
        <v>0</v>
      </c>
      <c r="I60" s="67">
        <f t="shared" si="12"/>
        <v>36750</v>
      </c>
      <c r="J60" s="32">
        <f t="shared" si="13"/>
        <v>17309134.321969803</v>
      </c>
      <c r="K60" s="58">
        <f t="shared" si="14"/>
        <v>20396706.184512001</v>
      </c>
      <c r="L60" s="32"/>
      <c r="N60" s="104"/>
      <c r="O60" s="104"/>
      <c r="P60" s="104"/>
    </row>
    <row r="61" spans="1:16" s="4" customFormat="1" ht="76.5" hidden="1" customHeight="1" outlineLevel="1">
      <c r="A61" s="27" t="str">
        <f t="shared" si="11"/>
        <v>11A.S1.4</v>
      </c>
      <c r="B61" s="28" t="s">
        <v>52</v>
      </c>
      <c r="C61" s="28" t="s">
        <v>527</v>
      </c>
      <c r="D61" s="29" t="s">
        <v>523</v>
      </c>
      <c r="E61" s="31">
        <v>0</v>
      </c>
      <c r="F61" s="36"/>
      <c r="G61" s="93">
        <f>_xlfn.XLOOKUP(B61, Rate_Master!$A:$A, Rate_Master!$C:$C, "")</f>
        <v>26775</v>
      </c>
      <c r="H61" s="93">
        <f>_xlfn.XLOOKUP(B61, Rate_Master!$A:$A, Rate_Master!$D:$D, "")</f>
        <v>0</v>
      </c>
      <c r="I61" s="67">
        <f t="shared" si="12"/>
        <v>26775</v>
      </c>
      <c r="J61" s="32">
        <f t="shared" si="13"/>
        <v>0</v>
      </c>
      <c r="K61" s="58">
        <f t="shared" si="14"/>
        <v>0</v>
      </c>
      <c r="L61" s="32"/>
      <c r="N61" s="104"/>
      <c r="O61" s="104"/>
      <c r="P61" s="104"/>
    </row>
    <row r="62" spans="1:16" s="4" customFormat="1" ht="25.5" hidden="1" customHeight="1" outlineLevel="1">
      <c r="A62" s="27" t="str">
        <f t="shared" si="11"/>
        <v>11A.S1.5</v>
      </c>
      <c r="B62" s="28" t="s">
        <v>53</v>
      </c>
      <c r="C62" s="28" t="s">
        <v>528</v>
      </c>
      <c r="D62" s="29" t="s">
        <v>523</v>
      </c>
      <c r="E62" s="31">
        <v>3410.7936</v>
      </c>
      <c r="F62" s="36">
        <v>5491.5962399999989</v>
      </c>
      <c r="G62" s="93">
        <f>_xlfn.XLOOKUP(B62, Rate_Master!$A:$A, Rate_Master!$C:$C, "")</f>
        <v>22365</v>
      </c>
      <c r="H62" s="93">
        <f>_xlfn.XLOOKUP(B62, Rate_Master!$A:$A, Rate_Master!$D:$D, "")</f>
        <v>0</v>
      </c>
      <c r="I62" s="67">
        <f t="shared" si="12"/>
        <v>22365</v>
      </c>
      <c r="J62" s="32">
        <f t="shared" si="13"/>
        <v>76282398.863999993</v>
      </c>
      <c r="K62" s="58">
        <f t="shared" si="14"/>
        <v>122819549.90759997</v>
      </c>
      <c r="L62" s="32"/>
      <c r="N62" s="104"/>
      <c r="O62" s="104"/>
      <c r="P62" s="104"/>
    </row>
    <row r="63" spans="1:16" s="4" customFormat="1" ht="38.25" hidden="1" customHeight="1" outlineLevel="1">
      <c r="A63" s="27" t="str">
        <f t="shared" si="11"/>
        <v>11A.S1.6</v>
      </c>
      <c r="B63" s="28" t="s">
        <v>54</v>
      </c>
      <c r="C63" s="28" t="s">
        <v>529</v>
      </c>
      <c r="D63" s="29" t="s">
        <v>523</v>
      </c>
      <c r="E63" s="31">
        <v>130.56907710621101</v>
      </c>
      <c r="F63" s="36">
        <v>208.53637266000001</v>
      </c>
      <c r="G63" s="93">
        <f>_xlfn.XLOOKUP(B63, Rate_Master!$A:$A, Rate_Master!$C:$C, "")</f>
        <v>36750</v>
      </c>
      <c r="H63" s="93">
        <f>_xlfn.XLOOKUP(B63, Rate_Master!$A:$A, Rate_Master!$D:$D, "")</f>
        <v>0</v>
      </c>
      <c r="I63" s="67">
        <f t="shared" si="12"/>
        <v>36750</v>
      </c>
      <c r="J63" s="32">
        <f t="shared" si="13"/>
        <v>4798413.5836532544</v>
      </c>
      <c r="K63" s="58">
        <f t="shared" si="14"/>
        <v>7663711.6952550001</v>
      </c>
      <c r="L63" s="32"/>
      <c r="N63" s="104"/>
      <c r="O63" s="104"/>
      <c r="P63" s="104"/>
    </row>
    <row r="64" spans="1:16" s="4" customFormat="1" ht="25.5" hidden="1" customHeight="1" outlineLevel="1">
      <c r="A64" s="27" t="str">
        <f t="shared" si="11"/>
        <v>11A.S1.7</v>
      </c>
      <c r="B64" s="28" t="s">
        <v>55</v>
      </c>
      <c r="C64" s="28" t="s">
        <v>530</v>
      </c>
      <c r="D64" s="29" t="s">
        <v>523</v>
      </c>
      <c r="E64" s="31">
        <v>0</v>
      </c>
      <c r="F64" s="36">
        <v>104.067584</v>
      </c>
      <c r="G64" s="93">
        <f>_xlfn.XLOOKUP(B64, Rate_Master!$A:$A, Rate_Master!$C:$C, "")</f>
        <v>27930</v>
      </c>
      <c r="H64" s="93">
        <f>_xlfn.XLOOKUP(B64, Rate_Master!$A:$A, Rate_Master!$D:$D, "")</f>
        <v>0</v>
      </c>
      <c r="I64" s="67">
        <f t="shared" si="12"/>
        <v>27930</v>
      </c>
      <c r="J64" s="32">
        <f t="shared" si="13"/>
        <v>0</v>
      </c>
      <c r="K64" s="58">
        <f t="shared" si="14"/>
        <v>2906607.6211199998</v>
      </c>
      <c r="L64" s="32"/>
      <c r="N64" s="104"/>
      <c r="O64" s="104"/>
      <c r="P64" s="104"/>
    </row>
    <row r="65" spans="1:16" s="4" customFormat="1" ht="25.5" hidden="1" customHeight="1" outlineLevel="1">
      <c r="A65" s="27" t="str">
        <f t="shared" si="11"/>
        <v>11A.S1.8</v>
      </c>
      <c r="B65" s="28" t="s">
        <v>56</v>
      </c>
      <c r="C65" s="28" t="s">
        <v>531</v>
      </c>
      <c r="D65" s="29" t="s">
        <v>523</v>
      </c>
      <c r="E65" s="31">
        <v>129.6</v>
      </c>
      <c r="F65" s="36">
        <v>971.50923222630058</v>
      </c>
      <c r="G65" s="93">
        <f>_xlfn.XLOOKUP(B65, Rate_Master!$A:$A, Rate_Master!$C:$C, "")</f>
        <v>52500</v>
      </c>
      <c r="H65" s="93">
        <f>_xlfn.XLOOKUP(B65, Rate_Master!$A:$A, Rate_Master!$D:$D, "")</f>
        <v>0</v>
      </c>
      <c r="I65" s="67">
        <f t="shared" si="12"/>
        <v>52500</v>
      </c>
      <c r="J65" s="32">
        <f t="shared" si="13"/>
        <v>6804000</v>
      </c>
      <c r="K65" s="58">
        <f t="shared" si="14"/>
        <v>51004234.691880777</v>
      </c>
      <c r="L65" s="32"/>
      <c r="N65" s="104"/>
      <c r="O65" s="104"/>
      <c r="P65" s="104"/>
    </row>
    <row r="66" spans="1:16" s="4" customFormat="1" ht="25.5" hidden="1" customHeight="1" outlineLevel="1">
      <c r="A66" s="27" t="str">
        <f t="shared" si="11"/>
        <v>11A.S1.9</v>
      </c>
      <c r="B66" s="28" t="s">
        <v>57</v>
      </c>
      <c r="C66" s="28" t="s">
        <v>532</v>
      </c>
      <c r="D66" s="29" t="s">
        <v>523</v>
      </c>
      <c r="E66" s="31">
        <v>91.79</v>
      </c>
      <c r="F66" s="36">
        <v>212.4</v>
      </c>
      <c r="G66" s="93">
        <f>_xlfn.XLOOKUP(B66, Rate_Master!$A:$A, Rate_Master!$C:$C, "")</f>
        <v>60900</v>
      </c>
      <c r="H66" s="93">
        <f>_xlfn.XLOOKUP(B66, Rate_Master!$A:$A, Rate_Master!$D:$D, "")</f>
        <v>0</v>
      </c>
      <c r="I66" s="67">
        <f t="shared" si="12"/>
        <v>60900</v>
      </c>
      <c r="J66" s="32">
        <f t="shared" si="13"/>
        <v>5590011</v>
      </c>
      <c r="K66" s="58">
        <f t="shared" si="14"/>
        <v>12935160</v>
      </c>
      <c r="L66" s="32"/>
      <c r="N66" s="104"/>
      <c r="O66" s="104"/>
      <c r="P66" s="104"/>
    </row>
    <row r="67" spans="1:16" s="4" customFormat="1" ht="25.5" hidden="1" customHeight="1" outlineLevel="1">
      <c r="A67" s="27" t="str">
        <f t="shared" si="11"/>
        <v>11A.S1.10</v>
      </c>
      <c r="B67" s="28" t="s">
        <v>58</v>
      </c>
      <c r="C67" s="28" t="s">
        <v>533</v>
      </c>
      <c r="D67" s="29" t="s">
        <v>523</v>
      </c>
      <c r="E67" s="31">
        <v>63.561999999999998</v>
      </c>
      <c r="F67" s="36">
        <v>67.411199999999994</v>
      </c>
      <c r="G67" s="93">
        <f>_xlfn.XLOOKUP(B67, Rate_Master!$A:$A, Rate_Master!$C:$C, "")</f>
        <v>60900</v>
      </c>
      <c r="H67" s="93">
        <f>_xlfn.XLOOKUP(B67, Rate_Master!$A:$A, Rate_Master!$D:$D, "")</f>
        <v>0</v>
      </c>
      <c r="I67" s="67">
        <f t="shared" si="12"/>
        <v>60900</v>
      </c>
      <c r="J67" s="32">
        <f t="shared" si="13"/>
        <v>3870925.8</v>
      </c>
      <c r="K67" s="58">
        <f t="shared" si="14"/>
        <v>4105342.0799999996</v>
      </c>
      <c r="L67" s="32"/>
      <c r="N67" s="104"/>
      <c r="O67" s="104"/>
      <c r="P67" s="104"/>
    </row>
    <row r="68" spans="1:16" s="4" customFormat="1" ht="25.5" hidden="1" customHeight="1" outlineLevel="1">
      <c r="A68" s="27" t="str">
        <f t="shared" si="11"/>
        <v>11A.S1.11</v>
      </c>
      <c r="B68" s="28" t="s">
        <v>59</v>
      </c>
      <c r="C68" s="28" t="s">
        <v>534</v>
      </c>
      <c r="D68" s="29" t="s">
        <v>518</v>
      </c>
      <c r="E68" s="31">
        <v>0</v>
      </c>
      <c r="F68" s="36">
        <v>408</v>
      </c>
      <c r="G68" s="93">
        <f>_xlfn.XLOOKUP(B68, Rate_Master!$A:$A, Rate_Master!$C:$C, "")</f>
        <v>21000</v>
      </c>
      <c r="H68" s="93">
        <f>_xlfn.XLOOKUP(B68, Rate_Master!$A:$A, Rate_Master!$D:$D, "")</f>
        <v>0</v>
      </c>
      <c r="I68" s="67">
        <f t="shared" si="12"/>
        <v>21000</v>
      </c>
      <c r="J68" s="32">
        <f t="shared" si="13"/>
        <v>0</v>
      </c>
      <c r="K68" s="58">
        <f t="shared" si="14"/>
        <v>8568000</v>
      </c>
      <c r="L68" s="32"/>
      <c r="N68" s="104"/>
      <c r="O68" s="104"/>
      <c r="P68" s="104"/>
    </row>
    <row r="69" spans="1:16" s="4" customFormat="1" ht="25.5" hidden="1" customHeight="1" outlineLevel="1">
      <c r="A69" s="27" t="str">
        <f t="shared" si="11"/>
        <v>11A.S1.12</v>
      </c>
      <c r="B69" s="28" t="s">
        <v>60</v>
      </c>
      <c r="C69" s="28" t="s">
        <v>515</v>
      </c>
      <c r="D69" s="29" t="s">
        <v>523</v>
      </c>
      <c r="E69" s="31">
        <v>129.6</v>
      </c>
      <c r="F69" s="36">
        <v>971.50923222630058</v>
      </c>
      <c r="G69" s="93">
        <f>_xlfn.XLOOKUP(B69, Rate_Master!$A:$A, Rate_Master!$C:$C, "")</f>
        <v>630</v>
      </c>
      <c r="H69" s="106">
        <f>_xlfn.XLOOKUP(B69, Rate_Master!$A:$A, Rate_Master!$D:$D, "")</f>
        <v>0</v>
      </c>
      <c r="I69" s="67">
        <f t="shared" si="12"/>
        <v>630</v>
      </c>
      <c r="J69" s="32">
        <f t="shared" si="13"/>
        <v>81648</v>
      </c>
      <c r="K69" s="58">
        <f t="shared" si="14"/>
        <v>612050.81630256935</v>
      </c>
      <c r="L69" s="32"/>
      <c r="N69" s="104"/>
      <c r="O69" s="104"/>
      <c r="P69" s="104"/>
    </row>
    <row r="70" spans="1:16" s="4" customFormat="1" ht="25.5" hidden="1" customHeight="1" outlineLevel="1">
      <c r="A70" s="27" t="str">
        <f t="shared" si="11"/>
        <v>11A.S1.13</v>
      </c>
      <c r="B70" s="28" t="s">
        <v>61</v>
      </c>
      <c r="C70" s="28" t="s">
        <v>515</v>
      </c>
      <c r="D70" s="29" t="s">
        <v>523</v>
      </c>
      <c r="E70" s="31">
        <v>13156.573046044799</v>
      </c>
      <c r="F70" s="36">
        <v>35799.664977843997</v>
      </c>
      <c r="G70" s="93">
        <f>_xlfn.XLOOKUP(B70, Rate_Master!$A:$A, Rate_Master!$C:$C, "")</f>
        <v>630</v>
      </c>
      <c r="H70" s="93">
        <f>_xlfn.XLOOKUP(B70, Rate_Master!$A:$A, Rate_Master!$D:$D, "")</f>
        <v>0</v>
      </c>
      <c r="I70" s="67">
        <f t="shared" si="12"/>
        <v>630</v>
      </c>
      <c r="J70" s="32">
        <f t="shared" si="13"/>
        <v>8288641.0190082239</v>
      </c>
      <c r="K70" s="58">
        <f t="shared" si="14"/>
        <v>22553788.936041716</v>
      </c>
      <c r="L70" s="32"/>
      <c r="N70" s="104"/>
      <c r="O70" s="104"/>
      <c r="P70" s="104"/>
    </row>
    <row r="71" spans="1:16" s="4" customFormat="1" ht="25.5" hidden="1" customHeight="1" outlineLevel="1">
      <c r="A71" s="27" t="str">
        <f t="shared" si="11"/>
        <v>11A.S1.14</v>
      </c>
      <c r="B71" s="28" t="s">
        <v>62</v>
      </c>
      <c r="C71" s="28" t="s">
        <v>515</v>
      </c>
      <c r="D71" s="29" t="s">
        <v>518</v>
      </c>
      <c r="E71" s="31">
        <v>108</v>
      </c>
      <c r="F71" s="36">
        <v>160</v>
      </c>
      <c r="G71" s="93">
        <f>_xlfn.XLOOKUP(B71, Rate_Master!$A:$A, Rate_Master!$C:$C, "")</f>
        <v>0</v>
      </c>
      <c r="H71" s="93">
        <f>_xlfn.XLOOKUP(B71, Rate_Master!$A:$A, Rate_Master!$D:$D, "")</f>
        <v>264500</v>
      </c>
      <c r="I71" s="67">
        <f t="shared" si="12"/>
        <v>264500</v>
      </c>
      <c r="J71" s="32">
        <f t="shared" si="13"/>
        <v>28566000</v>
      </c>
      <c r="K71" s="58">
        <f t="shared" si="14"/>
        <v>42320000</v>
      </c>
      <c r="L71" s="32"/>
      <c r="N71" s="104"/>
      <c r="O71" s="104"/>
      <c r="P71" s="104"/>
    </row>
    <row r="72" spans="1:16" s="4" customFormat="1" ht="25.5" hidden="1" customHeight="1" outlineLevel="1">
      <c r="A72" s="27" t="str">
        <f t="shared" si="11"/>
        <v>11A.S1.15</v>
      </c>
      <c r="B72" s="28" t="s">
        <v>63</v>
      </c>
      <c r="C72" s="28" t="s">
        <v>515</v>
      </c>
      <c r="D72" s="29" t="s">
        <v>523</v>
      </c>
      <c r="E72" s="31">
        <v>13156.573046044799</v>
      </c>
      <c r="F72" s="36">
        <v>35799.664977843997</v>
      </c>
      <c r="G72" s="93">
        <f>_xlfn.XLOOKUP(B72, Rate_Master!$A:$A, Rate_Master!$C:$C, "")</f>
        <v>2940</v>
      </c>
      <c r="H72" s="93">
        <f>_xlfn.XLOOKUP(B72, Rate_Master!$A:$A, Rate_Master!$D:$D, "")</f>
        <v>0</v>
      </c>
      <c r="I72" s="67">
        <f t="shared" si="12"/>
        <v>2940</v>
      </c>
      <c r="J72" s="32">
        <f t="shared" si="13"/>
        <v>38680324.755371712</v>
      </c>
      <c r="K72" s="58">
        <f t="shared" si="14"/>
        <v>105251015.03486136</v>
      </c>
      <c r="L72" s="32"/>
      <c r="N72" s="104"/>
      <c r="O72" s="104"/>
      <c r="P72" s="104"/>
    </row>
    <row r="73" spans="1:16" s="3" customFormat="1" ht="25.5" customHeight="1" collapsed="1">
      <c r="A73" s="22" t="str">
        <f>$A$56&amp;2</f>
        <v>11A.S2</v>
      </c>
      <c r="B73" s="23" t="s">
        <v>64</v>
      </c>
      <c r="C73" s="23" t="s">
        <v>515</v>
      </c>
      <c r="D73" s="22"/>
      <c r="E73" s="25"/>
      <c r="F73" s="87"/>
      <c r="G73" s="25">
        <f>_xlfn.XLOOKUP(B73, Rate_Master!$A:$A, Rate_Master!$C:$C, "")</f>
        <v>0</v>
      </c>
      <c r="H73" s="25">
        <f>_xlfn.XLOOKUP(B73, Rate_Master!$A:$A, Rate_Master!$D:$D, "")</f>
        <v>0</v>
      </c>
      <c r="I73" s="68"/>
      <c r="J73" s="26">
        <f>SUBTOTAL(9,J74:J78)</f>
        <v>0</v>
      </c>
      <c r="K73" s="26">
        <f>SUBTOTAL(9,K74:K78)</f>
        <v>0</v>
      </c>
      <c r="L73" s="26"/>
      <c r="N73" s="104"/>
      <c r="O73" s="104"/>
      <c r="P73" s="104"/>
    </row>
    <row r="74" spans="1:16" s="4" customFormat="1" ht="25.5" hidden="1" customHeight="1" outlineLevel="1">
      <c r="A74" s="37" t="str">
        <f>$A$73&amp;"."&amp;ROW()-ROW($A$73)</f>
        <v>11A.S2.1</v>
      </c>
      <c r="B74" s="38" t="s">
        <v>65</v>
      </c>
      <c r="C74" s="38" t="s">
        <v>535</v>
      </c>
      <c r="D74" s="39" t="s">
        <v>520</v>
      </c>
      <c r="E74" s="40">
        <v>0</v>
      </c>
      <c r="F74" s="88"/>
      <c r="G74" s="42">
        <f>_xlfn.XLOOKUP(B74, Rate_Master!$A:$A, Rate_Master!$C:$C, "")</f>
        <v>0</v>
      </c>
      <c r="H74" s="42">
        <f>_xlfn.XLOOKUP(B74, Rate_Master!$A:$A, Rate_Master!$D:$D, "")</f>
        <v>0</v>
      </c>
      <c r="I74" s="67">
        <f>+SUM(G74:H74)</f>
        <v>0</v>
      </c>
      <c r="J74" s="41">
        <f>I74*E74</f>
        <v>0</v>
      </c>
      <c r="K74" s="58">
        <f>+F74*I74</f>
        <v>0</v>
      </c>
      <c r="L74" s="41"/>
      <c r="N74" s="104"/>
      <c r="O74" s="104"/>
      <c r="P74" s="104"/>
    </row>
    <row r="75" spans="1:16" s="4" customFormat="1" ht="25.5" hidden="1" customHeight="1" outlineLevel="1">
      <c r="A75" s="37" t="str">
        <f>$A$73&amp;"."&amp;ROW()-ROW($A$73)</f>
        <v>11A.S2.2</v>
      </c>
      <c r="B75" s="38" t="s">
        <v>66</v>
      </c>
      <c r="C75" s="38" t="s">
        <v>536</v>
      </c>
      <c r="D75" s="39" t="s">
        <v>518</v>
      </c>
      <c r="E75" s="40">
        <v>0</v>
      </c>
      <c r="F75" s="88"/>
      <c r="G75" s="42">
        <f>_xlfn.XLOOKUP(B75, Rate_Master!$A:$A, Rate_Master!$C:$C, "")</f>
        <v>0</v>
      </c>
      <c r="H75" s="42">
        <f>_xlfn.XLOOKUP(B75, Rate_Master!$A:$A, Rate_Master!$D:$D, "")</f>
        <v>0</v>
      </c>
      <c r="I75" s="67">
        <f>+SUM(G75:H75)</f>
        <v>0</v>
      </c>
      <c r="J75" s="41">
        <f>I75*E75</f>
        <v>0</v>
      </c>
      <c r="K75" s="58">
        <f>+F75*I75</f>
        <v>0</v>
      </c>
      <c r="L75" s="41"/>
      <c r="N75" s="104"/>
      <c r="O75" s="104"/>
      <c r="P75" s="104"/>
    </row>
    <row r="76" spans="1:16" s="4" customFormat="1" ht="25.5" hidden="1" customHeight="1" outlineLevel="1">
      <c r="A76" s="37" t="str">
        <f>$A$73&amp;"."&amp;ROW()-ROW($A$73)</f>
        <v>11A.S2.3</v>
      </c>
      <c r="B76" s="38" t="s">
        <v>67</v>
      </c>
      <c r="C76" s="38" t="s">
        <v>515</v>
      </c>
      <c r="D76" s="39" t="s">
        <v>520</v>
      </c>
      <c r="E76" s="40">
        <v>0</v>
      </c>
      <c r="F76" s="88"/>
      <c r="G76" s="42">
        <f>_xlfn.XLOOKUP(B76, Rate_Master!$A:$A, Rate_Master!$C:$C, "")</f>
        <v>0</v>
      </c>
      <c r="H76" s="42">
        <f>_xlfn.XLOOKUP(B76, Rate_Master!$A:$A, Rate_Master!$D:$D, "")</f>
        <v>0</v>
      </c>
      <c r="I76" s="67">
        <f>+SUM(G76:H76)</f>
        <v>0</v>
      </c>
      <c r="J76" s="41">
        <f>I76*E76</f>
        <v>0</v>
      </c>
      <c r="K76" s="58">
        <f>+F76*I76</f>
        <v>0</v>
      </c>
      <c r="L76" s="41"/>
      <c r="N76" s="104"/>
      <c r="O76" s="104"/>
      <c r="P76" s="104"/>
    </row>
    <row r="77" spans="1:16" s="4" customFormat="1" ht="25.5" hidden="1" customHeight="1" outlineLevel="1">
      <c r="A77" s="37" t="str">
        <f>$A$73&amp;"."&amp;ROW()-ROW($A$73)</f>
        <v>11A.S2.4</v>
      </c>
      <c r="B77" s="38" t="s">
        <v>68</v>
      </c>
      <c r="C77" s="38" t="s">
        <v>515</v>
      </c>
      <c r="D77" s="39" t="s">
        <v>457</v>
      </c>
      <c r="E77" s="40">
        <v>0</v>
      </c>
      <c r="F77" s="88"/>
      <c r="G77" s="42">
        <f>_xlfn.XLOOKUP(B77, Rate_Master!$A:$A, Rate_Master!$C:$C, "")</f>
        <v>0</v>
      </c>
      <c r="H77" s="42">
        <f>_xlfn.XLOOKUP(B77, Rate_Master!$A:$A, Rate_Master!$D:$D, "")</f>
        <v>0</v>
      </c>
      <c r="I77" s="67">
        <f>+SUM(G77:H77)</f>
        <v>0</v>
      </c>
      <c r="J77" s="41">
        <f>I77*E77</f>
        <v>0</v>
      </c>
      <c r="K77" s="58">
        <f>+F77*I77</f>
        <v>0</v>
      </c>
      <c r="L77" s="41"/>
      <c r="N77" s="104"/>
      <c r="O77" s="104"/>
      <c r="P77" s="104"/>
    </row>
    <row r="78" spans="1:16" s="4" customFormat="1" ht="25.5" hidden="1" customHeight="1" outlineLevel="1">
      <c r="A78" s="37" t="str">
        <f>$A$73&amp;"."&amp;ROW()-ROW($A$73)</f>
        <v>11A.S2.5</v>
      </c>
      <c r="B78" s="38" t="s">
        <v>69</v>
      </c>
      <c r="C78" s="38" t="s">
        <v>515</v>
      </c>
      <c r="D78" s="39" t="s">
        <v>520</v>
      </c>
      <c r="E78" s="40">
        <v>0</v>
      </c>
      <c r="F78" s="88"/>
      <c r="G78" s="42">
        <f>_xlfn.XLOOKUP(B78, Rate_Master!$A:$A, Rate_Master!$C:$C, "")</f>
        <v>0</v>
      </c>
      <c r="H78" s="42">
        <f>_xlfn.XLOOKUP(B78, Rate_Master!$A:$A, Rate_Master!$D:$D, "")</f>
        <v>0</v>
      </c>
      <c r="I78" s="67">
        <f>+SUM(G78:H78)</f>
        <v>0</v>
      </c>
      <c r="J78" s="41">
        <f>I78*E78</f>
        <v>0</v>
      </c>
      <c r="K78" s="58">
        <f>+F78*I78</f>
        <v>0</v>
      </c>
      <c r="L78" s="41"/>
      <c r="N78" s="104"/>
      <c r="O78" s="104"/>
      <c r="P78" s="104"/>
    </row>
    <row r="79" spans="1:16" s="3" customFormat="1" ht="25.5" customHeight="1" collapsed="1">
      <c r="A79" s="22" t="str">
        <f>$A$56&amp;3</f>
        <v>11A.S3</v>
      </c>
      <c r="B79" s="23" t="s">
        <v>70</v>
      </c>
      <c r="C79" s="23" t="s">
        <v>515</v>
      </c>
      <c r="D79" s="22"/>
      <c r="E79" s="25"/>
      <c r="F79" s="87"/>
      <c r="G79" s="25">
        <f>_xlfn.XLOOKUP(B79, Rate_Master!$A:$A, Rate_Master!$C:$C, "")</f>
        <v>0</v>
      </c>
      <c r="H79" s="25">
        <f>_xlfn.XLOOKUP(B79, Rate_Master!$A:$A, Rate_Master!$D:$D, "")</f>
        <v>0</v>
      </c>
      <c r="I79" s="68"/>
      <c r="J79" s="26">
        <f>SUBTOTAL(9,J80:J93)</f>
        <v>574356756.96096706</v>
      </c>
      <c r="K79" s="26">
        <f>SUBTOTAL(9,K80:K93)</f>
        <v>639542629.3576231</v>
      </c>
      <c r="L79" s="26"/>
      <c r="N79" s="104"/>
      <c r="O79" s="104"/>
      <c r="P79" s="104"/>
    </row>
    <row r="80" spans="1:16" s="4" customFormat="1" ht="51" hidden="1" customHeight="1" outlineLevel="1">
      <c r="A80" s="27" t="str">
        <f t="shared" ref="A80:A93" si="15">$A$79&amp;"."&amp;ROW()-ROW($A$79)</f>
        <v>11A.S3.1</v>
      </c>
      <c r="B80" s="28" t="s">
        <v>71</v>
      </c>
      <c r="C80" s="28" t="str">
        <f>+'10A'!C80</f>
        <v xml:space="preserve">Tôn liên doanh Việt hàn, AZ170
</v>
      </c>
      <c r="D80" s="29" t="s">
        <v>520</v>
      </c>
      <c r="E80" s="31">
        <v>0</v>
      </c>
      <c r="F80" s="36">
        <v>995.31989999999996</v>
      </c>
      <c r="G80" s="93">
        <f>_xlfn.XLOOKUP(B80, Rate_Master!$A:$A, Rate_Master!$C:$C, "")</f>
        <v>248399.99999999997</v>
      </c>
      <c r="H80" s="93">
        <f>_xlfn.XLOOKUP(B80, Rate_Master!$A:$A, Rate_Master!$D:$D, "")</f>
        <v>34500</v>
      </c>
      <c r="I80" s="67">
        <f t="shared" ref="I80:I93" si="16">+SUM(G80:H80)</f>
        <v>282900</v>
      </c>
      <c r="J80" s="32">
        <f t="shared" ref="J80:J93" si="17">I80*E80</f>
        <v>0</v>
      </c>
      <c r="K80" s="58">
        <f t="shared" ref="K80:K93" si="18">+F80*I80</f>
        <v>281575999.70999998</v>
      </c>
      <c r="L80" s="32"/>
      <c r="N80" s="104"/>
      <c r="O80" s="104"/>
      <c r="P80" s="104"/>
    </row>
    <row r="81" spans="1:16" s="4" customFormat="1" ht="51" hidden="1" customHeight="1" outlineLevel="1">
      <c r="A81" s="27" t="str">
        <f t="shared" si="15"/>
        <v>11A.S3.2</v>
      </c>
      <c r="B81" s="28" t="s">
        <v>72</v>
      </c>
      <c r="C81" s="28" t="str">
        <f>+'10A'!C81</f>
        <v xml:space="preserve">Tôn liên doanh Việt hàn, AZ170
</v>
      </c>
      <c r="D81" s="29" t="s">
        <v>520</v>
      </c>
      <c r="E81" s="31">
        <v>0</v>
      </c>
      <c r="F81" s="36"/>
      <c r="G81" s="93">
        <f>_xlfn.XLOOKUP(B81, Rate_Master!$A:$A, Rate_Master!$C:$C, "")</f>
        <v>206999.99999999997</v>
      </c>
      <c r="H81" s="93">
        <f>_xlfn.XLOOKUP(B81, Rate_Master!$A:$A, Rate_Master!$D:$D, "")</f>
        <v>34500</v>
      </c>
      <c r="I81" s="67">
        <f t="shared" si="16"/>
        <v>241499.99999999997</v>
      </c>
      <c r="J81" s="32">
        <f t="shared" si="17"/>
        <v>0</v>
      </c>
      <c r="K81" s="58">
        <f t="shared" si="18"/>
        <v>0</v>
      </c>
      <c r="L81" s="32"/>
      <c r="N81" s="104"/>
      <c r="O81" s="104"/>
      <c r="P81" s="104"/>
    </row>
    <row r="82" spans="1:16" s="4" customFormat="1" ht="63.75" hidden="1" customHeight="1" outlineLevel="1">
      <c r="A82" s="27" t="str">
        <f t="shared" si="15"/>
        <v>11A.S3.3</v>
      </c>
      <c r="B82" s="28" t="s">
        <v>73</v>
      </c>
      <c r="C82" s="28" t="str">
        <f>+'10A'!C82</f>
        <v xml:space="preserve">Tôn liên doanh Việt hàn, AZ170
</v>
      </c>
      <c r="D82" s="29" t="s">
        <v>520</v>
      </c>
      <c r="E82" s="31">
        <v>959.4325</v>
      </c>
      <c r="F82" s="36"/>
      <c r="G82" s="93">
        <f>_xlfn.XLOOKUP(B82, Rate_Master!$A:$A, Rate_Master!$C:$C, "")</f>
        <v>195499.99999999997</v>
      </c>
      <c r="H82" s="93">
        <f>_xlfn.XLOOKUP(B82, Rate_Master!$A:$A, Rate_Master!$D:$D, "")</f>
        <v>34500</v>
      </c>
      <c r="I82" s="67">
        <f t="shared" si="16"/>
        <v>229999.99999999997</v>
      </c>
      <c r="J82" s="32">
        <f t="shared" si="17"/>
        <v>220669474.99999997</v>
      </c>
      <c r="K82" s="58">
        <f t="shared" si="18"/>
        <v>0</v>
      </c>
      <c r="L82" s="32"/>
      <c r="N82" s="104"/>
      <c r="O82" s="104"/>
      <c r="P82" s="104"/>
    </row>
    <row r="83" spans="1:16" s="4" customFormat="1" ht="25.5" hidden="1" customHeight="1" outlineLevel="1">
      <c r="A83" s="27" t="str">
        <f t="shared" si="15"/>
        <v>11A.S3.4</v>
      </c>
      <c r="B83" s="28" t="s">
        <v>74</v>
      </c>
      <c r="C83" s="28" t="s">
        <v>515</v>
      </c>
      <c r="D83" s="29" t="s">
        <v>520</v>
      </c>
      <c r="E83" s="31">
        <v>0</v>
      </c>
      <c r="F83" s="36">
        <v>995.31989999999996</v>
      </c>
      <c r="G83" s="93">
        <f>_xlfn.XLOOKUP(B83, Rate_Master!$A:$A, Rate_Master!$C:$C, "")</f>
        <v>23000</v>
      </c>
      <c r="H83" s="93">
        <f>_xlfn.XLOOKUP(B83, Rate_Master!$A:$A, Rate_Master!$D:$D, "")</f>
        <v>11500</v>
      </c>
      <c r="I83" s="67">
        <f t="shared" si="16"/>
        <v>34500</v>
      </c>
      <c r="J83" s="32">
        <f t="shared" si="17"/>
        <v>0</v>
      </c>
      <c r="K83" s="58">
        <f t="shared" si="18"/>
        <v>34338536.549999997</v>
      </c>
      <c r="L83" s="32"/>
      <c r="N83" s="104"/>
      <c r="O83" s="104"/>
      <c r="P83" s="104"/>
    </row>
    <row r="84" spans="1:16" s="4" customFormat="1" ht="25.5" hidden="1" customHeight="1" outlineLevel="1">
      <c r="A84" s="27" t="str">
        <f t="shared" si="15"/>
        <v>11A.S3.5</v>
      </c>
      <c r="B84" s="28" t="s">
        <v>75</v>
      </c>
      <c r="C84" s="28" t="s">
        <v>538</v>
      </c>
      <c r="D84" s="29" t="s">
        <v>517</v>
      </c>
      <c r="E84" s="31">
        <v>72.41</v>
      </c>
      <c r="F84" s="36">
        <v>219.81</v>
      </c>
      <c r="G84" s="93">
        <f>_xlfn.XLOOKUP(B84, Rate_Master!$A:$A, Rate_Master!$C:$C, "")</f>
        <v>110399.99999999999</v>
      </c>
      <c r="H84" s="93">
        <f>_xlfn.XLOOKUP(B84, Rate_Master!$A:$A, Rate_Master!$D:$D, "")</f>
        <v>17250</v>
      </c>
      <c r="I84" s="67">
        <f t="shared" si="16"/>
        <v>127649.99999999999</v>
      </c>
      <c r="J84" s="32">
        <f t="shared" si="17"/>
        <v>9243136.4999999981</v>
      </c>
      <c r="K84" s="58">
        <f t="shared" si="18"/>
        <v>28058746.499999996</v>
      </c>
      <c r="L84" s="32"/>
      <c r="N84" s="104"/>
      <c r="O84" s="104"/>
      <c r="P84" s="104"/>
    </row>
    <row r="85" spans="1:16" s="4" customFormat="1" ht="25.5" hidden="1" customHeight="1" outlineLevel="1">
      <c r="A85" s="27" t="str">
        <f t="shared" si="15"/>
        <v>11A.S3.6</v>
      </c>
      <c r="B85" s="28" t="s">
        <v>75</v>
      </c>
      <c r="C85" s="28" t="s">
        <v>539</v>
      </c>
      <c r="D85" s="29" t="s">
        <v>517</v>
      </c>
      <c r="E85" s="31">
        <v>0</v>
      </c>
      <c r="F85" s="36"/>
      <c r="G85" s="93">
        <f>_xlfn.XLOOKUP(B85, Rate_Master!$A:$A, Rate_Master!$C:$C, "")</f>
        <v>110399.99999999999</v>
      </c>
      <c r="H85" s="93">
        <f>_xlfn.XLOOKUP(B85, Rate_Master!$A:$A, Rate_Master!$D:$D, "")</f>
        <v>17250</v>
      </c>
      <c r="I85" s="67">
        <f t="shared" si="16"/>
        <v>127649.99999999999</v>
      </c>
      <c r="J85" s="32">
        <f t="shared" si="17"/>
        <v>0</v>
      </c>
      <c r="K85" s="58">
        <f t="shared" si="18"/>
        <v>0</v>
      </c>
      <c r="L85" s="32"/>
      <c r="N85" s="104"/>
      <c r="O85" s="104"/>
      <c r="P85" s="104"/>
    </row>
    <row r="86" spans="1:16" s="4" customFormat="1" ht="25.5" hidden="1" customHeight="1" outlineLevel="1">
      <c r="A86" s="27" t="str">
        <f t="shared" si="15"/>
        <v>11A.S3.7</v>
      </c>
      <c r="B86" s="28" t="s">
        <v>76</v>
      </c>
      <c r="C86" s="28" t="s">
        <v>540</v>
      </c>
      <c r="D86" s="29" t="s">
        <v>517</v>
      </c>
      <c r="E86" s="31">
        <v>0</v>
      </c>
      <c r="F86" s="36"/>
      <c r="G86" s="93">
        <f>_xlfn.XLOOKUP(B86, Rate_Master!$A:$A, Rate_Master!$C:$C, "")</f>
        <v>1976115.3983999996</v>
      </c>
      <c r="H86" s="93">
        <f>_xlfn.XLOOKUP(B86, Rate_Master!$A:$A, Rate_Master!$D:$D, "")</f>
        <v>28749.999999999996</v>
      </c>
      <c r="I86" s="67">
        <f t="shared" si="16"/>
        <v>2004865.3983999996</v>
      </c>
      <c r="J86" s="32">
        <f t="shared" si="17"/>
        <v>0</v>
      </c>
      <c r="K86" s="58">
        <f t="shared" si="18"/>
        <v>0</v>
      </c>
      <c r="L86" s="32"/>
      <c r="N86" s="104"/>
      <c r="O86" s="104"/>
      <c r="P86" s="104"/>
    </row>
    <row r="87" spans="1:16" s="4" customFormat="1" ht="25.5" hidden="1" customHeight="1" outlineLevel="1">
      <c r="A87" s="27" t="str">
        <f t="shared" si="15"/>
        <v>11A.S3.8</v>
      </c>
      <c r="B87" s="28" t="s">
        <v>77</v>
      </c>
      <c r="C87" s="28" t="s">
        <v>541</v>
      </c>
      <c r="D87" s="29" t="s">
        <v>517</v>
      </c>
      <c r="E87" s="31">
        <v>73</v>
      </c>
      <c r="F87" s="36">
        <v>35.79</v>
      </c>
      <c r="G87" s="93">
        <f>_xlfn.XLOOKUP(B87, Rate_Master!$A:$A, Rate_Master!$C:$C, "")</f>
        <v>1077881.1263999997</v>
      </c>
      <c r="H87" s="93">
        <f>_xlfn.XLOOKUP(B87, Rate_Master!$A:$A, Rate_Master!$D:$D, "")</f>
        <v>23000</v>
      </c>
      <c r="I87" s="67">
        <f t="shared" si="16"/>
        <v>1100881.1263999997</v>
      </c>
      <c r="J87" s="32">
        <f t="shared" si="17"/>
        <v>80364322.227199987</v>
      </c>
      <c r="K87" s="58">
        <f t="shared" si="18"/>
        <v>39400535.513855986</v>
      </c>
      <c r="L87" s="32"/>
      <c r="N87" s="104"/>
      <c r="O87" s="104"/>
      <c r="P87" s="104"/>
    </row>
    <row r="88" spans="1:16" s="4" customFormat="1" ht="25.5" hidden="1" customHeight="1" outlineLevel="1">
      <c r="A88" s="27" t="str">
        <f t="shared" si="15"/>
        <v>11A.S3.9</v>
      </c>
      <c r="B88" s="28" t="s">
        <v>205</v>
      </c>
      <c r="C88" s="28" t="s">
        <v>515</v>
      </c>
      <c r="D88" s="29" t="s">
        <v>518</v>
      </c>
      <c r="E88" s="31">
        <v>8</v>
      </c>
      <c r="F88" s="36">
        <v>6</v>
      </c>
      <c r="G88" s="93">
        <f>_xlfn.XLOOKUP(B88, Rate_Master!$A:$A, Rate_Master!$C:$C, "")</f>
        <v>112699.99999999999</v>
      </c>
      <c r="H88" s="93">
        <f>_xlfn.XLOOKUP(B88, Rate_Master!$A:$A, Rate_Master!$D:$D, "")</f>
        <v>0</v>
      </c>
      <c r="I88" s="67">
        <f t="shared" si="16"/>
        <v>112699.99999999999</v>
      </c>
      <c r="J88" s="32">
        <f t="shared" si="17"/>
        <v>901599.99999999988</v>
      </c>
      <c r="K88" s="58">
        <f t="shared" si="18"/>
        <v>676199.99999999988</v>
      </c>
      <c r="L88" s="32"/>
      <c r="N88" s="104"/>
      <c r="O88" s="104"/>
      <c r="P88" s="104"/>
    </row>
    <row r="89" spans="1:16" s="4" customFormat="1" ht="63.75" hidden="1" customHeight="1" outlineLevel="1">
      <c r="A89" s="27" t="str">
        <f t="shared" si="15"/>
        <v>11A.S3.10</v>
      </c>
      <c r="B89" s="28" t="s">
        <v>213</v>
      </c>
      <c r="C89" s="28" t="s">
        <v>542</v>
      </c>
      <c r="D89" s="29" t="s">
        <v>517</v>
      </c>
      <c r="E89" s="31">
        <v>96</v>
      </c>
      <c r="F89" s="36">
        <v>33</v>
      </c>
      <c r="G89" s="93">
        <f>_xlfn.XLOOKUP(B89, Rate_Master!$A:$A, Rate_Master!$C:$C, "")</f>
        <v>162150</v>
      </c>
      <c r="H89" s="93">
        <f>_xlfn.XLOOKUP(B89, Rate_Master!$A:$A, Rate_Master!$D:$D, "")</f>
        <v>0</v>
      </c>
      <c r="I89" s="67">
        <f t="shared" si="16"/>
        <v>162150</v>
      </c>
      <c r="J89" s="32">
        <f t="shared" si="17"/>
        <v>15566400</v>
      </c>
      <c r="K89" s="58">
        <f t="shared" si="18"/>
        <v>5350950</v>
      </c>
      <c r="L89" s="32"/>
      <c r="N89" s="104"/>
      <c r="O89" s="104"/>
      <c r="P89" s="104"/>
    </row>
    <row r="90" spans="1:16" s="4" customFormat="1" ht="25.5" hidden="1" customHeight="1" outlineLevel="1">
      <c r="A90" s="27" t="str">
        <f t="shared" si="15"/>
        <v>11A.S3.11</v>
      </c>
      <c r="B90" s="28" t="s">
        <v>80</v>
      </c>
      <c r="C90" s="28" t="s">
        <v>515</v>
      </c>
      <c r="D90" s="29" t="s">
        <v>457</v>
      </c>
      <c r="E90" s="31">
        <v>1</v>
      </c>
      <c r="F90" s="36">
        <v>1</v>
      </c>
      <c r="G90" s="93">
        <f>_xlfn.XLOOKUP(B90, Rate_Master!$A:$A, Rate_Master!$C:$C, "")</f>
        <v>0</v>
      </c>
      <c r="H90" s="93">
        <f>_xlfn.XLOOKUP(B90, Rate_Master!$A:$A, Rate_Master!$D:$D, "")</f>
        <v>57499999.999999993</v>
      </c>
      <c r="I90" s="67">
        <f t="shared" si="16"/>
        <v>57499999.999999993</v>
      </c>
      <c r="J90" s="32">
        <f t="shared" si="17"/>
        <v>57499999.999999993</v>
      </c>
      <c r="K90" s="58">
        <f t="shared" si="18"/>
        <v>57499999.999999993</v>
      </c>
      <c r="L90" s="32"/>
      <c r="N90" s="104"/>
      <c r="O90" s="104"/>
      <c r="P90" s="104"/>
    </row>
    <row r="91" spans="1:16" s="4" customFormat="1" ht="25.5" hidden="1" customHeight="1" outlineLevel="1">
      <c r="A91" s="27" t="str">
        <f t="shared" si="15"/>
        <v>11A.S3.12</v>
      </c>
      <c r="B91" s="28" t="s">
        <v>81</v>
      </c>
      <c r="C91" s="28" t="s">
        <v>515</v>
      </c>
      <c r="D91" s="29" t="s">
        <v>520</v>
      </c>
      <c r="E91" s="31">
        <v>959.4325</v>
      </c>
      <c r="F91" s="36">
        <v>995.31989999999996</v>
      </c>
      <c r="G91" s="93">
        <f>_xlfn.XLOOKUP(B91, Rate_Master!$A:$A, Rate_Master!$C:$C, "")</f>
        <v>0</v>
      </c>
      <c r="H91" s="93">
        <f>_xlfn.XLOOKUP(B91, Rate_Master!$A:$A, Rate_Master!$D:$D, "")</f>
        <v>40250</v>
      </c>
      <c r="I91" s="67">
        <f t="shared" si="16"/>
        <v>40250</v>
      </c>
      <c r="J91" s="32">
        <f t="shared" si="17"/>
        <v>38617158.125</v>
      </c>
      <c r="K91" s="58">
        <f t="shared" si="18"/>
        <v>40061625.975000001</v>
      </c>
      <c r="L91" s="32"/>
      <c r="N91" s="104"/>
      <c r="O91" s="104"/>
      <c r="P91" s="104"/>
    </row>
    <row r="92" spans="1:16" s="4" customFormat="1" ht="38.25" hidden="1" customHeight="1" outlineLevel="1">
      <c r="A92" s="27" t="str">
        <f t="shared" si="15"/>
        <v>11A.S3.13</v>
      </c>
      <c r="B92" s="28" t="s">
        <v>82</v>
      </c>
      <c r="C92" s="28" t="s">
        <v>515</v>
      </c>
      <c r="D92" s="29" t="s">
        <v>517</v>
      </c>
      <c r="E92" s="31">
        <v>241.41</v>
      </c>
      <c r="F92" s="36">
        <v>288.60000000000002</v>
      </c>
      <c r="G92" s="93">
        <f>_xlfn.XLOOKUP(B92, Rate_Master!$A:$A, Rate_Master!$C:$C, "")</f>
        <v>0</v>
      </c>
      <c r="H92" s="93">
        <f>_xlfn.XLOOKUP(B92, Rate_Master!$A:$A, Rate_Master!$D:$D, "")</f>
        <v>23000</v>
      </c>
      <c r="I92" s="67">
        <f t="shared" si="16"/>
        <v>23000</v>
      </c>
      <c r="J92" s="32">
        <f t="shared" si="17"/>
        <v>5552430</v>
      </c>
      <c r="K92" s="58">
        <f t="shared" si="18"/>
        <v>6637800.0000000009</v>
      </c>
      <c r="L92" s="32"/>
      <c r="N92" s="104"/>
      <c r="O92" s="104"/>
      <c r="P92" s="104"/>
    </row>
    <row r="93" spans="1:16" s="4" customFormat="1" ht="25.5" hidden="1" customHeight="1" outlineLevel="1">
      <c r="A93" s="27" t="str">
        <f t="shared" si="15"/>
        <v>11A.S3.14</v>
      </c>
      <c r="B93" s="28" t="s">
        <v>83</v>
      </c>
      <c r="C93" s="28" t="s">
        <v>543</v>
      </c>
      <c r="D93" s="29" t="s">
        <v>457</v>
      </c>
      <c r="E93" s="31">
        <v>1</v>
      </c>
      <c r="F93" s="36">
        <v>1</v>
      </c>
      <c r="G93" s="93">
        <f>_xlfn.XLOOKUP(B93, Rate_Master!$A:$A, Rate_Master!$C:$C, "")</f>
        <v>145942235.10876715</v>
      </c>
      <c r="H93" s="93">
        <f>_xlfn.XLOOKUP(B93, Rate_Master!$A:$A, Rate_Master!$D:$D, "")</f>
        <v>0</v>
      </c>
      <c r="I93" s="67">
        <f t="shared" si="16"/>
        <v>145942235.10876715</v>
      </c>
      <c r="J93" s="32">
        <f t="shared" si="17"/>
        <v>145942235.10876715</v>
      </c>
      <c r="K93" s="58">
        <f t="shared" si="18"/>
        <v>145942235.10876715</v>
      </c>
      <c r="L93" s="32"/>
      <c r="N93" s="104"/>
      <c r="O93" s="104"/>
      <c r="P93" s="104"/>
    </row>
    <row r="94" spans="1:16" s="3" customFormat="1" ht="25.5" customHeight="1" collapsed="1">
      <c r="A94" s="22" t="str">
        <f>$A$56&amp;4</f>
        <v>11A.S4</v>
      </c>
      <c r="B94" s="23" t="s">
        <v>84</v>
      </c>
      <c r="C94" s="23" t="s">
        <v>515</v>
      </c>
      <c r="D94" s="22"/>
      <c r="E94" s="25"/>
      <c r="F94" s="87"/>
      <c r="G94" s="25">
        <f>_xlfn.XLOOKUP(B94, Rate_Master!$A:$A, Rate_Master!$C:$C, "")</f>
        <v>0</v>
      </c>
      <c r="H94" s="25">
        <f>_xlfn.XLOOKUP(B94, Rate_Master!$A:$A, Rate_Master!$D:$D, "")</f>
        <v>0</v>
      </c>
      <c r="I94" s="68"/>
      <c r="J94" s="26">
        <f>SUBTOTAL(9,J95:J102)</f>
        <v>0</v>
      </c>
      <c r="K94" s="89"/>
      <c r="L94" s="26"/>
      <c r="N94" s="104"/>
      <c r="O94" s="104"/>
      <c r="P94" s="104"/>
    </row>
    <row r="95" spans="1:16" s="4" customFormat="1" ht="38.25" hidden="1" customHeight="1" outlineLevel="1">
      <c r="A95" s="37" t="str">
        <f t="shared" ref="A95:A102" si="19">$A$94&amp;"."&amp;ROW()-ROW($A$94)</f>
        <v>11A.S4.1</v>
      </c>
      <c r="B95" s="38" t="s">
        <v>85</v>
      </c>
      <c r="C95" s="38" t="s">
        <v>544</v>
      </c>
      <c r="D95" s="39" t="s">
        <v>517</v>
      </c>
      <c r="E95" s="40">
        <v>0</v>
      </c>
      <c r="F95" s="88"/>
      <c r="G95" s="42">
        <f>_xlfn.XLOOKUP(B95, Rate_Master!$A:$A, Rate_Master!$C:$C, "")</f>
        <v>5175000</v>
      </c>
      <c r="H95" s="42">
        <f>_xlfn.XLOOKUP(B95, Rate_Master!$A:$A, Rate_Master!$D:$D, "")</f>
        <v>0</v>
      </c>
      <c r="I95" s="69">
        <f t="shared" ref="I95:I104" si="20">G95+H95</f>
        <v>5175000</v>
      </c>
      <c r="J95" s="41">
        <f t="shared" ref="J95:J102" si="21">I95*E95</f>
        <v>0</v>
      </c>
      <c r="K95" s="92"/>
      <c r="L95" s="41"/>
      <c r="N95" s="104"/>
      <c r="O95" s="104"/>
      <c r="P95" s="104"/>
    </row>
    <row r="96" spans="1:16" s="4" customFormat="1" ht="38.25" hidden="1" customHeight="1" outlineLevel="1">
      <c r="A96" s="37" t="str">
        <f t="shared" si="19"/>
        <v>11A.S4.2</v>
      </c>
      <c r="B96" s="38" t="s">
        <v>86</v>
      </c>
      <c r="C96" s="38" t="s">
        <v>545</v>
      </c>
      <c r="D96" s="39" t="s">
        <v>517</v>
      </c>
      <c r="E96" s="40">
        <v>0</v>
      </c>
      <c r="F96" s="88"/>
      <c r="G96" s="42">
        <f>_xlfn.XLOOKUP(B96, Rate_Master!$A:$A, Rate_Master!$C:$C, "")</f>
        <v>0</v>
      </c>
      <c r="H96" s="42">
        <f>_xlfn.XLOOKUP(B96, Rate_Master!$A:$A, Rate_Master!$D:$D, "")</f>
        <v>0</v>
      </c>
      <c r="I96" s="69">
        <f t="shared" si="20"/>
        <v>0</v>
      </c>
      <c r="J96" s="41">
        <f t="shared" si="21"/>
        <v>0</v>
      </c>
      <c r="K96" s="92"/>
      <c r="L96" s="41"/>
      <c r="N96" s="104"/>
      <c r="O96" s="104"/>
      <c r="P96" s="104"/>
    </row>
    <row r="97" spans="1:16" s="4" customFormat="1" ht="38.25" hidden="1" customHeight="1" outlineLevel="1">
      <c r="A97" s="37" t="str">
        <f t="shared" si="19"/>
        <v>11A.S4.3</v>
      </c>
      <c r="B97" s="38" t="s">
        <v>87</v>
      </c>
      <c r="C97" s="38" t="s">
        <v>546</v>
      </c>
      <c r="D97" s="39" t="s">
        <v>517</v>
      </c>
      <c r="E97" s="40">
        <v>0</v>
      </c>
      <c r="F97" s="88"/>
      <c r="G97" s="42">
        <f>_xlfn.XLOOKUP(B97, Rate_Master!$A:$A, Rate_Master!$C:$C, "")</f>
        <v>0</v>
      </c>
      <c r="H97" s="42">
        <f>_xlfn.XLOOKUP(B97, Rate_Master!$A:$A, Rate_Master!$D:$D, "")</f>
        <v>0</v>
      </c>
      <c r="I97" s="69">
        <f t="shared" si="20"/>
        <v>0</v>
      </c>
      <c r="J97" s="41">
        <f t="shared" si="21"/>
        <v>0</v>
      </c>
      <c r="K97" s="92"/>
      <c r="L97" s="41"/>
      <c r="N97" s="104"/>
      <c r="O97" s="104"/>
      <c r="P97" s="104"/>
    </row>
    <row r="98" spans="1:16" s="4" customFormat="1" ht="25.5" hidden="1" customHeight="1" outlineLevel="1">
      <c r="A98" s="37" t="str">
        <f t="shared" si="19"/>
        <v>11A.S4.4</v>
      </c>
      <c r="B98" s="38" t="s">
        <v>88</v>
      </c>
      <c r="C98" s="38" t="s">
        <v>546</v>
      </c>
      <c r="D98" s="39" t="s">
        <v>517</v>
      </c>
      <c r="E98" s="40">
        <v>0</v>
      </c>
      <c r="F98" s="88"/>
      <c r="G98" s="42">
        <f>_xlfn.XLOOKUP(B98, Rate_Master!$A:$A, Rate_Master!$C:$C, "")</f>
        <v>0</v>
      </c>
      <c r="H98" s="42">
        <f>_xlfn.XLOOKUP(B98, Rate_Master!$A:$A, Rate_Master!$D:$D, "")</f>
        <v>0</v>
      </c>
      <c r="I98" s="69">
        <f t="shared" si="20"/>
        <v>0</v>
      </c>
      <c r="J98" s="41">
        <f t="shared" si="21"/>
        <v>0</v>
      </c>
      <c r="K98" s="92"/>
      <c r="L98" s="41"/>
      <c r="N98" s="104"/>
      <c r="O98" s="104"/>
      <c r="P98" s="104"/>
    </row>
    <row r="99" spans="1:16" s="4" customFormat="1" ht="51" hidden="1" customHeight="1" outlineLevel="1">
      <c r="A99" s="37" t="str">
        <f t="shared" si="19"/>
        <v>11A.S4.5</v>
      </c>
      <c r="B99" s="38" t="s">
        <v>89</v>
      </c>
      <c r="C99" s="38" t="s">
        <v>547</v>
      </c>
      <c r="D99" s="39" t="s">
        <v>520</v>
      </c>
      <c r="E99" s="40">
        <v>0</v>
      </c>
      <c r="F99" s="88"/>
      <c r="G99" s="42">
        <f>_xlfn.XLOOKUP(B99, Rate_Master!$A:$A, Rate_Master!$C:$C, "")</f>
        <v>17250</v>
      </c>
      <c r="H99" s="42">
        <f>_xlfn.XLOOKUP(B99, Rate_Master!$A:$A, Rate_Master!$D:$D, "")</f>
        <v>5750</v>
      </c>
      <c r="I99" s="69">
        <f t="shared" si="20"/>
        <v>23000</v>
      </c>
      <c r="J99" s="41">
        <f t="shared" si="21"/>
        <v>0</v>
      </c>
      <c r="K99" s="92"/>
      <c r="L99" s="41"/>
      <c r="N99" s="104"/>
      <c r="O99" s="104"/>
      <c r="P99" s="104"/>
    </row>
    <row r="100" spans="1:16" s="4" customFormat="1" ht="38.25" hidden="1" customHeight="1" outlineLevel="1">
      <c r="A100" s="37" t="str">
        <f t="shared" si="19"/>
        <v>11A.S4.6</v>
      </c>
      <c r="B100" s="38" t="s">
        <v>90</v>
      </c>
      <c r="C100" s="38" t="s">
        <v>548</v>
      </c>
      <c r="D100" s="39" t="s">
        <v>520</v>
      </c>
      <c r="E100" s="40">
        <v>0</v>
      </c>
      <c r="F100" s="88"/>
      <c r="G100" s="42">
        <f>_xlfn.XLOOKUP(B100, Rate_Master!$A:$A, Rate_Master!$C:$C, "")</f>
        <v>0</v>
      </c>
      <c r="H100" s="42">
        <f>_xlfn.XLOOKUP(B100, Rate_Master!$A:$A, Rate_Master!$D:$D, "")</f>
        <v>0</v>
      </c>
      <c r="I100" s="69">
        <f t="shared" si="20"/>
        <v>0</v>
      </c>
      <c r="J100" s="41">
        <f t="shared" si="21"/>
        <v>0</v>
      </c>
      <c r="K100" s="92"/>
      <c r="L100" s="41"/>
      <c r="N100" s="104"/>
      <c r="O100" s="104"/>
      <c r="P100" s="104"/>
    </row>
    <row r="101" spans="1:16" s="4" customFormat="1" ht="25.5" hidden="1" customHeight="1" outlineLevel="1">
      <c r="A101" s="37" t="str">
        <f t="shared" si="19"/>
        <v>11A.S4.7</v>
      </c>
      <c r="B101" s="38" t="s">
        <v>91</v>
      </c>
      <c r="C101" s="38" t="s">
        <v>515</v>
      </c>
      <c r="D101" s="39" t="s">
        <v>457</v>
      </c>
      <c r="E101" s="40">
        <v>0</v>
      </c>
      <c r="F101" s="88"/>
      <c r="G101" s="42">
        <f>_xlfn.XLOOKUP(B101, Rate_Master!$A:$A, Rate_Master!$C:$C, "")</f>
        <v>0</v>
      </c>
      <c r="H101" s="42">
        <f>_xlfn.XLOOKUP(B101, Rate_Master!$A:$A, Rate_Master!$D:$D, "")</f>
        <v>0</v>
      </c>
      <c r="I101" s="69">
        <f t="shared" si="20"/>
        <v>0</v>
      </c>
      <c r="J101" s="41">
        <f t="shared" si="21"/>
        <v>0</v>
      </c>
      <c r="K101" s="92"/>
      <c r="L101" s="41"/>
      <c r="N101" s="104"/>
      <c r="O101" s="104"/>
      <c r="P101" s="104"/>
    </row>
    <row r="102" spans="1:16" s="4" customFormat="1" ht="51" hidden="1" customHeight="1" outlineLevel="1">
      <c r="A102" s="37" t="str">
        <f t="shared" si="19"/>
        <v>11A.S4.8</v>
      </c>
      <c r="B102" s="38" t="s">
        <v>92</v>
      </c>
      <c r="C102" s="38" t="s">
        <v>550</v>
      </c>
      <c r="D102" s="39" t="s">
        <v>520</v>
      </c>
      <c r="E102" s="40">
        <v>0</v>
      </c>
      <c r="F102" s="88"/>
      <c r="G102" s="42">
        <f>_xlfn.XLOOKUP(B102, Rate_Master!$A:$A, Rate_Master!$C:$C, "")</f>
        <v>16099.999999999998</v>
      </c>
      <c r="H102" s="42">
        <f>_xlfn.XLOOKUP(B102, Rate_Master!$A:$A, Rate_Master!$D:$D, "")</f>
        <v>3449.9999999999995</v>
      </c>
      <c r="I102" s="69">
        <f t="shared" si="20"/>
        <v>19549.999999999996</v>
      </c>
      <c r="J102" s="41">
        <f t="shared" si="21"/>
        <v>0</v>
      </c>
      <c r="K102" s="92"/>
      <c r="L102" s="41"/>
      <c r="N102" s="104"/>
      <c r="O102" s="104"/>
      <c r="P102" s="104"/>
    </row>
    <row r="103" spans="1:16" s="3" customFormat="1" ht="25.5" customHeight="1" collapsed="1">
      <c r="A103" s="22" t="str">
        <f>$A$9&amp;".F"</f>
        <v>11A.F</v>
      </c>
      <c r="B103" s="23" t="s">
        <v>93</v>
      </c>
      <c r="C103" s="23" t="s">
        <v>515</v>
      </c>
      <c r="D103" s="22"/>
      <c r="E103" s="25"/>
      <c r="F103" s="25"/>
      <c r="G103" s="25">
        <f>_xlfn.XLOOKUP(B103, Rate_Master!$A:$A, Rate_Master!$C:$C, "")</f>
        <v>0</v>
      </c>
      <c r="H103" s="25">
        <f>_xlfn.XLOOKUP(B103, Rate_Master!$A:$A, Rate_Master!$D:$D, "")</f>
        <v>0</v>
      </c>
      <c r="I103" s="26">
        <f t="shared" si="20"/>
        <v>0</v>
      </c>
      <c r="J103" s="26"/>
      <c r="K103" s="89"/>
      <c r="L103" s="26"/>
    </row>
    <row r="104" spans="1:16" s="3" customFormat="1" ht="25.5" customHeight="1">
      <c r="A104" s="22" t="str">
        <f>$A$103&amp;1</f>
        <v>11A.F1</v>
      </c>
      <c r="B104" s="23" t="s">
        <v>94</v>
      </c>
      <c r="C104" s="23" t="s">
        <v>515</v>
      </c>
      <c r="D104" s="22"/>
      <c r="E104" s="25"/>
      <c r="F104" s="25"/>
      <c r="G104" s="25">
        <f>_xlfn.XLOOKUP(B104, Rate_Master!$A:$A, Rate_Master!$C:$C, "")</f>
        <v>0</v>
      </c>
      <c r="H104" s="25">
        <f>_xlfn.XLOOKUP(B104, Rate_Master!$A:$A, Rate_Master!$D:$D, "")</f>
        <v>0</v>
      </c>
      <c r="I104" s="26">
        <f t="shared" si="20"/>
        <v>0</v>
      </c>
      <c r="J104" s="26">
        <f>SUBTOTAL(9,J105:J122)</f>
        <v>1082225620.4130759</v>
      </c>
      <c r="K104" s="89">
        <f>SUBTOTAL(9,K105:K122)</f>
        <v>1082225620.4130759</v>
      </c>
      <c r="L104" s="26"/>
    </row>
    <row r="105" spans="1:16" s="4" customFormat="1" ht="25.5" hidden="1" customHeight="1" outlineLevel="1">
      <c r="A105" s="27" t="str">
        <f t="shared" ref="A105:A122" si="22">$A$104&amp;"."&amp;ROW()-ROW($A$104)</f>
        <v>11A.F1.1</v>
      </c>
      <c r="B105" s="35" t="s">
        <v>95</v>
      </c>
      <c r="C105" s="34" t="s">
        <v>551</v>
      </c>
      <c r="D105" s="29" t="s">
        <v>519</v>
      </c>
      <c r="E105" s="31">
        <v>184.13499999999999</v>
      </c>
      <c r="F105" s="31">
        <v>184.13499999999999</v>
      </c>
      <c r="G105" s="30">
        <f>_xlfn.XLOOKUP(B105, Rate_Master!$A:$A, Rate_Master!$C:$C, "")</f>
        <v>1587600.0077618286</v>
      </c>
      <c r="H105" s="30">
        <f>_xlfn.XLOOKUP(B105, Rate_Master!$A:$A, Rate_Master!$D:$D, "")</f>
        <v>1086539.80861244</v>
      </c>
      <c r="I105" s="32">
        <f t="shared" ref="I105:I122" si="23">+H105+G105</f>
        <v>2674139.8163742684</v>
      </c>
      <c r="J105" s="32">
        <f t="shared" ref="J105:J122" si="24">I105*E105</f>
        <v>492402735.08807588</v>
      </c>
      <c r="K105" s="58">
        <f t="shared" ref="K105:K122" si="25">I105*F105</f>
        <v>492402735.08807588</v>
      </c>
      <c r="L105" s="32"/>
    </row>
    <row r="106" spans="1:16" s="4" customFormat="1" ht="25.5" hidden="1" customHeight="1" outlineLevel="1">
      <c r="A106" s="27" t="str">
        <f t="shared" si="22"/>
        <v>11A.F1.2</v>
      </c>
      <c r="B106" s="35" t="s">
        <v>96</v>
      </c>
      <c r="C106" s="34" t="s">
        <v>551</v>
      </c>
      <c r="D106" s="29" t="s">
        <v>519</v>
      </c>
      <c r="E106" s="31">
        <v>0</v>
      </c>
      <c r="F106" s="31">
        <v>0</v>
      </c>
      <c r="G106" s="30">
        <f>_xlfn.XLOOKUP(B106, Rate_Master!$A:$A, Rate_Master!$C:$C, "")</f>
        <v>1368500</v>
      </c>
      <c r="H106" s="30">
        <f>_xlfn.XLOOKUP(B106, Rate_Master!$A:$A, Rate_Master!$D:$D, "")</f>
        <v>948749.99999999988</v>
      </c>
      <c r="I106" s="32">
        <f t="shared" si="23"/>
        <v>2317250</v>
      </c>
      <c r="J106" s="32">
        <f t="shared" si="24"/>
        <v>0</v>
      </c>
      <c r="K106" s="58">
        <f t="shared" si="25"/>
        <v>0</v>
      </c>
      <c r="L106" s="32"/>
    </row>
    <row r="107" spans="1:16" s="4" customFormat="1" ht="63.75" hidden="1" customHeight="1" outlineLevel="1">
      <c r="A107" s="27" t="str">
        <f t="shared" si="22"/>
        <v>11A.F1.3</v>
      </c>
      <c r="B107" s="28" t="s">
        <v>97</v>
      </c>
      <c r="C107" s="34" t="s">
        <v>552</v>
      </c>
      <c r="D107" s="29" t="s">
        <v>520</v>
      </c>
      <c r="E107" s="31">
        <v>0</v>
      </c>
      <c r="F107" s="31">
        <v>0</v>
      </c>
      <c r="G107" s="31">
        <f>_xlfn.XLOOKUP(B107, Rate_Master!$A:$A, Rate_Master!$C:$C, "")</f>
        <v>229999.99999999997</v>
      </c>
      <c r="H107" s="31">
        <f>_xlfn.XLOOKUP(B107, Rate_Master!$A:$A, Rate_Master!$D:$D, "")</f>
        <v>46000</v>
      </c>
      <c r="I107" s="32">
        <f t="shared" si="23"/>
        <v>276000</v>
      </c>
      <c r="J107" s="32">
        <f t="shared" si="24"/>
        <v>0</v>
      </c>
      <c r="K107" s="58">
        <f t="shared" si="25"/>
        <v>0</v>
      </c>
      <c r="L107" s="32"/>
    </row>
    <row r="108" spans="1:16" s="4" customFormat="1" ht="51" hidden="1" customHeight="1" outlineLevel="1">
      <c r="A108" s="27" t="str">
        <f t="shared" si="22"/>
        <v>11A.F1.4</v>
      </c>
      <c r="B108" s="28" t="s">
        <v>98</v>
      </c>
      <c r="C108" s="34" t="s">
        <v>553</v>
      </c>
      <c r="D108" s="29" t="s">
        <v>520</v>
      </c>
      <c r="E108" s="31">
        <v>0</v>
      </c>
      <c r="F108" s="31">
        <v>0</v>
      </c>
      <c r="G108" s="31">
        <f>_xlfn.XLOOKUP(B108, Rate_Master!$A:$A, Rate_Master!$C:$C, "")</f>
        <v>0</v>
      </c>
      <c r="H108" s="31">
        <f>_xlfn.XLOOKUP(B108, Rate_Master!$A:$A, Rate_Master!$D:$D, "")</f>
        <v>0</v>
      </c>
      <c r="I108" s="32">
        <f t="shared" si="23"/>
        <v>0</v>
      </c>
      <c r="J108" s="32">
        <f t="shared" si="24"/>
        <v>0</v>
      </c>
      <c r="K108" s="58">
        <f t="shared" si="25"/>
        <v>0</v>
      </c>
      <c r="L108" s="32"/>
    </row>
    <row r="109" spans="1:16" s="4" customFormat="1" ht="51" hidden="1" customHeight="1" outlineLevel="1">
      <c r="A109" s="27" t="str">
        <f t="shared" si="22"/>
        <v>11A.F1.5</v>
      </c>
      <c r="B109" s="28" t="s">
        <v>99</v>
      </c>
      <c r="C109" s="34" t="s">
        <v>553</v>
      </c>
      <c r="D109" s="29" t="s">
        <v>520</v>
      </c>
      <c r="E109" s="31">
        <v>0</v>
      </c>
      <c r="F109" s="31">
        <v>0</v>
      </c>
      <c r="G109" s="31">
        <f>_xlfn.XLOOKUP(B109, Rate_Master!$A:$A, Rate_Master!$C:$C, "")</f>
        <v>931499.99999999988</v>
      </c>
      <c r="H109" s="31">
        <f>_xlfn.XLOOKUP(B109, Rate_Master!$A:$A, Rate_Master!$D:$D, "")</f>
        <v>114999.99999999999</v>
      </c>
      <c r="I109" s="32">
        <f t="shared" si="23"/>
        <v>1046499.9999999999</v>
      </c>
      <c r="J109" s="32">
        <f t="shared" si="24"/>
        <v>0</v>
      </c>
      <c r="K109" s="58">
        <f t="shared" si="25"/>
        <v>0</v>
      </c>
      <c r="L109" s="32"/>
    </row>
    <row r="110" spans="1:16" s="4" customFormat="1" ht="25.5" hidden="1" customHeight="1" outlineLevel="1">
      <c r="A110" s="27" t="str">
        <f t="shared" si="22"/>
        <v>11A.F1.6</v>
      </c>
      <c r="B110" s="28" t="s">
        <v>100</v>
      </c>
      <c r="C110" s="34" t="s">
        <v>554</v>
      </c>
      <c r="D110" s="29" t="s">
        <v>520</v>
      </c>
      <c r="E110" s="31">
        <v>0</v>
      </c>
      <c r="F110" s="31">
        <v>0</v>
      </c>
      <c r="G110" s="31">
        <f>_xlfn.XLOOKUP(B110, Rate_Master!$A:$A, Rate_Master!$C:$C, "")</f>
        <v>1586790</v>
      </c>
      <c r="H110" s="31">
        <f>_xlfn.XLOOKUP(B110, Rate_Master!$A:$A, Rate_Master!$D:$D, "")</f>
        <v>372210</v>
      </c>
      <c r="I110" s="32">
        <f t="shared" si="23"/>
        <v>1959000</v>
      </c>
      <c r="J110" s="32">
        <f t="shared" si="24"/>
        <v>0</v>
      </c>
      <c r="K110" s="58">
        <f t="shared" si="25"/>
        <v>0</v>
      </c>
      <c r="L110" s="32"/>
    </row>
    <row r="111" spans="1:16" s="4" customFormat="1" ht="51" hidden="1" customHeight="1" outlineLevel="1">
      <c r="A111" s="27" t="str">
        <f t="shared" si="22"/>
        <v>11A.F1.7</v>
      </c>
      <c r="B111" s="28" t="s">
        <v>101</v>
      </c>
      <c r="C111" s="28" t="s">
        <v>515</v>
      </c>
      <c r="D111" s="29" t="s">
        <v>520</v>
      </c>
      <c r="E111" s="31">
        <v>0</v>
      </c>
      <c r="F111" s="31">
        <v>0</v>
      </c>
      <c r="G111" s="31">
        <f>_xlfn.XLOOKUP(B111, Rate_Master!$A:$A, Rate_Master!$C:$C, "")</f>
        <v>1121250</v>
      </c>
      <c r="H111" s="31">
        <f>_xlfn.XLOOKUP(B111, Rate_Master!$A:$A, Rate_Master!$D:$D, "")</f>
        <v>114999.99999999999</v>
      </c>
      <c r="I111" s="32">
        <f t="shared" si="23"/>
        <v>1236250</v>
      </c>
      <c r="J111" s="32">
        <f t="shared" si="24"/>
        <v>0</v>
      </c>
      <c r="K111" s="58">
        <f t="shared" si="25"/>
        <v>0</v>
      </c>
      <c r="L111" s="32"/>
    </row>
    <row r="112" spans="1:16" s="4" customFormat="1" ht="51" hidden="1" customHeight="1" outlineLevel="1">
      <c r="A112" s="27" t="str">
        <f t="shared" si="22"/>
        <v>11A.F1.8</v>
      </c>
      <c r="B112" s="28" t="s">
        <v>102</v>
      </c>
      <c r="C112" s="34" t="s">
        <v>555</v>
      </c>
      <c r="D112" s="29" t="s">
        <v>520</v>
      </c>
      <c r="E112" s="31">
        <v>0</v>
      </c>
      <c r="F112" s="31">
        <v>0</v>
      </c>
      <c r="G112" s="31">
        <f>_xlfn.XLOOKUP(B112, Rate_Master!$A:$A, Rate_Master!$C:$C, "")</f>
        <v>0</v>
      </c>
      <c r="H112" s="31">
        <f>_xlfn.XLOOKUP(B112, Rate_Master!$A:$A, Rate_Master!$D:$D, "")</f>
        <v>0</v>
      </c>
      <c r="I112" s="32">
        <f t="shared" si="23"/>
        <v>0</v>
      </c>
      <c r="J112" s="32">
        <f t="shared" si="24"/>
        <v>0</v>
      </c>
      <c r="K112" s="58">
        <f t="shared" si="25"/>
        <v>0</v>
      </c>
      <c r="L112" s="32"/>
    </row>
    <row r="113" spans="1:12" s="4" customFormat="1" ht="51" hidden="1" customHeight="1" outlineLevel="1">
      <c r="A113" s="27" t="str">
        <f t="shared" si="22"/>
        <v>11A.F1.9</v>
      </c>
      <c r="B113" s="28" t="s">
        <v>103</v>
      </c>
      <c r="C113" s="34" t="s">
        <v>555</v>
      </c>
      <c r="D113" s="29" t="s">
        <v>520</v>
      </c>
      <c r="E113" s="31">
        <v>0</v>
      </c>
      <c r="F113" s="31">
        <v>0</v>
      </c>
      <c r="G113" s="31">
        <f>_xlfn.XLOOKUP(B113, Rate_Master!$A:$A, Rate_Master!$C:$C, "")</f>
        <v>0</v>
      </c>
      <c r="H113" s="31">
        <f>_xlfn.XLOOKUP(B113, Rate_Master!$A:$A, Rate_Master!$D:$D, "")</f>
        <v>0</v>
      </c>
      <c r="I113" s="32">
        <f t="shared" si="23"/>
        <v>0</v>
      </c>
      <c r="J113" s="32">
        <f t="shared" si="24"/>
        <v>0</v>
      </c>
      <c r="K113" s="58">
        <f t="shared" si="25"/>
        <v>0</v>
      </c>
      <c r="L113" s="32"/>
    </row>
    <row r="114" spans="1:12" s="4" customFormat="1" ht="25.5" hidden="1" customHeight="1" outlineLevel="1">
      <c r="A114" s="27" t="str">
        <f t="shared" si="22"/>
        <v>11A.F1.10</v>
      </c>
      <c r="B114" s="28" t="s">
        <v>104</v>
      </c>
      <c r="C114" s="28" t="s">
        <v>515</v>
      </c>
      <c r="D114" s="29" t="s">
        <v>520</v>
      </c>
      <c r="E114" s="31">
        <v>1052.3499999999999</v>
      </c>
      <c r="F114" s="31">
        <v>1052.3499999999999</v>
      </c>
      <c r="G114" s="30">
        <f>_xlfn.XLOOKUP(B114, Rate_Master!$A:$A, Rate_Master!$C:$C, "")</f>
        <v>46000</v>
      </c>
      <c r="H114" s="30">
        <f>_xlfn.XLOOKUP(B114, Rate_Master!$A:$A, Rate_Master!$D:$D, "")</f>
        <v>34500</v>
      </c>
      <c r="I114" s="32">
        <f t="shared" si="23"/>
        <v>80500</v>
      </c>
      <c r="J114" s="32">
        <f t="shared" si="24"/>
        <v>84714175</v>
      </c>
      <c r="K114" s="58">
        <f t="shared" si="25"/>
        <v>84714175</v>
      </c>
      <c r="L114" s="32"/>
    </row>
    <row r="115" spans="1:12" s="4" customFormat="1" ht="25.5" hidden="1" customHeight="1" outlineLevel="1">
      <c r="A115" s="27" t="str">
        <f t="shared" si="22"/>
        <v>11A.F1.11</v>
      </c>
      <c r="B115" s="28" t="s">
        <v>105</v>
      </c>
      <c r="C115" s="34" t="s">
        <v>556</v>
      </c>
      <c r="D115" s="29" t="s">
        <v>520</v>
      </c>
      <c r="E115" s="31">
        <v>1065.606</v>
      </c>
      <c r="F115" s="31">
        <v>1065.606</v>
      </c>
      <c r="G115" s="30">
        <f>_xlfn.XLOOKUP(B115, Rate_Master!$A:$A, Rate_Master!$C:$C, "")</f>
        <v>26565.000000000004</v>
      </c>
      <c r="H115" s="30">
        <f>_xlfn.XLOOKUP(B115, Rate_Master!$A:$A, Rate_Master!$D:$D, "")</f>
        <v>132250</v>
      </c>
      <c r="I115" s="32">
        <f t="shared" si="23"/>
        <v>158815</v>
      </c>
      <c r="J115" s="32">
        <f t="shared" si="24"/>
        <v>169234216.88999999</v>
      </c>
      <c r="K115" s="58">
        <f t="shared" si="25"/>
        <v>169234216.88999999</v>
      </c>
      <c r="L115" s="32"/>
    </row>
    <row r="116" spans="1:12" s="4" customFormat="1" ht="25.5" hidden="1" customHeight="1" outlineLevel="1">
      <c r="A116" s="27" t="str">
        <f t="shared" si="22"/>
        <v>11A.F1.12</v>
      </c>
      <c r="B116" s="28" t="s">
        <v>106</v>
      </c>
      <c r="C116" s="34" t="s">
        <v>556</v>
      </c>
      <c r="D116" s="29" t="s">
        <v>520</v>
      </c>
      <c r="E116" s="31">
        <v>993.28899999999999</v>
      </c>
      <c r="F116" s="31">
        <v>993.28899999999999</v>
      </c>
      <c r="G116" s="30">
        <f>_xlfn.XLOOKUP(B116, Rate_Master!$A:$A, Rate_Master!$C:$C, "")</f>
        <v>26565.000000000004</v>
      </c>
      <c r="H116" s="30">
        <f>_xlfn.XLOOKUP(B116, Rate_Master!$A:$A, Rate_Master!$D:$D, "")</f>
        <v>117299.99999999999</v>
      </c>
      <c r="I116" s="32">
        <f t="shared" si="23"/>
        <v>143865</v>
      </c>
      <c r="J116" s="32">
        <f t="shared" si="24"/>
        <v>142899521.98499998</v>
      </c>
      <c r="K116" s="58">
        <f t="shared" si="25"/>
        <v>142899521.98499998</v>
      </c>
      <c r="L116" s="32"/>
    </row>
    <row r="117" spans="1:12" s="4" customFormat="1" ht="38.25" hidden="1" customHeight="1" outlineLevel="1">
      <c r="A117" s="27" t="str">
        <f t="shared" si="22"/>
        <v>11A.F1.13</v>
      </c>
      <c r="B117" s="28" t="s">
        <v>107</v>
      </c>
      <c r="C117" s="28" t="s">
        <v>515</v>
      </c>
      <c r="D117" s="29" t="s">
        <v>520</v>
      </c>
      <c r="E117" s="31">
        <v>0</v>
      </c>
      <c r="F117" s="31">
        <v>0</v>
      </c>
      <c r="G117" s="31">
        <f>_xlfn.XLOOKUP(B117, Rate_Master!$A:$A, Rate_Master!$C:$C, "")</f>
        <v>218499.99999999997</v>
      </c>
      <c r="H117" s="31">
        <f>_xlfn.XLOOKUP(B117, Rate_Master!$A:$A, Rate_Master!$D:$D, "")</f>
        <v>138000</v>
      </c>
      <c r="I117" s="32">
        <f t="shared" si="23"/>
        <v>356500</v>
      </c>
      <c r="J117" s="32">
        <f t="shared" si="24"/>
        <v>0</v>
      </c>
      <c r="K117" s="58">
        <f t="shared" si="25"/>
        <v>0</v>
      </c>
      <c r="L117" s="32"/>
    </row>
    <row r="118" spans="1:12" s="4" customFormat="1" ht="25.5" hidden="1" customHeight="1" outlineLevel="1">
      <c r="A118" s="27" t="str">
        <f t="shared" si="22"/>
        <v>11A.F1.14</v>
      </c>
      <c r="B118" s="34" t="s">
        <v>108</v>
      </c>
      <c r="C118" s="28" t="s">
        <v>515</v>
      </c>
      <c r="D118" s="29" t="s">
        <v>520</v>
      </c>
      <c r="E118" s="31">
        <v>1065.606</v>
      </c>
      <c r="F118" s="31">
        <v>1065.606</v>
      </c>
      <c r="G118" s="30">
        <f>_xlfn.XLOOKUP(B118, Rate_Master!$A:$A, Rate_Master!$C:$C, "")</f>
        <v>51749.999999999993</v>
      </c>
      <c r="H118" s="30">
        <f>_xlfn.XLOOKUP(B118, Rate_Master!$A:$A, Rate_Master!$D:$D, "")</f>
        <v>34500</v>
      </c>
      <c r="I118" s="32">
        <f t="shared" si="23"/>
        <v>86250</v>
      </c>
      <c r="J118" s="32">
        <f t="shared" si="24"/>
        <v>91908517.5</v>
      </c>
      <c r="K118" s="58">
        <f t="shared" si="25"/>
        <v>91908517.5</v>
      </c>
      <c r="L118" s="32"/>
    </row>
    <row r="119" spans="1:12" s="4" customFormat="1" ht="25.5" hidden="1" customHeight="1" outlineLevel="1">
      <c r="A119" s="27" t="str">
        <f t="shared" si="22"/>
        <v>11A.F1.15</v>
      </c>
      <c r="B119" s="34" t="s">
        <v>109</v>
      </c>
      <c r="C119" s="28" t="s">
        <v>515</v>
      </c>
      <c r="D119" s="29" t="s">
        <v>520</v>
      </c>
      <c r="E119" s="31">
        <v>993.28899999999999</v>
      </c>
      <c r="F119" s="31">
        <v>993.28899999999999</v>
      </c>
      <c r="G119" s="31">
        <f>_xlfn.XLOOKUP(B119, Rate_Master!$A:$A, Rate_Master!$C:$C, "")</f>
        <v>46000</v>
      </c>
      <c r="H119" s="31">
        <f>_xlfn.XLOOKUP(B119, Rate_Master!$A:$A, Rate_Master!$D:$D, "")</f>
        <v>19550</v>
      </c>
      <c r="I119" s="32">
        <f t="shared" si="23"/>
        <v>65550</v>
      </c>
      <c r="J119" s="32">
        <f t="shared" si="24"/>
        <v>65110093.949999996</v>
      </c>
      <c r="K119" s="58">
        <f t="shared" si="25"/>
        <v>65110093.949999996</v>
      </c>
      <c r="L119" s="32"/>
    </row>
    <row r="120" spans="1:12" s="4" customFormat="1" ht="38.25" hidden="1" customHeight="1" outlineLevel="1">
      <c r="A120" s="27" t="str">
        <f t="shared" si="22"/>
        <v>11A.F1.16</v>
      </c>
      <c r="B120" s="34" t="s">
        <v>110</v>
      </c>
      <c r="C120" s="28" t="s">
        <v>515</v>
      </c>
      <c r="D120" s="29" t="s">
        <v>520</v>
      </c>
      <c r="E120" s="31">
        <v>0</v>
      </c>
      <c r="F120" s="31">
        <v>0</v>
      </c>
      <c r="G120" s="31">
        <f>_xlfn.XLOOKUP(B120, Rate_Master!$A:$A, Rate_Master!$C:$C, "")</f>
        <v>51749.999999999993</v>
      </c>
      <c r="H120" s="31">
        <f>_xlfn.XLOOKUP(B120, Rate_Master!$A:$A, Rate_Master!$D:$D, "")</f>
        <v>17250</v>
      </c>
      <c r="I120" s="32">
        <f t="shared" si="23"/>
        <v>69000</v>
      </c>
      <c r="J120" s="32">
        <f t="shared" si="24"/>
        <v>0</v>
      </c>
      <c r="K120" s="58">
        <f t="shared" si="25"/>
        <v>0</v>
      </c>
      <c r="L120" s="32"/>
    </row>
    <row r="121" spans="1:12" s="4" customFormat="1" ht="25.5" hidden="1" customHeight="1" outlineLevel="1">
      <c r="A121" s="27" t="str">
        <f t="shared" si="22"/>
        <v>11A.F1.17</v>
      </c>
      <c r="B121" s="34" t="s">
        <v>111</v>
      </c>
      <c r="C121" s="28" t="s">
        <v>515</v>
      </c>
      <c r="D121" s="29" t="s">
        <v>520</v>
      </c>
      <c r="E121" s="31">
        <v>0</v>
      </c>
      <c r="F121" s="31">
        <v>0</v>
      </c>
      <c r="G121" s="31">
        <f>_xlfn.XLOOKUP(B121, Rate_Master!$A:$A, Rate_Master!$C:$C, "")</f>
        <v>172500</v>
      </c>
      <c r="H121" s="31">
        <f>_xlfn.XLOOKUP(B121, Rate_Master!$A:$A, Rate_Master!$D:$D, "")</f>
        <v>28749.999999999996</v>
      </c>
      <c r="I121" s="32">
        <f t="shared" si="23"/>
        <v>201250</v>
      </c>
      <c r="J121" s="32">
        <f t="shared" si="24"/>
        <v>0</v>
      </c>
      <c r="K121" s="58">
        <f t="shared" si="25"/>
        <v>0</v>
      </c>
      <c r="L121" s="32"/>
    </row>
    <row r="122" spans="1:12" s="4" customFormat="1" ht="38.25" hidden="1" customHeight="1" outlineLevel="1">
      <c r="A122" s="27" t="str">
        <f t="shared" si="22"/>
        <v>11A.F1.18</v>
      </c>
      <c r="B122" s="34" t="s">
        <v>112</v>
      </c>
      <c r="C122" s="34" t="s">
        <v>557</v>
      </c>
      <c r="D122" s="29" t="s">
        <v>517</v>
      </c>
      <c r="E122" s="31">
        <v>167.2</v>
      </c>
      <c r="F122" s="31">
        <v>167.2</v>
      </c>
      <c r="G122" s="31">
        <f>_xlfn.XLOOKUP(B122, Rate_Master!$A:$A, Rate_Master!$C:$C, "")</f>
        <v>163300</v>
      </c>
      <c r="H122" s="31">
        <f>_xlfn.XLOOKUP(B122, Rate_Master!$A:$A, Rate_Master!$D:$D, "")</f>
        <v>51749.999999999993</v>
      </c>
      <c r="I122" s="32">
        <f t="shared" si="23"/>
        <v>215050</v>
      </c>
      <c r="J122" s="32">
        <f t="shared" si="24"/>
        <v>35956360</v>
      </c>
      <c r="K122" s="58">
        <f t="shared" si="25"/>
        <v>35956360</v>
      </c>
      <c r="L122" s="32"/>
    </row>
    <row r="123" spans="1:12" s="3" customFormat="1" ht="25.5" customHeight="1" collapsed="1">
      <c r="A123" s="22" t="str">
        <f>$A$103&amp;2</f>
        <v>11A.F2</v>
      </c>
      <c r="B123" s="23" t="s">
        <v>113</v>
      </c>
      <c r="C123" s="23" t="s">
        <v>515</v>
      </c>
      <c r="D123" s="22"/>
      <c r="E123" s="25"/>
      <c r="F123" s="25"/>
      <c r="G123" s="25">
        <f>_xlfn.XLOOKUP(B123, Rate_Master!$A:$A, Rate_Master!$C:$C, "")</f>
        <v>0</v>
      </c>
      <c r="H123" s="25">
        <f>_xlfn.XLOOKUP(B123, Rate_Master!$A:$A, Rate_Master!$D:$D, "")</f>
        <v>0</v>
      </c>
      <c r="I123" s="26">
        <v>0</v>
      </c>
      <c r="J123" s="26">
        <f>SUBTOTAL(9,J124:J128)</f>
        <v>53806213.79999999</v>
      </c>
      <c r="K123" s="89">
        <f>SUBTOTAL(9,K124:K128)</f>
        <v>53806213.79999999</v>
      </c>
      <c r="L123" s="26"/>
    </row>
    <row r="124" spans="1:12" s="4" customFormat="1" ht="51" hidden="1" customHeight="1" outlineLevel="1">
      <c r="A124" s="27" t="str">
        <f>$A$123&amp;"."&amp;ROW()-ROW($A$123)</f>
        <v>11A.F2.1</v>
      </c>
      <c r="B124" s="34" t="s">
        <v>114</v>
      </c>
      <c r="C124" s="28" t="s">
        <v>515</v>
      </c>
      <c r="D124" s="29" t="s">
        <v>520</v>
      </c>
      <c r="E124" s="31">
        <v>0</v>
      </c>
      <c r="F124" s="31">
        <v>0</v>
      </c>
      <c r="G124" s="30">
        <f>_xlfn.XLOOKUP(B124, Rate_Master!$A:$A, Rate_Master!$C:$C, "")</f>
        <v>206999.99999999997</v>
      </c>
      <c r="H124" s="30">
        <f>_xlfn.XLOOKUP(B124, Rate_Master!$A:$A, Rate_Master!$D:$D, "")</f>
        <v>126499.99999999999</v>
      </c>
      <c r="I124" s="32">
        <v>0</v>
      </c>
      <c r="J124" s="32">
        <f>I124*E124</f>
        <v>0</v>
      </c>
      <c r="K124" s="58">
        <f>I124*F124</f>
        <v>0</v>
      </c>
      <c r="L124" s="32"/>
    </row>
    <row r="125" spans="1:12" s="4" customFormat="1" ht="51" hidden="1" customHeight="1" outlineLevel="1">
      <c r="A125" s="27" t="str">
        <f>$A$123&amp;"."&amp;ROW()-ROW($A$123)</f>
        <v>11A.F2.2</v>
      </c>
      <c r="B125" s="28" t="s">
        <v>115</v>
      </c>
      <c r="C125" s="28" t="s">
        <v>515</v>
      </c>
      <c r="D125" s="29" t="s">
        <v>520</v>
      </c>
      <c r="E125" s="31">
        <v>688.05899999999997</v>
      </c>
      <c r="F125" s="31">
        <v>688.05899999999997</v>
      </c>
      <c r="G125" s="30">
        <f>_xlfn.XLOOKUP(B125, Rate_Master!$A:$A, Rate_Master!$C:$C, "")</f>
        <v>28749.999999999996</v>
      </c>
      <c r="H125" s="30">
        <f>_xlfn.XLOOKUP(B125, Rate_Master!$A:$A, Rate_Master!$D:$D, "")</f>
        <v>49449.999999999993</v>
      </c>
      <c r="I125" s="32">
        <f>+H125+G125</f>
        <v>78199.999999999985</v>
      </c>
      <c r="J125" s="32">
        <f>I125*E125</f>
        <v>53806213.79999999</v>
      </c>
      <c r="K125" s="58">
        <f>I125*F125</f>
        <v>53806213.79999999</v>
      </c>
      <c r="L125" s="32"/>
    </row>
    <row r="126" spans="1:12" s="4" customFormat="1" ht="51" hidden="1" customHeight="1" outlineLevel="1">
      <c r="A126" s="27" t="str">
        <f>$A$123&amp;"."&amp;ROW()-ROW($A$123)</f>
        <v>11A.F2.3</v>
      </c>
      <c r="B126" s="34" t="s">
        <v>116</v>
      </c>
      <c r="C126" s="28" t="s">
        <v>515</v>
      </c>
      <c r="D126" s="29" t="s">
        <v>520</v>
      </c>
      <c r="E126" s="31">
        <v>0</v>
      </c>
      <c r="F126" s="31">
        <v>0</v>
      </c>
      <c r="G126" s="31">
        <f>_xlfn.XLOOKUP(B126, Rate_Master!$A:$A, Rate_Master!$C:$C, "")</f>
        <v>0</v>
      </c>
      <c r="H126" s="31">
        <f>_xlfn.XLOOKUP(B126, Rate_Master!$A:$A, Rate_Master!$D:$D, "")</f>
        <v>0</v>
      </c>
      <c r="I126" s="32">
        <v>0</v>
      </c>
      <c r="J126" s="32">
        <f>I126*E126</f>
        <v>0</v>
      </c>
      <c r="K126" s="58">
        <f>I126*F126</f>
        <v>0</v>
      </c>
      <c r="L126" s="32"/>
    </row>
    <row r="127" spans="1:12" s="4" customFormat="1" ht="51" hidden="1" customHeight="1" outlineLevel="1">
      <c r="A127" s="27" t="str">
        <f>$A$123&amp;"."&amp;ROW()-ROW($A$123)</f>
        <v>11A.F2.4</v>
      </c>
      <c r="B127" s="34" t="s">
        <v>117</v>
      </c>
      <c r="C127" s="28" t="s">
        <v>515</v>
      </c>
      <c r="D127" s="29" t="s">
        <v>520</v>
      </c>
      <c r="E127" s="31">
        <v>0</v>
      </c>
      <c r="F127" s="31">
        <v>0</v>
      </c>
      <c r="G127" s="31">
        <f>_xlfn.XLOOKUP(B127, Rate_Master!$A:$A, Rate_Master!$C:$C, "")</f>
        <v>0</v>
      </c>
      <c r="H127" s="31">
        <f>_xlfn.XLOOKUP(B127, Rate_Master!$A:$A, Rate_Master!$D:$D, "")</f>
        <v>0</v>
      </c>
      <c r="I127" s="32">
        <v>0</v>
      </c>
      <c r="J127" s="32">
        <f>I127*E127</f>
        <v>0</v>
      </c>
      <c r="K127" s="58">
        <f>I127*F127</f>
        <v>0</v>
      </c>
      <c r="L127" s="32"/>
    </row>
    <row r="128" spans="1:12" s="4" customFormat="1" ht="38.25" hidden="1" customHeight="1" outlineLevel="1">
      <c r="A128" s="27" t="str">
        <f>$A$123&amp;"."&amp;ROW()-ROW($A$123)</f>
        <v>11A.F2.5</v>
      </c>
      <c r="B128" s="34" t="s">
        <v>118</v>
      </c>
      <c r="C128" s="28" t="s">
        <v>515</v>
      </c>
      <c r="D128" s="29" t="s">
        <v>520</v>
      </c>
      <c r="E128" s="31">
        <v>0</v>
      </c>
      <c r="F128" s="31">
        <v>0</v>
      </c>
      <c r="G128" s="31">
        <f>_xlfn.XLOOKUP(B128, Rate_Master!$A:$A, Rate_Master!$C:$C, "")</f>
        <v>0</v>
      </c>
      <c r="H128" s="31">
        <f>_xlfn.XLOOKUP(B128, Rate_Master!$A:$A, Rate_Master!$D:$D, "")</f>
        <v>0</v>
      </c>
      <c r="I128" s="32">
        <v>0</v>
      </c>
      <c r="J128" s="32">
        <f>I128*E128</f>
        <v>0</v>
      </c>
      <c r="K128" s="58">
        <f>I128*F128</f>
        <v>0</v>
      </c>
      <c r="L128" s="32"/>
    </row>
    <row r="129" spans="1:12" s="3" customFormat="1" ht="25.5" customHeight="1" collapsed="1">
      <c r="A129" s="22" t="str">
        <f>$A$103&amp;3</f>
        <v>11A.F3</v>
      </c>
      <c r="B129" s="23" t="s">
        <v>119</v>
      </c>
      <c r="C129" s="23" t="s">
        <v>515</v>
      </c>
      <c r="D129" s="22"/>
      <c r="E129" s="25"/>
      <c r="F129" s="25"/>
      <c r="G129" s="25">
        <f>_xlfn.XLOOKUP(B129, Rate_Master!$A:$A, Rate_Master!$C:$C, "")</f>
        <v>0</v>
      </c>
      <c r="H129" s="25">
        <f>_xlfn.XLOOKUP(B129, Rate_Master!$A:$A, Rate_Master!$D:$D, "")</f>
        <v>0</v>
      </c>
      <c r="I129" s="26">
        <v>0</v>
      </c>
      <c r="J129" s="26">
        <f>SUBTOTAL(9,J130:J137)</f>
        <v>20189859.999999996</v>
      </c>
      <c r="K129" s="89">
        <f>SUBTOTAL(9,K130:K137)</f>
        <v>20189859.999999996</v>
      </c>
      <c r="L129" s="26"/>
    </row>
    <row r="130" spans="1:12" s="4" customFormat="1" ht="25.5" hidden="1" customHeight="1" outlineLevel="1">
      <c r="A130" s="27" t="str">
        <f t="shared" ref="A130:A137" si="26">$A$129&amp;"."&amp;ROW()-ROW($A$129)</f>
        <v>11A.F3.1</v>
      </c>
      <c r="B130" s="34" t="s">
        <v>120</v>
      </c>
      <c r="C130" s="28" t="s">
        <v>515</v>
      </c>
      <c r="D130" s="29" t="s">
        <v>520</v>
      </c>
      <c r="E130" s="31">
        <v>702.25599999999997</v>
      </c>
      <c r="F130" s="31">
        <v>702.25599999999997</v>
      </c>
      <c r="G130" s="31">
        <f>_xlfn.XLOOKUP(B130, Rate_Master!$A:$A, Rate_Master!$C:$C, "")</f>
        <v>28749.999999999996</v>
      </c>
      <c r="H130" s="31">
        <f>_xlfn.XLOOKUP(B130, Rate_Master!$A:$A, Rate_Master!$D:$D, "")</f>
        <v>0</v>
      </c>
      <c r="I130" s="32">
        <f>+H130+G130</f>
        <v>28749.999999999996</v>
      </c>
      <c r="J130" s="32">
        <f t="shared" ref="J130:J137" si="27">I130*E130</f>
        <v>20189859.999999996</v>
      </c>
      <c r="K130" s="58">
        <f t="shared" ref="K130:K137" si="28">I130*F130</f>
        <v>20189859.999999996</v>
      </c>
      <c r="L130" s="32"/>
    </row>
    <row r="131" spans="1:12" s="4" customFormat="1" ht="25.5" hidden="1" customHeight="1" outlineLevel="1">
      <c r="A131" s="27" t="str">
        <f t="shared" si="26"/>
        <v>11A.F3.2</v>
      </c>
      <c r="B131" s="34" t="s">
        <v>121</v>
      </c>
      <c r="C131" s="28" t="s">
        <v>515</v>
      </c>
      <c r="D131" s="29" t="s">
        <v>520</v>
      </c>
      <c r="E131" s="31">
        <v>702.25599999999997</v>
      </c>
      <c r="F131" s="31">
        <v>702.25599999999997</v>
      </c>
      <c r="G131" s="31">
        <f>_xlfn.XLOOKUP(B131, Rate_Master!$A:$A, Rate_Master!$C:$C, "")</f>
        <v>0</v>
      </c>
      <c r="H131" s="31">
        <f>_xlfn.XLOOKUP(B131, Rate_Master!$A:$A, Rate_Master!$D:$D, "")</f>
        <v>0</v>
      </c>
      <c r="I131" s="32">
        <f>+H131+G131</f>
        <v>0</v>
      </c>
      <c r="J131" s="32">
        <f t="shared" si="27"/>
        <v>0</v>
      </c>
      <c r="K131" s="58">
        <f t="shared" si="28"/>
        <v>0</v>
      </c>
      <c r="L131" s="32"/>
    </row>
    <row r="132" spans="1:12" s="4" customFormat="1" ht="38.25" hidden="1" customHeight="1" outlineLevel="1">
      <c r="A132" s="27" t="str">
        <f t="shared" si="26"/>
        <v>11A.F3.3</v>
      </c>
      <c r="B132" s="34" t="s">
        <v>122</v>
      </c>
      <c r="C132" s="28" t="s">
        <v>515</v>
      </c>
      <c r="D132" s="29" t="s">
        <v>520</v>
      </c>
      <c r="E132" s="31">
        <v>0</v>
      </c>
      <c r="F132" s="31">
        <v>0</v>
      </c>
      <c r="G132" s="31">
        <f>_xlfn.XLOOKUP(B132, Rate_Master!$A:$A, Rate_Master!$C:$C, "")</f>
        <v>51749.999999999993</v>
      </c>
      <c r="H132" s="31">
        <f>_xlfn.XLOOKUP(B132, Rate_Master!$A:$A, Rate_Master!$D:$D, "")</f>
        <v>23000</v>
      </c>
      <c r="I132" s="32">
        <v>0</v>
      </c>
      <c r="J132" s="32">
        <f t="shared" si="27"/>
        <v>0</v>
      </c>
      <c r="K132" s="58">
        <f t="shared" si="28"/>
        <v>0</v>
      </c>
      <c r="L132" s="32"/>
    </row>
    <row r="133" spans="1:12" s="4" customFormat="1" ht="25.5" hidden="1" customHeight="1" outlineLevel="1">
      <c r="A133" s="27" t="str">
        <f t="shared" si="26"/>
        <v>11A.F3.4</v>
      </c>
      <c r="B133" s="34" t="s">
        <v>123</v>
      </c>
      <c r="C133" s="28" t="s">
        <v>515</v>
      </c>
      <c r="D133" s="29" t="s">
        <v>520</v>
      </c>
      <c r="E133" s="31">
        <v>0</v>
      </c>
      <c r="F133" s="31">
        <v>0</v>
      </c>
      <c r="G133" s="31">
        <f>_xlfn.XLOOKUP(B133, Rate_Master!$A:$A, Rate_Master!$C:$C, "")</f>
        <v>172500</v>
      </c>
      <c r="H133" s="31">
        <f>_xlfn.XLOOKUP(B133, Rate_Master!$A:$A, Rate_Master!$D:$D, "")</f>
        <v>34500</v>
      </c>
      <c r="I133" s="32">
        <v>0</v>
      </c>
      <c r="J133" s="32">
        <f t="shared" si="27"/>
        <v>0</v>
      </c>
      <c r="K133" s="58">
        <f t="shared" si="28"/>
        <v>0</v>
      </c>
      <c r="L133" s="32"/>
    </row>
    <row r="134" spans="1:12" s="4" customFormat="1" ht="51" hidden="1" customHeight="1" outlineLevel="1">
      <c r="A134" s="27" t="str">
        <f t="shared" si="26"/>
        <v>11A.F3.5</v>
      </c>
      <c r="B134" s="28" t="s">
        <v>124</v>
      </c>
      <c r="C134" s="34" t="s">
        <v>553</v>
      </c>
      <c r="D134" s="29" t="s">
        <v>520</v>
      </c>
      <c r="E134" s="31">
        <v>0</v>
      </c>
      <c r="F134" s="31">
        <v>0</v>
      </c>
      <c r="G134" s="30">
        <f>_xlfn.XLOOKUP(B134, Rate_Master!$A:$A, Rate_Master!$C:$C, "")</f>
        <v>1069500</v>
      </c>
      <c r="H134" s="30">
        <f>_xlfn.XLOOKUP(B134, Rate_Master!$A:$A, Rate_Master!$D:$D, "")</f>
        <v>172500</v>
      </c>
      <c r="I134" s="32">
        <v>0</v>
      </c>
      <c r="J134" s="32">
        <f t="shared" si="27"/>
        <v>0</v>
      </c>
      <c r="K134" s="58">
        <f t="shared" si="28"/>
        <v>0</v>
      </c>
      <c r="L134" s="32"/>
    </row>
    <row r="135" spans="1:12" s="4" customFormat="1" ht="51" hidden="1" customHeight="1" outlineLevel="1">
      <c r="A135" s="27" t="str">
        <f t="shared" si="26"/>
        <v>11A.F3.6</v>
      </c>
      <c r="B135" s="34" t="s">
        <v>125</v>
      </c>
      <c r="C135" s="28" t="s">
        <v>515</v>
      </c>
      <c r="D135" s="29" t="s">
        <v>520</v>
      </c>
      <c r="E135" s="31">
        <v>0</v>
      </c>
      <c r="F135" s="31">
        <v>0</v>
      </c>
      <c r="G135" s="30">
        <f>_xlfn.XLOOKUP(B135, Rate_Master!$A:$A, Rate_Master!$C:$C, "")</f>
        <v>965999.99999999988</v>
      </c>
      <c r="H135" s="30">
        <f>_xlfn.XLOOKUP(B135, Rate_Master!$A:$A, Rate_Master!$D:$D, "")</f>
        <v>138000</v>
      </c>
      <c r="I135" s="32">
        <v>0</v>
      </c>
      <c r="J135" s="32">
        <f t="shared" si="27"/>
        <v>0</v>
      </c>
      <c r="K135" s="58">
        <f t="shared" si="28"/>
        <v>0</v>
      </c>
      <c r="L135" s="32"/>
    </row>
    <row r="136" spans="1:12" s="4" customFormat="1" ht="25.5" hidden="1" customHeight="1" outlineLevel="1">
      <c r="A136" s="27" t="str">
        <f t="shared" si="26"/>
        <v>11A.F3.7</v>
      </c>
      <c r="B136" s="28" t="s">
        <v>126</v>
      </c>
      <c r="C136" s="28" t="s">
        <v>515</v>
      </c>
      <c r="D136" s="29" t="s">
        <v>520</v>
      </c>
      <c r="E136" s="31">
        <v>0</v>
      </c>
      <c r="F136" s="31">
        <v>0</v>
      </c>
      <c r="G136" s="30">
        <f>_xlfn.XLOOKUP(B136, Rate_Master!$A:$A, Rate_Master!$C:$C, "")</f>
        <v>0</v>
      </c>
      <c r="H136" s="30">
        <f>_xlfn.XLOOKUP(B136, Rate_Master!$A:$A, Rate_Master!$D:$D, "")</f>
        <v>0</v>
      </c>
      <c r="I136" s="32">
        <v>0</v>
      </c>
      <c r="J136" s="32">
        <f t="shared" si="27"/>
        <v>0</v>
      </c>
      <c r="K136" s="58">
        <f t="shared" si="28"/>
        <v>0</v>
      </c>
      <c r="L136" s="32"/>
    </row>
    <row r="137" spans="1:12" s="4" customFormat="1" ht="25.5" hidden="1" customHeight="1" outlineLevel="1">
      <c r="A137" s="27" t="str">
        <f t="shared" si="26"/>
        <v>11A.F3.8</v>
      </c>
      <c r="B137" s="34" t="s">
        <v>127</v>
      </c>
      <c r="C137" s="28" t="s">
        <v>515</v>
      </c>
      <c r="D137" s="29" t="s">
        <v>520</v>
      </c>
      <c r="E137" s="31">
        <v>0</v>
      </c>
      <c r="F137" s="31">
        <v>0</v>
      </c>
      <c r="G137" s="30">
        <f>_xlfn.XLOOKUP(B137, Rate_Master!$A:$A, Rate_Master!$C:$C, "")</f>
        <v>0</v>
      </c>
      <c r="H137" s="30">
        <f>_xlfn.XLOOKUP(B137, Rate_Master!$A:$A, Rate_Master!$D:$D, "")</f>
        <v>0</v>
      </c>
      <c r="I137" s="32">
        <v>0</v>
      </c>
      <c r="J137" s="32">
        <f t="shared" si="27"/>
        <v>0</v>
      </c>
      <c r="K137" s="58">
        <f t="shared" si="28"/>
        <v>0</v>
      </c>
      <c r="L137" s="32"/>
    </row>
    <row r="138" spans="1:12" s="3" customFormat="1" ht="25.5" customHeight="1" collapsed="1">
      <c r="A138" s="22" t="str">
        <f>$A$103&amp;4</f>
        <v>11A.F4</v>
      </c>
      <c r="B138" s="23" t="s">
        <v>128</v>
      </c>
      <c r="C138" s="23" t="s">
        <v>515</v>
      </c>
      <c r="D138" s="22"/>
      <c r="E138" s="25"/>
      <c r="F138" s="25"/>
      <c r="G138" s="25">
        <f>_xlfn.XLOOKUP(B138, Rate_Master!$A:$A, Rate_Master!$C:$C, "")</f>
        <v>0</v>
      </c>
      <c r="H138" s="25">
        <f>_xlfn.XLOOKUP(B138, Rate_Master!$A:$A, Rate_Master!$D:$D, "")</f>
        <v>0</v>
      </c>
      <c r="I138" s="26">
        <v>0</v>
      </c>
      <c r="J138" s="26">
        <f>SUBTOTAL(9,J139:J141)</f>
        <v>302657000</v>
      </c>
      <c r="K138" s="89">
        <f>SUBTOTAL(9,K139:K141)</f>
        <v>302657000</v>
      </c>
      <c r="L138" s="26"/>
    </row>
    <row r="139" spans="1:12" s="4" customFormat="1" ht="76.5" hidden="1" customHeight="1" outlineLevel="1">
      <c r="A139" s="27" t="str">
        <f>$A$138&amp;"."&amp;ROW()-ROW($A$138)</f>
        <v>11A.F4.1</v>
      </c>
      <c r="B139" s="28" t="s">
        <v>214</v>
      </c>
      <c r="C139" s="28" t="s">
        <v>515</v>
      </c>
      <c r="D139" s="29" t="s">
        <v>516</v>
      </c>
      <c r="E139" s="31">
        <v>19</v>
      </c>
      <c r="F139" s="31">
        <v>19</v>
      </c>
      <c r="G139" s="31">
        <f>_xlfn.XLOOKUP(B139, Rate_Master!$A:$A, Rate_Master!$C:$C, "")</f>
        <v>6623999.9999999991</v>
      </c>
      <c r="H139" s="31">
        <f>_xlfn.XLOOKUP(B139, Rate_Master!$A:$A, Rate_Master!$D:$D, "")</f>
        <v>413999.99999999994</v>
      </c>
      <c r="I139" s="32">
        <f>+G139+H139</f>
        <v>7037999.9999999991</v>
      </c>
      <c r="J139" s="32">
        <f>I139*E139</f>
        <v>133721999.99999999</v>
      </c>
      <c r="K139" s="58">
        <f>I139*F139</f>
        <v>133721999.99999999</v>
      </c>
      <c r="L139" s="32"/>
    </row>
    <row r="140" spans="1:12" s="4" customFormat="1" ht="76.5" hidden="1" customHeight="1" outlineLevel="1">
      <c r="A140" s="27" t="str">
        <f>$A$138&amp;"."&amp;ROW()-ROW($A$138)</f>
        <v>11A.F4.2</v>
      </c>
      <c r="B140" s="28" t="s">
        <v>131</v>
      </c>
      <c r="C140" s="28" t="s">
        <v>515</v>
      </c>
      <c r="D140" s="29" t="s">
        <v>516</v>
      </c>
      <c r="E140" s="31">
        <v>19</v>
      </c>
      <c r="F140" s="31">
        <v>19</v>
      </c>
      <c r="G140" s="31">
        <f>_xlfn.XLOOKUP(B140, Rate_Master!$A:$A, Rate_Master!$C:$C, "")</f>
        <v>5037000</v>
      </c>
      <c r="H140" s="31">
        <f>_xlfn.XLOOKUP(B140, Rate_Master!$A:$A, Rate_Master!$D:$D, "")</f>
        <v>206999.99999999997</v>
      </c>
      <c r="I140" s="32">
        <f>+G140+H140</f>
        <v>5244000</v>
      </c>
      <c r="J140" s="32">
        <f>I140*E140</f>
        <v>99636000</v>
      </c>
      <c r="K140" s="58">
        <f>I140*F140</f>
        <v>99636000</v>
      </c>
      <c r="L140" s="32"/>
    </row>
    <row r="141" spans="1:12" s="4" customFormat="1" ht="38.25" hidden="1" customHeight="1" outlineLevel="1">
      <c r="A141" s="27" t="str">
        <f>$A$138&amp;"."&amp;ROW()-ROW($A$138)</f>
        <v>11A.F4.3</v>
      </c>
      <c r="B141" s="28" t="s">
        <v>215</v>
      </c>
      <c r="C141" s="28" t="s">
        <v>515</v>
      </c>
      <c r="D141" s="29" t="s">
        <v>516</v>
      </c>
      <c r="E141" s="31">
        <v>4</v>
      </c>
      <c r="F141" s="31">
        <v>4</v>
      </c>
      <c r="G141" s="31">
        <f>_xlfn.XLOOKUP(B141, Rate_Master!$A:$A, Rate_Master!$C:$C, "")</f>
        <v>12474049.999999998</v>
      </c>
      <c r="H141" s="31">
        <f>_xlfn.XLOOKUP(B141, Rate_Master!$A:$A, Rate_Master!$D:$D, "")</f>
        <v>4850700</v>
      </c>
      <c r="I141" s="32">
        <f>+G141+H141</f>
        <v>17324750</v>
      </c>
      <c r="J141" s="32">
        <f>I141*E141</f>
        <v>69299000</v>
      </c>
      <c r="K141" s="58">
        <f>I141*F141</f>
        <v>69299000</v>
      </c>
      <c r="L141" s="71" t="s">
        <v>559</v>
      </c>
    </row>
    <row r="142" spans="1:12" s="3" customFormat="1" ht="25.5" customHeight="1" collapsed="1">
      <c r="A142" s="22" t="str">
        <f>$A$103&amp;5</f>
        <v>11A.F5</v>
      </c>
      <c r="B142" s="23" t="s">
        <v>143</v>
      </c>
      <c r="C142" s="23" t="s">
        <v>515</v>
      </c>
      <c r="D142" s="22"/>
      <c r="E142" s="25"/>
      <c r="F142" s="25"/>
      <c r="G142" s="25">
        <f>_xlfn.XLOOKUP(B142, Rate_Master!$A:$A, Rate_Master!$C:$C, "")</f>
        <v>0</v>
      </c>
      <c r="H142" s="25">
        <f>_xlfn.XLOOKUP(B142, Rate_Master!$A:$A, Rate_Master!$D:$D, "")</f>
        <v>0</v>
      </c>
      <c r="I142" s="26">
        <v>0</v>
      </c>
      <c r="J142" s="26">
        <f>SUBTOTAL(9,J143:J145)</f>
        <v>0</v>
      </c>
      <c r="K142" s="89">
        <f>SUBTOTAL(9,K143:K145)</f>
        <v>0</v>
      </c>
      <c r="L142" s="26"/>
    </row>
    <row r="143" spans="1:12" s="4" customFormat="1" ht="51" hidden="1" customHeight="1" outlineLevel="1">
      <c r="A143" s="37" t="str">
        <f>$A$142&amp;"."&amp;ROW()-ROW($A$142)</f>
        <v>11A.F5.1</v>
      </c>
      <c r="B143" s="43" t="s">
        <v>144</v>
      </c>
      <c r="C143" s="38" t="s">
        <v>515</v>
      </c>
      <c r="D143" s="39" t="s">
        <v>517</v>
      </c>
      <c r="E143" s="40">
        <v>0</v>
      </c>
      <c r="F143" s="40">
        <v>0</v>
      </c>
      <c r="G143" s="40">
        <f>_xlfn.XLOOKUP(B143, Rate_Master!$A:$A, Rate_Master!$C:$C, "")</f>
        <v>161000</v>
      </c>
      <c r="H143" s="40">
        <f>_xlfn.XLOOKUP(B143, Rate_Master!$A:$A, Rate_Master!$D:$D, "")</f>
        <v>34500</v>
      </c>
      <c r="I143" s="41">
        <v>0</v>
      </c>
      <c r="J143" s="41">
        <f>I143*E143</f>
        <v>0</v>
      </c>
      <c r="K143" s="92">
        <f>I143*F143</f>
        <v>0</v>
      </c>
      <c r="L143" s="41"/>
    </row>
    <row r="144" spans="1:12" s="4" customFormat="1" ht="38.25" hidden="1" customHeight="1" outlineLevel="1">
      <c r="A144" s="37" t="str">
        <f>$A$142&amp;"."&amp;ROW()-ROW($A$142)</f>
        <v>11A.F5.2</v>
      </c>
      <c r="B144" s="43" t="s">
        <v>145</v>
      </c>
      <c r="C144" s="38" t="s">
        <v>515</v>
      </c>
      <c r="D144" s="39" t="s">
        <v>517</v>
      </c>
      <c r="E144" s="40">
        <v>0</v>
      </c>
      <c r="F144" s="40">
        <v>0</v>
      </c>
      <c r="G144" s="40">
        <f>_xlfn.XLOOKUP(B144, Rate_Master!$A:$A, Rate_Master!$C:$C, "")</f>
        <v>517499.99999999994</v>
      </c>
      <c r="H144" s="40">
        <f>_xlfn.XLOOKUP(B144, Rate_Master!$A:$A, Rate_Master!$D:$D, "")</f>
        <v>57499.999999999993</v>
      </c>
      <c r="I144" s="41">
        <v>0</v>
      </c>
      <c r="J144" s="41">
        <f>I144*E144</f>
        <v>0</v>
      </c>
      <c r="K144" s="92">
        <f>I144*F144</f>
        <v>0</v>
      </c>
      <c r="L144" s="41"/>
    </row>
    <row r="145" spans="1:12" s="4" customFormat="1" ht="38.25" hidden="1" customHeight="1" outlineLevel="1">
      <c r="A145" s="37" t="str">
        <f>$A$142&amp;"."&amp;ROW()-ROW($A$142)</f>
        <v>11A.F5.3</v>
      </c>
      <c r="B145" s="43" t="s">
        <v>146</v>
      </c>
      <c r="C145" s="38" t="s">
        <v>515</v>
      </c>
      <c r="D145" s="39" t="s">
        <v>517</v>
      </c>
      <c r="E145" s="40">
        <v>0</v>
      </c>
      <c r="F145" s="40">
        <v>0</v>
      </c>
      <c r="G145" s="40">
        <f>_xlfn.XLOOKUP(B145, Rate_Master!$A:$A, Rate_Master!$C:$C, "")</f>
        <v>632500</v>
      </c>
      <c r="H145" s="40">
        <f>_xlfn.XLOOKUP(B145, Rate_Master!$A:$A, Rate_Master!$D:$D, "")</f>
        <v>57499.999999999993</v>
      </c>
      <c r="I145" s="41">
        <v>0</v>
      </c>
      <c r="J145" s="41">
        <f>I145*E145</f>
        <v>0</v>
      </c>
      <c r="K145" s="92">
        <f>I145*F145</f>
        <v>0</v>
      </c>
      <c r="L145" s="41"/>
    </row>
    <row r="146" spans="1:12" s="3" customFormat="1" ht="25.5" customHeight="1" collapsed="1">
      <c r="A146" s="22" t="str">
        <f>$A$103&amp;6</f>
        <v>11A.F6</v>
      </c>
      <c r="B146" s="23" t="s">
        <v>147</v>
      </c>
      <c r="C146" s="23" t="s">
        <v>515</v>
      </c>
      <c r="D146" s="22"/>
      <c r="E146" s="25"/>
      <c r="F146" s="25"/>
      <c r="G146" s="25">
        <f>_xlfn.XLOOKUP(B146, Rate_Master!$A:$A, Rate_Master!$C:$C, "")</f>
        <v>0</v>
      </c>
      <c r="H146" s="25">
        <f>_xlfn.XLOOKUP(B146, Rate_Master!$A:$A, Rate_Master!$D:$D, "")</f>
        <v>0</v>
      </c>
      <c r="I146" s="26">
        <v>0</v>
      </c>
      <c r="J146" s="26">
        <f>SUBTOTAL(9,J147:J151)</f>
        <v>533885913.00000006</v>
      </c>
      <c r="K146" s="89">
        <f>SUBTOTAL(9,K147:K151)</f>
        <v>533885913.00000006</v>
      </c>
      <c r="L146" s="26"/>
    </row>
    <row r="147" spans="1:12" s="4" customFormat="1" ht="51" hidden="1" customHeight="1" outlineLevel="1">
      <c r="A147" s="27" t="str">
        <f>$A$146&amp;"."&amp;ROW()-ROW($A$146)</f>
        <v>11A.F6.1</v>
      </c>
      <c r="B147" s="34" t="s">
        <v>148</v>
      </c>
      <c r="C147" s="34" t="s">
        <v>515</v>
      </c>
      <c r="D147" s="29" t="s">
        <v>520</v>
      </c>
      <c r="E147" s="31">
        <v>0</v>
      </c>
      <c r="F147" s="31">
        <v>0</v>
      </c>
      <c r="G147" s="31">
        <f>_xlfn.XLOOKUP(B147, Rate_Master!$A:$A, Rate_Master!$C:$C, "")</f>
        <v>155000</v>
      </c>
      <c r="H147" s="31">
        <f>_xlfn.XLOOKUP(B147, Rate_Master!$A:$A, Rate_Master!$D:$D, "")</f>
        <v>45000</v>
      </c>
      <c r="I147" s="32">
        <v>0</v>
      </c>
      <c r="J147" s="32">
        <f>I147*E147</f>
        <v>0</v>
      </c>
      <c r="K147" s="58">
        <f>I147*F147</f>
        <v>0</v>
      </c>
      <c r="L147" s="32"/>
    </row>
    <row r="148" spans="1:12" s="4" customFormat="1" ht="25.5" hidden="1" customHeight="1" outlineLevel="1">
      <c r="A148" s="27" t="str">
        <f>$A$146&amp;"."&amp;ROW()-ROW($A$146)</f>
        <v>11A.F6.2</v>
      </c>
      <c r="B148" s="34" t="s">
        <v>149</v>
      </c>
      <c r="C148" s="34" t="s">
        <v>515</v>
      </c>
      <c r="D148" s="29" t="s">
        <v>520</v>
      </c>
      <c r="E148" s="31">
        <v>627.36300000000006</v>
      </c>
      <c r="F148" s="31">
        <v>627.36300000000006</v>
      </c>
      <c r="G148" s="31">
        <f>_xlfn.XLOOKUP(B148, Rate_Master!$A:$A, Rate_Master!$C:$C, "")</f>
        <v>310500</v>
      </c>
      <c r="H148" s="31">
        <f>_xlfn.XLOOKUP(B148, Rate_Master!$A:$A, Rate_Master!$D:$D, "")</f>
        <v>34500</v>
      </c>
      <c r="I148" s="32">
        <f>+G148+H148</f>
        <v>345000</v>
      </c>
      <c r="J148" s="32">
        <f>I148*E148</f>
        <v>216440235.00000003</v>
      </c>
      <c r="K148" s="58">
        <f>I148*F148</f>
        <v>216440235.00000003</v>
      </c>
      <c r="L148" s="32"/>
    </row>
    <row r="149" spans="1:12" s="4" customFormat="1" ht="51" hidden="1" customHeight="1" outlineLevel="1">
      <c r="A149" s="27" t="str">
        <f>$A$146&amp;"."&amp;ROW()-ROW($A$146)</f>
        <v>11A.F6.3</v>
      </c>
      <c r="B149" s="34" t="s">
        <v>150</v>
      </c>
      <c r="C149" s="34" t="s">
        <v>515</v>
      </c>
      <c r="D149" s="29" t="s">
        <v>520</v>
      </c>
      <c r="E149" s="31">
        <v>627.36300000000006</v>
      </c>
      <c r="F149" s="31">
        <v>627.36300000000006</v>
      </c>
      <c r="G149" s="31">
        <f>_xlfn.XLOOKUP(B149, Rate_Master!$A:$A, Rate_Master!$C:$C, "")</f>
        <v>287500</v>
      </c>
      <c r="H149" s="31">
        <f>_xlfn.XLOOKUP(B149, Rate_Master!$A:$A, Rate_Master!$D:$D, "")</f>
        <v>69000</v>
      </c>
      <c r="I149" s="32">
        <f>+G149+H149</f>
        <v>356500</v>
      </c>
      <c r="J149" s="32">
        <f>I149*E149</f>
        <v>223654909.50000003</v>
      </c>
      <c r="K149" s="58">
        <f>I149*F149</f>
        <v>223654909.50000003</v>
      </c>
      <c r="L149" s="32"/>
    </row>
    <row r="150" spans="1:12" s="4" customFormat="1" ht="51" hidden="1" customHeight="1" outlineLevel="1">
      <c r="A150" s="27" t="str">
        <f>$A$146&amp;"."&amp;ROW()-ROW($A$146)</f>
        <v>11A.F6.4</v>
      </c>
      <c r="B150" s="34" t="s">
        <v>151</v>
      </c>
      <c r="C150" s="34" t="s">
        <v>515</v>
      </c>
      <c r="D150" s="29" t="s">
        <v>520</v>
      </c>
      <c r="E150" s="31">
        <v>627.36300000000006</v>
      </c>
      <c r="F150" s="31">
        <v>627.36300000000006</v>
      </c>
      <c r="G150" s="31">
        <f>_xlfn.XLOOKUP(B150, Rate_Master!$A:$A, Rate_Master!$C:$C, "")</f>
        <v>23000</v>
      </c>
      <c r="H150" s="31">
        <f>_xlfn.XLOOKUP(B150, Rate_Master!$A:$A, Rate_Master!$D:$D, "")</f>
        <v>126499.99999999999</v>
      </c>
      <c r="I150" s="32">
        <f>+G150+H150</f>
        <v>149500</v>
      </c>
      <c r="J150" s="32">
        <f>I150*E150</f>
        <v>93790768.500000015</v>
      </c>
      <c r="K150" s="58">
        <f>I150*F150</f>
        <v>93790768.500000015</v>
      </c>
      <c r="L150" s="32"/>
    </row>
    <row r="151" spans="1:12" s="4" customFormat="1" ht="63.75" hidden="1" customHeight="1" outlineLevel="1">
      <c r="A151" s="27" t="str">
        <f>$A$146&amp;"."&amp;ROW()-ROW($A$146)</f>
        <v>11A.F6.5</v>
      </c>
      <c r="B151" s="34" t="s">
        <v>152</v>
      </c>
      <c r="C151" s="34" t="s">
        <v>560</v>
      </c>
      <c r="D151" s="29" t="s">
        <v>517</v>
      </c>
      <c r="E151" s="31">
        <v>0</v>
      </c>
      <c r="F151" s="31">
        <v>0</v>
      </c>
      <c r="G151" s="31">
        <f>_xlfn.XLOOKUP(B151, Rate_Master!$A:$A, Rate_Master!$C:$C, "")</f>
        <v>155250</v>
      </c>
      <c r="H151" s="31">
        <f>_xlfn.XLOOKUP(B151, Rate_Master!$A:$A, Rate_Master!$D:$D, "")</f>
        <v>57499.999999999993</v>
      </c>
      <c r="I151" s="32">
        <v>0</v>
      </c>
      <c r="J151" s="32">
        <f>I151*E151</f>
        <v>0</v>
      </c>
      <c r="K151" s="58">
        <f>I151*F151</f>
        <v>0</v>
      </c>
      <c r="L151" s="32"/>
    </row>
    <row r="152" spans="1:12" s="3" customFormat="1" ht="25.5" customHeight="1" collapsed="1">
      <c r="A152" s="22" t="str">
        <f>$A$103&amp;7</f>
        <v>11A.F7</v>
      </c>
      <c r="B152" s="23" t="s">
        <v>84</v>
      </c>
      <c r="C152" s="23" t="s">
        <v>515</v>
      </c>
      <c r="D152" s="22"/>
      <c r="E152" s="25"/>
      <c r="F152" s="25"/>
      <c r="G152" s="25">
        <f>_xlfn.XLOOKUP(B152, Rate_Master!$A:$A, Rate_Master!$C:$C, "")</f>
        <v>0</v>
      </c>
      <c r="H152" s="25">
        <f>_xlfn.XLOOKUP(B152, Rate_Master!$A:$A, Rate_Master!$D:$D, "")</f>
        <v>0</v>
      </c>
      <c r="I152" s="26">
        <v>0</v>
      </c>
      <c r="J152" s="26">
        <f>SUBTOTAL(9,J153:J166)</f>
        <v>67656248</v>
      </c>
      <c r="K152" s="89">
        <f>SUBTOTAL(9,K153:K166)</f>
        <v>67656248</v>
      </c>
      <c r="L152" s="26"/>
    </row>
    <row r="153" spans="1:12" s="4" customFormat="1" ht="38.25" hidden="1" customHeight="1" outlineLevel="1">
      <c r="A153" s="27" t="str">
        <f t="shared" ref="A153:A166" si="29">$A$152&amp;"."&amp;ROW()-ROW($A$152)</f>
        <v>11A.F7.1</v>
      </c>
      <c r="B153" s="48" t="s">
        <v>153</v>
      </c>
      <c r="C153" s="34" t="s">
        <v>561</v>
      </c>
      <c r="D153" s="29" t="s">
        <v>517</v>
      </c>
      <c r="E153" s="31">
        <v>0</v>
      </c>
      <c r="F153" s="31">
        <v>0</v>
      </c>
      <c r="G153" s="31">
        <f>_xlfn.XLOOKUP(B153, Rate_Master!$A:$A, Rate_Master!$C:$C, "")</f>
        <v>4024999.9999999995</v>
      </c>
      <c r="H153" s="31">
        <f>_xlfn.XLOOKUP(B153, Rate_Master!$A:$A, Rate_Master!$D:$D, "")</f>
        <v>1380000</v>
      </c>
      <c r="I153" s="32">
        <v>0</v>
      </c>
      <c r="J153" s="32">
        <f t="shared" ref="J153:J166" si="30">I153*E153</f>
        <v>0</v>
      </c>
      <c r="K153" s="58">
        <f t="shared" ref="K153:K166" si="31">I153*F153</f>
        <v>0</v>
      </c>
      <c r="L153" s="32"/>
    </row>
    <row r="154" spans="1:12" s="4" customFormat="1" ht="38.25" hidden="1" customHeight="1" outlineLevel="1">
      <c r="A154" s="27" t="str">
        <f t="shared" si="29"/>
        <v>11A.F7.2</v>
      </c>
      <c r="B154" s="48" t="s">
        <v>167</v>
      </c>
      <c r="C154" s="34"/>
      <c r="D154" s="29" t="s">
        <v>517</v>
      </c>
      <c r="E154" s="31">
        <v>0</v>
      </c>
      <c r="F154" s="31">
        <v>0</v>
      </c>
      <c r="G154" s="31">
        <f>_xlfn.XLOOKUP(B154, Rate_Master!$A:$A, Rate_Master!$C:$C, "")</f>
        <v>0</v>
      </c>
      <c r="H154" s="31">
        <f>_xlfn.XLOOKUP(B154, Rate_Master!$A:$A, Rate_Master!$D:$D, "")</f>
        <v>0</v>
      </c>
      <c r="I154" s="32">
        <v>0</v>
      </c>
      <c r="J154" s="32">
        <f t="shared" si="30"/>
        <v>0</v>
      </c>
      <c r="K154" s="58">
        <f t="shared" si="31"/>
        <v>0</v>
      </c>
      <c r="L154" s="32"/>
    </row>
    <row r="155" spans="1:12" s="4" customFormat="1" ht="38.25" hidden="1" customHeight="1" outlineLevel="1">
      <c r="A155" s="27" t="str">
        <f t="shared" si="29"/>
        <v>11A.F7.3</v>
      </c>
      <c r="B155" s="48" t="s">
        <v>154</v>
      </c>
      <c r="C155" s="28" t="s">
        <v>515</v>
      </c>
      <c r="D155" s="50" t="s">
        <v>517</v>
      </c>
      <c r="E155" s="31">
        <v>0</v>
      </c>
      <c r="F155" s="31">
        <v>0</v>
      </c>
      <c r="G155" s="31">
        <f>_xlfn.XLOOKUP(B155, Rate_Master!$A:$A, Rate_Master!$C:$C, "")</f>
        <v>359375</v>
      </c>
      <c r="H155" s="31">
        <f>_xlfn.XLOOKUP(B155, Rate_Master!$A:$A, Rate_Master!$D:$D, "")</f>
        <v>71875</v>
      </c>
      <c r="I155" s="32">
        <v>0</v>
      </c>
      <c r="J155" s="32">
        <f t="shared" si="30"/>
        <v>0</v>
      </c>
      <c r="K155" s="58">
        <f t="shared" si="31"/>
        <v>0</v>
      </c>
      <c r="L155" s="32"/>
    </row>
    <row r="156" spans="1:12" s="4" customFormat="1" ht="25.5" hidden="1" customHeight="1" outlineLevel="1">
      <c r="A156" s="27" t="str">
        <f t="shared" si="29"/>
        <v>11A.F7.4</v>
      </c>
      <c r="B156" s="51" t="s">
        <v>155</v>
      </c>
      <c r="C156" s="28" t="s">
        <v>515</v>
      </c>
      <c r="D156" s="50" t="s">
        <v>517</v>
      </c>
      <c r="E156" s="31">
        <v>0</v>
      </c>
      <c r="F156" s="31">
        <v>0</v>
      </c>
      <c r="G156" s="31">
        <f>_xlfn.XLOOKUP(B156, Rate_Master!$A:$A, Rate_Master!$C:$C, "")</f>
        <v>1954999.9999999998</v>
      </c>
      <c r="H156" s="31">
        <f>_xlfn.XLOOKUP(B156, Rate_Master!$A:$A, Rate_Master!$D:$D, "")</f>
        <v>114999.99999999999</v>
      </c>
      <c r="I156" s="32">
        <v>0</v>
      </c>
      <c r="J156" s="32">
        <f t="shared" si="30"/>
        <v>0</v>
      </c>
      <c r="K156" s="58">
        <f t="shared" si="31"/>
        <v>0</v>
      </c>
      <c r="L156" s="32"/>
    </row>
    <row r="157" spans="1:12" s="4" customFormat="1" ht="51" hidden="1" customHeight="1" outlineLevel="1">
      <c r="A157" s="27" t="str">
        <f t="shared" si="29"/>
        <v>11A.F7.5</v>
      </c>
      <c r="B157" s="51" t="s">
        <v>168</v>
      </c>
      <c r="C157" s="28"/>
      <c r="D157" s="50" t="s">
        <v>517</v>
      </c>
      <c r="E157" s="31">
        <v>0</v>
      </c>
      <c r="F157" s="31">
        <v>0</v>
      </c>
      <c r="G157" s="31">
        <f>_xlfn.XLOOKUP(B157, Rate_Master!$A:$A, Rate_Master!$C:$C, "")</f>
        <v>0</v>
      </c>
      <c r="H157" s="31">
        <f>_xlfn.XLOOKUP(B157, Rate_Master!$A:$A, Rate_Master!$D:$D, "")</f>
        <v>0</v>
      </c>
      <c r="I157" s="32">
        <v>0</v>
      </c>
      <c r="J157" s="32">
        <f t="shared" si="30"/>
        <v>0</v>
      </c>
      <c r="K157" s="58">
        <f t="shared" si="31"/>
        <v>0</v>
      </c>
      <c r="L157" s="32"/>
    </row>
    <row r="158" spans="1:12" s="4" customFormat="1" ht="51" hidden="1" customHeight="1" outlineLevel="1">
      <c r="A158" s="27" t="str">
        <f t="shared" si="29"/>
        <v>11A.F7.6</v>
      </c>
      <c r="B158" s="48" t="s">
        <v>156</v>
      </c>
      <c r="C158" s="28" t="s">
        <v>515</v>
      </c>
      <c r="D158" s="54" t="s">
        <v>518</v>
      </c>
      <c r="E158" s="31">
        <v>0</v>
      </c>
      <c r="F158" s="31">
        <v>0</v>
      </c>
      <c r="G158" s="31">
        <f>_xlfn.XLOOKUP(B158, Rate_Master!$A:$A, Rate_Master!$C:$C, "")</f>
        <v>1724999.9999999998</v>
      </c>
      <c r="H158" s="31">
        <f>_xlfn.XLOOKUP(B158, Rate_Master!$A:$A, Rate_Master!$D:$D, "")</f>
        <v>287500</v>
      </c>
      <c r="I158" s="32">
        <v>0</v>
      </c>
      <c r="J158" s="32">
        <f t="shared" si="30"/>
        <v>0</v>
      </c>
      <c r="K158" s="58">
        <f t="shared" si="31"/>
        <v>0</v>
      </c>
      <c r="L158" s="32"/>
    </row>
    <row r="159" spans="1:12" s="4" customFormat="1" ht="25.5" hidden="1" customHeight="1" outlineLevel="1">
      <c r="A159" s="27" t="str">
        <f t="shared" si="29"/>
        <v>11A.F7.7</v>
      </c>
      <c r="B159" s="48" t="s">
        <v>157</v>
      </c>
      <c r="C159" s="28" t="s">
        <v>515</v>
      </c>
      <c r="D159" s="29" t="s">
        <v>517</v>
      </c>
      <c r="E159" s="31">
        <v>0</v>
      </c>
      <c r="F159" s="31">
        <v>0</v>
      </c>
      <c r="G159" s="31">
        <f>_xlfn.XLOOKUP(B159, Rate_Master!$A:$A, Rate_Master!$C:$C, "")</f>
        <v>632500</v>
      </c>
      <c r="H159" s="31">
        <f>_xlfn.XLOOKUP(B159, Rate_Master!$A:$A, Rate_Master!$D:$D, "")</f>
        <v>57499.999999999993</v>
      </c>
      <c r="I159" s="32">
        <v>0</v>
      </c>
      <c r="J159" s="32">
        <f t="shared" si="30"/>
        <v>0</v>
      </c>
      <c r="K159" s="58">
        <f t="shared" si="31"/>
        <v>0</v>
      </c>
      <c r="L159" s="32"/>
    </row>
    <row r="160" spans="1:12" s="4" customFormat="1" ht="25.5" hidden="1" customHeight="1" outlineLevel="1">
      <c r="A160" s="27" t="str">
        <f t="shared" si="29"/>
        <v>11A.F7.8</v>
      </c>
      <c r="B160" s="34" t="s">
        <v>158</v>
      </c>
      <c r="C160" s="28" t="s">
        <v>562</v>
      </c>
      <c r="D160" s="29" t="s">
        <v>516</v>
      </c>
      <c r="E160" s="31">
        <v>0</v>
      </c>
      <c r="F160" s="31">
        <v>0</v>
      </c>
      <c r="G160" s="31">
        <f>_xlfn.XLOOKUP(B160, Rate_Master!$A:$A, Rate_Master!$C:$C, "")</f>
        <v>68400000</v>
      </c>
      <c r="H160" s="31">
        <f>_xlfn.XLOOKUP(B160, Rate_Master!$A:$A, Rate_Master!$D:$D, "")</f>
        <v>26600000</v>
      </c>
      <c r="I160" s="32">
        <v>0</v>
      </c>
      <c r="J160" s="32">
        <f t="shared" si="30"/>
        <v>0</v>
      </c>
      <c r="K160" s="58">
        <f t="shared" si="31"/>
        <v>0</v>
      </c>
      <c r="L160" s="32"/>
    </row>
    <row r="161" spans="1:12" s="4" customFormat="1" ht="25.5" hidden="1" customHeight="1" outlineLevel="1">
      <c r="A161" s="27" t="str">
        <f t="shared" si="29"/>
        <v>11A.F7.9</v>
      </c>
      <c r="B161" s="34" t="s">
        <v>159</v>
      </c>
      <c r="C161" s="28" t="s">
        <v>515</v>
      </c>
      <c r="D161" s="29" t="s">
        <v>516</v>
      </c>
      <c r="E161" s="31">
        <v>0</v>
      </c>
      <c r="F161" s="31">
        <v>0</v>
      </c>
      <c r="G161" s="31">
        <f>_xlfn.XLOOKUP(B161, Rate_Master!$A:$A, Rate_Master!$C:$C, "")</f>
        <v>25200000</v>
      </c>
      <c r="H161" s="31">
        <f>_xlfn.XLOOKUP(B161, Rate_Master!$A:$A, Rate_Master!$D:$D, "")</f>
        <v>9800000.0000000019</v>
      </c>
      <c r="I161" s="32">
        <v>0</v>
      </c>
      <c r="J161" s="32">
        <f t="shared" si="30"/>
        <v>0</v>
      </c>
      <c r="K161" s="58">
        <f t="shared" si="31"/>
        <v>0</v>
      </c>
      <c r="L161" s="32"/>
    </row>
    <row r="162" spans="1:12" s="4" customFormat="1" ht="25.5" hidden="1" customHeight="1" outlineLevel="1">
      <c r="A162" s="27" t="str">
        <f t="shared" si="29"/>
        <v>11A.F7.10</v>
      </c>
      <c r="B162" s="34" t="s">
        <v>160</v>
      </c>
      <c r="C162" s="28" t="s">
        <v>515</v>
      </c>
      <c r="D162" s="29" t="s">
        <v>518</v>
      </c>
      <c r="E162" s="31">
        <v>0</v>
      </c>
      <c r="F162" s="31">
        <v>0</v>
      </c>
      <c r="G162" s="31">
        <f>_xlfn.XLOOKUP(B162, Rate_Master!$A:$A, Rate_Master!$C:$C, "")</f>
        <v>1440000</v>
      </c>
      <c r="H162" s="31">
        <f>_xlfn.XLOOKUP(B162, Rate_Master!$A:$A, Rate_Master!$D:$D, "")</f>
        <v>560000</v>
      </c>
      <c r="I162" s="32">
        <v>0</v>
      </c>
      <c r="J162" s="32">
        <f t="shared" si="30"/>
        <v>0</v>
      </c>
      <c r="K162" s="58">
        <f t="shared" si="31"/>
        <v>0</v>
      </c>
      <c r="L162" s="32"/>
    </row>
    <row r="163" spans="1:12" s="4" customFormat="1" ht="25.5" hidden="1" customHeight="1" outlineLevel="1">
      <c r="A163" s="27" t="str">
        <f t="shared" si="29"/>
        <v>11A.F7.11</v>
      </c>
      <c r="B163" s="48" t="s">
        <v>161</v>
      </c>
      <c r="C163" s="28" t="s">
        <v>515</v>
      </c>
      <c r="D163" s="29" t="s">
        <v>517</v>
      </c>
      <c r="E163" s="31">
        <v>0</v>
      </c>
      <c r="F163" s="31">
        <v>0</v>
      </c>
      <c r="G163" s="31">
        <f>_xlfn.XLOOKUP(B163, Rate_Master!$A:$A, Rate_Master!$C:$C, "")</f>
        <v>149500</v>
      </c>
      <c r="H163" s="31">
        <f>_xlfn.XLOOKUP(B163, Rate_Master!$A:$A, Rate_Master!$D:$D, "")</f>
        <v>34500</v>
      </c>
      <c r="I163" s="32">
        <v>0</v>
      </c>
      <c r="J163" s="32">
        <f t="shared" si="30"/>
        <v>0</v>
      </c>
      <c r="K163" s="58">
        <f t="shared" si="31"/>
        <v>0</v>
      </c>
      <c r="L163" s="32"/>
    </row>
    <row r="164" spans="1:12" s="4" customFormat="1" ht="38.25" hidden="1" customHeight="1" outlineLevel="1">
      <c r="A164" s="27" t="str">
        <f t="shared" si="29"/>
        <v>11A.F7.12</v>
      </c>
      <c r="B164" s="34" t="s">
        <v>162</v>
      </c>
      <c r="C164" s="28" t="s">
        <v>515</v>
      </c>
      <c r="D164" s="29" t="s">
        <v>517</v>
      </c>
      <c r="E164" s="31">
        <v>0</v>
      </c>
      <c r="F164" s="31">
        <v>0</v>
      </c>
      <c r="G164" s="31">
        <f>_xlfn.XLOOKUP(B164, Rate_Master!$A:$A, Rate_Master!$C:$C, "")</f>
        <v>252000</v>
      </c>
      <c r="H164" s="31">
        <f>_xlfn.XLOOKUP(B164, Rate_Master!$A:$A, Rate_Master!$D:$D, "")</f>
        <v>98000</v>
      </c>
      <c r="I164" s="32">
        <v>0</v>
      </c>
      <c r="J164" s="32">
        <f t="shared" si="30"/>
        <v>0</v>
      </c>
      <c r="K164" s="58">
        <f t="shared" si="31"/>
        <v>0</v>
      </c>
      <c r="L164" s="32"/>
    </row>
    <row r="165" spans="1:12" s="4" customFormat="1" ht="25.5" hidden="1" customHeight="1" outlineLevel="1">
      <c r="A165" s="27" t="str">
        <f t="shared" si="29"/>
        <v>11A.F7.13</v>
      </c>
      <c r="B165" s="34" t="s">
        <v>210</v>
      </c>
      <c r="C165" s="28" t="s">
        <v>515</v>
      </c>
      <c r="D165" s="29" t="s">
        <v>518</v>
      </c>
      <c r="E165" s="31">
        <v>1</v>
      </c>
      <c r="F165" s="31">
        <v>1</v>
      </c>
      <c r="G165" s="31">
        <f>_xlfn.XLOOKUP(B165, Rate_Master!$A:$A, Rate_Master!$C:$C, "")</f>
        <v>35999600</v>
      </c>
      <c r="H165" s="31">
        <f>_xlfn.XLOOKUP(B165, Rate_Master!$A:$A, Rate_Master!$D:$D, "")</f>
        <v>14000099.999999998</v>
      </c>
      <c r="I165" s="32">
        <f>+H165+G165</f>
        <v>49999700</v>
      </c>
      <c r="J165" s="32">
        <f t="shared" si="30"/>
        <v>49999700</v>
      </c>
      <c r="K165" s="58">
        <f t="shared" si="31"/>
        <v>49999700</v>
      </c>
      <c r="L165" s="32"/>
    </row>
    <row r="166" spans="1:12" s="4" customFormat="1" ht="25.5" hidden="1" customHeight="1" outlineLevel="1">
      <c r="A166" s="27" t="str">
        <f t="shared" si="29"/>
        <v>11A.F7.14</v>
      </c>
      <c r="B166" s="34" t="s">
        <v>211</v>
      </c>
      <c r="C166" s="28" t="s">
        <v>515</v>
      </c>
      <c r="D166" s="29" t="s">
        <v>517</v>
      </c>
      <c r="E166" s="31">
        <v>69.16</v>
      </c>
      <c r="F166" s="31">
        <v>69.16</v>
      </c>
      <c r="G166" s="31">
        <f>_xlfn.XLOOKUP(B166, Rate_Master!$A:$A, Rate_Master!$C:$C, "")</f>
        <v>184000</v>
      </c>
      <c r="H166" s="31">
        <f>_xlfn.XLOOKUP(B166, Rate_Master!$A:$A, Rate_Master!$D:$D, "")</f>
        <v>71300</v>
      </c>
      <c r="I166" s="32">
        <f>+H166+G166</f>
        <v>255300</v>
      </c>
      <c r="J166" s="32">
        <f t="shared" si="30"/>
        <v>17656548</v>
      </c>
      <c r="K166" s="58">
        <f t="shared" si="31"/>
        <v>17656548</v>
      </c>
      <c r="L166" s="32"/>
    </row>
    <row r="167" spans="1:12" collapsed="1">
      <c r="F167" s="8"/>
    </row>
  </sheetData>
  <mergeCells count="5">
    <mergeCell ref="C5:L5"/>
    <mergeCell ref="C4:L4"/>
    <mergeCell ref="C3:L3"/>
    <mergeCell ref="C7:L7"/>
    <mergeCell ref="C6:L6"/>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pageSetUpPr fitToPage="1"/>
  </sheetPr>
  <dimension ref="A1:P164"/>
  <sheetViews>
    <sheetView topLeftCell="A8" zoomScale="85" zoomScaleNormal="85" workbookViewId="0">
      <pane ySplit="1" topLeftCell="A101" activePane="bottomLeft" state="frozen"/>
      <selection activeCell="A8" sqref="A8"/>
      <selection pane="bottomLeft" activeCell="I93" sqref="I93"/>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6" width="9" style="85" bestFit="1" customWidth="1"/>
    <col min="7" max="8" width="14" style="8" customWidth="1" outlineLevel="1"/>
    <col min="9" max="10" width="14" style="9" customWidth="1"/>
    <col min="11" max="11" width="14" style="90" customWidth="1"/>
    <col min="12" max="12" width="14" style="9" customWidth="1"/>
    <col min="13" max="13" width="19.5" style="6" customWidth="1"/>
    <col min="14" max="231" width="9.125" style="6" customWidth="1"/>
    <col min="232" max="232" width="6.375" style="6" customWidth="1"/>
    <col min="233" max="233" width="34.25" style="6" customWidth="1"/>
    <col min="234" max="234" width="7.375" style="6" customWidth="1"/>
    <col min="235" max="235" width="6.375" style="6" customWidth="1"/>
    <col min="236" max="236" width="13.125" style="6" customWidth="1"/>
    <col min="237" max="237" width="15.375" style="6" customWidth="1"/>
    <col min="238" max="238" width="21.25" style="6" customWidth="1"/>
    <col min="239" max="487" width="9.125" style="6" customWidth="1"/>
    <col min="488" max="488" width="6.375" style="6" customWidth="1"/>
    <col min="489" max="489" width="34.25" style="6" customWidth="1"/>
    <col min="490" max="490" width="7.375" style="6" customWidth="1"/>
    <col min="491" max="491" width="6.375" style="6" customWidth="1"/>
    <col min="492" max="492" width="13.125" style="6" customWidth="1"/>
    <col min="493" max="493" width="15.375" style="6" customWidth="1"/>
    <col min="494" max="494" width="21.25" style="6" customWidth="1"/>
    <col min="495" max="743" width="9.125" style="6" customWidth="1"/>
    <col min="744" max="744" width="6.375" style="6" customWidth="1"/>
    <col min="745" max="745" width="34.25" style="6" customWidth="1"/>
    <col min="746" max="746" width="7.375" style="6" customWidth="1"/>
    <col min="747" max="747" width="6.375" style="6" customWidth="1"/>
    <col min="748" max="748" width="13.125" style="6" customWidth="1"/>
    <col min="749" max="749" width="15.375" style="6" customWidth="1"/>
    <col min="750" max="750" width="21.25" style="6" customWidth="1"/>
    <col min="751" max="999" width="9.125" style="6" customWidth="1"/>
    <col min="1000" max="1000" width="6.375" style="6" customWidth="1"/>
    <col min="1001" max="1001" width="34.25" style="6" customWidth="1"/>
    <col min="1002" max="1002" width="7.375" style="6" customWidth="1"/>
    <col min="1003" max="1003" width="6.375" style="6" customWidth="1"/>
    <col min="1004" max="1004" width="13.125" style="6" customWidth="1"/>
    <col min="1005" max="1005" width="15.375" style="6" customWidth="1"/>
    <col min="1006" max="1006" width="21.25" style="6" customWidth="1"/>
    <col min="1007" max="1255" width="9.125" style="6" customWidth="1"/>
    <col min="1256" max="1256" width="6.375" style="6" customWidth="1"/>
    <col min="1257" max="1257" width="34.25" style="6" customWidth="1"/>
    <col min="1258" max="1258" width="7.375" style="6" customWidth="1"/>
    <col min="1259" max="1259" width="6.375" style="6" customWidth="1"/>
    <col min="1260" max="1260" width="13.125" style="6" customWidth="1"/>
    <col min="1261" max="1261" width="15.375" style="6" customWidth="1"/>
    <col min="1262" max="1262" width="21.25" style="6" customWidth="1"/>
    <col min="1263" max="1511" width="9.125" style="6" customWidth="1"/>
    <col min="1512" max="1512" width="6.375" style="6" customWidth="1"/>
    <col min="1513" max="1513" width="34.25" style="6" customWidth="1"/>
    <col min="1514" max="1514" width="7.375" style="6" customWidth="1"/>
    <col min="1515" max="1515" width="6.375" style="6" customWidth="1"/>
    <col min="1516" max="1516" width="13.125" style="6" customWidth="1"/>
    <col min="1517" max="1517" width="15.375" style="6" customWidth="1"/>
    <col min="1518" max="1518" width="21.25" style="6" customWidth="1"/>
    <col min="1519" max="1767" width="9.125" style="6" customWidth="1"/>
    <col min="1768" max="1768" width="6.375" style="6" customWidth="1"/>
    <col min="1769" max="1769" width="34.25" style="6" customWidth="1"/>
    <col min="1770" max="1770" width="7.375" style="6" customWidth="1"/>
    <col min="1771" max="1771" width="6.375" style="6" customWidth="1"/>
    <col min="1772" max="1772" width="13.125" style="6" customWidth="1"/>
    <col min="1773" max="1773" width="15.375" style="6" customWidth="1"/>
    <col min="1774" max="1774" width="21.25" style="6" customWidth="1"/>
    <col min="1775" max="2023" width="9.125" style="6" customWidth="1"/>
    <col min="2024" max="2024" width="6.375" style="6" customWidth="1"/>
    <col min="2025" max="2025" width="34.25" style="6" customWidth="1"/>
    <col min="2026" max="2026" width="7.375" style="6" customWidth="1"/>
    <col min="2027" max="2027" width="6.375" style="6" customWidth="1"/>
    <col min="2028" max="2028" width="13.125" style="6" customWidth="1"/>
    <col min="2029" max="2029" width="15.375" style="6" customWidth="1"/>
    <col min="2030" max="2030" width="21.25" style="6" customWidth="1"/>
    <col min="2031" max="2279" width="9.125" style="6" customWidth="1"/>
    <col min="2280" max="2280" width="6.375" style="6" customWidth="1"/>
    <col min="2281" max="2281" width="34.25" style="6" customWidth="1"/>
    <col min="2282" max="2282" width="7.375" style="6" customWidth="1"/>
    <col min="2283" max="2283" width="6.375" style="6" customWidth="1"/>
    <col min="2284" max="2284" width="13.125" style="6" customWidth="1"/>
    <col min="2285" max="2285" width="15.375" style="6" customWidth="1"/>
    <col min="2286" max="2286" width="21.25" style="6" customWidth="1"/>
    <col min="2287" max="2535" width="9.125" style="6" customWidth="1"/>
    <col min="2536" max="2536" width="6.375" style="6" customWidth="1"/>
    <col min="2537" max="2537" width="34.25" style="6" customWidth="1"/>
    <col min="2538" max="2538" width="7.375" style="6" customWidth="1"/>
    <col min="2539" max="2539" width="6.375" style="6" customWidth="1"/>
    <col min="2540" max="2540" width="13.125" style="6" customWidth="1"/>
    <col min="2541" max="2541" width="15.375" style="6" customWidth="1"/>
    <col min="2542" max="2542" width="21.25" style="6" customWidth="1"/>
    <col min="2543" max="2791" width="9.125" style="6" customWidth="1"/>
    <col min="2792" max="2792" width="6.375" style="6" customWidth="1"/>
    <col min="2793" max="2793" width="34.25" style="6" customWidth="1"/>
    <col min="2794" max="2794" width="7.375" style="6" customWidth="1"/>
    <col min="2795" max="2795" width="6.375" style="6" customWidth="1"/>
    <col min="2796" max="2796" width="13.125" style="6" customWidth="1"/>
    <col min="2797" max="2797" width="15.375" style="6" customWidth="1"/>
    <col min="2798" max="2798" width="21.25" style="6" customWidth="1"/>
    <col min="2799" max="3047" width="9.125" style="6" customWidth="1"/>
    <col min="3048" max="3048" width="6.375" style="6" customWidth="1"/>
    <col min="3049" max="3049" width="34.25" style="6" customWidth="1"/>
    <col min="3050" max="3050" width="7.375" style="6" customWidth="1"/>
    <col min="3051" max="3051" width="6.375" style="6" customWidth="1"/>
    <col min="3052" max="3052" width="13.125" style="6" customWidth="1"/>
    <col min="3053" max="3053" width="15.375" style="6" customWidth="1"/>
    <col min="3054" max="3054" width="21.25" style="6" customWidth="1"/>
    <col min="3055" max="3303" width="9.125" style="6" customWidth="1"/>
    <col min="3304" max="3304" width="6.375" style="6" customWidth="1"/>
    <col min="3305" max="3305" width="34.25" style="6" customWidth="1"/>
    <col min="3306" max="3306" width="7.375" style="6" customWidth="1"/>
    <col min="3307" max="3307" width="6.375" style="6" customWidth="1"/>
    <col min="3308" max="3308" width="13.125" style="6" customWidth="1"/>
    <col min="3309" max="3309" width="15.375" style="6" customWidth="1"/>
    <col min="3310" max="3310" width="21.25" style="6" customWidth="1"/>
    <col min="3311" max="3559" width="9.125" style="6" customWidth="1"/>
    <col min="3560" max="3560" width="6.375" style="6" customWidth="1"/>
    <col min="3561" max="3561" width="34.25" style="6" customWidth="1"/>
    <col min="3562" max="3562" width="7.375" style="6" customWidth="1"/>
    <col min="3563" max="3563" width="6.375" style="6" customWidth="1"/>
    <col min="3564" max="3564" width="13.125" style="6" customWidth="1"/>
    <col min="3565" max="3565" width="15.375" style="6" customWidth="1"/>
    <col min="3566" max="3566" width="21.25" style="6" customWidth="1"/>
    <col min="3567" max="3815" width="9.125" style="6" customWidth="1"/>
    <col min="3816" max="3816" width="6.375" style="6" customWidth="1"/>
    <col min="3817" max="3817" width="34.25" style="6" customWidth="1"/>
    <col min="3818" max="3818" width="7.375" style="6" customWidth="1"/>
    <col min="3819" max="3819" width="6.375" style="6" customWidth="1"/>
    <col min="3820" max="3820" width="13.125" style="6" customWidth="1"/>
    <col min="3821" max="3821" width="15.375" style="6" customWidth="1"/>
    <col min="3822" max="3822" width="21.25" style="6" customWidth="1"/>
    <col min="3823" max="4071" width="9.125" style="6" customWidth="1"/>
    <col min="4072" max="4072" width="6.375" style="6" customWidth="1"/>
    <col min="4073" max="4073" width="34.25" style="6" customWidth="1"/>
    <col min="4074" max="4074" width="7.375" style="6" customWidth="1"/>
    <col min="4075" max="4075" width="6.375" style="6" customWidth="1"/>
    <col min="4076" max="4076" width="13.125" style="6" customWidth="1"/>
    <col min="4077" max="4077" width="15.375" style="6" customWidth="1"/>
    <col min="4078" max="4078" width="21.25" style="6" customWidth="1"/>
    <col min="4079" max="4327" width="9.125" style="6" customWidth="1"/>
    <col min="4328" max="4328" width="6.375" style="6" customWidth="1"/>
    <col min="4329" max="4329" width="34.25" style="6" customWidth="1"/>
    <col min="4330" max="4330" width="7.375" style="6" customWidth="1"/>
    <col min="4331" max="4331" width="6.375" style="6" customWidth="1"/>
    <col min="4332" max="4332" width="13.125" style="6" customWidth="1"/>
    <col min="4333" max="4333" width="15.375" style="6" customWidth="1"/>
    <col min="4334" max="4334" width="21.25" style="6" customWidth="1"/>
    <col min="4335" max="4583" width="9.125" style="6" customWidth="1"/>
    <col min="4584" max="4584" width="6.375" style="6" customWidth="1"/>
    <col min="4585" max="4585" width="34.25" style="6" customWidth="1"/>
    <col min="4586" max="4586" width="7.375" style="6" customWidth="1"/>
    <col min="4587" max="4587" width="6.375" style="6" customWidth="1"/>
    <col min="4588" max="4588" width="13.125" style="6" customWidth="1"/>
    <col min="4589" max="4589" width="15.375" style="6" customWidth="1"/>
    <col min="4590" max="4590" width="21.25" style="6" customWidth="1"/>
    <col min="4591" max="4839" width="9.125" style="6" customWidth="1"/>
    <col min="4840" max="4840" width="6.375" style="6" customWidth="1"/>
    <col min="4841" max="4841" width="34.25" style="6" customWidth="1"/>
    <col min="4842" max="4842" width="7.375" style="6" customWidth="1"/>
    <col min="4843" max="4843" width="6.375" style="6" customWidth="1"/>
    <col min="4844" max="4844" width="13.125" style="6" customWidth="1"/>
    <col min="4845" max="4845" width="15.375" style="6" customWidth="1"/>
    <col min="4846" max="4846" width="21.25" style="6" customWidth="1"/>
    <col min="4847" max="5095" width="9.125" style="6" customWidth="1"/>
    <col min="5096" max="5096" width="6.375" style="6" customWidth="1"/>
    <col min="5097" max="5097" width="34.25" style="6" customWidth="1"/>
    <col min="5098" max="5098" width="7.375" style="6" customWidth="1"/>
    <col min="5099" max="5099" width="6.375" style="6" customWidth="1"/>
    <col min="5100" max="5100" width="13.125" style="6" customWidth="1"/>
    <col min="5101" max="5101" width="15.375" style="6" customWidth="1"/>
    <col min="5102" max="5102" width="21.25" style="6" customWidth="1"/>
    <col min="5103" max="5351" width="9.125" style="6" customWidth="1"/>
    <col min="5352" max="5352" width="6.375" style="6" customWidth="1"/>
    <col min="5353" max="5353" width="34.25" style="6" customWidth="1"/>
    <col min="5354" max="5354" width="7.375" style="6" customWidth="1"/>
    <col min="5355" max="5355" width="6.375" style="6" customWidth="1"/>
    <col min="5356" max="5356" width="13.125" style="6" customWidth="1"/>
    <col min="5357" max="5357" width="15.375" style="6" customWidth="1"/>
    <col min="5358" max="5358" width="21.25" style="6" customWidth="1"/>
    <col min="5359" max="5607" width="9.125" style="6" customWidth="1"/>
    <col min="5608" max="5608" width="6.375" style="6" customWidth="1"/>
    <col min="5609" max="5609" width="34.25" style="6" customWidth="1"/>
    <col min="5610" max="5610" width="7.375" style="6" customWidth="1"/>
    <col min="5611" max="5611" width="6.375" style="6" customWidth="1"/>
    <col min="5612" max="5612" width="13.125" style="6" customWidth="1"/>
    <col min="5613" max="5613" width="15.375" style="6" customWidth="1"/>
    <col min="5614" max="5614" width="21.25" style="6" customWidth="1"/>
    <col min="5615" max="5863" width="9.125" style="6" customWidth="1"/>
    <col min="5864" max="5864" width="6.375" style="6" customWidth="1"/>
    <col min="5865" max="5865" width="34.25" style="6" customWidth="1"/>
    <col min="5866" max="5866" width="7.375" style="6" customWidth="1"/>
    <col min="5867" max="5867" width="6.375" style="6" customWidth="1"/>
    <col min="5868" max="5868" width="13.125" style="6" customWidth="1"/>
    <col min="5869" max="5869" width="15.375" style="6" customWidth="1"/>
    <col min="5870" max="5870" width="21.25" style="6" customWidth="1"/>
    <col min="5871" max="6119" width="9.125" style="6" customWidth="1"/>
    <col min="6120" max="6120" width="6.375" style="6" customWidth="1"/>
    <col min="6121" max="6121" width="34.25" style="6" customWidth="1"/>
    <col min="6122" max="6122" width="7.375" style="6" customWidth="1"/>
    <col min="6123" max="6123" width="6.375" style="6" customWidth="1"/>
    <col min="6124" max="6124" width="13.125" style="6" customWidth="1"/>
    <col min="6125" max="6125" width="15.375" style="6" customWidth="1"/>
    <col min="6126" max="6126" width="21.25" style="6" customWidth="1"/>
    <col min="6127" max="6375" width="9.125" style="6" customWidth="1"/>
    <col min="6376" max="6376" width="6.375" style="6" customWidth="1"/>
    <col min="6377" max="6377" width="34.25" style="6" customWidth="1"/>
    <col min="6378" max="6378" width="7.375" style="6" customWidth="1"/>
    <col min="6379" max="6379" width="6.375" style="6" customWidth="1"/>
    <col min="6380" max="6380" width="13.125" style="6" customWidth="1"/>
    <col min="6381" max="6381" width="15.375" style="6" customWidth="1"/>
    <col min="6382" max="6382" width="21.25" style="6" customWidth="1"/>
    <col min="6383" max="6631" width="9.125" style="6" customWidth="1"/>
    <col min="6632" max="6632" width="6.375" style="6" customWidth="1"/>
    <col min="6633" max="6633" width="34.25" style="6" customWidth="1"/>
    <col min="6634" max="6634" width="7.375" style="6" customWidth="1"/>
    <col min="6635" max="6635" width="6.375" style="6" customWidth="1"/>
    <col min="6636" max="6636" width="13.125" style="6" customWidth="1"/>
    <col min="6637" max="6637" width="15.375" style="6" customWidth="1"/>
    <col min="6638" max="6638" width="21.25" style="6" customWidth="1"/>
    <col min="6639" max="6887" width="9.125" style="6" customWidth="1"/>
    <col min="6888" max="6888" width="6.375" style="6" customWidth="1"/>
    <col min="6889" max="6889" width="34.25" style="6" customWidth="1"/>
    <col min="6890" max="6890" width="7.375" style="6" customWidth="1"/>
    <col min="6891" max="6891" width="6.375" style="6" customWidth="1"/>
    <col min="6892" max="6892" width="13.125" style="6" customWidth="1"/>
    <col min="6893" max="6893" width="15.375" style="6" customWidth="1"/>
    <col min="6894" max="6894" width="21.25" style="6" customWidth="1"/>
    <col min="6895" max="7143" width="9.125" style="6" customWidth="1"/>
    <col min="7144" max="7144" width="6.375" style="6" customWidth="1"/>
    <col min="7145" max="7145" width="34.25" style="6" customWidth="1"/>
    <col min="7146" max="7146" width="7.375" style="6" customWidth="1"/>
    <col min="7147" max="7147" width="6.375" style="6" customWidth="1"/>
    <col min="7148" max="7148" width="13.125" style="6" customWidth="1"/>
    <col min="7149" max="7149" width="15.375" style="6" customWidth="1"/>
    <col min="7150" max="7150" width="21.25" style="6" customWidth="1"/>
    <col min="7151" max="7399" width="9.125" style="6" customWidth="1"/>
    <col min="7400" max="7400" width="6.375" style="6" customWidth="1"/>
    <col min="7401" max="7401" width="34.25" style="6" customWidth="1"/>
    <col min="7402" max="7402" width="7.375" style="6" customWidth="1"/>
    <col min="7403" max="7403" width="6.375" style="6" customWidth="1"/>
    <col min="7404" max="7404" width="13.125" style="6" customWidth="1"/>
    <col min="7405" max="7405" width="15.375" style="6" customWidth="1"/>
    <col min="7406" max="7406" width="21.25" style="6" customWidth="1"/>
    <col min="7407" max="7655" width="9.125" style="6" customWidth="1"/>
    <col min="7656" max="7656" width="6.375" style="6" customWidth="1"/>
    <col min="7657" max="7657" width="34.25" style="6" customWidth="1"/>
    <col min="7658" max="7658" width="7.375" style="6" customWidth="1"/>
    <col min="7659" max="7659" width="6.375" style="6" customWidth="1"/>
    <col min="7660" max="7660" width="13.125" style="6" customWidth="1"/>
    <col min="7661" max="7661" width="15.375" style="6" customWidth="1"/>
    <col min="7662" max="7662" width="21.25" style="6" customWidth="1"/>
    <col min="7663" max="7911" width="9.125" style="6" customWidth="1"/>
    <col min="7912" max="7912" width="6.375" style="6" customWidth="1"/>
    <col min="7913" max="7913" width="34.25" style="6" customWidth="1"/>
    <col min="7914" max="7914" width="7.375" style="6" customWidth="1"/>
    <col min="7915" max="7915" width="6.375" style="6" customWidth="1"/>
    <col min="7916" max="7916" width="13.125" style="6" customWidth="1"/>
    <col min="7917" max="7917" width="15.375" style="6" customWidth="1"/>
    <col min="7918" max="7918" width="21.25" style="6" customWidth="1"/>
    <col min="7919" max="8167" width="9.125" style="6" customWidth="1"/>
    <col min="8168" max="8168" width="6.375" style="6" customWidth="1"/>
    <col min="8169" max="8169" width="34.25" style="6" customWidth="1"/>
    <col min="8170" max="8170" width="7.375" style="6" customWidth="1"/>
    <col min="8171" max="8171" width="6.375" style="6" customWidth="1"/>
    <col min="8172" max="8172" width="13.125" style="6" customWidth="1"/>
    <col min="8173" max="8173" width="15.375" style="6" customWidth="1"/>
    <col min="8174" max="8174" width="21.25" style="6" customWidth="1"/>
    <col min="8175" max="8423" width="9.125" style="6" customWidth="1"/>
    <col min="8424" max="8424" width="6.375" style="6" customWidth="1"/>
    <col min="8425" max="8425" width="34.25" style="6" customWidth="1"/>
    <col min="8426" max="8426" width="7.375" style="6" customWidth="1"/>
    <col min="8427" max="8427" width="6.375" style="6" customWidth="1"/>
    <col min="8428" max="8428" width="13.125" style="6" customWidth="1"/>
    <col min="8429" max="8429" width="15.375" style="6" customWidth="1"/>
    <col min="8430" max="8430" width="21.25" style="6" customWidth="1"/>
    <col min="8431" max="8679" width="9.125" style="6" customWidth="1"/>
    <col min="8680" max="8680" width="6.375" style="6" customWidth="1"/>
    <col min="8681" max="8681" width="34.25" style="6" customWidth="1"/>
    <col min="8682" max="8682" width="7.375" style="6" customWidth="1"/>
    <col min="8683" max="8683" width="6.375" style="6" customWidth="1"/>
    <col min="8684" max="8684" width="13.125" style="6" customWidth="1"/>
    <col min="8685" max="8685" width="15.375" style="6" customWidth="1"/>
    <col min="8686" max="8686" width="21.25" style="6" customWidth="1"/>
    <col min="8687" max="8935" width="9.125" style="6" customWidth="1"/>
    <col min="8936" max="8936" width="6.375" style="6" customWidth="1"/>
    <col min="8937" max="8937" width="34.25" style="6" customWidth="1"/>
    <col min="8938" max="8938" width="7.375" style="6" customWidth="1"/>
    <col min="8939" max="8939" width="6.375" style="6" customWidth="1"/>
    <col min="8940" max="8940" width="13.125" style="6" customWidth="1"/>
    <col min="8941" max="8941" width="15.375" style="6" customWidth="1"/>
    <col min="8942" max="8942" width="21.25" style="6" customWidth="1"/>
    <col min="8943" max="9191" width="9.125" style="6" customWidth="1"/>
    <col min="9192" max="9192" width="6.375" style="6" customWidth="1"/>
    <col min="9193" max="9193" width="34.25" style="6" customWidth="1"/>
    <col min="9194" max="9194" width="7.375" style="6" customWidth="1"/>
    <col min="9195" max="9195" width="6.375" style="6" customWidth="1"/>
    <col min="9196" max="9196" width="13.125" style="6" customWidth="1"/>
    <col min="9197" max="9197" width="15.375" style="6" customWidth="1"/>
    <col min="9198" max="9198" width="21.25" style="6" customWidth="1"/>
    <col min="9199" max="9447" width="9.125" style="6" customWidth="1"/>
    <col min="9448" max="9448" width="6.375" style="6" customWidth="1"/>
    <col min="9449" max="9449" width="34.25" style="6" customWidth="1"/>
    <col min="9450" max="9450" width="7.375" style="6" customWidth="1"/>
    <col min="9451" max="9451" width="6.375" style="6" customWidth="1"/>
    <col min="9452" max="9452" width="13.125" style="6" customWidth="1"/>
    <col min="9453" max="9453" width="15.375" style="6" customWidth="1"/>
    <col min="9454" max="9454" width="21.25" style="6" customWidth="1"/>
    <col min="9455" max="9703" width="9.125" style="6" customWidth="1"/>
    <col min="9704" max="9704" width="6.375" style="6" customWidth="1"/>
    <col min="9705" max="9705" width="34.25" style="6" customWidth="1"/>
    <col min="9706" max="9706" width="7.375" style="6" customWidth="1"/>
    <col min="9707" max="9707" width="6.375" style="6" customWidth="1"/>
    <col min="9708" max="9708" width="13.125" style="6" customWidth="1"/>
    <col min="9709" max="9709" width="15.375" style="6" customWidth="1"/>
    <col min="9710" max="9710" width="21.25" style="6" customWidth="1"/>
    <col min="9711" max="9959" width="9.125" style="6" customWidth="1"/>
    <col min="9960" max="9960" width="6.375" style="6" customWidth="1"/>
    <col min="9961" max="9961" width="34.25" style="6" customWidth="1"/>
    <col min="9962" max="9962" width="7.375" style="6" customWidth="1"/>
    <col min="9963" max="9963" width="6.375" style="6" customWidth="1"/>
    <col min="9964" max="9964" width="13.125" style="6" customWidth="1"/>
    <col min="9965" max="9965" width="15.375" style="6" customWidth="1"/>
    <col min="9966" max="9966" width="21.25" style="6" customWidth="1"/>
    <col min="9967" max="10215" width="9.125" style="6" customWidth="1"/>
    <col min="10216" max="10216" width="6.375" style="6" customWidth="1"/>
    <col min="10217" max="10217" width="34.25" style="6" customWidth="1"/>
    <col min="10218" max="10218" width="7.375" style="6" customWidth="1"/>
    <col min="10219" max="10219" width="6.375" style="6" customWidth="1"/>
    <col min="10220" max="10220" width="13.125" style="6" customWidth="1"/>
    <col min="10221" max="10221" width="15.375" style="6" customWidth="1"/>
    <col min="10222" max="10222" width="21.25" style="6" customWidth="1"/>
    <col min="10223" max="10471" width="9.125" style="6" customWidth="1"/>
    <col min="10472" max="10472" width="6.375" style="6" customWidth="1"/>
    <col min="10473" max="10473" width="34.25" style="6" customWidth="1"/>
    <col min="10474" max="10474" width="7.375" style="6" customWidth="1"/>
    <col min="10475" max="10475" width="6.375" style="6" customWidth="1"/>
    <col min="10476" max="10476" width="13.125" style="6" customWidth="1"/>
    <col min="10477" max="10477" width="15.375" style="6" customWidth="1"/>
    <col min="10478" max="10478" width="21.25" style="6" customWidth="1"/>
    <col min="10479" max="10727" width="9.125" style="6" customWidth="1"/>
    <col min="10728" max="10728" width="6.375" style="6" customWidth="1"/>
    <col min="10729" max="10729" width="34.25" style="6" customWidth="1"/>
    <col min="10730" max="10730" width="7.375" style="6" customWidth="1"/>
    <col min="10731" max="10731" width="6.375" style="6" customWidth="1"/>
    <col min="10732" max="10732" width="13.125" style="6" customWidth="1"/>
    <col min="10733" max="10733" width="15.375" style="6" customWidth="1"/>
    <col min="10734" max="10734" width="21.25" style="6" customWidth="1"/>
    <col min="10735" max="10983" width="9.125" style="6" customWidth="1"/>
    <col min="10984" max="10984" width="6.375" style="6" customWidth="1"/>
    <col min="10985" max="10985" width="34.25" style="6" customWidth="1"/>
    <col min="10986" max="10986" width="7.375" style="6" customWidth="1"/>
    <col min="10987" max="10987" width="6.375" style="6" customWidth="1"/>
    <col min="10988" max="10988" width="13.125" style="6" customWidth="1"/>
    <col min="10989" max="10989" width="15.375" style="6" customWidth="1"/>
    <col min="10990" max="10990" width="21.25" style="6" customWidth="1"/>
    <col min="10991" max="11239" width="9.125" style="6" customWidth="1"/>
    <col min="11240" max="11240" width="6.375" style="6" customWidth="1"/>
    <col min="11241" max="11241" width="34.25" style="6" customWidth="1"/>
    <col min="11242" max="11242" width="7.375" style="6" customWidth="1"/>
    <col min="11243" max="11243" width="6.375" style="6" customWidth="1"/>
    <col min="11244" max="11244" width="13.125" style="6" customWidth="1"/>
    <col min="11245" max="11245" width="15.375" style="6" customWidth="1"/>
    <col min="11246" max="11246" width="21.25" style="6" customWidth="1"/>
    <col min="11247" max="11495" width="9.125" style="6" customWidth="1"/>
    <col min="11496" max="11496" width="6.375" style="6" customWidth="1"/>
    <col min="11497" max="11497" width="34.25" style="6" customWidth="1"/>
    <col min="11498" max="11498" width="7.375" style="6" customWidth="1"/>
    <col min="11499" max="11499" width="6.375" style="6" customWidth="1"/>
    <col min="11500" max="11500" width="13.125" style="6" customWidth="1"/>
    <col min="11501" max="11501" width="15.375" style="6" customWidth="1"/>
    <col min="11502" max="11502" width="21.25" style="6" customWidth="1"/>
    <col min="11503" max="11751" width="9.125" style="6" customWidth="1"/>
    <col min="11752" max="11752" width="6.375" style="6" customWidth="1"/>
    <col min="11753" max="11753" width="34.25" style="6" customWidth="1"/>
    <col min="11754" max="11754" width="7.375" style="6" customWidth="1"/>
    <col min="11755" max="11755" width="6.375" style="6" customWidth="1"/>
    <col min="11756" max="11756" width="13.125" style="6" customWidth="1"/>
    <col min="11757" max="11757" width="15.375" style="6" customWidth="1"/>
    <col min="11758" max="11758" width="21.25" style="6" customWidth="1"/>
    <col min="11759" max="12007" width="9.125" style="6" customWidth="1"/>
    <col min="12008" max="12008" width="6.375" style="6" customWidth="1"/>
    <col min="12009" max="12009" width="34.25" style="6" customWidth="1"/>
    <col min="12010" max="12010" width="7.375" style="6" customWidth="1"/>
    <col min="12011" max="12011" width="6.375" style="6" customWidth="1"/>
    <col min="12012" max="12012" width="13.125" style="6" customWidth="1"/>
    <col min="12013" max="12013" width="15.375" style="6" customWidth="1"/>
    <col min="12014" max="12014" width="21.25" style="6" customWidth="1"/>
    <col min="12015" max="12263" width="9.125" style="6" customWidth="1"/>
    <col min="12264" max="12264" width="6.375" style="6" customWidth="1"/>
    <col min="12265" max="12265" width="34.25" style="6" customWidth="1"/>
    <col min="12266" max="12266" width="7.375" style="6" customWidth="1"/>
    <col min="12267" max="12267" width="6.375" style="6" customWidth="1"/>
    <col min="12268" max="12268" width="13.125" style="6" customWidth="1"/>
    <col min="12269" max="12269" width="15.375" style="6" customWidth="1"/>
    <col min="12270" max="12270" width="21.25" style="6" customWidth="1"/>
    <col min="12271" max="12519" width="9.125" style="6" customWidth="1"/>
    <col min="12520" max="12520" width="6.375" style="6" customWidth="1"/>
    <col min="12521" max="12521" width="34.25" style="6" customWidth="1"/>
    <col min="12522" max="12522" width="7.375" style="6" customWidth="1"/>
    <col min="12523" max="12523" width="6.375" style="6" customWidth="1"/>
    <col min="12524" max="12524" width="13.125" style="6" customWidth="1"/>
    <col min="12525" max="12525" width="15.375" style="6" customWidth="1"/>
    <col min="12526" max="12526" width="21.25" style="6" customWidth="1"/>
    <col min="12527" max="12775" width="9.125" style="6" customWidth="1"/>
    <col min="12776" max="12776" width="6.375" style="6" customWidth="1"/>
    <col min="12777" max="12777" width="34.25" style="6" customWidth="1"/>
    <col min="12778" max="12778" width="7.375" style="6" customWidth="1"/>
    <col min="12779" max="12779" width="6.375" style="6" customWidth="1"/>
    <col min="12780" max="12780" width="13.125" style="6" customWidth="1"/>
    <col min="12781" max="12781" width="15.375" style="6" customWidth="1"/>
    <col min="12782" max="12782" width="21.25" style="6" customWidth="1"/>
    <col min="12783" max="13031" width="9.125" style="6" customWidth="1"/>
    <col min="13032" max="13032" width="6.375" style="6" customWidth="1"/>
    <col min="13033" max="13033" width="34.25" style="6" customWidth="1"/>
    <col min="13034" max="13034" width="7.375" style="6" customWidth="1"/>
    <col min="13035" max="13035" width="6.375" style="6" customWidth="1"/>
    <col min="13036" max="13036" width="13.125" style="6" customWidth="1"/>
    <col min="13037" max="13037" width="15.375" style="6" customWidth="1"/>
    <col min="13038" max="13038" width="21.25" style="6" customWidth="1"/>
    <col min="13039" max="13287" width="9.125" style="6" customWidth="1"/>
    <col min="13288" max="13288" width="6.375" style="6" customWidth="1"/>
    <col min="13289" max="13289" width="34.25" style="6" customWidth="1"/>
    <col min="13290" max="13290" width="7.375" style="6" customWidth="1"/>
    <col min="13291" max="13291" width="6.375" style="6" customWidth="1"/>
    <col min="13292" max="13292" width="13.125" style="6" customWidth="1"/>
    <col min="13293" max="13293" width="15.375" style="6" customWidth="1"/>
    <col min="13294" max="13294" width="21.25" style="6" customWidth="1"/>
    <col min="13295" max="13543" width="9.125" style="6" customWidth="1"/>
    <col min="13544" max="13544" width="6.375" style="6" customWidth="1"/>
    <col min="13545" max="13545" width="34.25" style="6" customWidth="1"/>
    <col min="13546" max="13546" width="7.375" style="6" customWidth="1"/>
    <col min="13547" max="13547" width="6.375" style="6" customWidth="1"/>
    <col min="13548" max="13548" width="13.125" style="6" customWidth="1"/>
    <col min="13549" max="13549" width="15.375" style="6" customWidth="1"/>
    <col min="13550" max="13550" width="21.25" style="6" customWidth="1"/>
    <col min="13551" max="13799" width="9.125" style="6" customWidth="1"/>
    <col min="13800" max="13800" width="6.375" style="6" customWidth="1"/>
    <col min="13801" max="13801" width="34.25" style="6" customWidth="1"/>
    <col min="13802" max="13802" width="7.375" style="6" customWidth="1"/>
    <col min="13803" max="13803" width="6.375" style="6" customWidth="1"/>
    <col min="13804" max="13804" width="13.125" style="6" customWidth="1"/>
    <col min="13805" max="13805" width="15.375" style="6" customWidth="1"/>
    <col min="13806" max="13806" width="21.25" style="6" customWidth="1"/>
    <col min="13807" max="14055" width="9.125" style="6" customWidth="1"/>
    <col min="14056" max="14056" width="6.375" style="6" customWidth="1"/>
    <col min="14057" max="14057" width="34.25" style="6" customWidth="1"/>
    <col min="14058" max="14058" width="7.375" style="6" customWidth="1"/>
    <col min="14059" max="14059" width="6.375" style="6" customWidth="1"/>
    <col min="14060" max="14060" width="13.125" style="6" customWidth="1"/>
    <col min="14061" max="14061" width="15.375" style="6" customWidth="1"/>
    <col min="14062" max="14062" width="21.25" style="6" customWidth="1"/>
    <col min="14063" max="14311" width="9.125" style="6" customWidth="1"/>
    <col min="14312" max="14312" width="6.375" style="6" customWidth="1"/>
    <col min="14313" max="14313" width="34.25" style="6" customWidth="1"/>
    <col min="14314" max="14314" width="7.375" style="6" customWidth="1"/>
    <col min="14315" max="14315" width="6.375" style="6" customWidth="1"/>
    <col min="14316" max="14316" width="13.125" style="6" customWidth="1"/>
    <col min="14317" max="14317" width="15.375" style="6" customWidth="1"/>
    <col min="14318" max="14318" width="21.25" style="6" customWidth="1"/>
    <col min="14319" max="14567" width="9.125" style="6" customWidth="1"/>
    <col min="14568" max="14568" width="6.375" style="6" customWidth="1"/>
    <col min="14569" max="14569" width="34.25" style="6" customWidth="1"/>
    <col min="14570" max="14570" width="7.375" style="6" customWidth="1"/>
    <col min="14571" max="14571" width="6.375" style="6" customWidth="1"/>
    <col min="14572" max="14572" width="13.125" style="6" customWidth="1"/>
    <col min="14573" max="14573" width="15.375" style="6" customWidth="1"/>
    <col min="14574" max="14574" width="21.25" style="6" customWidth="1"/>
    <col min="14575" max="14823" width="9.125" style="6" customWidth="1"/>
    <col min="14824" max="14824" width="6.375" style="6" customWidth="1"/>
    <col min="14825" max="14825" width="34.25" style="6" customWidth="1"/>
    <col min="14826" max="14826" width="7.375" style="6" customWidth="1"/>
    <col min="14827" max="14827" width="6.375" style="6" customWidth="1"/>
    <col min="14828" max="14828" width="13.125" style="6" customWidth="1"/>
    <col min="14829" max="14829" width="15.375" style="6" customWidth="1"/>
    <col min="14830" max="14830" width="21.25" style="6" customWidth="1"/>
    <col min="14831" max="15079" width="9.125" style="6" customWidth="1"/>
    <col min="15080" max="15080" width="6.375" style="6" customWidth="1"/>
    <col min="15081" max="15081" width="34.25" style="6" customWidth="1"/>
    <col min="15082" max="15082" width="7.375" style="6" customWidth="1"/>
    <col min="15083" max="15083" width="6.375" style="6" customWidth="1"/>
    <col min="15084" max="15084" width="13.125" style="6" customWidth="1"/>
    <col min="15085" max="15085" width="15.375" style="6" customWidth="1"/>
    <col min="15086" max="15086" width="21.25" style="6" customWidth="1"/>
    <col min="15087" max="15335" width="9.125" style="6" customWidth="1"/>
    <col min="15336" max="15336" width="6.375" style="6" customWidth="1"/>
    <col min="15337" max="15337" width="34.25" style="6" customWidth="1"/>
    <col min="15338" max="15338" width="7.375" style="6" customWidth="1"/>
    <col min="15339" max="15339" width="6.375" style="6" customWidth="1"/>
    <col min="15340" max="15340" width="13.125" style="6" customWidth="1"/>
    <col min="15341" max="15341" width="15.375" style="6" customWidth="1"/>
    <col min="15342" max="15342" width="21.25" style="6" customWidth="1"/>
    <col min="15343" max="15591" width="9.125" style="6" customWidth="1"/>
    <col min="15592" max="15592" width="6.375" style="6" customWidth="1"/>
    <col min="15593" max="15593" width="34.25" style="6" customWidth="1"/>
    <col min="15594" max="15594" width="7.375" style="6" customWidth="1"/>
    <col min="15595" max="15595" width="6.375" style="6" customWidth="1"/>
    <col min="15596" max="15596" width="13.125" style="6" customWidth="1"/>
    <col min="15597" max="15597" width="15.375" style="6" customWidth="1"/>
    <col min="15598" max="15598" width="21.25" style="6" customWidth="1"/>
    <col min="15599" max="15847" width="9.125" style="6" customWidth="1"/>
    <col min="15848" max="15848" width="6.375" style="6" customWidth="1"/>
    <col min="15849" max="15849" width="34.25" style="6" customWidth="1"/>
    <col min="15850" max="15850" width="7.375" style="6" customWidth="1"/>
    <col min="15851" max="15851" width="6.375" style="6" customWidth="1"/>
    <col min="15852" max="15852" width="13.125" style="6" customWidth="1"/>
    <col min="15853" max="15853" width="15.375" style="6" customWidth="1"/>
    <col min="15854" max="15854" width="21.25" style="6" customWidth="1"/>
    <col min="15855" max="16103" width="9.125" style="6" customWidth="1"/>
    <col min="16104" max="16104" width="6.375" style="6" customWidth="1"/>
    <col min="16105" max="16105" width="34.25" style="6" customWidth="1"/>
    <col min="16106" max="16106" width="7.375" style="6" customWidth="1"/>
    <col min="16107" max="16107" width="6.375" style="6" customWidth="1"/>
    <col min="16108" max="16108" width="13.125" style="6" customWidth="1"/>
    <col min="16109" max="16109" width="15.375" style="6" customWidth="1"/>
    <col min="16110" max="16110" width="21.25" style="6" customWidth="1"/>
    <col min="16111" max="16384" width="9.125" style="6" customWidth="1"/>
  </cols>
  <sheetData>
    <row r="1" spans="1:13" ht="48" customHeight="1"/>
    <row r="2" spans="1:13" s="1" customFormat="1" ht="51" customHeight="1">
      <c r="A2" s="10" t="s">
        <v>507</v>
      </c>
      <c r="B2" s="11"/>
      <c r="C2" s="12"/>
      <c r="D2" s="11"/>
      <c r="E2" s="14"/>
      <c r="F2" s="86"/>
      <c r="G2" s="14"/>
      <c r="H2" s="14"/>
      <c r="I2" s="15"/>
      <c r="J2" s="15"/>
      <c r="K2" s="91"/>
      <c r="L2" s="15"/>
    </row>
    <row r="3" spans="1:13" ht="26.25" customHeight="1">
      <c r="A3" s="16"/>
      <c r="B3" s="17" t="s">
        <v>440</v>
      </c>
      <c r="C3" s="213"/>
      <c r="D3" s="217"/>
      <c r="E3" s="214"/>
      <c r="F3" s="218"/>
      <c r="G3" s="214"/>
      <c r="H3" s="214"/>
      <c r="I3" s="220"/>
      <c r="J3" s="220"/>
      <c r="K3" s="221"/>
      <c r="L3" s="220"/>
    </row>
    <row r="4" spans="1:13" ht="26.25" customHeight="1">
      <c r="A4" s="18"/>
      <c r="B4" s="5" t="s">
        <v>441</v>
      </c>
      <c r="C4" s="222"/>
      <c r="D4" s="217"/>
      <c r="E4" s="214"/>
      <c r="F4" s="218"/>
      <c r="G4" s="214"/>
      <c r="H4" s="214"/>
      <c r="I4" s="220"/>
      <c r="J4" s="220"/>
      <c r="K4" s="221"/>
      <c r="L4" s="220"/>
    </row>
    <row r="5" spans="1:13" ht="26.25" customHeight="1">
      <c r="A5" s="18"/>
      <c r="B5" s="5" t="s">
        <v>442</v>
      </c>
      <c r="C5" s="216"/>
      <c r="D5" s="217"/>
      <c r="E5" s="214"/>
      <c r="F5" s="218"/>
      <c r="G5" s="214"/>
      <c r="H5" s="214"/>
      <c r="I5" s="220"/>
      <c r="J5" s="220"/>
      <c r="K5" s="221"/>
      <c r="L5" s="220"/>
    </row>
    <row r="6" spans="1:13" ht="26.25" customHeight="1">
      <c r="A6" s="18"/>
      <c r="B6" s="5" t="s">
        <v>443</v>
      </c>
      <c r="C6" s="213" t="str">
        <f>INDEX(總表!$B$9:$B$47,MATCH('12A'!A9,總表!$A$9:$A$48,0))</f>
        <v>Nhà bảo dưỡng
維修房</v>
      </c>
      <c r="D6" s="217"/>
      <c r="E6" s="214"/>
      <c r="F6" s="218"/>
      <c r="G6" s="214"/>
      <c r="H6" s="214"/>
      <c r="I6" s="220"/>
      <c r="J6" s="220"/>
      <c r="K6" s="221"/>
      <c r="L6" s="220"/>
    </row>
    <row r="7" spans="1:13" ht="26.25" customHeight="1">
      <c r="A7" s="18"/>
      <c r="B7" s="5" t="s">
        <v>444</v>
      </c>
      <c r="C7" s="223" t="s">
        <v>445</v>
      </c>
      <c r="D7" s="224"/>
      <c r="E7" s="224"/>
      <c r="F7" s="224"/>
      <c r="G7" s="224"/>
      <c r="H7" s="224"/>
      <c r="I7" s="224"/>
      <c r="J7" s="224"/>
      <c r="K7" s="224"/>
      <c r="L7" s="224"/>
    </row>
    <row r="8" spans="1:13" s="2" customFormat="1" ht="41.25" customHeight="1">
      <c r="A8" s="19" t="s">
        <v>446</v>
      </c>
      <c r="B8" s="19" t="s">
        <v>508</v>
      </c>
      <c r="C8" s="19" t="s">
        <v>509</v>
      </c>
      <c r="D8" s="19" t="s">
        <v>448</v>
      </c>
      <c r="E8" s="19" t="s">
        <v>449</v>
      </c>
      <c r="F8" s="84" t="s">
        <v>510</v>
      </c>
      <c r="G8" s="19" t="s">
        <v>511</v>
      </c>
      <c r="H8" s="19" t="s">
        <v>512</v>
      </c>
      <c r="I8" s="21" t="s">
        <v>450</v>
      </c>
      <c r="J8" s="21" t="s">
        <v>452</v>
      </c>
      <c r="K8" s="84" t="s">
        <v>513</v>
      </c>
      <c r="L8" s="21" t="s">
        <v>514</v>
      </c>
    </row>
    <row r="9" spans="1:13" s="3" customFormat="1" ht="25.5" customHeight="1">
      <c r="A9" s="22" t="s">
        <v>469</v>
      </c>
      <c r="B9" s="23" t="str">
        <f>C6</f>
        <v>Nhà bảo dưỡng
維修房</v>
      </c>
      <c r="C9" s="23" t="s">
        <v>515</v>
      </c>
      <c r="D9" s="22"/>
      <c r="E9" s="25"/>
      <c r="F9" s="25"/>
      <c r="G9" s="25">
        <f>_xlfn.XLOOKUP(B9, Rate_Master!$A:$A, Rate_Master!$C:$C, "")</f>
        <v>0</v>
      </c>
      <c r="H9" s="25">
        <f>_xlfn.XLOOKUP(B9, Rate_Master!$A:$A, Rate_Master!$D:$D, "")</f>
        <v>0</v>
      </c>
      <c r="I9" s="26"/>
      <c r="J9" s="26">
        <f>SUBTOTAL(9,J10:J164)</f>
        <v>10644382875.303942</v>
      </c>
      <c r="K9" s="26">
        <f>SUBTOTAL(9,K10:K164)</f>
        <v>11369451097.039885</v>
      </c>
      <c r="L9" s="26"/>
      <c r="M9" s="103"/>
    </row>
    <row r="10" spans="1:13" s="3" customFormat="1" ht="25.5" customHeight="1">
      <c r="A10" s="22" t="str">
        <f>$A$9&amp;".C"</f>
        <v>12A.C</v>
      </c>
      <c r="B10" s="23" t="s">
        <v>1</v>
      </c>
      <c r="C10" s="23" t="s">
        <v>515</v>
      </c>
      <c r="D10" s="22"/>
      <c r="E10" s="25"/>
      <c r="F10" s="25"/>
      <c r="G10" s="25">
        <f>_xlfn.XLOOKUP(B10, Rate_Master!$A:$A, Rate_Master!$C:$C, "")</f>
        <v>0</v>
      </c>
      <c r="H10" s="25">
        <f>_xlfn.XLOOKUP(B10, Rate_Master!$A:$A, Rate_Master!$D:$D, "")</f>
        <v>0</v>
      </c>
      <c r="I10" s="26"/>
      <c r="J10" s="26"/>
      <c r="K10" s="89"/>
      <c r="L10" s="26"/>
    </row>
    <row r="11" spans="1:13" s="3" customFormat="1" ht="25.5" customHeight="1">
      <c r="A11" s="22" t="str">
        <f>$A$10&amp;1</f>
        <v>12A.C1</v>
      </c>
      <c r="B11" s="23" t="s">
        <v>2</v>
      </c>
      <c r="C11" s="23" t="s">
        <v>515</v>
      </c>
      <c r="D11" s="22"/>
      <c r="E11" s="25"/>
      <c r="F11" s="25"/>
      <c r="G11" s="25">
        <f>_xlfn.XLOOKUP(B11, Rate_Master!$A:$A, Rate_Master!$C:$C, "")</f>
        <v>0</v>
      </c>
      <c r="H11" s="25">
        <f>_xlfn.XLOOKUP(B11, Rate_Master!$A:$A, Rate_Master!$D:$D, "")</f>
        <v>0</v>
      </c>
      <c r="I11" s="26"/>
      <c r="J11" s="26">
        <f>SUBTOTAL(9,J12:J22)</f>
        <v>1608021999.9999998</v>
      </c>
      <c r="K11" s="89">
        <f>SUBTOTAL(9,K12:K22)</f>
        <v>1608021999.9999998</v>
      </c>
      <c r="L11" s="26"/>
    </row>
    <row r="12" spans="1:13" s="4" customFormat="1" ht="25.5" customHeight="1" outlineLevel="1">
      <c r="A12" s="27" t="str">
        <f t="shared" ref="A12:A22" si="0">$A$11&amp;"."&amp;ROW()-ROW($A$11)</f>
        <v>12A.C1.1</v>
      </c>
      <c r="B12" s="28" t="s">
        <v>3</v>
      </c>
      <c r="C12" s="28" t="s">
        <v>515</v>
      </c>
      <c r="D12" s="29" t="s">
        <v>516</v>
      </c>
      <c r="E12" s="31">
        <v>0</v>
      </c>
      <c r="F12" s="31">
        <v>0</v>
      </c>
      <c r="G12" s="31">
        <f>_xlfn.XLOOKUP(B12, Rate_Master!$A:$A, Rate_Master!$C:$C, "")</f>
        <v>0</v>
      </c>
      <c r="H12" s="31">
        <f>_xlfn.XLOOKUP(B12, Rate_Master!$A:$A, Rate_Master!$D:$D, "")</f>
        <v>114999999.99999999</v>
      </c>
      <c r="I12" s="32">
        <v>0</v>
      </c>
      <c r="J12" s="32">
        <f t="shared" ref="J12:J22" si="1">I12*E12</f>
        <v>0</v>
      </c>
      <c r="K12" s="58">
        <f t="shared" ref="K12:K22" si="2">I12*F12</f>
        <v>0</v>
      </c>
      <c r="L12" s="32"/>
    </row>
    <row r="13" spans="1:13" s="4" customFormat="1" ht="25.5" customHeight="1" outlineLevel="1">
      <c r="A13" s="27" t="str">
        <f t="shared" si="0"/>
        <v>12A.C1.2</v>
      </c>
      <c r="B13" s="28" t="s">
        <v>4</v>
      </c>
      <c r="C13" s="28" t="s">
        <v>515</v>
      </c>
      <c r="D13" s="29" t="s">
        <v>517</v>
      </c>
      <c r="E13" s="31">
        <v>0</v>
      </c>
      <c r="F13" s="31">
        <v>0</v>
      </c>
      <c r="G13" s="31">
        <f>_xlfn.XLOOKUP(B13, Rate_Master!$A:$A, Rate_Master!$C:$C, "")</f>
        <v>425499.99999999994</v>
      </c>
      <c r="H13" s="31">
        <f>_xlfn.XLOOKUP(B13, Rate_Master!$A:$A, Rate_Master!$D:$D, "")</f>
        <v>0</v>
      </c>
      <c r="I13" s="32">
        <v>0</v>
      </c>
      <c r="J13" s="32">
        <f t="shared" si="1"/>
        <v>0</v>
      </c>
      <c r="K13" s="58">
        <f t="shared" si="2"/>
        <v>0</v>
      </c>
      <c r="L13" s="32"/>
    </row>
    <row r="14" spans="1:13" s="4" customFormat="1" ht="25.5" customHeight="1" outlineLevel="1">
      <c r="A14" s="27" t="str">
        <f t="shared" si="0"/>
        <v>12A.C1.3</v>
      </c>
      <c r="B14" s="28" t="s">
        <v>5</v>
      </c>
      <c r="C14" s="28" t="s">
        <v>515</v>
      </c>
      <c r="D14" s="29" t="s">
        <v>517</v>
      </c>
      <c r="E14" s="31">
        <v>0</v>
      </c>
      <c r="F14" s="31">
        <v>0</v>
      </c>
      <c r="G14" s="31">
        <f>_xlfn.XLOOKUP(B14, Rate_Master!$A:$A, Rate_Master!$C:$C, "")</f>
        <v>0</v>
      </c>
      <c r="H14" s="31">
        <f>_xlfn.XLOOKUP(B14, Rate_Master!$A:$A, Rate_Master!$D:$D, "")</f>
        <v>69000</v>
      </c>
      <c r="I14" s="32">
        <v>0</v>
      </c>
      <c r="J14" s="32">
        <f t="shared" si="1"/>
        <v>0</v>
      </c>
      <c r="K14" s="58">
        <f t="shared" si="2"/>
        <v>0</v>
      </c>
      <c r="L14" s="32"/>
    </row>
    <row r="15" spans="1:13" s="4" customFormat="1" ht="25.5" customHeight="1" outlineLevel="1">
      <c r="A15" s="27" t="str">
        <f t="shared" si="0"/>
        <v>12A.C1.4</v>
      </c>
      <c r="B15" s="28" t="s">
        <v>6</v>
      </c>
      <c r="C15" s="28" t="s">
        <v>515</v>
      </c>
      <c r="D15" s="29" t="s">
        <v>517</v>
      </c>
      <c r="E15" s="31">
        <v>0</v>
      </c>
      <c r="F15" s="31">
        <v>0</v>
      </c>
      <c r="G15" s="31">
        <f>_xlfn.XLOOKUP(B15, Rate_Master!$A:$A, Rate_Master!$C:$C, "")</f>
        <v>0</v>
      </c>
      <c r="H15" s="31">
        <f>_xlfn.XLOOKUP(B15, Rate_Master!$A:$A, Rate_Master!$D:$D, "")</f>
        <v>57499.999999999993</v>
      </c>
      <c r="I15" s="32">
        <v>0</v>
      </c>
      <c r="J15" s="32">
        <f t="shared" si="1"/>
        <v>0</v>
      </c>
      <c r="K15" s="58">
        <f t="shared" si="2"/>
        <v>0</v>
      </c>
      <c r="L15" s="32"/>
    </row>
    <row r="16" spans="1:13" s="4" customFormat="1" ht="102" customHeight="1" outlineLevel="1">
      <c r="A16" s="27" t="str">
        <f t="shared" si="0"/>
        <v>12A.C1.5</v>
      </c>
      <c r="B16" s="28" t="s">
        <v>7</v>
      </c>
      <c r="C16" s="28" t="s">
        <v>515</v>
      </c>
      <c r="D16" s="29" t="s">
        <v>518</v>
      </c>
      <c r="E16" s="31">
        <v>0</v>
      </c>
      <c r="F16" s="31">
        <v>0</v>
      </c>
      <c r="G16" s="31">
        <f>_xlfn.XLOOKUP(B16, Rate_Master!$A:$A, Rate_Master!$C:$C, "")</f>
        <v>0</v>
      </c>
      <c r="H16" s="31">
        <f>_xlfn.XLOOKUP(B16, Rate_Master!$A:$A, Rate_Master!$D:$D, "")</f>
        <v>13799999.999999998</v>
      </c>
      <c r="I16" s="32">
        <v>0</v>
      </c>
      <c r="J16" s="32">
        <f t="shared" si="1"/>
        <v>0</v>
      </c>
      <c r="K16" s="58">
        <f t="shared" si="2"/>
        <v>0</v>
      </c>
      <c r="L16" s="32"/>
    </row>
    <row r="17" spans="1:12" s="4" customFormat="1" ht="25.5" customHeight="1" outlineLevel="1">
      <c r="A17" s="27" t="str">
        <f t="shared" si="0"/>
        <v>12A.C1.6</v>
      </c>
      <c r="B17" s="28" t="s">
        <v>8</v>
      </c>
      <c r="C17" s="28" t="s">
        <v>515</v>
      </c>
      <c r="D17" s="29" t="s">
        <v>518</v>
      </c>
      <c r="E17" s="31">
        <v>26</v>
      </c>
      <c r="F17" s="31">
        <v>26</v>
      </c>
      <c r="G17" s="31">
        <f>_xlfn.XLOOKUP(B17, Rate_Master!$A:$A, Rate_Master!$C:$C, "")</f>
        <v>0</v>
      </c>
      <c r="H17" s="31">
        <f>_xlfn.XLOOKUP(B17, Rate_Master!$A:$A, Rate_Master!$D:$D, "")</f>
        <v>252999.99999999997</v>
      </c>
      <c r="I17" s="66">
        <f t="shared" ref="I17:I22" si="3">G17+H17</f>
        <v>252999.99999999997</v>
      </c>
      <c r="J17" s="32">
        <f t="shared" si="1"/>
        <v>6577999.9999999991</v>
      </c>
      <c r="K17" s="58">
        <f t="shared" si="2"/>
        <v>6577999.9999999991</v>
      </c>
      <c r="L17" s="32"/>
    </row>
    <row r="18" spans="1:12" s="4" customFormat="1" ht="25.5" customHeight="1" outlineLevel="1">
      <c r="A18" s="27" t="str">
        <f t="shared" si="0"/>
        <v>12A.C1.7</v>
      </c>
      <c r="B18" s="28" t="s">
        <v>9</v>
      </c>
      <c r="C18" s="28" t="s">
        <v>515</v>
      </c>
      <c r="D18" s="29" t="s">
        <v>517</v>
      </c>
      <c r="E18" s="31">
        <v>2860</v>
      </c>
      <c r="F18" s="31">
        <v>2860</v>
      </c>
      <c r="G18" s="31">
        <f>_xlfn.XLOOKUP(B18, Rate_Master!$A:$A, Rate_Master!$C:$C, "")</f>
        <v>402499.99999999994</v>
      </c>
      <c r="H18" s="31">
        <f>_xlfn.XLOOKUP(B18, Rate_Master!$A:$A, Rate_Master!$D:$D, "")</f>
        <v>0</v>
      </c>
      <c r="I18" s="66">
        <f t="shared" si="3"/>
        <v>402499.99999999994</v>
      </c>
      <c r="J18" s="32">
        <f t="shared" si="1"/>
        <v>1151149999.9999998</v>
      </c>
      <c r="K18" s="58">
        <f t="shared" si="2"/>
        <v>1151149999.9999998</v>
      </c>
      <c r="L18" s="32"/>
    </row>
    <row r="19" spans="1:12" s="4" customFormat="1" ht="25.5" customHeight="1" outlineLevel="1">
      <c r="A19" s="27" t="str">
        <f t="shared" si="0"/>
        <v>12A.C1.8</v>
      </c>
      <c r="B19" s="28" t="s">
        <v>10</v>
      </c>
      <c r="C19" s="28" t="s">
        <v>515</v>
      </c>
      <c r="D19" s="29" t="s">
        <v>518</v>
      </c>
      <c r="E19" s="31">
        <v>130</v>
      </c>
      <c r="F19" s="31">
        <v>130</v>
      </c>
      <c r="G19" s="31">
        <f>_xlfn.XLOOKUP(B19, Rate_Master!$A:$A, Rate_Master!$C:$C, "")</f>
        <v>80500</v>
      </c>
      <c r="H19" s="31">
        <f>_xlfn.XLOOKUP(B19, Rate_Master!$A:$A, Rate_Master!$D:$D, "")</f>
        <v>0</v>
      </c>
      <c r="I19" s="66">
        <f t="shared" si="3"/>
        <v>80500</v>
      </c>
      <c r="J19" s="32">
        <f t="shared" si="1"/>
        <v>10465000</v>
      </c>
      <c r="K19" s="58">
        <f t="shared" si="2"/>
        <v>10465000</v>
      </c>
      <c r="L19" s="32"/>
    </row>
    <row r="20" spans="1:12" s="4" customFormat="1" ht="25.5" customHeight="1" outlineLevel="1">
      <c r="A20" s="27" t="str">
        <f t="shared" si="0"/>
        <v>12A.C1.9</v>
      </c>
      <c r="B20" s="28" t="s">
        <v>11</v>
      </c>
      <c r="C20" s="28" t="s">
        <v>515</v>
      </c>
      <c r="D20" s="29" t="s">
        <v>517</v>
      </c>
      <c r="E20" s="31">
        <v>2756</v>
      </c>
      <c r="F20" s="31">
        <v>2756</v>
      </c>
      <c r="G20" s="31">
        <f>_xlfn.XLOOKUP(B20, Rate_Master!$A:$A, Rate_Master!$C:$C, "")</f>
        <v>0</v>
      </c>
      <c r="H20" s="31">
        <f>_xlfn.XLOOKUP(B20, Rate_Master!$A:$A, Rate_Master!$D:$D, "")</f>
        <v>69000</v>
      </c>
      <c r="I20" s="66">
        <f t="shared" si="3"/>
        <v>69000</v>
      </c>
      <c r="J20" s="32">
        <f t="shared" si="1"/>
        <v>190164000</v>
      </c>
      <c r="K20" s="58">
        <f t="shared" si="2"/>
        <v>190164000</v>
      </c>
      <c r="L20" s="32"/>
    </row>
    <row r="21" spans="1:12" s="4" customFormat="1" ht="25.5" customHeight="1" outlineLevel="1">
      <c r="A21" s="27" t="str">
        <f t="shared" si="0"/>
        <v>12A.C1.10</v>
      </c>
      <c r="B21" s="28" t="s">
        <v>12</v>
      </c>
      <c r="C21" s="28" t="s">
        <v>515</v>
      </c>
      <c r="D21" s="29" t="s">
        <v>517</v>
      </c>
      <c r="E21" s="31">
        <v>2886</v>
      </c>
      <c r="F21" s="31">
        <v>2886</v>
      </c>
      <c r="G21" s="31">
        <f>_xlfn.XLOOKUP(B21, Rate_Master!$A:$A, Rate_Master!$C:$C, "")</f>
        <v>0</v>
      </c>
      <c r="H21" s="31">
        <f>_xlfn.XLOOKUP(B21, Rate_Master!$A:$A, Rate_Master!$D:$D, "")</f>
        <v>57499.999999999993</v>
      </c>
      <c r="I21" s="66">
        <f t="shared" si="3"/>
        <v>57499.999999999993</v>
      </c>
      <c r="J21" s="32">
        <f t="shared" si="1"/>
        <v>165944999.99999997</v>
      </c>
      <c r="K21" s="58">
        <f t="shared" si="2"/>
        <v>165944999.99999997</v>
      </c>
      <c r="L21" s="32"/>
    </row>
    <row r="22" spans="1:12" s="4" customFormat="1" ht="63.75" customHeight="1" outlineLevel="1">
      <c r="A22" s="27" t="str">
        <f t="shared" si="0"/>
        <v>12A.C1.11</v>
      </c>
      <c r="B22" s="28" t="s">
        <v>13</v>
      </c>
      <c r="C22" s="28" t="s">
        <v>515</v>
      </c>
      <c r="D22" s="29" t="s">
        <v>518</v>
      </c>
      <c r="E22" s="31">
        <v>130</v>
      </c>
      <c r="F22" s="31">
        <v>130</v>
      </c>
      <c r="G22" s="31">
        <f>_xlfn.XLOOKUP(B22, Rate_Master!$A:$A, Rate_Master!$C:$C, "")</f>
        <v>482999.99999999994</v>
      </c>
      <c r="H22" s="31">
        <f>_xlfn.XLOOKUP(B22, Rate_Master!$A:$A, Rate_Master!$D:$D, "")</f>
        <v>161000</v>
      </c>
      <c r="I22" s="66">
        <f t="shared" si="3"/>
        <v>644000</v>
      </c>
      <c r="J22" s="32">
        <f t="shared" si="1"/>
        <v>83720000</v>
      </c>
      <c r="K22" s="58">
        <f t="shared" si="2"/>
        <v>83720000</v>
      </c>
      <c r="L22" s="32"/>
    </row>
    <row r="23" spans="1:12" s="3" customFormat="1" ht="25.5" customHeight="1">
      <c r="A23" s="22" t="str">
        <f>$A$10&amp;2</f>
        <v>12A.C2</v>
      </c>
      <c r="B23" s="23" t="s">
        <v>14</v>
      </c>
      <c r="C23" s="23" t="s">
        <v>515</v>
      </c>
      <c r="D23" s="22"/>
      <c r="E23" s="25"/>
      <c r="F23" s="25"/>
      <c r="G23" s="25">
        <f>_xlfn.XLOOKUP(B23, Rate_Master!$A:$A, Rate_Master!$C:$C, "")</f>
        <v>0</v>
      </c>
      <c r="H23" s="25">
        <f>_xlfn.XLOOKUP(B23, Rate_Master!$A:$A, Rate_Master!$D:$D, "")</f>
        <v>0</v>
      </c>
      <c r="I23" s="26"/>
      <c r="J23" s="26">
        <f>SUBTOTAL(9,J24:J31)</f>
        <v>358859077.80000001</v>
      </c>
      <c r="K23" s="89">
        <f>SUBTOTAL(9,K24:K31)</f>
        <v>358859077.80000001</v>
      </c>
      <c r="L23" s="26"/>
    </row>
    <row r="24" spans="1:12" s="4" customFormat="1" ht="25.5" customHeight="1" outlineLevel="1">
      <c r="A24" s="27" t="str">
        <f t="shared" ref="A24:A31" si="4">$A$23&amp;"."&amp;ROW()-ROW($A$23)</f>
        <v>12A.C2.1</v>
      </c>
      <c r="B24" s="28" t="s">
        <v>15</v>
      </c>
      <c r="C24" s="28" t="s">
        <v>515</v>
      </c>
      <c r="D24" s="29" t="s">
        <v>519</v>
      </c>
      <c r="E24" s="31">
        <v>267.27499999999998</v>
      </c>
      <c r="F24" s="31">
        <v>267.27499999999998</v>
      </c>
      <c r="G24" s="31">
        <f>_xlfn.XLOOKUP(B24, Rate_Master!$A:$A, Rate_Master!$C:$C, "")</f>
        <v>0</v>
      </c>
      <c r="H24" s="31">
        <f>_xlfn.XLOOKUP(B24, Rate_Master!$A:$A, Rate_Master!$D:$D, "")</f>
        <v>32199.999999999996</v>
      </c>
      <c r="I24" s="66">
        <f t="shared" ref="I24:I31" si="5">G24+H24</f>
        <v>32199.999999999996</v>
      </c>
      <c r="J24" s="32">
        <f t="shared" ref="J24:J31" si="6">I24*E24</f>
        <v>8606254.9999999981</v>
      </c>
      <c r="K24" s="58">
        <f t="shared" ref="K24:K31" si="7">I24*F24</f>
        <v>8606254.9999999981</v>
      </c>
      <c r="L24" s="32"/>
    </row>
    <row r="25" spans="1:12" s="4" customFormat="1" ht="25.5" customHeight="1" outlineLevel="1">
      <c r="A25" s="27" t="str">
        <f t="shared" si="4"/>
        <v>12A.C2.2</v>
      </c>
      <c r="B25" s="28" t="s">
        <v>16</v>
      </c>
      <c r="C25" s="28" t="s">
        <v>515</v>
      </c>
      <c r="D25" s="29" t="s">
        <v>520</v>
      </c>
      <c r="E25" s="31">
        <v>358.45499999999998</v>
      </c>
      <c r="F25" s="31">
        <v>358.45499999999998</v>
      </c>
      <c r="G25" s="31">
        <f>_xlfn.XLOOKUP(B25, Rate_Master!$A:$A, Rate_Master!$C:$C, "")</f>
        <v>0</v>
      </c>
      <c r="H25" s="31">
        <f>_xlfn.XLOOKUP(B25, Rate_Master!$A:$A, Rate_Master!$D:$D, "")</f>
        <v>17250</v>
      </c>
      <c r="I25" s="66">
        <f t="shared" si="5"/>
        <v>17250</v>
      </c>
      <c r="J25" s="32">
        <f t="shared" si="6"/>
        <v>6183348.75</v>
      </c>
      <c r="K25" s="58">
        <f t="shared" si="7"/>
        <v>6183348.75</v>
      </c>
      <c r="L25" s="32"/>
    </row>
    <row r="26" spans="1:12" s="4" customFormat="1" ht="25.5" customHeight="1" outlineLevel="1">
      <c r="A26" s="27" t="str">
        <f t="shared" si="4"/>
        <v>12A.C2.3</v>
      </c>
      <c r="B26" s="28" t="s">
        <v>17</v>
      </c>
      <c r="C26" s="28" t="s">
        <v>515</v>
      </c>
      <c r="D26" s="29" t="s">
        <v>519</v>
      </c>
      <c r="E26" s="31">
        <v>183.07499999999999</v>
      </c>
      <c r="F26" s="31">
        <v>183.07499999999999</v>
      </c>
      <c r="G26" s="31">
        <f>_xlfn.XLOOKUP(B26, Rate_Master!$A:$A, Rate_Master!$C:$C, "")</f>
        <v>0</v>
      </c>
      <c r="H26" s="31">
        <f>_xlfn.XLOOKUP(B26, Rate_Master!$A:$A, Rate_Master!$D:$D, "")</f>
        <v>37950</v>
      </c>
      <c r="I26" s="66">
        <f t="shared" si="5"/>
        <v>37950</v>
      </c>
      <c r="J26" s="32">
        <f t="shared" si="6"/>
        <v>6947696.25</v>
      </c>
      <c r="K26" s="58">
        <f t="shared" si="7"/>
        <v>6947696.25</v>
      </c>
      <c r="L26" s="32"/>
    </row>
    <row r="27" spans="1:12" s="4" customFormat="1" ht="25.5" customHeight="1" outlineLevel="1">
      <c r="A27" s="27" t="str">
        <f t="shared" si="4"/>
        <v>12A.C2.4</v>
      </c>
      <c r="B27" s="34" t="s">
        <v>18</v>
      </c>
      <c r="C27" s="34" t="s">
        <v>521</v>
      </c>
      <c r="D27" s="29" t="s">
        <v>519</v>
      </c>
      <c r="E27" s="31">
        <v>84.2</v>
      </c>
      <c r="F27" s="31">
        <v>84.2</v>
      </c>
      <c r="G27" s="31">
        <f>_xlfn.XLOOKUP(B27, Rate_Master!$A:$A, Rate_Master!$C:$C, "")</f>
        <v>0</v>
      </c>
      <c r="H27" s="31">
        <f>_xlfn.XLOOKUP(B27, Rate_Master!$A:$A, Rate_Master!$D:$D, "")</f>
        <v>32199.999999999996</v>
      </c>
      <c r="I27" s="66">
        <f t="shared" si="5"/>
        <v>32199.999999999996</v>
      </c>
      <c r="J27" s="32">
        <f t="shared" si="6"/>
        <v>2711240</v>
      </c>
      <c r="K27" s="58">
        <f t="shared" si="7"/>
        <v>2711240</v>
      </c>
      <c r="L27" s="32"/>
    </row>
    <row r="28" spans="1:12" s="4" customFormat="1" ht="25.5" customHeight="1" outlineLevel="1">
      <c r="A28" s="27" t="str">
        <f t="shared" si="4"/>
        <v>12A.C2.5</v>
      </c>
      <c r="B28" s="28" t="s">
        <v>19</v>
      </c>
      <c r="C28" s="28" t="s">
        <v>515</v>
      </c>
      <c r="D28" s="29" t="s">
        <v>520</v>
      </c>
      <c r="E28" s="31">
        <v>358.45499999999998</v>
      </c>
      <c r="F28" s="31">
        <v>358.45499999999998</v>
      </c>
      <c r="G28" s="31">
        <f>_xlfn.XLOOKUP(B28, Rate_Master!$A:$A, Rate_Master!$C:$C, "")</f>
        <v>6899.9999999999991</v>
      </c>
      <c r="H28" s="31">
        <f>_xlfn.XLOOKUP(B28, Rate_Master!$A:$A, Rate_Master!$D:$D, "")</f>
        <v>1724.9999999999998</v>
      </c>
      <c r="I28" s="66">
        <f t="shared" si="5"/>
        <v>8624.9999999999982</v>
      </c>
      <c r="J28" s="32">
        <f t="shared" si="6"/>
        <v>3091674.3749999991</v>
      </c>
      <c r="K28" s="58">
        <f t="shared" si="7"/>
        <v>3091674.3749999991</v>
      </c>
      <c r="L28" s="32"/>
    </row>
    <row r="29" spans="1:12" s="4" customFormat="1" ht="38.25" customHeight="1" outlineLevel="1">
      <c r="A29" s="27" t="str">
        <f t="shared" si="4"/>
        <v>12A.C2.6</v>
      </c>
      <c r="B29" s="28" t="s">
        <v>20</v>
      </c>
      <c r="C29" s="28" t="s">
        <v>515</v>
      </c>
      <c r="D29" s="29" t="s">
        <v>520</v>
      </c>
      <c r="E29" s="31">
        <v>1200.604</v>
      </c>
      <c r="F29" s="31">
        <v>1200.604</v>
      </c>
      <c r="G29" s="31">
        <f>_xlfn.XLOOKUP(B29, Rate_Master!$A:$A, Rate_Master!$C:$C, "")</f>
        <v>34500</v>
      </c>
      <c r="H29" s="31">
        <f>_xlfn.XLOOKUP(B29, Rate_Master!$A:$A, Rate_Master!$D:$D, "")</f>
        <v>5750</v>
      </c>
      <c r="I29" s="66">
        <f t="shared" si="5"/>
        <v>40250</v>
      </c>
      <c r="J29" s="32">
        <f t="shared" si="6"/>
        <v>48324311</v>
      </c>
      <c r="K29" s="58">
        <f t="shared" si="7"/>
        <v>48324311</v>
      </c>
      <c r="L29" s="32"/>
    </row>
    <row r="30" spans="1:12" s="4" customFormat="1" ht="25.5" customHeight="1" outlineLevel="1">
      <c r="A30" s="27" t="str">
        <f t="shared" si="4"/>
        <v>12A.C2.7</v>
      </c>
      <c r="B30" s="34" t="s">
        <v>21</v>
      </c>
      <c r="C30" s="28" t="s">
        <v>515</v>
      </c>
      <c r="D30" s="29" t="s">
        <v>520</v>
      </c>
      <c r="E30" s="31">
        <v>1200.604</v>
      </c>
      <c r="F30" s="31">
        <v>1200.604</v>
      </c>
      <c r="G30" s="31">
        <f>_xlfn.XLOOKUP(B30, Rate_Master!$A:$A, Rate_Master!$C:$C, "")</f>
        <v>0</v>
      </c>
      <c r="H30" s="31">
        <f>_xlfn.XLOOKUP(B30, Rate_Master!$A:$A, Rate_Master!$D:$D, "")</f>
        <v>13799.999999999998</v>
      </c>
      <c r="I30" s="32">
        <f t="shared" si="5"/>
        <v>13799.999999999998</v>
      </c>
      <c r="J30" s="32">
        <f t="shared" si="6"/>
        <v>16568335.199999999</v>
      </c>
      <c r="K30" s="58">
        <f t="shared" si="7"/>
        <v>16568335.199999999</v>
      </c>
      <c r="L30" s="32"/>
    </row>
    <row r="31" spans="1:12" s="4" customFormat="1" ht="25.5" customHeight="1" outlineLevel="1">
      <c r="A31" s="27" t="str">
        <f t="shared" si="4"/>
        <v>12A.C2.8</v>
      </c>
      <c r="B31" s="28" t="s">
        <v>22</v>
      </c>
      <c r="C31" s="28" t="s">
        <v>515</v>
      </c>
      <c r="D31" s="29" t="s">
        <v>519</v>
      </c>
      <c r="E31" s="31">
        <v>432.63299999999998</v>
      </c>
      <c r="F31" s="31">
        <v>432.63299999999998</v>
      </c>
      <c r="G31" s="31">
        <f>_xlfn.XLOOKUP(B31, Rate_Master!$A:$A, Rate_Master!$C:$C, "")</f>
        <v>512325</v>
      </c>
      <c r="H31" s="31">
        <f>_xlfn.XLOOKUP(B31, Rate_Master!$A:$A, Rate_Master!$D:$D, "")</f>
        <v>103499.99999999999</v>
      </c>
      <c r="I31" s="66">
        <f t="shared" si="5"/>
        <v>615825</v>
      </c>
      <c r="J31" s="32">
        <f t="shared" si="6"/>
        <v>266426217.22499999</v>
      </c>
      <c r="K31" s="58">
        <f t="shared" si="7"/>
        <v>266426217.22499999</v>
      </c>
      <c r="L31" s="32"/>
    </row>
    <row r="32" spans="1:12" s="3" customFormat="1" ht="25.5" customHeight="1">
      <c r="A32" s="22" t="str">
        <f>$A$10&amp;3</f>
        <v>12A.C3</v>
      </c>
      <c r="B32" s="23" t="s">
        <v>23</v>
      </c>
      <c r="C32" s="23" t="s">
        <v>515</v>
      </c>
      <c r="D32" s="22"/>
      <c r="E32" s="25"/>
      <c r="F32" s="25"/>
      <c r="G32" s="25">
        <f>_xlfn.XLOOKUP(B32, Rate_Master!$A:$A, Rate_Master!$C:$C, "")</f>
        <v>0</v>
      </c>
      <c r="H32" s="25">
        <f>_xlfn.XLOOKUP(B32, Rate_Master!$A:$A, Rate_Master!$D:$D, "")</f>
        <v>0</v>
      </c>
      <c r="I32" s="26"/>
      <c r="J32" s="26">
        <f>SUBTOTAL(9,J33:J39)</f>
        <v>1108389077.7013888</v>
      </c>
      <c r="K32" s="89">
        <f>SUBTOTAL(9,K33:K39)</f>
        <v>1108389077.7013888</v>
      </c>
      <c r="L32" s="26"/>
    </row>
    <row r="33" spans="1:12" s="4" customFormat="1" ht="25.5" customHeight="1" outlineLevel="1">
      <c r="A33" s="27" t="str">
        <f t="shared" ref="A33:A39" si="8">$A$32&amp;"."&amp;ROW()-ROW($A$32)</f>
        <v>12A.C3.1</v>
      </c>
      <c r="B33" s="28" t="s">
        <v>24</v>
      </c>
      <c r="C33" s="28" t="s">
        <v>515</v>
      </c>
      <c r="D33" s="29" t="s">
        <v>519</v>
      </c>
      <c r="E33" s="31">
        <v>35.844999999999999</v>
      </c>
      <c r="F33" s="31">
        <v>35.844999999999999</v>
      </c>
      <c r="G33" s="30">
        <f>_xlfn.XLOOKUP(B33, Rate_Master!$A:$A, Rate_Master!$C:$C, "")</f>
        <v>1249762.5</v>
      </c>
      <c r="H33" s="30">
        <f>_xlfn.XLOOKUP(B33, Rate_Master!$A:$A, Rate_Master!$D:$D, "")</f>
        <v>206999.99999999997</v>
      </c>
      <c r="I33" s="66">
        <f>G33+H33</f>
        <v>1456762.5</v>
      </c>
      <c r="J33" s="32">
        <f t="shared" ref="J33:J39" si="9">I33*E33</f>
        <v>52217651.8125</v>
      </c>
      <c r="K33" s="58">
        <f t="shared" ref="K33:K39" si="10">I33*F33</f>
        <v>52217651.8125</v>
      </c>
      <c r="L33" s="32"/>
    </row>
    <row r="34" spans="1:12" s="4" customFormat="1" ht="51" customHeight="1" outlineLevel="1">
      <c r="A34" s="27" t="str">
        <f t="shared" si="8"/>
        <v>12A.C3.2</v>
      </c>
      <c r="B34" s="28" t="s">
        <v>25</v>
      </c>
      <c r="C34" s="28" t="s">
        <v>515</v>
      </c>
      <c r="D34" s="29" t="s">
        <v>519</v>
      </c>
      <c r="E34" s="31">
        <v>169.25299999999999</v>
      </c>
      <c r="F34" s="31">
        <v>169.25299999999999</v>
      </c>
      <c r="G34" s="30">
        <f>_xlfn.XLOOKUP(B34, Rate_Master!$A:$A, Rate_Master!$C:$C, "")</f>
        <v>1607444.4444444443</v>
      </c>
      <c r="H34" s="30">
        <f>_xlfn.XLOOKUP(B34, Rate_Master!$A:$A, Rate_Master!$D:$D, "")</f>
        <v>149500</v>
      </c>
      <c r="I34" s="66">
        <f>G34+H34</f>
        <v>1756944.4444444443</v>
      </c>
      <c r="J34" s="32">
        <f t="shared" si="9"/>
        <v>297368118.05555552</v>
      </c>
      <c r="K34" s="58">
        <f t="shared" si="10"/>
        <v>297368118.05555552</v>
      </c>
      <c r="L34" s="32"/>
    </row>
    <row r="35" spans="1:12" s="4" customFormat="1" ht="25.5" customHeight="1" outlineLevel="1">
      <c r="A35" s="27" t="str">
        <f t="shared" si="8"/>
        <v>12A.C3.3</v>
      </c>
      <c r="B35" s="28" t="s">
        <v>26</v>
      </c>
      <c r="C35" s="28" t="s">
        <v>515</v>
      </c>
      <c r="D35" s="29" t="s">
        <v>519</v>
      </c>
      <c r="E35" s="31">
        <v>31.2</v>
      </c>
      <c r="F35" s="31">
        <v>31.2</v>
      </c>
      <c r="G35" s="30">
        <f>_xlfn.XLOOKUP(B35, Rate_Master!$A:$A, Rate_Master!$C:$C, "")</f>
        <v>1520555.5555555553</v>
      </c>
      <c r="H35" s="30">
        <f>_xlfn.XLOOKUP(B35, Rate_Master!$A:$A, Rate_Master!$D:$D, "")</f>
        <v>252999.99999999997</v>
      </c>
      <c r="I35" s="66">
        <f>G35+H35</f>
        <v>1773555.5555555553</v>
      </c>
      <c r="J35" s="32">
        <f t="shared" si="9"/>
        <v>55334933.333333321</v>
      </c>
      <c r="K35" s="58">
        <f t="shared" si="10"/>
        <v>55334933.333333321</v>
      </c>
      <c r="L35" s="32"/>
    </row>
    <row r="36" spans="1:12" s="4" customFormat="1" ht="25.5" customHeight="1" outlineLevel="1">
      <c r="A36" s="27" t="str">
        <f t="shared" si="8"/>
        <v>12A.C3.4</v>
      </c>
      <c r="B36" s="28" t="s">
        <v>27</v>
      </c>
      <c r="C36" s="28" t="s">
        <v>515</v>
      </c>
      <c r="D36" s="29" t="s">
        <v>519</v>
      </c>
      <c r="E36" s="31">
        <v>350.46899999999999</v>
      </c>
      <c r="F36" s="31">
        <v>350.46899999999999</v>
      </c>
      <c r="G36" s="30">
        <f>_xlfn.XLOOKUP(B36, Rate_Master!$A:$A, Rate_Master!$C:$C, "")</f>
        <v>1520555.5555555553</v>
      </c>
      <c r="H36" s="30">
        <f>_xlfn.XLOOKUP(B36, Rate_Master!$A:$A, Rate_Master!$D:$D, "")</f>
        <v>149500</v>
      </c>
      <c r="I36" s="66">
        <f>G36+H36</f>
        <v>1670055.5555555553</v>
      </c>
      <c r="J36" s="32">
        <f t="shared" si="9"/>
        <v>585302700.49999988</v>
      </c>
      <c r="K36" s="58">
        <f t="shared" si="10"/>
        <v>585302700.49999988</v>
      </c>
      <c r="L36" s="32"/>
    </row>
    <row r="37" spans="1:12" s="4" customFormat="1" ht="25.5" customHeight="1" outlineLevel="1">
      <c r="A37" s="27" t="str">
        <f t="shared" si="8"/>
        <v>12A.C3.5</v>
      </c>
      <c r="B37" s="28" t="s">
        <v>28</v>
      </c>
      <c r="C37" s="28" t="s">
        <v>515</v>
      </c>
      <c r="D37" s="29" t="s">
        <v>519</v>
      </c>
      <c r="E37" s="31">
        <v>76.744799999999998</v>
      </c>
      <c r="F37" s="31">
        <v>76.744799999999998</v>
      </c>
      <c r="G37" s="30">
        <f>_xlfn.XLOOKUP(B37, Rate_Master!$A:$A, Rate_Master!$C:$C, "")</f>
        <v>1390222.2222222222</v>
      </c>
      <c r="H37" s="30">
        <f>_xlfn.XLOOKUP(B37, Rate_Master!$A:$A, Rate_Master!$D:$D, "")</f>
        <v>149500</v>
      </c>
      <c r="I37" s="66">
        <f>G37+H37</f>
        <v>1539722.2222222222</v>
      </c>
      <c r="J37" s="32">
        <f t="shared" si="9"/>
        <v>118165674</v>
      </c>
      <c r="K37" s="58">
        <f t="shared" si="10"/>
        <v>118165674</v>
      </c>
      <c r="L37" s="32"/>
    </row>
    <row r="38" spans="1:12" s="4" customFormat="1" ht="25.5" customHeight="1" outlineLevel="1">
      <c r="A38" s="27" t="str">
        <f t="shared" si="8"/>
        <v>12A.C3.6</v>
      </c>
      <c r="B38" s="28" t="s">
        <v>29</v>
      </c>
      <c r="C38" s="28" t="s">
        <v>515</v>
      </c>
      <c r="D38" s="29" t="s">
        <v>519</v>
      </c>
      <c r="E38" s="31">
        <v>0</v>
      </c>
      <c r="F38" s="31">
        <v>0</v>
      </c>
      <c r="G38" s="30">
        <f>_xlfn.XLOOKUP(B38, Rate_Master!$A:$A, Rate_Master!$C:$C, "")</f>
        <v>1390222.2222222222</v>
      </c>
      <c r="H38" s="30">
        <f>_xlfn.XLOOKUP(B38, Rate_Master!$A:$A, Rate_Master!$D:$D, "")</f>
        <v>149500</v>
      </c>
      <c r="I38" s="32">
        <v>0</v>
      </c>
      <c r="J38" s="32">
        <f t="shared" si="9"/>
        <v>0</v>
      </c>
      <c r="K38" s="58">
        <f t="shared" si="10"/>
        <v>0</v>
      </c>
      <c r="L38" s="32"/>
    </row>
    <row r="39" spans="1:12" s="4" customFormat="1" ht="38.25" customHeight="1" outlineLevel="1">
      <c r="A39" s="27" t="str">
        <f t="shared" si="8"/>
        <v>12A.C3.7</v>
      </c>
      <c r="B39" s="28" t="s">
        <v>30</v>
      </c>
      <c r="C39" s="28" t="s">
        <v>515</v>
      </c>
      <c r="D39" s="29" t="s">
        <v>519</v>
      </c>
      <c r="E39" s="31">
        <v>0</v>
      </c>
      <c r="F39" s="31">
        <v>0</v>
      </c>
      <c r="G39" s="30">
        <f>_xlfn.XLOOKUP(B39, Rate_Master!$A:$A, Rate_Master!$C:$C, "")</f>
        <v>22425000</v>
      </c>
      <c r="H39" s="30">
        <f>_xlfn.XLOOKUP(B39, Rate_Master!$A:$A, Rate_Master!$D:$D, "")</f>
        <v>8003999.9999999991</v>
      </c>
      <c r="I39" s="32">
        <v>0</v>
      </c>
      <c r="J39" s="32">
        <f t="shared" si="9"/>
        <v>0</v>
      </c>
      <c r="K39" s="58">
        <f t="shared" si="10"/>
        <v>0</v>
      </c>
      <c r="L39" s="32"/>
    </row>
    <row r="40" spans="1:12" s="3" customFormat="1" ht="25.5" customHeight="1">
      <c r="A40" s="22" t="str">
        <f>$A$10&amp;4</f>
        <v>12A.C4</v>
      </c>
      <c r="B40" s="23" t="s">
        <v>31</v>
      </c>
      <c r="C40" s="23" t="s">
        <v>515</v>
      </c>
      <c r="D40" s="22"/>
      <c r="E40" s="25"/>
      <c r="F40" s="25"/>
      <c r="G40" s="25">
        <f>_xlfn.XLOOKUP(B40, Rate_Master!$A:$A, Rate_Master!$C:$C, "")</f>
        <v>0</v>
      </c>
      <c r="H40" s="25">
        <f>_xlfn.XLOOKUP(B40, Rate_Master!$A:$A, Rate_Master!$D:$D, "")</f>
        <v>0</v>
      </c>
      <c r="I40" s="26"/>
      <c r="J40" s="26">
        <f>SUBTOTAL(9,J41:J45)</f>
        <v>802351032.5</v>
      </c>
      <c r="K40" s="89">
        <f>SUBTOTAL(9,K41:K45)</f>
        <v>802351032.5</v>
      </c>
      <c r="L40" s="26"/>
    </row>
    <row r="41" spans="1:12" s="4" customFormat="1" ht="25.5" customHeight="1" outlineLevel="1">
      <c r="A41" s="27" t="str">
        <f>$A$40&amp;"."&amp;ROW()-ROW($A$40)</f>
        <v>12A.C4.1</v>
      </c>
      <c r="B41" s="28" t="s">
        <v>32</v>
      </c>
      <c r="C41" s="28" t="s">
        <v>515</v>
      </c>
      <c r="D41" s="29" t="s">
        <v>520</v>
      </c>
      <c r="E41" s="31">
        <v>114.36</v>
      </c>
      <c r="F41" s="31">
        <v>114.36</v>
      </c>
      <c r="G41" s="30">
        <f>_xlfn.XLOOKUP(B41, Rate_Master!$A:$A, Rate_Master!$C:$C, "")</f>
        <v>80500</v>
      </c>
      <c r="H41" s="30">
        <f>_xlfn.XLOOKUP(B41, Rate_Master!$A:$A, Rate_Master!$D:$D, "")</f>
        <v>92000</v>
      </c>
      <c r="I41" s="66">
        <f>G41+H41</f>
        <v>172500</v>
      </c>
      <c r="J41" s="32">
        <f>I41*E41</f>
        <v>19727100</v>
      </c>
      <c r="K41" s="58">
        <f>I41*F41</f>
        <v>19727100</v>
      </c>
      <c r="L41" s="32"/>
    </row>
    <row r="42" spans="1:12" s="4" customFormat="1" ht="38.25" customHeight="1" outlineLevel="1">
      <c r="A42" s="27" t="str">
        <f>$A$40&amp;"."&amp;ROW()-ROW($A$40)</f>
        <v>12A.C4.2</v>
      </c>
      <c r="B42" s="28" t="s">
        <v>33</v>
      </c>
      <c r="C42" s="28" t="s">
        <v>515</v>
      </c>
      <c r="D42" s="29" t="s">
        <v>520</v>
      </c>
      <c r="E42" s="31">
        <v>551.947</v>
      </c>
      <c r="F42" s="31">
        <v>551.947</v>
      </c>
      <c r="G42" s="30">
        <f>_xlfn.XLOOKUP(B42, Rate_Master!$A:$A, Rate_Master!$C:$C, "")</f>
        <v>126499.99999999999</v>
      </c>
      <c r="H42" s="30">
        <f>_xlfn.XLOOKUP(B42, Rate_Master!$A:$A, Rate_Master!$D:$D, "")</f>
        <v>103499.99999999999</v>
      </c>
      <c r="I42" s="66">
        <f>G42+H42</f>
        <v>229999.99999999997</v>
      </c>
      <c r="J42" s="32">
        <f>I42*E42</f>
        <v>126947809.99999999</v>
      </c>
      <c r="K42" s="58">
        <f>I42*F42</f>
        <v>126947809.99999999</v>
      </c>
      <c r="L42" s="32"/>
    </row>
    <row r="43" spans="1:12" s="4" customFormat="1" ht="25.5" customHeight="1" outlineLevel="1">
      <c r="A43" s="27" t="str">
        <f>$A$40&amp;"."&amp;ROW()-ROW($A$40)</f>
        <v>12A.C4.3</v>
      </c>
      <c r="B43" s="28" t="s">
        <v>34</v>
      </c>
      <c r="C43" s="28" t="s">
        <v>515</v>
      </c>
      <c r="D43" s="29" t="s">
        <v>520</v>
      </c>
      <c r="E43" s="31">
        <v>345.8</v>
      </c>
      <c r="F43" s="31">
        <v>345.8</v>
      </c>
      <c r="G43" s="30">
        <f>_xlfn.XLOOKUP(B43, Rate_Master!$A:$A, Rate_Master!$C:$C, "")</f>
        <v>126499.99999999999</v>
      </c>
      <c r="H43" s="30">
        <f>_xlfn.XLOOKUP(B43, Rate_Master!$A:$A, Rate_Master!$D:$D, "")</f>
        <v>149500</v>
      </c>
      <c r="I43" s="66">
        <f>G43+H43</f>
        <v>276000</v>
      </c>
      <c r="J43" s="32">
        <f>I43*E43</f>
        <v>95440800</v>
      </c>
      <c r="K43" s="58">
        <f>I43*F43</f>
        <v>95440800</v>
      </c>
      <c r="L43" s="32"/>
    </row>
    <row r="44" spans="1:12" s="4" customFormat="1" ht="25.5" customHeight="1" outlineLevel="1">
      <c r="A44" s="27" t="str">
        <f>$A$40&amp;"."&amp;ROW()-ROW($A$40)</f>
        <v>12A.C4.4</v>
      </c>
      <c r="B44" s="28" t="s">
        <v>35</v>
      </c>
      <c r="C44" s="28" t="s">
        <v>515</v>
      </c>
      <c r="D44" s="29" t="s">
        <v>520</v>
      </c>
      <c r="E44" s="31">
        <v>2319.8150000000001</v>
      </c>
      <c r="F44" s="31">
        <v>2319.8150000000001</v>
      </c>
      <c r="G44" s="30">
        <f>_xlfn.XLOOKUP(B44, Rate_Master!$A:$A, Rate_Master!$C:$C, "")</f>
        <v>126499.99999999999</v>
      </c>
      <c r="H44" s="30">
        <f>_xlfn.XLOOKUP(B44, Rate_Master!$A:$A, Rate_Master!$D:$D, "")</f>
        <v>114999.99999999999</v>
      </c>
      <c r="I44" s="66">
        <f>G44+H44</f>
        <v>241499.99999999997</v>
      </c>
      <c r="J44" s="32">
        <f>I44*E44</f>
        <v>560235322.5</v>
      </c>
      <c r="K44" s="58">
        <f>I44*F44</f>
        <v>560235322.5</v>
      </c>
      <c r="L44" s="32"/>
    </row>
    <row r="45" spans="1:12" s="4" customFormat="1" ht="25.5" customHeight="1" outlineLevel="1">
      <c r="A45" s="27" t="str">
        <f>$A$40&amp;"."&amp;ROW()-ROW($A$40)</f>
        <v>12A.C4.5</v>
      </c>
      <c r="B45" s="28" t="s">
        <v>36</v>
      </c>
      <c r="C45" s="28" t="s">
        <v>515</v>
      </c>
      <c r="D45" s="29" t="s">
        <v>520</v>
      </c>
      <c r="E45" s="31">
        <v>0</v>
      </c>
      <c r="F45" s="31">
        <v>0</v>
      </c>
      <c r="G45" s="30">
        <f>_xlfn.XLOOKUP(B45, Rate_Master!$A:$A, Rate_Master!$C:$C, "")</f>
        <v>126499.99999999999</v>
      </c>
      <c r="H45" s="30">
        <f>_xlfn.XLOOKUP(B45, Rate_Master!$A:$A, Rate_Master!$D:$D, "")</f>
        <v>97749.999999999985</v>
      </c>
      <c r="I45" s="32">
        <v>0</v>
      </c>
      <c r="J45" s="32">
        <f>I45*E45</f>
        <v>0</v>
      </c>
      <c r="K45" s="58">
        <f>I45*F45</f>
        <v>0</v>
      </c>
      <c r="L45" s="32"/>
    </row>
    <row r="46" spans="1:12" s="3" customFormat="1" ht="25.5" customHeight="1">
      <c r="A46" s="22" t="str">
        <f>$A$10&amp;5</f>
        <v>12A.C5</v>
      </c>
      <c r="B46" s="23" t="s">
        <v>37</v>
      </c>
      <c r="C46" s="23" t="s">
        <v>515</v>
      </c>
      <c r="D46" s="22"/>
      <c r="E46" s="25"/>
      <c r="F46" s="25"/>
      <c r="G46" s="25">
        <f>_xlfn.XLOOKUP(B46, Rate_Master!$A:$A, Rate_Master!$C:$C, "")</f>
        <v>0</v>
      </c>
      <c r="H46" s="25">
        <f>_xlfn.XLOOKUP(B46, Rate_Master!$A:$A, Rate_Master!$D:$D, "")</f>
        <v>0</v>
      </c>
      <c r="I46" s="26"/>
      <c r="J46" s="26">
        <f>SUBTOTAL(9,J47:J51)</f>
        <v>2406813437.4704399</v>
      </c>
      <c r="K46" s="89">
        <f>SUBTOTAL(9,K47:K51)</f>
        <v>2406813437.4704399</v>
      </c>
      <c r="L46" s="26"/>
    </row>
    <row r="47" spans="1:12" s="4" customFormat="1" ht="38.25" customHeight="1" outlineLevel="1">
      <c r="A47" s="27" t="str">
        <f>$A$46&amp;"."&amp;ROW()-ROW($A$46)</f>
        <v>12A.C5.1</v>
      </c>
      <c r="B47" s="28" t="s">
        <v>38</v>
      </c>
      <c r="C47" s="28" t="s">
        <v>522</v>
      </c>
      <c r="D47" s="29" t="s">
        <v>523</v>
      </c>
      <c r="E47" s="31">
        <v>58447.800777777797</v>
      </c>
      <c r="F47" s="31">
        <v>58447.800777777797</v>
      </c>
      <c r="G47" s="30">
        <f>_xlfn.XLOOKUP(B47, Rate_Master!$A:$A, Rate_Master!$C:$C, "")</f>
        <v>16770.564999999999</v>
      </c>
      <c r="H47" s="30">
        <f>_xlfn.XLOOKUP(B47, Rate_Master!$A:$A, Rate_Master!$D:$D, "")</f>
        <v>2875</v>
      </c>
      <c r="I47" s="66">
        <f>G47+H47</f>
        <v>19645.564999999999</v>
      </c>
      <c r="J47" s="32">
        <f>I47*E47</f>
        <v>1148240069.2868841</v>
      </c>
      <c r="K47" s="58">
        <f>I47*F47</f>
        <v>1148240069.2868841</v>
      </c>
      <c r="L47" s="32"/>
    </row>
    <row r="48" spans="1:12" s="4" customFormat="1" ht="25.5" customHeight="1" outlineLevel="1">
      <c r="A48" s="27" t="str">
        <f>$A$46&amp;"."&amp;ROW()-ROW($A$46)</f>
        <v>12A.C5.2</v>
      </c>
      <c r="B48" s="28" t="s">
        <v>39</v>
      </c>
      <c r="C48" s="28" t="s">
        <v>522</v>
      </c>
      <c r="D48" s="29" t="s">
        <v>523</v>
      </c>
      <c r="E48" s="31">
        <v>11347.465</v>
      </c>
      <c r="F48" s="31">
        <v>11347.465</v>
      </c>
      <c r="G48" s="30">
        <f>_xlfn.XLOOKUP(B48, Rate_Master!$A:$A, Rate_Master!$C:$C, "")</f>
        <v>16770.564999999999</v>
      </c>
      <c r="H48" s="30">
        <f>_xlfn.XLOOKUP(B48, Rate_Master!$A:$A, Rate_Master!$D:$D, "")</f>
        <v>3679.9999999999995</v>
      </c>
      <c r="I48" s="66">
        <f>G48+H48</f>
        <v>20450.564999999999</v>
      </c>
      <c r="J48" s="32">
        <f>I48*E48</f>
        <v>232062070.567725</v>
      </c>
      <c r="K48" s="58">
        <f>I48*F48</f>
        <v>232062070.567725</v>
      </c>
      <c r="L48" s="32"/>
    </row>
    <row r="49" spans="1:16" s="4" customFormat="1" ht="25.5" customHeight="1" outlineLevel="1">
      <c r="A49" s="27" t="str">
        <f>$A$46&amp;"."&amp;ROW()-ROW($A$46)</f>
        <v>12A.C5.3</v>
      </c>
      <c r="B49" s="28" t="s">
        <v>40</v>
      </c>
      <c r="C49" s="28" t="s">
        <v>522</v>
      </c>
      <c r="D49" s="29" t="s">
        <v>523</v>
      </c>
      <c r="E49" s="31">
        <v>44598.438999999998</v>
      </c>
      <c r="F49" s="31">
        <v>44598.438999999998</v>
      </c>
      <c r="G49" s="30">
        <f>_xlfn.XLOOKUP(B49, Rate_Master!$A:$A, Rate_Master!$C:$C, "")</f>
        <v>16770.564999999999</v>
      </c>
      <c r="H49" s="30">
        <f>_xlfn.XLOOKUP(B49, Rate_Master!$A:$A, Rate_Master!$D:$D, "")</f>
        <v>3449.9999999999995</v>
      </c>
      <c r="I49" s="66">
        <f>G49+H49</f>
        <v>20220.564999999999</v>
      </c>
      <c r="J49" s="32">
        <f>I49*E49</f>
        <v>901805634.69803488</v>
      </c>
      <c r="K49" s="58">
        <f>I49*F49</f>
        <v>901805634.69803488</v>
      </c>
      <c r="L49" s="32"/>
    </row>
    <row r="50" spans="1:16" s="4" customFormat="1" ht="25.5" customHeight="1" outlineLevel="1">
      <c r="A50" s="27" t="str">
        <f>$A$46&amp;"."&amp;ROW()-ROW($A$46)</f>
        <v>12A.C5.4</v>
      </c>
      <c r="B50" s="28" t="s">
        <v>41</v>
      </c>
      <c r="C50" s="28" t="s">
        <v>522</v>
      </c>
      <c r="D50" s="29" t="s">
        <v>523</v>
      </c>
      <c r="E50" s="31">
        <v>4340.66</v>
      </c>
      <c r="F50" s="31">
        <v>4340.66</v>
      </c>
      <c r="G50" s="30">
        <f>_xlfn.XLOOKUP(B50, Rate_Master!$A:$A, Rate_Master!$C:$C, "")</f>
        <v>16770.564999999999</v>
      </c>
      <c r="H50" s="30">
        <f>_xlfn.XLOOKUP(B50, Rate_Master!$A:$A, Rate_Master!$D:$D, "")</f>
        <v>3679.9999999999995</v>
      </c>
      <c r="I50" s="66">
        <f>G50+H50</f>
        <v>20450.564999999999</v>
      </c>
      <c r="J50" s="32">
        <f>I50*E50</f>
        <v>88768949.472899988</v>
      </c>
      <c r="K50" s="58">
        <f>I50*F50</f>
        <v>88768949.472899988</v>
      </c>
      <c r="L50" s="32"/>
    </row>
    <row r="51" spans="1:16" s="4" customFormat="1" ht="25.5" customHeight="1" outlineLevel="1">
      <c r="A51" s="27" t="str">
        <f>$A$46&amp;"."&amp;ROW()-ROW($A$46)</f>
        <v>12A.C5.5</v>
      </c>
      <c r="B51" s="28" t="s">
        <v>42</v>
      </c>
      <c r="C51" s="28" t="s">
        <v>524</v>
      </c>
      <c r="D51" s="29" t="s">
        <v>523</v>
      </c>
      <c r="E51" s="31">
        <v>1688.3856000000001</v>
      </c>
      <c r="F51" s="31">
        <v>1688.3856000000001</v>
      </c>
      <c r="G51" s="30">
        <f>_xlfn.XLOOKUP(B51, Rate_Master!$A:$A, Rate_Master!$C:$C, "")</f>
        <v>17834.66</v>
      </c>
      <c r="H51" s="30">
        <f>_xlfn.XLOOKUP(B51, Rate_Master!$A:$A, Rate_Master!$D:$D, "")</f>
        <v>3449.9999999999995</v>
      </c>
      <c r="I51" s="66">
        <f>G51+H51</f>
        <v>21284.66</v>
      </c>
      <c r="J51" s="32">
        <f>I51*E51</f>
        <v>35936713.444895998</v>
      </c>
      <c r="K51" s="58">
        <f>I51*F51</f>
        <v>35936713.444895998</v>
      </c>
      <c r="L51" s="32"/>
    </row>
    <row r="52" spans="1:16" s="3" customFormat="1" ht="25.5" customHeight="1">
      <c r="A52" s="22" t="str">
        <f>$A$10&amp;6</f>
        <v>12A.C6</v>
      </c>
      <c r="B52" s="23" t="s">
        <v>43</v>
      </c>
      <c r="C52" s="23" t="s">
        <v>515</v>
      </c>
      <c r="D52" s="22"/>
      <c r="E52" s="25"/>
      <c r="F52" s="25"/>
      <c r="G52" s="25">
        <f>_xlfn.XLOOKUP(B52, Rate_Master!$A:$A, Rate_Master!$C:$C, "")</f>
        <v>0</v>
      </c>
      <c r="H52" s="25">
        <f>_xlfn.XLOOKUP(B52, Rate_Master!$A:$A, Rate_Master!$D:$D, "")</f>
        <v>0</v>
      </c>
      <c r="I52" s="26">
        <v>0</v>
      </c>
      <c r="J52" s="26">
        <f>SUBTOTAL(9,J53:J55)</f>
        <v>120480014.5</v>
      </c>
      <c r="K52" s="89">
        <f>SUBTOTAL(9,K53:K55)</f>
        <v>120480014.5</v>
      </c>
      <c r="L52" s="26"/>
    </row>
    <row r="53" spans="1:16" s="4" customFormat="1" ht="25.5" customHeight="1" outlineLevel="1">
      <c r="A53" s="27" t="str">
        <f>$A$52&amp;"."&amp;ROW()-ROW($A$52)</f>
        <v>12A.C6.1</v>
      </c>
      <c r="B53" s="28" t="s">
        <v>44</v>
      </c>
      <c r="C53" s="28" t="s">
        <v>515</v>
      </c>
      <c r="D53" s="29" t="s">
        <v>520</v>
      </c>
      <c r="E53" s="31">
        <v>2741.0349999999999</v>
      </c>
      <c r="F53" s="31">
        <v>2741.0349999999999</v>
      </c>
      <c r="G53" s="30">
        <f>_xlfn.XLOOKUP(B53, Rate_Master!$A:$A, Rate_Master!$C:$C, "")</f>
        <v>14949.999999999998</v>
      </c>
      <c r="H53" s="30">
        <f>_xlfn.XLOOKUP(B53, Rate_Master!$A:$A, Rate_Master!$D:$D, "")</f>
        <v>17250</v>
      </c>
      <c r="I53" s="32">
        <f>G53+H53</f>
        <v>32200</v>
      </c>
      <c r="J53" s="32">
        <f>I53*E53</f>
        <v>88261327</v>
      </c>
      <c r="K53" s="58">
        <f>I53*F53</f>
        <v>88261327</v>
      </c>
      <c r="L53" s="32"/>
    </row>
    <row r="54" spans="1:16" s="4" customFormat="1" ht="51" customHeight="1" outlineLevel="1">
      <c r="A54" s="27" t="str">
        <f>$A$52&amp;"."&amp;ROW()-ROW($A$52)</f>
        <v>12A.C6.2</v>
      </c>
      <c r="B54" s="34" t="s">
        <v>45</v>
      </c>
      <c r="C54" s="28" t="s">
        <v>515</v>
      </c>
      <c r="D54" s="29" t="s">
        <v>517</v>
      </c>
      <c r="E54" s="31">
        <v>1120.6500000000001</v>
      </c>
      <c r="F54" s="31">
        <v>1120.6500000000001</v>
      </c>
      <c r="G54" s="30">
        <f>_xlfn.XLOOKUP(B54, Rate_Master!$A:$A, Rate_Master!$C:$C, "")</f>
        <v>5750</v>
      </c>
      <c r="H54" s="30">
        <f>_xlfn.XLOOKUP(B54, Rate_Master!$A:$A, Rate_Master!$D:$D, "")</f>
        <v>23000</v>
      </c>
      <c r="I54" s="32">
        <f>G54+H54</f>
        <v>28750</v>
      </c>
      <c r="J54" s="32">
        <f>I54*E54</f>
        <v>32218687.500000004</v>
      </c>
      <c r="K54" s="58">
        <f>I54*F54</f>
        <v>32218687.500000004</v>
      </c>
      <c r="L54" s="32"/>
    </row>
    <row r="55" spans="1:16" s="4" customFormat="1" ht="38.25" customHeight="1" outlineLevel="1">
      <c r="A55" s="27" t="str">
        <f>$A$52&amp;"."&amp;ROW()-ROW($A$52)</f>
        <v>12A.C6.3</v>
      </c>
      <c r="B55" s="28" t="s">
        <v>46</v>
      </c>
      <c r="C55" s="28" t="s">
        <v>515</v>
      </c>
      <c r="D55" s="29" t="s">
        <v>517</v>
      </c>
      <c r="E55" s="31">
        <v>0</v>
      </c>
      <c r="F55" s="31">
        <v>0</v>
      </c>
      <c r="G55" s="30">
        <f>_xlfn.XLOOKUP(B55, Rate_Master!$A:$A, Rate_Master!$C:$C, "")</f>
        <v>172500</v>
      </c>
      <c r="H55" s="30">
        <f>_xlfn.XLOOKUP(B55, Rate_Master!$A:$A, Rate_Master!$D:$D, "")</f>
        <v>57499.999999999993</v>
      </c>
      <c r="I55" s="32">
        <v>0</v>
      </c>
      <c r="J55" s="32">
        <f>I55*E55</f>
        <v>0</v>
      </c>
      <c r="K55" s="58">
        <f>I55*F55</f>
        <v>0</v>
      </c>
      <c r="L55" s="32"/>
    </row>
    <row r="56" spans="1:16" s="3" customFormat="1" ht="25.5" customHeight="1">
      <c r="A56" s="22" t="str">
        <f>$A$9&amp;".S"</f>
        <v>12A.S</v>
      </c>
      <c r="B56" s="23" t="s">
        <v>47</v>
      </c>
      <c r="C56" s="23" t="s">
        <v>515</v>
      </c>
      <c r="D56" s="22"/>
      <c r="E56" s="25"/>
      <c r="F56" s="25"/>
      <c r="G56" s="25">
        <f>_xlfn.XLOOKUP(B56, Rate_Master!$A:$A, Rate_Master!$C:$C, "")</f>
        <v>0</v>
      </c>
      <c r="H56" s="25">
        <f>_xlfn.XLOOKUP(B56, Rate_Master!$A:$A, Rate_Master!$D:$D, "")</f>
        <v>0</v>
      </c>
      <c r="I56" s="26"/>
      <c r="J56" s="26"/>
      <c r="K56" s="89"/>
      <c r="L56" s="26"/>
    </row>
    <row r="57" spans="1:16" s="3" customFormat="1" ht="25.5" customHeight="1">
      <c r="A57" s="22" t="str">
        <f>$A$56&amp;1</f>
        <v>12A.S1</v>
      </c>
      <c r="B57" s="23" t="s">
        <v>48</v>
      </c>
      <c r="C57" s="23" t="s">
        <v>515</v>
      </c>
      <c r="D57" s="22"/>
      <c r="E57" s="25"/>
      <c r="F57" s="87"/>
      <c r="G57" s="25">
        <f>_xlfn.XLOOKUP(B57, Rate_Master!$A:$A, Rate_Master!$C:$C, "")</f>
        <v>0</v>
      </c>
      <c r="H57" s="25">
        <f>_xlfn.XLOOKUP(B57, Rate_Master!$A:$A, Rate_Master!$D:$D, "")</f>
        <v>0</v>
      </c>
      <c r="I57" s="26"/>
      <c r="J57" s="26">
        <f>SUBTOTAL(9,J58:J72)</f>
        <v>721133902.58581424</v>
      </c>
      <c r="K57" s="89">
        <f>SUBTOTAL(9,K58:K72)</f>
        <v>1370520283.5867848</v>
      </c>
      <c r="L57" s="26"/>
    </row>
    <row r="58" spans="1:16" s="4" customFormat="1" ht="51" customHeight="1" outlineLevel="1">
      <c r="A58" s="27" t="str">
        <f t="shared" ref="A58:A72" si="11">$A$57&amp;"."&amp;ROW()-ROW($A$57)</f>
        <v>12A.S1.1</v>
      </c>
      <c r="B58" s="28" t="s">
        <v>49</v>
      </c>
      <c r="C58" s="28" t="s">
        <v>525</v>
      </c>
      <c r="D58" s="29" t="s">
        <v>523</v>
      </c>
      <c r="E58" s="31">
        <v>1777.2701440000001</v>
      </c>
      <c r="F58" s="36">
        <v>36725.918222</v>
      </c>
      <c r="G58" s="93">
        <f>_xlfn.XLOOKUP(B58, Rate_Master!$A:$A, Rate_Master!$C:$C, "")</f>
        <v>20475</v>
      </c>
      <c r="H58" s="93">
        <f>_xlfn.XLOOKUP(B58, Rate_Master!$A:$A, Rate_Master!$D:$D, "")</f>
        <v>0</v>
      </c>
      <c r="I58" s="67">
        <f t="shared" ref="I58:I72" si="12">+SUM(G58:H58)</f>
        <v>20475</v>
      </c>
      <c r="J58" s="32">
        <f t="shared" ref="J58:J72" si="13">I58*E58</f>
        <v>36389606.198399998</v>
      </c>
      <c r="K58" s="58">
        <f t="shared" ref="K58:K72" si="14">+F58*I58</f>
        <v>751963175.59545004</v>
      </c>
      <c r="L58" s="32"/>
      <c r="N58" s="104"/>
      <c r="O58" s="104"/>
      <c r="P58" s="104"/>
    </row>
    <row r="59" spans="1:16" s="4" customFormat="1" ht="76.5" customHeight="1" outlineLevel="1">
      <c r="A59" s="27" t="str">
        <f t="shared" si="11"/>
        <v>12A.S1.2</v>
      </c>
      <c r="B59" s="28" t="s">
        <v>50</v>
      </c>
      <c r="C59" s="28" t="s">
        <v>526</v>
      </c>
      <c r="D59" s="29" t="s">
        <v>523</v>
      </c>
      <c r="E59" s="31">
        <v>12647.076376514</v>
      </c>
      <c r="F59" s="36">
        <v>3032.5365200000001</v>
      </c>
      <c r="G59" s="93">
        <f>_xlfn.XLOOKUP(B59, Rate_Master!$A:$A, Rate_Master!$C:$C, "")</f>
        <v>26775</v>
      </c>
      <c r="H59" s="93">
        <f>_xlfn.XLOOKUP(B59, Rate_Master!$A:$A, Rate_Master!$D:$D, "")</f>
        <v>0</v>
      </c>
      <c r="I59" s="67">
        <f t="shared" si="12"/>
        <v>26775</v>
      </c>
      <c r="J59" s="32">
        <f t="shared" si="13"/>
        <v>338625469.98116237</v>
      </c>
      <c r="K59" s="58">
        <f t="shared" si="14"/>
        <v>81196165.322999999</v>
      </c>
      <c r="L59" s="32"/>
      <c r="N59" s="104"/>
      <c r="O59" s="104"/>
      <c r="P59" s="104"/>
    </row>
    <row r="60" spans="1:16" s="4" customFormat="1" ht="76.5" customHeight="1" outlineLevel="1">
      <c r="A60" s="27" t="str">
        <f t="shared" si="11"/>
        <v>12A.S1.3</v>
      </c>
      <c r="B60" s="28" t="s">
        <v>51</v>
      </c>
      <c r="C60" s="28" t="s">
        <v>527</v>
      </c>
      <c r="D60" s="29" t="s">
        <v>523</v>
      </c>
      <c r="E60" s="31">
        <v>648.94869109007004</v>
      </c>
      <c r="F60" s="36">
        <v>779.26460159999999</v>
      </c>
      <c r="G60" s="93">
        <f>_xlfn.XLOOKUP(B60, Rate_Master!$A:$A, Rate_Master!$C:$C, "")</f>
        <v>36750</v>
      </c>
      <c r="H60" s="93">
        <f>_xlfn.XLOOKUP(B60, Rate_Master!$A:$A, Rate_Master!$D:$D, "")</f>
        <v>0</v>
      </c>
      <c r="I60" s="67">
        <f t="shared" si="12"/>
        <v>36750</v>
      </c>
      <c r="J60" s="32">
        <f t="shared" si="13"/>
        <v>23848864.397560075</v>
      </c>
      <c r="K60" s="58">
        <f t="shared" si="14"/>
        <v>28637974.108800001</v>
      </c>
      <c r="L60" s="32"/>
      <c r="N60" s="104"/>
      <c r="O60" s="104"/>
      <c r="P60" s="104"/>
    </row>
    <row r="61" spans="1:16" s="4" customFormat="1" ht="76.5" customHeight="1" outlineLevel="1">
      <c r="A61" s="27" t="str">
        <f t="shared" si="11"/>
        <v>12A.S1.4</v>
      </c>
      <c r="B61" s="28" t="s">
        <v>52</v>
      </c>
      <c r="C61" s="28" t="s">
        <v>527</v>
      </c>
      <c r="D61" s="29" t="s">
        <v>523</v>
      </c>
      <c r="E61" s="31">
        <v>0</v>
      </c>
      <c r="F61" s="36"/>
      <c r="G61" s="93">
        <f>_xlfn.XLOOKUP(B61, Rate_Master!$A:$A, Rate_Master!$C:$C, "")</f>
        <v>26775</v>
      </c>
      <c r="H61" s="93">
        <f>_xlfn.XLOOKUP(B61, Rate_Master!$A:$A, Rate_Master!$D:$D, "")</f>
        <v>0</v>
      </c>
      <c r="I61" s="67">
        <f t="shared" si="12"/>
        <v>26775</v>
      </c>
      <c r="J61" s="32">
        <f t="shared" si="13"/>
        <v>0</v>
      </c>
      <c r="K61" s="58">
        <f t="shared" si="14"/>
        <v>0</v>
      </c>
      <c r="L61" s="32"/>
      <c r="N61" s="104"/>
      <c r="O61" s="104"/>
      <c r="P61" s="104"/>
    </row>
    <row r="62" spans="1:16" s="4" customFormat="1" ht="25.5" customHeight="1" outlineLevel="1">
      <c r="A62" s="27" t="str">
        <f t="shared" si="11"/>
        <v>12A.S1.5</v>
      </c>
      <c r="B62" s="28" t="s">
        <v>53</v>
      </c>
      <c r="C62" s="28" t="s">
        <v>528</v>
      </c>
      <c r="D62" s="29" t="s">
        <v>523</v>
      </c>
      <c r="E62" s="31">
        <v>7081.4614499999998</v>
      </c>
      <c r="F62" s="36">
        <v>8093.0987999999998</v>
      </c>
      <c r="G62" s="93">
        <f>_xlfn.XLOOKUP(B62, Rate_Master!$A:$A, Rate_Master!$C:$C, "")</f>
        <v>22365</v>
      </c>
      <c r="H62" s="93">
        <f>_xlfn.XLOOKUP(B62, Rate_Master!$A:$A, Rate_Master!$D:$D, "")</f>
        <v>0</v>
      </c>
      <c r="I62" s="67">
        <f t="shared" si="12"/>
        <v>22365</v>
      </c>
      <c r="J62" s="32">
        <f t="shared" si="13"/>
        <v>158376885.32925001</v>
      </c>
      <c r="K62" s="58">
        <f t="shared" si="14"/>
        <v>181002154.662</v>
      </c>
      <c r="L62" s="32"/>
      <c r="N62" s="104"/>
      <c r="O62" s="104"/>
      <c r="P62" s="104"/>
    </row>
    <row r="63" spans="1:16" s="4" customFormat="1" ht="38.25" customHeight="1" outlineLevel="1">
      <c r="A63" s="27" t="str">
        <f t="shared" si="11"/>
        <v>12A.S1.6</v>
      </c>
      <c r="B63" s="28" t="s">
        <v>54</v>
      </c>
      <c r="C63" s="28" t="s">
        <v>529</v>
      </c>
      <c r="D63" s="29" t="s">
        <v>523</v>
      </c>
      <c r="E63" s="31">
        <v>395.08401779551798</v>
      </c>
      <c r="F63" s="36">
        <v>337.22966592239999</v>
      </c>
      <c r="G63" s="93">
        <f>_xlfn.XLOOKUP(B63, Rate_Master!$A:$A, Rate_Master!$C:$C, "")</f>
        <v>36750</v>
      </c>
      <c r="H63" s="93">
        <f>_xlfn.XLOOKUP(B63, Rate_Master!$A:$A, Rate_Master!$D:$D, "")</f>
        <v>0</v>
      </c>
      <c r="I63" s="67">
        <f t="shared" si="12"/>
        <v>36750</v>
      </c>
      <c r="J63" s="32">
        <f t="shared" si="13"/>
        <v>14519337.653985286</v>
      </c>
      <c r="K63" s="58">
        <f t="shared" si="14"/>
        <v>12393190.2226482</v>
      </c>
      <c r="L63" s="32"/>
      <c r="N63" s="104"/>
      <c r="O63" s="104"/>
      <c r="P63" s="104"/>
    </row>
    <row r="64" spans="1:16" s="4" customFormat="1" ht="25.5" customHeight="1" outlineLevel="1">
      <c r="A64" s="27" t="str">
        <f t="shared" si="11"/>
        <v>12A.S1.7</v>
      </c>
      <c r="B64" s="28" t="s">
        <v>55</v>
      </c>
      <c r="C64" s="28" t="s">
        <v>530</v>
      </c>
      <c r="D64" s="29" t="s">
        <v>523</v>
      </c>
      <c r="E64" s="31">
        <v>0</v>
      </c>
      <c r="F64" s="36">
        <v>103.771264</v>
      </c>
      <c r="G64" s="93">
        <f>_xlfn.XLOOKUP(B64, Rate_Master!$A:$A, Rate_Master!$C:$C, "")</f>
        <v>27930</v>
      </c>
      <c r="H64" s="93">
        <f>_xlfn.XLOOKUP(B64, Rate_Master!$A:$A, Rate_Master!$D:$D, "")</f>
        <v>0</v>
      </c>
      <c r="I64" s="67">
        <f t="shared" si="12"/>
        <v>27930</v>
      </c>
      <c r="J64" s="32">
        <f t="shared" si="13"/>
        <v>0</v>
      </c>
      <c r="K64" s="58">
        <f t="shared" si="14"/>
        <v>2898331.4035200002</v>
      </c>
      <c r="L64" s="32"/>
      <c r="N64" s="104"/>
      <c r="O64" s="104"/>
      <c r="P64" s="104"/>
    </row>
    <row r="65" spans="1:16" s="4" customFormat="1" ht="25.5" customHeight="1" outlineLevel="1">
      <c r="A65" s="27" t="str">
        <f t="shared" si="11"/>
        <v>12A.S1.8</v>
      </c>
      <c r="B65" s="28" t="s">
        <v>56</v>
      </c>
      <c r="C65" s="28" t="s">
        <v>531</v>
      </c>
      <c r="D65" s="29" t="s">
        <v>523</v>
      </c>
      <c r="E65" s="31">
        <v>359.68</v>
      </c>
      <c r="F65" s="36">
        <v>990.40612013724513</v>
      </c>
      <c r="G65" s="93">
        <f>_xlfn.XLOOKUP(B65, Rate_Master!$A:$A, Rate_Master!$C:$C, "")</f>
        <v>52500</v>
      </c>
      <c r="H65" s="93">
        <f>_xlfn.XLOOKUP(B65, Rate_Master!$A:$A, Rate_Master!$D:$D, "")</f>
        <v>0</v>
      </c>
      <c r="I65" s="67">
        <f t="shared" si="12"/>
        <v>52500</v>
      </c>
      <c r="J65" s="32">
        <f t="shared" si="13"/>
        <v>18883200</v>
      </c>
      <c r="K65" s="58">
        <f t="shared" si="14"/>
        <v>51996321.307205372</v>
      </c>
      <c r="L65" s="32"/>
      <c r="N65" s="104"/>
      <c r="O65" s="104"/>
      <c r="P65" s="104"/>
    </row>
    <row r="66" spans="1:16" s="4" customFormat="1" ht="25.5" customHeight="1" outlineLevel="1">
      <c r="A66" s="27" t="str">
        <f t="shared" si="11"/>
        <v>12A.S1.9</v>
      </c>
      <c r="B66" s="28" t="s">
        <v>57</v>
      </c>
      <c r="C66" s="28" t="s">
        <v>532</v>
      </c>
      <c r="D66" s="29" t="s">
        <v>523</v>
      </c>
      <c r="E66" s="31">
        <v>160.76</v>
      </c>
      <c r="F66" s="36">
        <v>142.99600000000001</v>
      </c>
      <c r="G66" s="93">
        <f>_xlfn.XLOOKUP(B66, Rate_Master!$A:$A, Rate_Master!$C:$C, "")</f>
        <v>60900</v>
      </c>
      <c r="H66" s="93">
        <f>_xlfn.XLOOKUP(B66, Rate_Master!$A:$A, Rate_Master!$D:$D, "")</f>
        <v>0</v>
      </c>
      <c r="I66" s="67">
        <f t="shared" si="12"/>
        <v>60900</v>
      </c>
      <c r="J66" s="32">
        <f t="shared" si="13"/>
        <v>9790284</v>
      </c>
      <c r="K66" s="58">
        <f t="shared" si="14"/>
        <v>8708456.4000000004</v>
      </c>
      <c r="L66" s="32"/>
      <c r="N66" s="104"/>
      <c r="O66" s="104"/>
      <c r="P66" s="104"/>
    </row>
    <row r="67" spans="1:16" s="4" customFormat="1" ht="25.5" customHeight="1" outlineLevel="1">
      <c r="A67" s="27" t="str">
        <f t="shared" si="11"/>
        <v>12A.S1.10</v>
      </c>
      <c r="B67" s="28" t="s">
        <v>58</v>
      </c>
      <c r="C67" s="28" t="s">
        <v>533</v>
      </c>
      <c r="D67" s="29" t="s">
        <v>523</v>
      </c>
      <c r="E67" s="31">
        <v>100.40600000000001</v>
      </c>
      <c r="F67" s="36">
        <v>148.1568</v>
      </c>
      <c r="G67" s="93">
        <f>_xlfn.XLOOKUP(B67, Rate_Master!$A:$A, Rate_Master!$C:$C, "")</f>
        <v>60900</v>
      </c>
      <c r="H67" s="93">
        <f>_xlfn.XLOOKUP(B67, Rate_Master!$A:$A, Rate_Master!$D:$D, "")</f>
        <v>0</v>
      </c>
      <c r="I67" s="67">
        <f t="shared" si="12"/>
        <v>60900</v>
      </c>
      <c r="J67" s="32">
        <f t="shared" si="13"/>
        <v>6114725.4000000004</v>
      </c>
      <c r="K67" s="58">
        <f t="shared" si="14"/>
        <v>9022749.120000001</v>
      </c>
      <c r="L67" s="32"/>
      <c r="N67" s="104"/>
      <c r="O67" s="104"/>
      <c r="P67" s="104"/>
    </row>
    <row r="68" spans="1:16" s="4" customFormat="1" ht="25.5" customHeight="1" outlineLevel="1">
      <c r="A68" s="27" t="str">
        <f t="shared" si="11"/>
        <v>12A.S1.11</v>
      </c>
      <c r="B68" s="28" t="s">
        <v>59</v>
      </c>
      <c r="C68" s="28" t="s">
        <v>534</v>
      </c>
      <c r="D68" s="29" t="s">
        <v>518</v>
      </c>
      <c r="E68" s="31">
        <v>0</v>
      </c>
      <c r="F68" s="36">
        <v>516</v>
      </c>
      <c r="G68" s="93">
        <f>_xlfn.XLOOKUP(B68, Rate_Master!$A:$A, Rate_Master!$C:$C, "")</f>
        <v>21000</v>
      </c>
      <c r="H68" s="93">
        <f>_xlfn.XLOOKUP(B68, Rate_Master!$A:$A, Rate_Master!$D:$D, "")</f>
        <v>0</v>
      </c>
      <c r="I68" s="67">
        <f t="shared" si="12"/>
        <v>21000</v>
      </c>
      <c r="J68" s="32">
        <f t="shared" si="13"/>
        <v>0</v>
      </c>
      <c r="K68" s="58">
        <f t="shared" si="14"/>
        <v>10836000</v>
      </c>
      <c r="L68" s="32"/>
      <c r="N68" s="104"/>
      <c r="O68" s="104"/>
      <c r="P68" s="104"/>
    </row>
    <row r="69" spans="1:16" s="4" customFormat="1" ht="25.5" customHeight="1" outlineLevel="1">
      <c r="A69" s="27" t="str">
        <f t="shared" si="11"/>
        <v>12A.S1.12</v>
      </c>
      <c r="B69" s="28" t="s">
        <v>60</v>
      </c>
      <c r="C69" s="28" t="s">
        <v>515</v>
      </c>
      <c r="D69" s="29" t="s">
        <v>523</v>
      </c>
      <c r="E69" s="31">
        <v>359.68</v>
      </c>
      <c r="F69" s="36">
        <v>990.40612013724513</v>
      </c>
      <c r="G69" s="93">
        <f>_xlfn.XLOOKUP(B69, Rate_Master!$A:$A, Rate_Master!$C:$C, "")</f>
        <v>630</v>
      </c>
      <c r="H69" s="93">
        <f>_xlfn.XLOOKUP(B69, Rate_Master!$A:$A, Rate_Master!$D:$D, "")</f>
        <v>0</v>
      </c>
      <c r="I69" s="67">
        <f t="shared" si="12"/>
        <v>630</v>
      </c>
      <c r="J69" s="32">
        <f t="shared" si="13"/>
        <v>226598.39999999999</v>
      </c>
      <c r="K69" s="58">
        <f t="shared" si="14"/>
        <v>623955.85568646446</v>
      </c>
      <c r="L69" s="32"/>
      <c r="N69" s="104"/>
      <c r="O69" s="104"/>
      <c r="P69" s="104"/>
    </row>
    <row r="70" spans="1:16" s="4" customFormat="1" ht="25.5" customHeight="1" outlineLevel="1">
      <c r="A70" s="27" t="str">
        <f t="shared" si="11"/>
        <v>12A.S1.13</v>
      </c>
      <c r="B70" s="28" t="s">
        <v>61</v>
      </c>
      <c r="C70" s="28" t="s">
        <v>515</v>
      </c>
      <c r="D70" s="29" t="s">
        <v>523</v>
      </c>
      <c r="E70" s="31">
        <v>22549.8406793996</v>
      </c>
      <c r="F70" s="36">
        <v>49362.971873522401</v>
      </c>
      <c r="G70" s="93">
        <f>_xlfn.XLOOKUP(B70, Rate_Master!$A:$A, Rate_Master!$C:$C, "")</f>
        <v>630</v>
      </c>
      <c r="H70" s="93">
        <f>_xlfn.XLOOKUP(B70, Rate_Master!$A:$A, Rate_Master!$D:$D, "")</f>
        <v>0</v>
      </c>
      <c r="I70" s="67">
        <f t="shared" si="12"/>
        <v>630</v>
      </c>
      <c r="J70" s="32">
        <f t="shared" si="13"/>
        <v>14206399.628021749</v>
      </c>
      <c r="K70" s="58">
        <f t="shared" si="14"/>
        <v>31098672.280319113</v>
      </c>
      <c r="L70" s="32"/>
      <c r="N70" s="104"/>
      <c r="O70" s="104"/>
      <c r="P70" s="104"/>
    </row>
    <row r="71" spans="1:16" s="4" customFormat="1" ht="25.5" customHeight="1" outlineLevel="1">
      <c r="A71" s="27" t="str">
        <f t="shared" si="11"/>
        <v>12A.S1.14</v>
      </c>
      <c r="B71" s="28" t="s">
        <v>62</v>
      </c>
      <c r="C71" s="28" t="s">
        <v>515</v>
      </c>
      <c r="D71" s="29" t="s">
        <v>518</v>
      </c>
      <c r="E71" s="31">
        <v>128</v>
      </c>
      <c r="F71" s="36">
        <v>208</v>
      </c>
      <c r="G71" s="93">
        <f>_xlfn.XLOOKUP(B71, Rate_Master!$A:$A, Rate_Master!$C:$C, "")</f>
        <v>0</v>
      </c>
      <c r="H71" s="93">
        <f>_xlfn.XLOOKUP(B71, Rate_Master!$A:$A, Rate_Master!$D:$D, "")</f>
        <v>264500</v>
      </c>
      <c r="I71" s="67">
        <f t="shared" si="12"/>
        <v>264500</v>
      </c>
      <c r="J71" s="32">
        <f t="shared" si="13"/>
        <v>33856000</v>
      </c>
      <c r="K71" s="58">
        <f t="shared" si="14"/>
        <v>55016000</v>
      </c>
      <c r="L71" s="32"/>
      <c r="N71" s="104"/>
      <c r="O71" s="104"/>
      <c r="P71" s="104"/>
    </row>
    <row r="72" spans="1:16" s="4" customFormat="1" ht="25.5" customHeight="1" outlineLevel="1">
      <c r="A72" s="27" t="str">
        <f t="shared" si="11"/>
        <v>12A.S1.15</v>
      </c>
      <c r="B72" s="28" t="s">
        <v>63</v>
      </c>
      <c r="C72" s="28" t="s">
        <v>515</v>
      </c>
      <c r="D72" s="29" t="s">
        <v>523</v>
      </c>
      <c r="E72" s="31">
        <v>22549.8406793996</v>
      </c>
      <c r="F72" s="36">
        <v>49362.971873522401</v>
      </c>
      <c r="G72" s="93">
        <f>_xlfn.XLOOKUP(B72, Rate_Master!$A:$A, Rate_Master!$C:$C, "")</f>
        <v>2940</v>
      </c>
      <c r="H72" s="93">
        <f>_xlfn.XLOOKUP(B72, Rate_Master!$A:$A, Rate_Master!$D:$D, "")</f>
        <v>0</v>
      </c>
      <c r="I72" s="67">
        <f t="shared" si="12"/>
        <v>2940</v>
      </c>
      <c r="J72" s="32">
        <f t="shared" si="13"/>
        <v>66296531.597434826</v>
      </c>
      <c r="K72" s="58">
        <f t="shared" si="14"/>
        <v>145127137.30815586</v>
      </c>
      <c r="L72" s="32"/>
      <c r="N72" s="104"/>
      <c r="O72" s="104"/>
      <c r="P72" s="104"/>
    </row>
    <row r="73" spans="1:16" s="3" customFormat="1" ht="25.5" customHeight="1">
      <c r="A73" s="22" t="str">
        <f>$A$56&amp;2</f>
        <v>12A.S2</v>
      </c>
      <c r="B73" s="23" t="s">
        <v>64</v>
      </c>
      <c r="C73" s="23" t="s">
        <v>515</v>
      </c>
      <c r="D73" s="22"/>
      <c r="E73" s="25"/>
      <c r="F73" s="87"/>
      <c r="G73" s="25">
        <f>_xlfn.XLOOKUP(B73, Rate_Master!$A:$A, Rate_Master!$C:$C, "")</f>
        <v>0</v>
      </c>
      <c r="H73" s="25">
        <f>_xlfn.XLOOKUP(B73, Rate_Master!$A:$A, Rate_Master!$D:$D, "")</f>
        <v>0</v>
      </c>
      <c r="I73" s="68"/>
      <c r="J73" s="26">
        <f>SUBTOTAL(9,J74:J78)</f>
        <v>0</v>
      </c>
      <c r="K73" s="89"/>
      <c r="L73" s="26"/>
      <c r="N73" s="104"/>
      <c r="O73" s="104"/>
      <c r="P73" s="104"/>
    </row>
    <row r="74" spans="1:16" s="4" customFormat="1" ht="25.5" customHeight="1" outlineLevel="1">
      <c r="A74" s="37" t="str">
        <f>$A$73&amp;"."&amp;ROW()-ROW($A$73)</f>
        <v>12A.S2.1</v>
      </c>
      <c r="B74" s="38" t="s">
        <v>65</v>
      </c>
      <c r="C74" s="38" t="s">
        <v>535</v>
      </c>
      <c r="D74" s="39" t="s">
        <v>520</v>
      </c>
      <c r="E74" s="40">
        <v>0</v>
      </c>
      <c r="F74" s="88"/>
      <c r="G74" s="42">
        <f>_xlfn.XLOOKUP(B74, Rate_Master!$A:$A, Rate_Master!$C:$C, "")</f>
        <v>0</v>
      </c>
      <c r="H74" s="42">
        <f>_xlfn.XLOOKUP(B74, Rate_Master!$A:$A, Rate_Master!$D:$D, "")</f>
        <v>0</v>
      </c>
      <c r="I74" s="67">
        <f>+SUM(G74:H74)</f>
        <v>0</v>
      </c>
      <c r="J74" s="41">
        <f>I74*E74</f>
        <v>0</v>
      </c>
      <c r="K74" s="92"/>
      <c r="L74" s="41"/>
      <c r="N74" s="104"/>
      <c r="O74" s="104"/>
      <c r="P74" s="104"/>
    </row>
    <row r="75" spans="1:16" s="4" customFormat="1" ht="25.5" customHeight="1" outlineLevel="1">
      <c r="A75" s="37" t="str">
        <f>$A$73&amp;"."&amp;ROW()-ROW($A$73)</f>
        <v>12A.S2.2</v>
      </c>
      <c r="B75" s="38" t="s">
        <v>66</v>
      </c>
      <c r="C75" s="38" t="s">
        <v>536</v>
      </c>
      <c r="D75" s="39" t="s">
        <v>518</v>
      </c>
      <c r="E75" s="40">
        <v>0</v>
      </c>
      <c r="F75" s="88"/>
      <c r="G75" s="42">
        <f>_xlfn.XLOOKUP(B75, Rate_Master!$A:$A, Rate_Master!$C:$C, "")</f>
        <v>0</v>
      </c>
      <c r="H75" s="42">
        <f>_xlfn.XLOOKUP(B75, Rate_Master!$A:$A, Rate_Master!$D:$D, "")</f>
        <v>0</v>
      </c>
      <c r="I75" s="67">
        <f>+SUM(G75:H75)</f>
        <v>0</v>
      </c>
      <c r="J75" s="41">
        <f>I75*E75</f>
        <v>0</v>
      </c>
      <c r="K75" s="92"/>
      <c r="L75" s="41"/>
      <c r="N75" s="104"/>
      <c r="O75" s="104"/>
      <c r="P75" s="104"/>
    </row>
    <row r="76" spans="1:16" s="4" customFormat="1" ht="25.5" customHeight="1" outlineLevel="1">
      <c r="A76" s="37" t="str">
        <f>$A$73&amp;"."&amp;ROW()-ROW($A$73)</f>
        <v>12A.S2.3</v>
      </c>
      <c r="B76" s="38" t="s">
        <v>67</v>
      </c>
      <c r="C76" s="38" t="s">
        <v>515</v>
      </c>
      <c r="D76" s="39" t="s">
        <v>520</v>
      </c>
      <c r="E76" s="40">
        <v>0</v>
      </c>
      <c r="F76" s="88"/>
      <c r="G76" s="42">
        <f>_xlfn.XLOOKUP(B76, Rate_Master!$A:$A, Rate_Master!$C:$C, "")</f>
        <v>0</v>
      </c>
      <c r="H76" s="42">
        <f>_xlfn.XLOOKUP(B76, Rate_Master!$A:$A, Rate_Master!$D:$D, "")</f>
        <v>0</v>
      </c>
      <c r="I76" s="67">
        <f>+SUM(G76:H76)</f>
        <v>0</v>
      </c>
      <c r="J76" s="41">
        <f>I76*E76</f>
        <v>0</v>
      </c>
      <c r="K76" s="92"/>
      <c r="L76" s="41"/>
      <c r="N76" s="104"/>
      <c r="O76" s="104"/>
      <c r="P76" s="104"/>
    </row>
    <row r="77" spans="1:16" s="4" customFormat="1" ht="25.5" customHeight="1" outlineLevel="1">
      <c r="A77" s="37" t="str">
        <f>$A$73&amp;"."&amp;ROW()-ROW($A$73)</f>
        <v>12A.S2.4</v>
      </c>
      <c r="B77" s="38" t="s">
        <v>68</v>
      </c>
      <c r="C77" s="38" t="s">
        <v>515</v>
      </c>
      <c r="D77" s="39" t="s">
        <v>457</v>
      </c>
      <c r="E77" s="40">
        <v>0</v>
      </c>
      <c r="F77" s="88"/>
      <c r="G77" s="42">
        <f>_xlfn.XLOOKUP(B77, Rate_Master!$A:$A, Rate_Master!$C:$C, "")</f>
        <v>0</v>
      </c>
      <c r="H77" s="42">
        <f>_xlfn.XLOOKUP(B77, Rate_Master!$A:$A, Rate_Master!$D:$D, "")</f>
        <v>0</v>
      </c>
      <c r="I77" s="67">
        <f>+SUM(G77:H77)</f>
        <v>0</v>
      </c>
      <c r="J77" s="41">
        <f>I77*E77</f>
        <v>0</v>
      </c>
      <c r="K77" s="92"/>
      <c r="L77" s="41"/>
      <c r="N77" s="104"/>
      <c r="O77" s="104"/>
      <c r="P77" s="104"/>
    </row>
    <row r="78" spans="1:16" s="4" customFormat="1" ht="25.5" customHeight="1" outlineLevel="1">
      <c r="A78" s="37" t="str">
        <f>$A$73&amp;"."&amp;ROW()-ROW($A$73)</f>
        <v>12A.S2.5</v>
      </c>
      <c r="B78" s="38" t="s">
        <v>69</v>
      </c>
      <c r="C78" s="38" t="s">
        <v>515</v>
      </c>
      <c r="D78" s="39" t="s">
        <v>520</v>
      </c>
      <c r="E78" s="40">
        <v>0</v>
      </c>
      <c r="F78" s="88"/>
      <c r="G78" s="42">
        <f>_xlfn.XLOOKUP(B78, Rate_Master!$A:$A, Rate_Master!$C:$C, "")</f>
        <v>0</v>
      </c>
      <c r="H78" s="42">
        <f>_xlfn.XLOOKUP(B78, Rate_Master!$A:$A, Rate_Master!$D:$D, "")</f>
        <v>0</v>
      </c>
      <c r="I78" s="67">
        <f>+SUM(G78:H78)</f>
        <v>0</v>
      </c>
      <c r="J78" s="41">
        <f>I78*E78</f>
        <v>0</v>
      </c>
      <c r="K78" s="92"/>
      <c r="L78" s="41"/>
      <c r="N78" s="104"/>
      <c r="O78" s="104"/>
      <c r="P78" s="104"/>
    </row>
    <row r="79" spans="1:16" s="3" customFormat="1" ht="25.5" customHeight="1">
      <c r="A79" s="22" t="str">
        <f>$A$56&amp;3</f>
        <v>12A.S3</v>
      </c>
      <c r="B79" s="23" t="s">
        <v>70</v>
      </c>
      <c r="C79" s="23" t="s">
        <v>515</v>
      </c>
      <c r="D79" s="22"/>
      <c r="E79" s="25"/>
      <c r="F79" s="87"/>
      <c r="G79" s="25">
        <f>_xlfn.XLOOKUP(B79, Rate_Master!$A:$A, Rate_Master!$C:$C, "")</f>
        <v>0</v>
      </c>
      <c r="H79" s="25">
        <f>_xlfn.XLOOKUP(B79, Rate_Master!$A:$A, Rate_Master!$D:$D, "")</f>
        <v>0</v>
      </c>
      <c r="I79" s="68"/>
      <c r="J79" s="26">
        <f>SUBTOTAL(9,J80:J93)</f>
        <v>760154625.85122705</v>
      </c>
      <c r="K79" s="89">
        <f>SUBTOTAL(9,K80:K93)</f>
        <v>835836466.58619916</v>
      </c>
      <c r="L79" s="26"/>
      <c r="N79" s="104"/>
      <c r="O79" s="104"/>
      <c r="P79" s="104"/>
    </row>
    <row r="80" spans="1:16" s="4" customFormat="1" ht="51" customHeight="1" outlineLevel="1">
      <c r="A80" s="27" t="str">
        <f t="shared" ref="A80:A93" si="15">$A$79&amp;"."&amp;ROW()-ROW($A$79)</f>
        <v>12A.S3.1</v>
      </c>
      <c r="B80" s="28" t="s">
        <v>71</v>
      </c>
      <c r="C80" s="28" t="str">
        <f>+'11A'!C80</f>
        <v xml:space="preserve">Tôn liên doanh Việt hàn, AZ170
</v>
      </c>
      <c r="D80" s="29" t="s">
        <v>520</v>
      </c>
      <c r="E80" s="31">
        <v>0</v>
      </c>
      <c r="F80" s="36">
        <v>1463.6403</v>
      </c>
      <c r="G80" s="93">
        <f>_xlfn.XLOOKUP(B80, Rate_Master!$A:$A, Rate_Master!$C:$C, "")</f>
        <v>248399.99999999997</v>
      </c>
      <c r="H80" s="93">
        <f>_xlfn.XLOOKUP(B80, Rate_Master!$A:$A, Rate_Master!$D:$D, "")</f>
        <v>34500</v>
      </c>
      <c r="I80" s="67">
        <f t="shared" ref="I80:I93" si="16">+SUM(G80:H80)</f>
        <v>282900</v>
      </c>
      <c r="J80" s="32">
        <f t="shared" ref="J80:J93" si="17">I80*E80</f>
        <v>0</v>
      </c>
      <c r="K80" s="58">
        <f t="shared" ref="K80:K93" si="18">+F80*I80</f>
        <v>414063840.87</v>
      </c>
      <c r="L80" s="32"/>
      <c r="N80" s="104"/>
      <c r="O80" s="104"/>
      <c r="P80" s="104"/>
    </row>
    <row r="81" spans="1:16" s="4" customFormat="1" ht="51" customHeight="1" outlineLevel="1">
      <c r="A81" s="27" t="str">
        <f t="shared" si="15"/>
        <v>12A.S3.2</v>
      </c>
      <c r="B81" s="28" t="s">
        <v>72</v>
      </c>
      <c r="C81" s="28" t="str">
        <f>+'11A'!C81</f>
        <v xml:space="preserve">Tôn liên doanh Việt hàn, AZ170
</v>
      </c>
      <c r="D81" s="29" t="s">
        <v>520</v>
      </c>
      <c r="E81" s="31">
        <v>0</v>
      </c>
      <c r="F81" s="36"/>
      <c r="G81" s="93">
        <f>_xlfn.XLOOKUP(B81, Rate_Master!$A:$A, Rate_Master!$C:$C, "")</f>
        <v>206999.99999999997</v>
      </c>
      <c r="H81" s="93">
        <f>_xlfn.XLOOKUP(B81, Rate_Master!$A:$A, Rate_Master!$D:$D, "")</f>
        <v>34500</v>
      </c>
      <c r="I81" s="67">
        <f t="shared" si="16"/>
        <v>241499.99999999997</v>
      </c>
      <c r="J81" s="32">
        <f t="shared" si="17"/>
        <v>0</v>
      </c>
      <c r="K81" s="58">
        <f t="shared" si="18"/>
        <v>0</v>
      </c>
      <c r="L81" s="32"/>
      <c r="N81" s="104"/>
      <c r="O81" s="104"/>
      <c r="P81" s="104"/>
    </row>
    <row r="82" spans="1:16" s="4" customFormat="1" ht="63.75" customHeight="1" outlineLevel="1">
      <c r="A82" s="27" t="str">
        <f t="shared" si="15"/>
        <v>12A.S3.3</v>
      </c>
      <c r="B82" s="28" t="s">
        <v>73</v>
      </c>
      <c r="C82" s="28" t="str">
        <f>+'11A'!C82</f>
        <v xml:space="preserve">Tôn liên doanh Việt hàn, AZ170
</v>
      </c>
      <c r="D82" s="29" t="s">
        <v>520</v>
      </c>
      <c r="E82" s="31">
        <v>1717.17975</v>
      </c>
      <c r="F82" s="36"/>
      <c r="G82" s="93">
        <f>_xlfn.XLOOKUP(B82, Rate_Master!$A:$A, Rate_Master!$C:$C, "")</f>
        <v>195499.99999999997</v>
      </c>
      <c r="H82" s="93">
        <f>_xlfn.XLOOKUP(B82, Rate_Master!$A:$A, Rate_Master!$D:$D, "")</f>
        <v>34500</v>
      </c>
      <c r="I82" s="67">
        <f t="shared" si="16"/>
        <v>229999.99999999997</v>
      </c>
      <c r="J82" s="32">
        <f t="shared" si="17"/>
        <v>394951342.49999994</v>
      </c>
      <c r="K82" s="58">
        <f t="shared" si="18"/>
        <v>0</v>
      </c>
      <c r="L82" s="32"/>
      <c r="N82" s="104"/>
      <c r="O82" s="104"/>
      <c r="P82" s="104"/>
    </row>
    <row r="83" spans="1:16" s="4" customFormat="1" ht="25.5" customHeight="1" outlineLevel="1">
      <c r="A83" s="27" t="str">
        <f t="shared" si="15"/>
        <v>12A.S3.4</v>
      </c>
      <c r="B83" s="28" t="s">
        <v>74</v>
      </c>
      <c r="C83" s="28" t="s">
        <v>515</v>
      </c>
      <c r="D83" s="29" t="s">
        <v>520</v>
      </c>
      <c r="E83" s="31">
        <v>0</v>
      </c>
      <c r="F83" s="36">
        <v>1463.6403</v>
      </c>
      <c r="G83" s="93">
        <f>_xlfn.XLOOKUP(B83, Rate_Master!$A:$A, Rate_Master!$C:$C, "")</f>
        <v>23000</v>
      </c>
      <c r="H83" s="93">
        <f>_xlfn.XLOOKUP(B83, Rate_Master!$A:$A, Rate_Master!$D:$D, "")</f>
        <v>11500</v>
      </c>
      <c r="I83" s="67">
        <f t="shared" si="16"/>
        <v>34500</v>
      </c>
      <c r="J83" s="32">
        <f t="shared" si="17"/>
        <v>0</v>
      </c>
      <c r="K83" s="58">
        <f t="shared" si="18"/>
        <v>50495590.350000001</v>
      </c>
      <c r="L83" s="32"/>
      <c r="N83" s="104"/>
      <c r="O83" s="104"/>
      <c r="P83" s="104"/>
    </row>
    <row r="84" spans="1:16" s="4" customFormat="1" ht="25.5" customHeight="1" outlineLevel="1">
      <c r="A84" s="27" t="str">
        <f t="shared" si="15"/>
        <v>12A.S3.5</v>
      </c>
      <c r="B84" s="28" t="s">
        <v>75</v>
      </c>
      <c r="C84" s="28" t="s">
        <v>538</v>
      </c>
      <c r="D84" s="29" t="s">
        <v>517</v>
      </c>
      <c r="E84" s="31">
        <v>117.88</v>
      </c>
      <c r="F84" s="36">
        <v>270.33</v>
      </c>
      <c r="G84" s="93">
        <f>_xlfn.XLOOKUP(B84, Rate_Master!$A:$A, Rate_Master!$C:$C, "")</f>
        <v>110399.99999999999</v>
      </c>
      <c r="H84" s="93">
        <f>_xlfn.XLOOKUP(B84, Rate_Master!$A:$A, Rate_Master!$D:$D, "")</f>
        <v>17250</v>
      </c>
      <c r="I84" s="67">
        <f t="shared" si="16"/>
        <v>127649.99999999999</v>
      </c>
      <c r="J84" s="32">
        <f t="shared" si="17"/>
        <v>15047381.999999998</v>
      </c>
      <c r="K84" s="58">
        <f t="shared" si="18"/>
        <v>34507624.499999993</v>
      </c>
      <c r="L84" s="32"/>
      <c r="N84" s="104"/>
      <c r="O84" s="104"/>
      <c r="P84" s="104"/>
    </row>
    <row r="85" spans="1:16" s="4" customFormat="1" ht="25.5" customHeight="1" outlineLevel="1">
      <c r="A85" s="27" t="str">
        <f t="shared" si="15"/>
        <v>12A.S3.6</v>
      </c>
      <c r="B85" s="28" t="s">
        <v>75</v>
      </c>
      <c r="C85" s="28" t="s">
        <v>539</v>
      </c>
      <c r="D85" s="29" t="s">
        <v>517</v>
      </c>
      <c r="E85" s="31">
        <v>0</v>
      </c>
      <c r="F85" s="36"/>
      <c r="G85" s="93">
        <f>_xlfn.XLOOKUP(B85, Rate_Master!$A:$A, Rate_Master!$C:$C, "")</f>
        <v>110399.99999999999</v>
      </c>
      <c r="H85" s="93">
        <f>_xlfn.XLOOKUP(B85, Rate_Master!$A:$A, Rate_Master!$D:$D, "")</f>
        <v>17250</v>
      </c>
      <c r="I85" s="67">
        <f t="shared" si="16"/>
        <v>127649.99999999999</v>
      </c>
      <c r="J85" s="32">
        <f t="shared" si="17"/>
        <v>0</v>
      </c>
      <c r="K85" s="58">
        <f t="shared" si="18"/>
        <v>0</v>
      </c>
      <c r="L85" s="32"/>
      <c r="N85" s="104"/>
      <c r="O85" s="104"/>
      <c r="P85" s="104"/>
    </row>
    <row r="86" spans="1:16" s="4" customFormat="1" ht="25.5" customHeight="1" outlineLevel="1">
      <c r="A86" s="27" t="str">
        <f t="shared" si="15"/>
        <v>12A.S3.7</v>
      </c>
      <c r="B86" s="28" t="s">
        <v>76</v>
      </c>
      <c r="C86" s="28" t="s">
        <v>540</v>
      </c>
      <c r="D86" s="29" t="s">
        <v>517</v>
      </c>
      <c r="E86" s="31">
        <v>0</v>
      </c>
      <c r="F86" s="36"/>
      <c r="G86" s="93">
        <f>_xlfn.XLOOKUP(B86, Rate_Master!$A:$A, Rate_Master!$C:$C, "")</f>
        <v>1976115.3983999996</v>
      </c>
      <c r="H86" s="93">
        <f>_xlfn.XLOOKUP(B86, Rate_Master!$A:$A, Rate_Master!$D:$D, "")</f>
        <v>28749.999999999996</v>
      </c>
      <c r="I86" s="67">
        <f t="shared" si="16"/>
        <v>2004865.3983999996</v>
      </c>
      <c r="J86" s="32">
        <f t="shared" si="17"/>
        <v>0</v>
      </c>
      <c r="K86" s="58">
        <f t="shared" si="18"/>
        <v>0</v>
      </c>
      <c r="L86" s="32"/>
      <c r="N86" s="104"/>
      <c r="O86" s="104"/>
      <c r="P86" s="104"/>
    </row>
    <row r="87" spans="1:16" s="4" customFormat="1" ht="25.5" customHeight="1" outlineLevel="1">
      <c r="A87" s="27" t="str">
        <f t="shared" si="15"/>
        <v>12A.S3.8</v>
      </c>
      <c r="B87" s="28" t="s">
        <v>77</v>
      </c>
      <c r="C87" s="28" t="s">
        <v>541</v>
      </c>
      <c r="D87" s="29" t="s">
        <v>517</v>
      </c>
      <c r="E87" s="31">
        <v>52.65</v>
      </c>
      <c r="F87" s="36">
        <v>52.63</v>
      </c>
      <c r="G87" s="93">
        <f>_xlfn.XLOOKUP(B87, Rate_Master!$A:$A, Rate_Master!$C:$C, "")</f>
        <v>1077881.1263999997</v>
      </c>
      <c r="H87" s="93">
        <f>_xlfn.XLOOKUP(B87, Rate_Master!$A:$A, Rate_Master!$D:$D, "")</f>
        <v>23000</v>
      </c>
      <c r="I87" s="67">
        <f t="shared" si="16"/>
        <v>1100881.1263999997</v>
      </c>
      <c r="J87" s="32">
        <f t="shared" si="17"/>
        <v>57961391.304959983</v>
      </c>
      <c r="K87" s="58">
        <f t="shared" si="18"/>
        <v>57939373.682431988</v>
      </c>
      <c r="L87" s="32"/>
      <c r="N87" s="104"/>
      <c r="O87" s="104"/>
      <c r="P87" s="104"/>
    </row>
    <row r="88" spans="1:16" s="4" customFormat="1" ht="25.5" customHeight="1" outlineLevel="1">
      <c r="A88" s="27" t="str">
        <f t="shared" si="15"/>
        <v>12A.S3.9</v>
      </c>
      <c r="B88" s="28" t="s">
        <v>205</v>
      </c>
      <c r="C88" s="28" t="s">
        <v>515</v>
      </c>
      <c r="D88" s="29" t="s">
        <v>518</v>
      </c>
      <c r="E88" s="31">
        <v>8</v>
      </c>
      <c r="F88" s="36">
        <v>8</v>
      </c>
      <c r="G88" s="93">
        <f>_xlfn.XLOOKUP(B88, Rate_Master!$A:$A, Rate_Master!$C:$C, "")</f>
        <v>112699.99999999999</v>
      </c>
      <c r="H88" s="93">
        <f>_xlfn.XLOOKUP(B88, Rate_Master!$A:$A, Rate_Master!$D:$D, "")</f>
        <v>0</v>
      </c>
      <c r="I88" s="67">
        <f t="shared" si="16"/>
        <v>112699.99999999999</v>
      </c>
      <c r="J88" s="32">
        <f t="shared" si="17"/>
        <v>901599.99999999988</v>
      </c>
      <c r="K88" s="58">
        <f t="shared" si="18"/>
        <v>901599.99999999988</v>
      </c>
      <c r="L88" s="32"/>
      <c r="N88" s="104"/>
      <c r="O88" s="104"/>
      <c r="P88" s="104"/>
    </row>
    <row r="89" spans="1:16" s="4" customFormat="1" ht="63.75" customHeight="1" outlineLevel="1">
      <c r="A89" s="27" t="str">
        <f t="shared" si="15"/>
        <v>12A.S3.10</v>
      </c>
      <c r="B89" s="28" t="s">
        <v>213</v>
      </c>
      <c r="C89" s="28" t="s">
        <v>542</v>
      </c>
      <c r="D89" s="29" t="s">
        <v>517</v>
      </c>
      <c r="E89" s="31">
        <v>80</v>
      </c>
      <c r="F89" s="36">
        <v>44</v>
      </c>
      <c r="G89" s="93">
        <f>_xlfn.XLOOKUP(B89, Rate_Master!$A:$A, Rate_Master!$C:$C, "")</f>
        <v>162150</v>
      </c>
      <c r="H89" s="93">
        <f>_xlfn.XLOOKUP(B89, Rate_Master!$A:$A, Rate_Master!$D:$D, "")</f>
        <v>0</v>
      </c>
      <c r="I89" s="67">
        <f t="shared" si="16"/>
        <v>162150</v>
      </c>
      <c r="J89" s="32">
        <f t="shared" si="17"/>
        <v>12972000</v>
      </c>
      <c r="K89" s="58">
        <f t="shared" si="18"/>
        <v>7134600</v>
      </c>
      <c r="L89" s="32"/>
      <c r="N89" s="104"/>
      <c r="O89" s="104"/>
      <c r="P89" s="104"/>
    </row>
    <row r="90" spans="1:16" s="4" customFormat="1" ht="25.5" customHeight="1" outlineLevel="1">
      <c r="A90" s="27" t="str">
        <f t="shared" si="15"/>
        <v>12A.S3.11</v>
      </c>
      <c r="B90" s="28" t="s">
        <v>80</v>
      </c>
      <c r="C90" s="28" t="s">
        <v>515</v>
      </c>
      <c r="D90" s="29" t="s">
        <v>457</v>
      </c>
      <c r="E90" s="31">
        <v>1</v>
      </c>
      <c r="F90" s="36">
        <v>1</v>
      </c>
      <c r="G90" s="93">
        <f>_xlfn.XLOOKUP(B90, Rate_Master!$A:$A, Rate_Master!$C:$C, "")</f>
        <v>0</v>
      </c>
      <c r="H90" s="93">
        <f>_xlfn.XLOOKUP(B90, Rate_Master!$A:$A, Rate_Master!$D:$D, "")</f>
        <v>57499999.999999993</v>
      </c>
      <c r="I90" s="67">
        <f t="shared" si="16"/>
        <v>57499999.999999993</v>
      </c>
      <c r="J90" s="32">
        <f t="shared" si="17"/>
        <v>57499999.999999993</v>
      </c>
      <c r="K90" s="58">
        <f t="shared" si="18"/>
        <v>57499999.999999993</v>
      </c>
      <c r="L90" s="32"/>
      <c r="N90" s="104"/>
      <c r="O90" s="104"/>
      <c r="P90" s="104"/>
    </row>
    <row r="91" spans="1:16" s="4" customFormat="1" ht="25.5" customHeight="1" outlineLevel="1">
      <c r="A91" s="27" t="str">
        <f t="shared" si="15"/>
        <v>12A.S3.12</v>
      </c>
      <c r="B91" s="28" t="s">
        <v>81</v>
      </c>
      <c r="C91" s="28" t="s">
        <v>515</v>
      </c>
      <c r="D91" s="29" t="s">
        <v>520</v>
      </c>
      <c r="E91" s="31">
        <v>1717.17975</v>
      </c>
      <c r="F91" s="36">
        <v>1463.6403</v>
      </c>
      <c r="G91" s="93">
        <f>_xlfn.XLOOKUP(B91, Rate_Master!$A:$A, Rate_Master!$C:$C, "")</f>
        <v>0</v>
      </c>
      <c r="H91" s="93">
        <f>_xlfn.XLOOKUP(B91, Rate_Master!$A:$A, Rate_Master!$D:$D, "")</f>
        <v>40250</v>
      </c>
      <c r="I91" s="67">
        <f t="shared" si="16"/>
        <v>40250</v>
      </c>
      <c r="J91" s="32">
        <f t="shared" si="17"/>
        <v>69116484.9375</v>
      </c>
      <c r="K91" s="58">
        <f t="shared" si="18"/>
        <v>58911522.075000003</v>
      </c>
      <c r="L91" s="32"/>
      <c r="N91" s="104"/>
      <c r="O91" s="104"/>
      <c r="P91" s="104"/>
    </row>
    <row r="92" spans="1:16" s="4" customFormat="1" ht="38.25" customHeight="1" outlineLevel="1">
      <c r="A92" s="27" t="str">
        <f t="shared" si="15"/>
        <v>12A.S3.13</v>
      </c>
      <c r="B92" s="28" t="s">
        <v>82</v>
      </c>
      <c r="C92" s="28" t="s">
        <v>515</v>
      </c>
      <c r="D92" s="29" t="s">
        <v>517</v>
      </c>
      <c r="E92" s="31">
        <v>250.53</v>
      </c>
      <c r="F92" s="36">
        <v>366.96</v>
      </c>
      <c r="G92" s="93">
        <f>_xlfn.XLOOKUP(B92, Rate_Master!$A:$A, Rate_Master!$C:$C, "")</f>
        <v>0</v>
      </c>
      <c r="H92" s="93">
        <f>_xlfn.XLOOKUP(B92, Rate_Master!$A:$A, Rate_Master!$D:$D, "")</f>
        <v>23000</v>
      </c>
      <c r="I92" s="67">
        <f t="shared" si="16"/>
        <v>23000</v>
      </c>
      <c r="J92" s="32">
        <f t="shared" si="17"/>
        <v>5762190</v>
      </c>
      <c r="K92" s="58">
        <f t="shared" si="18"/>
        <v>8440080</v>
      </c>
      <c r="L92" s="32"/>
      <c r="N92" s="104"/>
      <c r="O92" s="104"/>
      <c r="P92" s="104"/>
    </row>
    <row r="93" spans="1:16" s="4" customFormat="1" ht="25.5" customHeight="1" outlineLevel="1">
      <c r="A93" s="27" t="str">
        <f t="shared" si="15"/>
        <v>12A.S3.14</v>
      </c>
      <c r="B93" s="28" t="s">
        <v>83</v>
      </c>
      <c r="C93" s="28" t="s">
        <v>543</v>
      </c>
      <c r="D93" s="29" t="s">
        <v>457</v>
      </c>
      <c r="E93" s="31">
        <v>1</v>
      </c>
      <c r="F93" s="36">
        <v>1</v>
      </c>
      <c r="G93" s="93">
        <f>_xlfn.XLOOKUP(B93, Rate_Master!$A:$A, Rate_Master!$C:$C, "")</f>
        <v>145942235.10876715</v>
      </c>
      <c r="H93" s="93">
        <f>_xlfn.XLOOKUP(B93, Rate_Master!$A:$A, Rate_Master!$D:$D, "")</f>
        <v>0</v>
      </c>
      <c r="I93" s="67">
        <f t="shared" si="16"/>
        <v>145942235.10876715</v>
      </c>
      <c r="J93" s="32">
        <f t="shared" si="17"/>
        <v>145942235.10876715</v>
      </c>
      <c r="K93" s="58">
        <f t="shared" si="18"/>
        <v>145942235.10876715</v>
      </c>
      <c r="L93" s="32"/>
      <c r="N93" s="104"/>
      <c r="O93" s="104"/>
      <c r="P93" s="104"/>
    </row>
    <row r="94" spans="1:16" s="3" customFormat="1" ht="25.5" customHeight="1">
      <c r="A94" s="22" t="str">
        <f>$A$56&amp;4</f>
        <v>12A.S4</v>
      </c>
      <c r="B94" s="23" t="s">
        <v>84</v>
      </c>
      <c r="C94" s="23" t="s">
        <v>515</v>
      </c>
      <c r="D94" s="22"/>
      <c r="E94" s="25"/>
      <c r="F94" s="87"/>
      <c r="G94" s="25">
        <f>_xlfn.XLOOKUP(B94, Rate_Master!$A:$A, Rate_Master!$C:$C, "")</f>
        <v>0</v>
      </c>
      <c r="H94" s="25">
        <f>_xlfn.XLOOKUP(B94, Rate_Master!$A:$A, Rate_Master!$D:$D, "")</f>
        <v>0</v>
      </c>
      <c r="I94" s="68"/>
      <c r="J94" s="26">
        <f>SUBTOTAL(9,J95:J102)</f>
        <v>0</v>
      </c>
      <c r="K94" s="89"/>
      <c r="L94" s="26"/>
      <c r="N94" s="104"/>
      <c r="O94" s="104"/>
      <c r="P94" s="104"/>
    </row>
    <row r="95" spans="1:16" s="4" customFormat="1" ht="38.25" customHeight="1" outlineLevel="1">
      <c r="A95" s="37" t="str">
        <f t="shared" ref="A95:A102" si="19">$A$94&amp;"."&amp;ROW()-ROW($A$94)</f>
        <v>12A.S4.1</v>
      </c>
      <c r="B95" s="38" t="s">
        <v>85</v>
      </c>
      <c r="C95" s="38" t="s">
        <v>544</v>
      </c>
      <c r="D95" s="39" t="s">
        <v>517</v>
      </c>
      <c r="E95" s="40">
        <v>0</v>
      </c>
      <c r="F95" s="88"/>
      <c r="G95" s="42">
        <f>_xlfn.XLOOKUP(B95, Rate_Master!$A:$A, Rate_Master!$C:$C, "")</f>
        <v>5175000</v>
      </c>
      <c r="H95" s="42">
        <f>_xlfn.XLOOKUP(B95, Rate_Master!$A:$A, Rate_Master!$D:$D, "")</f>
        <v>0</v>
      </c>
      <c r="I95" s="69">
        <f t="shared" ref="I95:I104" si="20">G95+H95</f>
        <v>5175000</v>
      </c>
      <c r="J95" s="41">
        <f t="shared" ref="J95:J102" si="21">I95*E95</f>
        <v>0</v>
      </c>
      <c r="K95" s="92"/>
      <c r="L95" s="41"/>
      <c r="N95" s="104"/>
      <c r="O95" s="104"/>
      <c r="P95" s="104"/>
    </row>
    <row r="96" spans="1:16" s="4" customFormat="1" ht="38.25" customHeight="1" outlineLevel="1">
      <c r="A96" s="37" t="str">
        <f t="shared" si="19"/>
        <v>12A.S4.2</v>
      </c>
      <c r="B96" s="38" t="s">
        <v>86</v>
      </c>
      <c r="C96" s="38" t="s">
        <v>545</v>
      </c>
      <c r="D96" s="39" t="s">
        <v>517</v>
      </c>
      <c r="E96" s="40">
        <v>0</v>
      </c>
      <c r="F96" s="88"/>
      <c r="G96" s="42">
        <f>_xlfn.XLOOKUP(B96, Rate_Master!$A:$A, Rate_Master!$C:$C, "")</f>
        <v>0</v>
      </c>
      <c r="H96" s="42">
        <f>_xlfn.XLOOKUP(B96, Rate_Master!$A:$A, Rate_Master!$D:$D, "")</f>
        <v>0</v>
      </c>
      <c r="I96" s="69">
        <f t="shared" si="20"/>
        <v>0</v>
      </c>
      <c r="J96" s="41">
        <f t="shared" si="21"/>
        <v>0</v>
      </c>
      <c r="K96" s="92"/>
      <c r="L96" s="41"/>
      <c r="N96" s="104"/>
      <c r="O96" s="104"/>
      <c r="P96" s="104"/>
    </row>
    <row r="97" spans="1:16" s="4" customFormat="1" ht="38.25" customHeight="1" outlineLevel="1">
      <c r="A97" s="37" t="str">
        <f t="shared" si="19"/>
        <v>12A.S4.3</v>
      </c>
      <c r="B97" s="38" t="s">
        <v>87</v>
      </c>
      <c r="C97" s="38" t="s">
        <v>546</v>
      </c>
      <c r="D97" s="39" t="s">
        <v>517</v>
      </c>
      <c r="E97" s="40">
        <v>0</v>
      </c>
      <c r="F97" s="88"/>
      <c r="G97" s="42">
        <f>_xlfn.XLOOKUP(B97, Rate_Master!$A:$A, Rate_Master!$C:$C, "")</f>
        <v>0</v>
      </c>
      <c r="H97" s="42">
        <f>_xlfn.XLOOKUP(B97, Rate_Master!$A:$A, Rate_Master!$D:$D, "")</f>
        <v>0</v>
      </c>
      <c r="I97" s="69">
        <f t="shared" si="20"/>
        <v>0</v>
      </c>
      <c r="J97" s="41">
        <f t="shared" si="21"/>
        <v>0</v>
      </c>
      <c r="K97" s="92"/>
      <c r="L97" s="41"/>
      <c r="N97" s="104"/>
      <c r="O97" s="104"/>
      <c r="P97" s="104"/>
    </row>
    <row r="98" spans="1:16" s="4" customFormat="1" ht="25.5" customHeight="1" outlineLevel="1">
      <c r="A98" s="37" t="str">
        <f t="shared" si="19"/>
        <v>12A.S4.4</v>
      </c>
      <c r="B98" s="38" t="s">
        <v>88</v>
      </c>
      <c r="C98" s="38" t="s">
        <v>546</v>
      </c>
      <c r="D98" s="39" t="s">
        <v>517</v>
      </c>
      <c r="E98" s="40">
        <v>0</v>
      </c>
      <c r="F98" s="88"/>
      <c r="G98" s="42">
        <f>_xlfn.XLOOKUP(B98, Rate_Master!$A:$A, Rate_Master!$C:$C, "")</f>
        <v>0</v>
      </c>
      <c r="H98" s="42">
        <f>_xlfn.XLOOKUP(B98, Rate_Master!$A:$A, Rate_Master!$D:$D, "")</f>
        <v>0</v>
      </c>
      <c r="I98" s="69">
        <f t="shared" si="20"/>
        <v>0</v>
      </c>
      <c r="J98" s="41">
        <f t="shared" si="21"/>
        <v>0</v>
      </c>
      <c r="K98" s="92"/>
      <c r="L98" s="41"/>
      <c r="N98" s="104"/>
      <c r="O98" s="104"/>
      <c r="P98" s="104"/>
    </row>
    <row r="99" spans="1:16" s="4" customFormat="1" ht="51" customHeight="1" outlineLevel="1">
      <c r="A99" s="37" t="str">
        <f t="shared" si="19"/>
        <v>12A.S4.5</v>
      </c>
      <c r="B99" s="38" t="s">
        <v>89</v>
      </c>
      <c r="C99" s="38" t="s">
        <v>547</v>
      </c>
      <c r="D99" s="39" t="s">
        <v>520</v>
      </c>
      <c r="E99" s="40">
        <v>0</v>
      </c>
      <c r="F99" s="88"/>
      <c r="G99" s="42">
        <f>_xlfn.XLOOKUP(B99, Rate_Master!$A:$A, Rate_Master!$C:$C, "")</f>
        <v>17250</v>
      </c>
      <c r="H99" s="42">
        <f>_xlfn.XLOOKUP(B99, Rate_Master!$A:$A, Rate_Master!$D:$D, "")</f>
        <v>5750</v>
      </c>
      <c r="I99" s="69">
        <f t="shared" si="20"/>
        <v>23000</v>
      </c>
      <c r="J99" s="41">
        <f t="shared" si="21"/>
        <v>0</v>
      </c>
      <c r="K99" s="92"/>
      <c r="L99" s="41"/>
      <c r="N99" s="104"/>
      <c r="O99" s="104"/>
      <c r="P99" s="104"/>
    </row>
    <row r="100" spans="1:16" s="4" customFormat="1" ht="38.25" customHeight="1" outlineLevel="1">
      <c r="A100" s="37" t="str">
        <f t="shared" si="19"/>
        <v>12A.S4.6</v>
      </c>
      <c r="B100" s="38" t="s">
        <v>90</v>
      </c>
      <c r="C100" s="38" t="s">
        <v>548</v>
      </c>
      <c r="D100" s="39" t="s">
        <v>520</v>
      </c>
      <c r="E100" s="40">
        <v>0</v>
      </c>
      <c r="F100" s="88"/>
      <c r="G100" s="42">
        <f>_xlfn.XLOOKUP(B100, Rate_Master!$A:$A, Rate_Master!$C:$C, "")</f>
        <v>0</v>
      </c>
      <c r="H100" s="42">
        <f>_xlfn.XLOOKUP(B100, Rate_Master!$A:$A, Rate_Master!$D:$D, "")</f>
        <v>0</v>
      </c>
      <c r="I100" s="69">
        <f t="shared" si="20"/>
        <v>0</v>
      </c>
      <c r="J100" s="41">
        <f t="shared" si="21"/>
        <v>0</v>
      </c>
      <c r="K100" s="92"/>
      <c r="L100" s="41"/>
      <c r="N100" s="104"/>
      <c r="O100" s="104"/>
      <c r="P100" s="104"/>
    </row>
    <row r="101" spans="1:16" s="4" customFormat="1" ht="25.5" customHeight="1" outlineLevel="1">
      <c r="A101" s="37" t="str">
        <f t="shared" si="19"/>
        <v>12A.S4.7</v>
      </c>
      <c r="B101" s="38" t="s">
        <v>91</v>
      </c>
      <c r="C101" s="38" t="s">
        <v>515</v>
      </c>
      <c r="D101" s="39" t="s">
        <v>457</v>
      </c>
      <c r="E101" s="40">
        <v>0</v>
      </c>
      <c r="F101" s="88"/>
      <c r="G101" s="42">
        <f>_xlfn.XLOOKUP(B101, Rate_Master!$A:$A, Rate_Master!$C:$C, "")</f>
        <v>0</v>
      </c>
      <c r="H101" s="42">
        <f>_xlfn.XLOOKUP(B101, Rate_Master!$A:$A, Rate_Master!$D:$D, "")</f>
        <v>0</v>
      </c>
      <c r="I101" s="69">
        <f t="shared" si="20"/>
        <v>0</v>
      </c>
      <c r="J101" s="41">
        <f t="shared" si="21"/>
        <v>0</v>
      </c>
      <c r="K101" s="92"/>
      <c r="L101" s="41"/>
      <c r="N101" s="104"/>
      <c r="O101" s="104"/>
      <c r="P101" s="104"/>
    </row>
    <row r="102" spans="1:16" s="4" customFormat="1" ht="51" customHeight="1" outlineLevel="1">
      <c r="A102" s="37" t="str">
        <f t="shared" si="19"/>
        <v>12A.S4.8</v>
      </c>
      <c r="B102" s="38" t="s">
        <v>92</v>
      </c>
      <c r="C102" s="38" t="s">
        <v>550</v>
      </c>
      <c r="D102" s="39" t="s">
        <v>520</v>
      </c>
      <c r="E102" s="40">
        <v>0</v>
      </c>
      <c r="F102" s="88"/>
      <c r="G102" s="42">
        <f>_xlfn.XLOOKUP(B102, Rate_Master!$A:$A, Rate_Master!$C:$C, "")</f>
        <v>16099.999999999998</v>
      </c>
      <c r="H102" s="42">
        <f>_xlfn.XLOOKUP(B102, Rate_Master!$A:$A, Rate_Master!$D:$D, "")</f>
        <v>3449.9999999999995</v>
      </c>
      <c r="I102" s="69">
        <f t="shared" si="20"/>
        <v>19549.999999999996</v>
      </c>
      <c r="J102" s="41">
        <f t="shared" si="21"/>
        <v>0</v>
      </c>
      <c r="K102" s="92"/>
      <c r="L102" s="41"/>
      <c r="N102" s="104"/>
      <c r="O102" s="104"/>
      <c r="P102" s="104"/>
    </row>
    <row r="103" spans="1:16" s="3" customFormat="1" ht="25.5" customHeight="1">
      <c r="A103" s="22" t="str">
        <f>$A$9&amp;".F"</f>
        <v>12A.F</v>
      </c>
      <c r="B103" s="23" t="s">
        <v>93</v>
      </c>
      <c r="C103" s="23" t="s">
        <v>515</v>
      </c>
      <c r="D103" s="22"/>
      <c r="E103" s="25"/>
      <c r="F103" s="25"/>
      <c r="G103" s="25">
        <f>_xlfn.XLOOKUP(B103, Rate_Master!$A:$A, Rate_Master!$C:$C, "")</f>
        <v>0</v>
      </c>
      <c r="H103" s="25">
        <f>_xlfn.XLOOKUP(B103, Rate_Master!$A:$A, Rate_Master!$D:$D, "")</f>
        <v>0</v>
      </c>
      <c r="I103" s="26">
        <f t="shared" si="20"/>
        <v>0</v>
      </c>
      <c r="J103" s="26"/>
      <c r="K103" s="89"/>
      <c r="L103" s="26"/>
    </row>
    <row r="104" spans="1:16" s="3" customFormat="1" ht="25.5" customHeight="1">
      <c r="A104" s="22" t="str">
        <f>$A$103&amp;1</f>
        <v>12A.F1</v>
      </c>
      <c r="B104" s="23" t="s">
        <v>94</v>
      </c>
      <c r="C104" s="23" t="s">
        <v>515</v>
      </c>
      <c r="D104" s="22"/>
      <c r="E104" s="25"/>
      <c r="F104" s="25"/>
      <c r="G104" s="25">
        <f>_xlfn.XLOOKUP(B104, Rate_Master!$A:$A, Rate_Master!$C:$C, "")</f>
        <v>0</v>
      </c>
      <c r="H104" s="25">
        <f>_xlfn.XLOOKUP(B104, Rate_Master!$A:$A, Rate_Master!$D:$D, "")</f>
        <v>0</v>
      </c>
      <c r="I104" s="26">
        <f t="shared" si="20"/>
        <v>0</v>
      </c>
      <c r="J104" s="26">
        <f>SUBTOTAL(9,J105:J122)</f>
        <v>1144664360.8950713</v>
      </c>
      <c r="K104" s="89">
        <f>SUBTOTAL(9,K105:K122)</f>
        <v>1144664360.8950713</v>
      </c>
      <c r="L104" s="26"/>
    </row>
    <row r="105" spans="1:16" s="4" customFormat="1" ht="25.5" customHeight="1" outlineLevel="1">
      <c r="A105" s="27" t="str">
        <f t="shared" ref="A105:A122" si="22">$A$104&amp;"."&amp;ROW()-ROW($A$104)</f>
        <v>12A.F1.1</v>
      </c>
      <c r="B105" s="35" t="s">
        <v>95</v>
      </c>
      <c r="C105" s="34" t="s">
        <v>551</v>
      </c>
      <c r="D105" s="29" t="s">
        <v>519</v>
      </c>
      <c r="E105" s="31">
        <v>195.15199999999999</v>
      </c>
      <c r="F105" s="31">
        <v>195.15199999999999</v>
      </c>
      <c r="G105" s="30">
        <f>_xlfn.XLOOKUP(B105, Rate_Master!$A:$A, Rate_Master!$C:$C, "")</f>
        <v>1587600.0077618286</v>
      </c>
      <c r="H105" s="30">
        <f>_xlfn.XLOOKUP(B105, Rate_Master!$A:$A, Rate_Master!$D:$D, "")</f>
        <v>1086539.80861244</v>
      </c>
      <c r="I105" s="32">
        <f>+H105+G105</f>
        <v>2674139.8163742684</v>
      </c>
      <c r="J105" s="32">
        <f t="shared" ref="J105:J122" si="23">I105*E105</f>
        <v>521863733.44507116</v>
      </c>
      <c r="K105" s="58">
        <f t="shared" ref="K105:K122" si="24">I105*F105</f>
        <v>521863733.44507116</v>
      </c>
      <c r="L105" s="32"/>
    </row>
    <row r="106" spans="1:16" s="4" customFormat="1" ht="25.5" customHeight="1" outlineLevel="1">
      <c r="A106" s="27" t="str">
        <f t="shared" si="22"/>
        <v>12A.F1.2</v>
      </c>
      <c r="B106" s="35" t="s">
        <v>96</v>
      </c>
      <c r="C106" s="34" t="s">
        <v>551</v>
      </c>
      <c r="D106" s="29" t="s">
        <v>519</v>
      </c>
      <c r="E106" s="31">
        <v>0</v>
      </c>
      <c r="F106" s="31">
        <v>0</v>
      </c>
      <c r="G106" s="30">
        <f>_xlfn.XLOOKUP(B106, Rate_Master!$A:$A, Rate_Master!$C:$C, "")</f>
        <v>1368500</v>
      </c>
      <c r="H106" s="30">
        <f>_xlfn.XLOOKUP(B106, Rate_Master!$A:$A, Rate_Master!$D:$D, "")</f>
        <v>948749.99999999988</v>
      </c>
      <c r="I106" s="32">
        <v>0</v>
      </c>
      <c r="J106" s="32">
        <f t="shared" si="23"/>
        <v>0</v>
      </c>
      <c r="K106" s="58">
        <f t="shared" si="24"/>
        <v>0</v>
      </c>
      <c r="L106" s="32"/>
    </row>
    <row r="107" spans="1:16" s="4" customFormat="1" ht="63.75" customHeight="1" outlineLevel="1">
      <c r="A107" s="27" t="str">
        <f t="shared" si="22"/>
        <v>12A.F1.3</v>
      </c>
      <c r="B107" s="28" t="s">
        <v>97</v>
      </c>
      <c r="C107" s="34" t="s">
        <v>552</v>
      </c>
      <c r="D107" s="29" t="s">
        <v>520</v>
      </c>
      <c r="E107" s="31">
        <v>0</v>
      </c>
      <c r="F107" s="31">
        <v>0</v>
      </c>
      <c r="G107" s="31">
        <f>_xlfn.XLOOKUP(B107, Rate_Master!$A:$A, Rate_Master!$C:$C, "")</f>
        <v>229999.99999999997</v>
      </c>
      <c r="H107" s="31">
        <f>_xlfn.XLOOKUP(B107, Rate_Master!$A:$A, Rate_Master!$D:$D, "")</f>
        <v>46000</v>
      </c>
      <c r="I107" s="32">
        <v>0</v>
      </c>
      <c r="J107" s="32">
        <f t="shared" si="23"/>
        <v>0</v>
      </c>
      <c r="K107" s="58">
        <f t="shared" si="24"/>
        <v>0</v>
      </c>
      <c r="L107" s="32"/>
    </row>
    <row r="108" spans="1:16" s="4" customFormat="1" ht="51" customHeight="1" outlineLevel="1">
      <c r="A108" s="27" t="str">
        <f t="shared" si="22"/>
        <v>12A.F1.4</v>
      </c>
      <c r="B108" s="28" t="s">
        <v>98</v>
      </c>
      <c r="C108" s="34" t="s">
        <v>553</v>
      </c>
      <c r="D108" s="29" t="s">
        <v>520</v>
      </c>
      <c r="E108" s="31">
        <v>0</v>
      </c>
      <c r="F108" s="31">
        <v>0</v>
      </c>
      <c r="G108" s="31">
        <f>_xlfn.XLOOKUP(B108, Rate_Master!$A:$A, Rate_Master!$C:$C, "")</f>
        <v>0</v>
      </c>
      <c r="H108" s="31">
        <f>_xlfn.XLOOKUP(B108, Rate_Master!$A:$A, Rate_Master!$D:$D, "")</f>
        <v>0</v>
      </c>
      <c r="I108" s="32">
        <v>0</v>
      </c>
      <c r="J108" s="32">
        <f t="shared" si="23"/>
        <v>0</v>
      </c>
      <c r="K108" s="58">
        <f t="shared" si="24"/>
        <v>0</v>
      </c>
      <c r="L108" s="32"/>
    </row>
    <row r="109" spans="1:16" s="4" customFormat="1" ht="51" customHeight="1" outlineLevel="1">
      <c r="A109" s="27" t="str">
        <f t="shared" si="22"/>
        <v>12A.F1.5</v>
      </c>
      <c r="B109" s="28" t="s">
        <v>99</v>
      </c>
      <c r="C109" s="34" t="s">
        <v>553</v>
      </c>
      <c r="D109" s="29" t="s">
        <v>520</v>
      </c>
      <c r="E109" s="31">
        <v>0</v>
      </c>
      <c r="F109" s="31">
        <v>0</v>
      </c>
      <c r="G109" s="31">
        <f>_xlfn.XLOOKUP(B109, Rate_Master!$A:$A, Rate_Master!$C:$C, "")</f>
        <v>931499.99999999988</v>
      </c>
      <c r="H109" s="31">
        <f>_xlfn.XLOOKUP(B109, Rate_Master!$A:$A, Rate_Master!$D:$D, "")</f>
        <v>114999.99999999999</v>
      </c>
      <c r="I109" s="32">
        <v>0</v>
      </c>
      <c r="J109" s="32">
        <f t="shared" si="23"/>
        <v>0</v>
      </c>
      <c r="K109" s="58">
        <f t="shared" si="24"/>
        <v>0</v>
      </c>
      <c r="L109" s="32"/>
    </row>
    <row r="110" spans="1:16" s="4" customFormat="1" ht="25.5" customHeight="1" outlineLevel="1">
      <c r="A110" s="27" t="str">
        <f t="shared" si="22"/>
        <v>12A.F1.6</v>
      </c>
      <c r="B110" s="28" t="s">
        <v>100</v>
      </c>
      <c r="C110" s="34" t="s">
        <v>554</v>
      </c>
      <c r="D110" s="29" t="s">
        <v>520</v>
      </c>
      <c r="E110" s="31">
        <v>0</v>
      </c>
      <c r="F110" s="31">
        <v>0</v>
      </c>
      <c r="G110" s="31">
        <f>_xlfn.XLOOKUP(B110, Rate_Master!$A:$A, Rate_Master!$C:$C, "")</f>
        <v>1586790</v>
      </c>
      <c r="H110" s="31">
        <f>_xlfn.XLOOKUP(B110, Rate_Master!$A:$A, Rate_Master!$D:$D, "")</f>
        <v>372210</v>
      </c>
      <c r="I110" s="32">
        <v>0</v>
      </c>
      <c r="J110" s="32">
        <f t="shared" si="23"/>
        <v>0</v>
      </c>
      <c r="K110" s="58">
        <f t="shared" si="24"/>
        <v>0</v>
      </c>
      <c r="L110" s="32"/>
    </row>
    <row r="111" spans="1:16" s="4" customFormat="1" ht="51" customHeight="1" outlineLevel="1">
      <c r="A111" s="27" t="str">
        <f t="shared" si="22"/>
        <v>12A.F1.7</v>
      </c>
      <c r="B111" s="28" t="s">
        <v>101</v>
      </c>
      <c r="C111" s="28" t="s">
        <v>515</v>
      </c>
      <c r="D111" s="29" t="s">
        <v>520</v>
      </c>
      <c r="E111" s="31">
        <v>0</v>
      </c>
      <c r="F111" s="31">
        <v>0</v>
      </c>
      <c r="G111" s="31">
        <f>_xlfn.XLOOKUP(B111, Rate_Master!$A:$A, Rate_Master!$C:$C, "")</f>
        <v>1121250</v>
      </c>
      <c r="H111" s="31">
        <f>_xlfn.XLOOKUP(B111, Rate_Master!$A:$A, Rate_Master!$D:$D, "")</f>
        <v>114999.99999999999</v>
      </c>
      <c r="I111" s="32">
        <v>0</v>
      </c>
      <c r="J111" s="32">
        <f t="shared" si="23"/>
        <v>0</v>
      </c>
      <c r="K111" s="58">
        <f t="shared" si="24"/>
        <v>0</v>
      </c>
      <c r="L111" s="32"/>
    </row>
    <row r="112" spans="1:16" s="4" customFormat="1" ht="51" customHeight="1" outlineLevel="1">
      <c r="A112" s="27" t="str">
        <f t="shared" si="22"/>
        <v>12A.F1.8</v>
      </c>
      <c r="B112" s="28" t="s">
        <v>102</v>
      </c>
      <c r="C112" s="34" t="s">
        <v>555</v>
      </c>
      <c r="D112" s="29" t="s">
        <v>520</v>
      </c>
      <c r="E112" s="31">
        <v>0</v>
      </c>
      <c r="F112" s="31">
        <v>0</v>
      </c>
      <c r="G112" s="31">
        <f>_xlfn.XLOOKUP(B112, Rate_Master!$A:$A, Rate_Master!$C:$C, "")</f>
        <v>0</v>
      </c>
      <c r="H112" s="31">
        <f>_xlfn.XLOOKUP(B112, Rate_Master!$A:$A, Rate_Master!$D:$D, "")</f>
        <v>0</v>
      </c>
      <c r="I112" s="32">
        <v>0</v>
      </c>
      <c r="J112" s="32">
        <f t="shared" si="23"/>
        <v>0</v>
      </c>
      <c r="K112" s="58">
        <f t="shared" si="24"/>
        <v>0</v>
      </c>
      <c r="L112" s="32"/>
    </row>
    <row r="113" spans="1:12" s="4" customFormat="1" ht="51" customHeight="1" outlineLevel="1">
      <c r="A113" s="27" t="str">
        <f t="shared" si="22"/>
        <v>12A.F1.9</v>
      </c>
      <c r="B113" s="28" t="s">
        <v>103</v>
      </c>
      <c r="C113" s="34" t="s">
        <v>555</v>
      </c>
      <c r="D113" s="29" t="s">
        <v>520</v>
      </c>
      <c r="E113" s="31">
        <v>0</v>
      </c>
      <c r="F113" s="31">
        <v>0</v>
      </c>
      <c r="G113" s="31">
        <f>_xlfn.XLOOKUP(B113, Rate_Master!$A:$A, Rate_Master!$C:$C, "")</f>
        <v>0</v>
      </c>
      <c r="H113" s="31">
        <f>_xlfn.XLOOKUP(B113, Rate_Master!$A:$A, Rate_Master!$D:$D, "")</f>
        <v>0</v>
      </c>
      <c r="I113" s="32">
        <v>0</v>
      </c>
      <c r="J113" s="32">
        <f t="shared" si="23"/>
        <v>0</v>
      </c>
      <c r="K113" s="58">
        <f t="shared" si="24"/>
        <v>0</v>
      </c>
      <c r="L113" s="32"/>
    </row>
    <row r="114" spans="1:12" s="4" customFormat="1" ht="25.5" customHeight="1" outlineLevel="1">
      <c r="A114" s="27" t="str">
        <f t="shared" si="22"/>
        <v>12A.F1.10</v>
      </c>
      <c r="B114" s="28" t="s">
        <v>104</v>
      </c>
      <c r="C114" s="28" t="s">
        <v>515</v>
      </c>
      <c r="D114" s="29" t="s">
        <v>520</v>
      </c>
      <c r="E114" s="31">
        <v>1054.95</v>
      </c>
      <c r="F114" s="31">
        <v>1054.95</v>
      </c>
      <c r="G114" s="30">
        <f>_xlfn.XLOOKUP(B114, Rate_Master!$A:$A, Rate_Master!$C:$C, "")</f>
        <v>46000</v>
      </c>
      <c r="H114" s="30">
        <f>_xlfn.XLOOKUP(B114, Rate_Master!$A:$A, Rate_Master!$D:$D, "")</f>
        <v>34500</v>
      </c>
      <c r="I114" s="32">
        <f t="shared" ref="I114:I122" si="25">+H114+G114</f>
        <v>80500</v>
      </c>
      <c r="J114" s="32">
        <f t="shared" si="23"/>
        <v>84923475</v>
      </c>
      <c r="K114" s="58">
        <f t="shared" si="24"/>
        <v>84923475</v>
      </c>
      <c r="L114" s="32"/>
    </row>
    <row r="115" spans="1:12" s="4" customFormat="1" ht="25.5" customHeight="1" outlineLevel="1">
      <c r="A115" s="27" t="str">
        <f t="shared" si="22"/>
        <v>12A.F1.11</v>
      </c>
      <c r="B115" s="28" t="s">
        <v>105</v>
      </c>
      <c r="C115" s="34" t="s">
        <v>556</v>
      </c>
      <c r="D115" s="29" t="s">
        <v>520</v>
      </c>
      <c r="E115" s="31">
        <v>1122.78</v>
      </c>
      <c r="F115" s="31">
        <v>1122.78</v>
      </c>
      <c r="G115" s="30">
        <f>_xlfn.XLOOKUP(B115, Rate_Master!$A:$A, Rate_Master!$C:$C, "")</f>
        <v>26565.000000000004</v>
      </c>
      <c r="H115" s="30">
        <f>_xlfn.XLOOKUP(B115, Rate_Master!$A:$A, Rate_Master!$D:$D, "")</f>
        <v>132250</v>
      </c>
      <c r="I115" s="32">
        <f t="shared" si="25"/>
        <v>158815</v>
      </c>
      <c r="J115" s="32">
        <f t="shared" si="23"/>
        <v>178314305.69999999</v>
      </c>
      <c r="K115" s="58">
        <f t="shared" si="24"/>
        <v>178314305.69999999</v>
      </c>
      <c r="L115" s="32"/>
    </row>
    <row r="116" spans="1:12" s="4" customFormat="1" ht="25.5" customHeight="1" outlineLevel="1">
      <c r="A116" s="27" t="str">
        <f t="shared" si="22"/>
        <v>12A.F1.12</v>
      </c>
      <c r="B116" s="28" t="s">
        <v>106</v>
      </c>
      <c r="C116" s="34" t="s">
        <v>556</v>
      </c>
      <c r="D116" s="29" t="s">
        <v>520</v>
      </c>
      <c r="E116" s="31">
        <v>1105.45</v>
      </c>
      <c r="F116" s="31">
        <v>1105.45</v>
      </c>
      <c r="G116" s="30">
        <f>_xlfn.XLOOKUP(B116, Rate_Master!$A:$A, Rate_Master!$C:$C, "")</f>
        <v>26565.000000000004</v>
      </c>
      <c r="H116" s="30">
        <f>_xlfn.XLOOKUP(B116, Rate_Master!$A:$A, Rate_Master!$D:$D, "")</f>
        <v>117299.99999999999</v>
      </c>
      <c r="I116" s="32">
        <f t="shared" si="25"/>
        <v>143865</v>
      </c>
      <c r="J116" s="32">
        <f t="shared" si="23"/>
        <v>159035564.25</v>
      </c>
      <c r="K116" s="58">
        <f t="shared" si="24"/>
        <v>159035564.25</v>
      </c>
      <c r="L116" s="32"/>
    </row>
    <row r="117" spans="1:12" s="4" customFormat="1" ht="38.25" customHeight="1" outlineLevel="1">
      <c r="A117" s="27" t="str">
        <f t="shared" si="22"/>
        <v>12A.F1.13</v>
      </c>
      <c r="B117" s="28" t="s">
        <v>107</v>
      </c>
      <c r="C117" s="28" t="s">
        <v>515</v>
      </c>
      <c r="D117" s="29" t="s">
        <v>520</v>
      </c>
      <c r="E117" s="31">
        <v>0</v>
      </c>
      <c r="F117" s="31">
        <v>0</v>
      </c>
      <c r="G117" s="31">
        <f>_xlfn.XLOOKUP(B117, Rate_Master!$A:$A, Rate_Master!$C:$C, "")</f>
        <v>218499.99999999997</v>
      </c>
      <c r="H117" s="31">
        <f>_xlfn.XLOOKUP(B117, Rate_Master!$A:$A, Rate_Master!$D:$D, "")</f>
        <v>138000</v>
      </c>
      <c r="I117" s="32">
        <f t="shared" si="25"/>
        <v>356500</v>
      </c>
      <c r="J117" s="32">
        <f t="shared" si="23"/>
        <v>0</v>
      </c>
      <c r="K117" s="58">
        <f t="shared" si="24"/>
        <v>0</v>
      </c>
      <c r="L117" s="32"/>
    </row>
    <row r="118" spans="1:12" s="4" customFormat="1" ht="25.5" customHeight="1" outlineLevel="1">
      <c r="A118" s="27" t="str">
        <f t="shared" si="22"/>
        <v>12A.F1.14</v>
      </c>
      <c r="B118" s="34" t="s">
        <v>108</v>
      </c>
      <c r="C118" s="28" t="s">
        <v>515</v>
      </c>
      <c r="D118" s="29" t="s">
        <v>520</v>
      </c>
      <c r="E118" s="31">
        <v>1122.78</v>
      </c>
      <c r="F118" s="31">
        <v>1122.78</v>
      </c>
      <c r="G118" s="30">
        <f>_xlfn.XLOOKUP(B118, Rate_Master!$A:$A, Rate_Master!$C:$C, "")</f>
        <v>51749.999999999993</v>
      </c>
      <c r="H118" s="30">
        <f>_xlfn.XLOOKUP(B118, Rate_Master!$A:$A, Rate_Master!$D:$D, "")</f>
        <v>34500</v>
      </c>
      <c r="I118" s="32">
        <f t="shared" si="25"/>
        <v>86250</v>
      </c>
      <c r="J118" s="32">
        <f t="shared" si="23"/>
        <v>96839775</v>
      </c>
      <c r="K118" s="58">
        <f t="shared" si="24"/>
        <v>96839775</v>
      </c>
      <c r="L118" s="32"/>
    </row>
    <row r="119" spans="1:12" s="4" customFormat="1" ht="25.5" customHeight="1" outlineLevel="1">
      <c r="A119" s="27" t="str">
        <f t="shared" si="22"/>
        <v>12A.F1.15</v>
      </c>
      <c r="B119" s="34" t="s">
        <v>109</v>
      </c>
      <c r="C119" s="28" t="s">
        <v>515</v>
      </c>
      <c r="D119" s="29" t="s">
        <v>520</v>
      </c>
      <c r="E119" s="31">
        <v>1105.45</v>
      </c>
      <c r="F119" s="31">
        <v>1105.45</v>
      </c>
      <c r="G119" s="31">
        <f>_xlfn.XLOOKUP(B119, Rate_Master!$A:$A, Rate_Master!$C:$C, "")</f>
        <v>46000</v>
      </c>
      <c r="H119" s="31">
        <f>_xlfn.XLOOKUP(B119, Rate_Master!$A:$A, Rate_Master!$D:$D, "")</f>
        <v>19550</v>
      </c>
      <c r="I119" s="32">
        <f t="shared" si="25"/>
        <v>65550</v>
      </c>
      <c r="J119" s="32">
        <f t="shared" si="23"/>
        <v>72462247.5</v>
      </c>
      <c r="K119" s="58">
        <f t="shared" si="24"/>
        <v>72462247.5</v>
      </c>
      <c r="L119" s="32"/>
    </row>
    <row r="120" spans="1:12" s="4" customFormat="1" ht="38.25" customHeight="1" outlineLevel="1">
      <c r="A120" s="27" t="str">
        <f t="shared" si="22"/>
        <v>12A.F1.16</v>
      </c>
      <c r="B120" s="34" t="s">
        <v>110</v>
      </c>
      <c r="C120" s="28" t="s">
        <v>515</v>
      </c>
      <c r="D120" s="29" t="s">
        <v>520</v>
      </c>
      <c r="E120" s="31">
        <v>0</v>
      </c>
      <c r="F120" s="31">
        <v>0</v>
      </c>
      <c r="G120" s="31">
        <f>_xlfn.XLOOKUP(B120, Rate_Master!$A:$A, Rate_Master!$C:$C, "")</f>
        <v>51749.999999999993</v>
      </c>
      <c r="H120" s="31">
        <f>_xlfn.XLOOKUP(B120, Rate_Master!$A:$A, Rate_Master!$D:$D, "")</f>
        <v>17250</v>
      </c>
      <c r="I120" s="32">
        <f t="shared" si="25"/>
        <v>69000</v>
      </c>
      <c r="J120" s="32">
        <f t="shared" si="23"/>
        <v>0</v>
      </c>
      <c r="K120" s="58">
        <f t="shared" si="24"/>
        <v>0</v>
      </c>
      <c r="L120" s="32"/>
    </row>
    <row r="121" spans="1:12" s="4" customFormat="1" ht="25.5" customHeight="1" outlineLevel="1">
      <c r="A121" s="27" t="str">
        <f t="shared" si="22"/>
        <v>12A.F1.17</v>
      </c>
      <c r="B121" s="34" t="s">
        <v>111</v>
      </c>
      <c r="C121" s="28" t="s">
        <v>515</v>
      </c>
      <c r="D121" s="29" t="s">
        <v>520</v>
      </c>
      <c r="E121" s="31">
        <v>0</v>
      </c>
      <c r="F121" s="31">
        <v>0</v>
      </c>
      <c r="G121" s="31">
        <f>_xlfn.XLOOKUP(B121, Rate_Master!$A:$A, Rate_Master!$C:$C, "")</f>
        <v>172500</v>
      </c>
      <c r="H121" s="31">
        <f>_xlfn.XLOOKUP(B121, Rate_Master!$A:$A, Rate_Master!$D:$D, "")</f>
        <v>28749.999999999996</v>
      </c>
      <c r="I121" s="32">
        <f t="shared" si="25"/>
        <v>201250</v>
      </c>
      <c r="J121" s="32">
        <f t="shared" si="23"/>
        <v>0</v>
      </c>
      <c r="K121" s="58">
        <f t="shared" si="24"/>
        <v>0</v>
      </c>
      <c r="L121" s="32"/>
    </row>
    <row r="122" spans="1:12" s="4" customFormat="1" ht="38.25" customHeight="1" outlineLevel="1">
      <c r="A122" s="27" t="str">
        <f t="shared" si="22"/>
        <v>12A.F1.18</v>
      </c>
      <c r="B122" s="34" t="s">
        <v>112</v>
      </c>
      <c r="C122" s="34" t="s">
        <v>557</v>
      </c>
      <c r="D122" s="29" t="s">
        <v>517</v>
      </c>
      <c r="E122" s="31">
        <v>145.19999999999999</v>
      </c>
      <c r="F122" s="31">
        <v>145.19999999999999</v>
      </c>
      <c r="G122" s="31">
        <f>_xlfn.XLOOKUP(B122, Rate_Master!$A:$A, Rate_Master!$C:$C, "")</f>
        <v>163300</v>
      </c>
      <c r="H122" s="31">
        <f>_xlfn.XLOOKUP(B122, Rate_Master!$A:$A, Rate_Master!$D:$D, "")</f>
        <v>51749.999999999993</v>
      </c>
      <c r="I122" s="32">
        <f t="shared" si="25"/>
        <v>215050</v>
      </c>
      <c r="J122" s="32">
        <f t="shared" si="23"/>
        <v>31225259.999999996</v>
      </c>
      <c r="K122" s="58">
        <f t="shared" si="24"/>
        <v>31225259.999999996</v>
      </c>
      <c r="L122" s="32"/>
    </row>
    <row r="123" spans="1:12" s="3" customFormat="1" ht="25.5" customHeight="1">
      <c r="A123" s="22" t="str">
        <f>$A$103&amp;2</f>
        <v>12A.F2</v>
      </c>
      <c r="B123" s="23" t="s">
        <v>113</v>
      </c>
      <c r="C123" s="23" t="s">
        <v>515</v>
      </c>
      <c r="D123" s="22"/>
      <c r="E123" s="25"/>
      <c r="F123" s="25"/>
      <c r="G123" s="25">
        <f>_xlfn.XLOOKUP(B123, Rate_Master!$A:$A, Rate_Master!$C:$C, "")</f>
        <v>0</v>
      </c>
      <c r="H123" s="25">
        <f>_xlfn.XLOOKUP(B123, Rate_Master!$A:$A, Rate_Master!$D:$D, "")</f>
        <v>0</v>
      </c>
      <c r="I123" s="26">
        <v>0</v>
      </c>
      <c r="J123" s="26">
        <f>SUBTOTAL(9,J124:J128)</f>
        <v>114324880.99999997</v>
      </c>
      <c r="K123" s="89">
        <f>SUBTOTAL(9,K124:K128)</f>
        <v>114324880.99999997</v>
      </c>
      <c r="L123" s="26"/>
    </row>
    <row r="124" spans="1:12" s="4" customFormat="1" ht="51" customHeight="1" outlineLevel="1">
      <c r="A124" s="27" t="str">
        <f>$A$123&amp;"."&amp;ROW()-ROW($A$123)</f>
        <v>12A.F2.1</v>
      </c>
      <c r="B124" s="34" t="s">
        <v>114</v>
      </c>
      <c r="C124" s="28" t="s">
        <v>515</v>
      </c>
      <c r="D124" s="29" t="s">
        <v>520</v>
      </c>
      <c r="E124" s="31">
        <v>0</v>
      </c>
      <c r="F124" s="31">
        <v>0</v>
      </c>
      <c r="G124" s="30">
        <f>_xlfn.XLOOKUP(B124, Rate_Master!$A:$A, Rate_Master!$C:$C, "")</f>
        <v>206999.99999999997</v>
      </c>
      <c r="H124" s="30">
        <f>_xlfn.XLOOKUP(B124, Rate_Master!$A:$A, Rate_Master!$D:$D, "")</f>
        <v>126499.99999999999</v>
      </c>
      <c r="I124" s="32">
        <v>0</v>
      </c>
      <c r="J124" s="32">
        <f>I124*E124</f>
        <v>0</v>
      </c>
      <c r="K124" s="58">
        <f>I124*F124</f>
        <v>0</v>
      </c>
      <c r="L124" s="32"/>
    </row>
    <row r="125" spans="1:12" s="4" customFormat="1" ht="51" customHeight="1" outlineLevel="1">
      <c r="A125" s="27" t="str">
        <f>$A$123&amp;"."&amp;ROW()-ROW($A$123)</f>
        <v>12A.F2.2</v>
      </c>
      <c r="B125" s="28" t="s">
        <v>115</v>
      </c>
      <c r="C125" s="28" t="s">
        <v>515</v>
      </c>
      <c r="D125" s="29" t="s">
        <v>520</v>
      </c>
      <c r="E125" s="31">
        <v>1461.9549999999999</v>
      </c>
      <c r="F125" s="31">
        <v>1461.9549999999999</v>
      </c>
      <c r="G125" s="30">
        <f>_xlfn.XLOOKUP(B125, Rate_Master!$A:$A, Rate_Master!$C:$C, "")</f>
        <v>28749.999999999996</v>
      </c>
      <c r="H125" s="30">
        <f>_xlfn.XLOOKUP(B125, Rate_Master!$A:$A, Rate_Master!$D:$D, "")</f>
        <v>49449.999999999993</v>
      </c>
      <c r="I125" s="32">
        <f>+H125+G125</f>
        <v>78199.999999999985</v>
      </c>
      <c r="J125" s="32">
        <f>I125*E125</f>
        <v>114324880.99999997</v>
      </c>
      <c r="K125" s="58">
        <f>I125*F125</f>
        <v>114324880.99999997</v>
      </c>
      <c r="L125" s="32"/>
    </row>
    <row r="126" spans="1:12" s="4" customFormat="1" ht="51" customHeight="1" outlineLevel="1">
      <c r="A126" s="27" t="str">
        <f>$A$123&amp;"."&amp;ROW()-ROW($A$123)</f>
        <v>12A.F2.3</v>
      </c>
      <c r="B126" s="34" t="s">
        <v>116</v>
      </c>
      <c r="C126" s="28" t="s">
        <v>515</v>
      </c>
      <c r="D126" s="29" t="s">
        <v>520</v>
      </c>
      <c r="E126" s="31">
        <v>0</v>
      </c>
      <c r="F126" s="31">
        <v>0</v>
      </c>
      <c r="G126" s="31">
        <f>_xlfn.XLOOKUP(B126, Rate_Master!$A:$A, Rate_Master!$C:$C, "")</f>
        <v>0</v>
      </c>
      <c r="H126" s="31">
        <f>_xlfn.XLOOKUP(B126, Rate_Master!$A:$A, Rate_Master!$D:$D, "")</f>
        <v>0</v>
      </c>
      <c r="I126" s="32">
        <v>0</v>
      </c>
      <c r="J126" s="32">
        <f>I126*E126</f>
        <v>0</v>
      </c>
      <c r="K126" s="58">
        <f>I126*F126</f>
        <v>0</v>
      </c>
      <c r="L126" s="32"/>
    </row>
    <row r="127" spans="1:12" s="4" customFormat="1" ht="51" customHeight="1" outlineLevel="1">
      <c r="A127" s="27" t="str">
        <f>$A$123&amp;"."&amp;ROW()-ROW($A$123)</f>
        <v>12A.F2.4</v>
      </c>
      <c r="B127" s="34" t="s">
        <v>117</v>
      </c>
      <c r="C127" s="28" t="s">
        <v>515</v>
      </c>
      <c r="D127" s="29" t="s">
        <v>520</v>
      </c>
      <c r="E127" s="31">
        <v>0</v>
      </c>
      <c r="F127" s="31">
        <v>0</v>
      </c>
      <c r="G127" s="31">
        <f>_xlfn.XLOOKUP(B127, Rate_Master!$A:$A, Rate_Master!$C:$C, "")</f>
        <v>0</v>
      </c>
      <c r="H127" s="31">
        <f>_xlfn.XLOOKUP(B127, Rate_Master!$A:$A, Rate_Master!$D:$D, "")</f>
        <v>0</v>
      </c>
      <c r="I127" s="32">
        <v>0</v>
      </c>
      <c r="J127" s="32">
        <f>I127*E127</f>
        <v>0</v>
      </c>
      <c r="K127" s="58">
        <f>I127*F127</f>
        <v>0</v>
      </c>
      <c r="L127" s="32"/>
    </row>
    <row r="128" spans="1:12" s="4" customFormat="1" ht="38.25" customHeight="1" outlineLevel="1">
      <c r="A128" s="27" t="str">
        <f>$A$123&amp;"."&amp;ROW()-ROW($A$123)</f>
        <v>12A.F2.5</v>
      </c>
      <c r="B128" s="34" t="s">
        <v>118</v>
      </c>
      <c r="C128" s="28" t="s">
        <v>515</v>
      </c>
      <c r="D128" s="29" t="s">
        <v>520</v>
      </c>
      <c r="E128" s="31">
        <v>0</v>
      </c>
      <c r="F128" s="31">
        <v>0</v>
      </c>
      <c r="G128" s="31">
        <f>_xlfn.XLOOKUP(B128, Rate_Master!$A:$A, Rate_Master!$C:$C, "")</f>
        <v>0</v>
      </c>
      <c r="H128" s="31">
        <f>_xlfn.XLOOKUP(B128, Rate_Master!$A:$A, Rate_Master!$D:$D, "")</f>
        <v>0</v>
      </c>
      <c r="I128" s="32">
        <v>0</v>
      </c>
      <c r="J128" s="32">
        <f>I128*E128</f>
        <v>0</v>
      </c>
      <c r="K128" s="58">
        <f>I128*F128</f>
        <v>0</v>
      </c>
      <c r="L128" s="32"/>
    </row>
    <row r="129" spans="1:12" s="3" customFormat="1" ht="25.5" customHeight="1">
      <c r="A129" s="22" t="str">
        <f>$A$103&amp;3</f>
        <v>12A.F3</v>
      </c>
      <c r="B129" s="23" t="s">
        <v>119</v>
      </c>
      <c r="C129" s="23" t="s">
        <v>515</v>
      </c>
      <c r="D129" s="22"/>
      <c r="E129" s="25"/>
      <c r="F129" s="25"/>
      <c r="G129" s="25">
        <f>_xlfn.XLOOKUP(B129, Rate_Master!$A:$A, Rate_Master!$C:$C, "")</f>
        <v>0</v>
      </c>
      <c r="H129" s="25">
        <f>_xlfn.XLOOKUP(B129, Rate_Master!$A:$A, Rate_Master!$D:$D, "")</f>
        <v>0</v>
      </c>
      <c r="I129" s="26">
        <v>0</v>
      </c>
      <c r="J129" s="26">
        <f>SUBTOTAL(9,J130:J137)</f>
        <v>185668285</v>
      </c>
      <c r="K129" s="89">
        <f>SUBTOTAL(9,K130:K137)</f>
        <v>185668285</v>
      </c>
      <c r="L129" s="26"/>
    </row>
    <row r="130" spans="1:12" s="4" customFormat="1" ht="25.5" customHeight="1" outlineLevel="1">
      <c r="A130" s="27" t="str">
        <f t="shared" ref="A130:A137" si="26">$A$129&amp;"."&amp;ROW()-ROW($A$129)</f>
        <v>12A.F3.1</v>
      </c>
      <c r="B130" s="34" t="s">
        <v>120</v>
      </c>
      <c r="C130" s="28" t="s">
        <v>515</v>
      </c>
      <c r="D130" s="29" t="s">
        <v>520</v>
      </c>
      <c r="E130" s="31">
        <v>1461.9549999999999</v>
      </c>
      <c r="F130" s="31">
        <v>1461.9549999999999</v>
      </c>
      <c r="G130" s="31">
        <f>_xlfn.XLOOKUP(B130, Rate_Master!$A:$A, Rate_Master!$C:$C, "")</f>
        <v>28749.999999999996</v>
      </c>
      <c r="H130" s="31">
        <f>_xlfn.XLOOKUP(B130, Rate_Master!$A:$A, Rate_Master!$D:$D, "")</f>
        <v>0</v>
      </c>
      <c r="I130" s="32">
        <v>35000</v>
      </c>
      <c r="J130" s="32">
        <f t="shared" ref="J130:J137" si="27">I130*E130</f>
        <v>51168425</v>
      </c>
      <c r="K130" s="58">
        <f t="shared" ref="K130:K137" si="28">I130*F130</f>
        <v>51168425</v>
      </c>
      <c r="L130" s="32"/>
    </row>
    <row r="131" spans="1:12" s="4" customFormat="1" ht="25.5" customHeight="1" outlineLevel="1">
      <c r="A131" s="27" t="str">
        <f t="shared" si="26"/>
        <v>12A.F3.2</v>
      </c>
      <c r="B131" s="34" t="s">
        <v>121</v>
      </c>
      <c r="C131" s="28" t="s">
        <v>515</v>
      </c>
      <c r="D131" s="29" t="s">
        <v>520</v>
      </c>
      <c r="E131" s="31">
        <v>1461.9549999999999</v>
      </c>
      <c r="F131" s="31">
        <v>1461.9549999999999</v>
      </c>
      <c r="G131" s="31">
        <f>_xlfn.XLOOKUP(B131, Rate_Master!$A:$A, Rate_Master!$C:$C, "")</f>
        <v>0</v>
      </c>
      <c r="H131" s="31">
        <f>_xlfn.XLOOKUP(B131, Rate_Master!$A:$A, Rate_Master!$D:$D, "")</f>
        <v>0</v>
      </c>
      <c r="I131" s="32">
        <v>92000</v>
      </c>
      <c r="J131" s="32">
        <f t="shared" si="27"/>
        <v>134499860</v>
      </c>
      <c r="K131" s="58">
        <f t="shared" si="28"/>
        <v>134499860</v>
      </c>
      <c r="L131" s="32"/>
    </row>
    <row r="132" spans="1:12" s="4" customFormat="1" ht="38.25" customHeight="1" outlineLevel="1">
      <c r="A132" s="27" t="str">
        <f t="shared" si="26"/>
        <v>12A.F3.3</v>
      </c>
      <c r="B132" s="34" t="s">
        <v>122</v>
      </c>
      <c r="C132" s="28" t="s">
        <v>515</v>
      </c>
      <c r="D132" s="29" t="s">
        <v>520</v>
      </c>
      <c r="E132" s="31">
        <v>0</v>
      </c>
      <c r="F132" s="31">
        <v>0</v>
      </c>
      <c r="G132" s="31">
        <f>_xlfn.XLOOKUP(B132, Rate_Master!$A:$A, Rate_Master!$C:$C, "")</f>
        <v>51749.999999999993</v>
      </c>
      <c r="H132" s="31">
        <f>_xlfn.XLOOKUP(B132, Rate_Master!$A:$A, Rate_Master!$D:$D, "")</f>
        <v>23000</v>
      </c>
      <c r="I132" s="32">
        <v>0</v>
      </c>
      <c r="J132" s="32">
        <f t="shared" si="27"/>
        <v>0</v>
      </c>
      <c r="K132" s="58">
        <f t="shared" si="28"/>
        <v>0</v>
      </c>
      <c r="L132" s="32"/>
    </row>
    <row r="133" spans="1:12" s="4" customFormat="1" ht="25.5" customHeight="1" outlineLevel="1">
      <c r="A133" s="27" t="str">
        <f t="shared" si="26"/>
        <v>12A.F3.4</v>
      </c>
      <c r="B133" s="34" t="s">
        <v>123</v>
      </c>
      <c r="C133" s="28" t="s">
        <v>515</v>
      </c>
      <c r="D133" s="29" t="s">
        <v>520</v>
      </c>
      <c r="E133" s="31">
        <v>0</v>
      </c>
      <c r="F133" s="31">
        <v>0</v>
      </c>
      <c r="G133" s="31">
        <f>_xlfn.XLOOKUP(B133, Rate_Master!$A:$A, Rate_Master!$C:$C, "")</f>
        <v>172500</v>
      </c>
      <c r="H133" s="31">
        <f>_xlfn.XLOOKUP(B133, Rate_Master!$A:$A, Rate_Master!$D:$D, "")</f>
        <v>34500</v>
      </c>
      <c r="I133" s="32">
        <v>0</v>
      </c>
      <c r="J133" s="32">
        <f t="shared" si="27"/>
        <v>0</v>
      </c>
      <c r="K133" s="58">
        <f t="shared" si="28"/>
        <v>0</v>
      </c>
      <c r="L133" s="32"/>
    </row>
    <row r="134" spans="1:12" s="4" customFormat="1" ht="51" customHeight="1" outlineLevel="1">
      <c r="A134" s="27" t="str">
        <f t="shared" si="26"/>
        <v>12A.F3.5</v>
      </c>
      <c r="B134" s="28" t="s">
        <v>124</v>
      </c>
      <c r="C134" s="34" t="s">
        <v>553</v>
      </c>
      <c r="D134" s="29" t="s">
        <v>520</v>
      </c>
      <c r="E134" s="31">
        <v>0</v>
      </c>
      <c r="F134" s="31">
        <v>0</v>
      </c>
      <c r="G134" s="30">
        <f>_xlfn.XLOOKUP(B134, Rate_Master!$A:$A, Rate_Master!$C:$C, "")</f>
        <v>1069500</v>
      </c>
      <c r="H134" s="30">
        <f>_xlfn.XLOOKUP(B134, Rate_Master!$A:$A, Rate_Master!$D:$D, "")</f>
        <v>172500</v>
      </c>
      <c r="I134" s="32">
        <v>0</v>
      </c>
      <c r="J134" s="32">
        <f t="shared" si="27"/>
        <v>0</v>
      </c>
      <c r="K134" s="58">
        <f t="shared" si="28"/>
        <v>0</v>
      </c>
      <c r="L134" s="32"/>
    </row>
    <row r="135" spans="1:12" s="4" customFormat="1" ht="51" customHeight="1" outlineLevel="1">
      <c r="A135" s="27" t="str">
        <f t="shared" si="26"/>
        <v>12A.F3.6</v>
      </c>
      <c r="B135" s="34" t="s">
        <v>125</v>
      </c>
      <c r="C135" s="28" t="s">
        <v>515</v>
      </c>
      <c r="D135" s="29" t="s">
        <v>520</v>
      </c>
      <c r="E135" s="31">
        <v>0</v>
      </c>
      <c r="F135" s="31">
        <v>0</v>
      </c>
      <c r="G135" s="30">
        <f>_xlfn.XLOOKUP(B135, Rate_Master!$A:$A, Rate_Master!$C:$C, "")</f>
        <v>965999.99999999988</v>
      </c>
      <c r="H135" s="30">
        <f>_xlfn.XLOOKUP(B135, Rate_Master!$A:$A, Rate_Master!$D:$D, "")</f>
        <v>138000</v>
      </c>
      <c r="I135" s="32">
        <v>0</v>
      </c>
      <c r="J135" s="32">
        <f t="shared" si="27"/>
        <v>0</v>
      </c>
      <c r="K135" s="58">
        <f t="shared" si="28"/>
        <v>0</v>
      </c>
      <c r="L135" s="32"/>
    </row>
    <row r="136" spans="1:12" s="4" customFormat="1" ht="25.5" customHeight="1" outlineLevel="1">
      <c r="A136" s="27" t="str">
        <f t="shared" si="26"/>
        <v>12A.F3.7</v>
      </c>
      <c r="B136" s="28" t="s">
        <v>126</v>
      </c>
      <c r="C136" s="28" t="s">
        <v>515</v>
      </c>
      <c r="D136" s="29" t="s">
        <v>520</v>
      </c>
      <c r="E136" s="31">
        <v>0</v>
      </c>
      <c r="F136" s="31">
        <v>0</v>
      </c>
      <c r="G136" s="30">
        <f>_xlfn.XLOOKUP(B136, Rate_Master!$A:$A, Rate_Master!$C:$C, "")</f>
        <v>0</v>
      </c>
      <c r="H136" s="30">
        <f>_xlfn.XLOOKUP(B136, Rate_Master!$A:$A, Rate_Master!$D:$D, "")</f>
        <v>0</v>
      </c>
      <c r="I136" s="32">
        <v>0</v>
      </c>
      <c r="J136" s="32">
        <f t="shared" si="27"/>
        <v>0</v>
      </c>
      <c r="K136" s="58">
        <f t="shared" si="28"/>
        <v>0</v>
      </c>
      <c r="L136" s="32"/>
    </row>
    <row r="137" spans="1:12" s="4" customFormat="1" ht="25.5" customHeight="1" outlineLevel="1">
      <c r="A137" s="27" t="str">
        <f t="shared" si="26"/>
        <v>12A.F3.8</v>
      </c>
      <c r="B137" s="34" t="s">
        <v>127</v>
      </c>
      <c r="C137" s="28" t="s">
        <v>515</v>
      </c>
      <c r="D137" s="29" t="s">
        <v>520</v>
      </c>
      <c r="E137" s="31">
        <v>0</v>
      </c>
      <c r="F137" s="31">
        <v>0</v>
      </c>
      <c r="G137" s="30">
        <f>_xlfn.XLOOKUP(B137, Rate_Master!$A:$A, Rate_Master!$C:$C, "")</f>
        <v>0</v>
      </c>
      <c r="H137" s="30">
        <f>_xlfn.XLOOKUP(B137, Rate_Master!$A:$A, Rate_Master!$D:$D, "")</f>
        <v>0</v>
      </c>
      <c r="I137" s="32">
        <v>0</v>
      </c>
      <c r="J137" s="32">
        <f t="shared" si="27"/>
        <v>0</v>
      </c>
      <c r="K137" s="58">
        <f t="shared" si="28"/>
        <v>0</v>
      </c>
      <c r="L137" s="32"/>
    </row>
    <row r="138" spans="1:12" s="3" customFormat="1" ht="25.5" customHeight="1">
      <c r="A138" s="22" t="str">
        <f>$A$103&amp;4</f>
        <v>12A.F4</v>
      </c>
      <c r="B138" s="23" t="s">
        <v>128</v>
      </c>
      <c r="C138" s="23" t="s">
        <v>515</v>
      </c>
      <c r="D138" s="22"/>
      <c r="E138" s="25"/>
      <c r="F138" s="25"/>
      <c r="G138" s="25">
        <f>_xlfn.XLOOKUP(B138, Rate_Master!$A:$A, Rate_Master!$C:$C, "")</f>
        <v>0</v>
      </c>
      <c r="H138" s="25">
        <f>_xlfn.XLOOKUP(B138, Rate_Master!$A:$A, Rate_Master!$D:$D, "")</f>
        <v>0</v>
      </c>
      <c r="I138" s="26">
        <v>0</v>
      </c>
      <c r="J138" s="26">
        <f>SUBTOTAL(9,J139:J140)</f>
        <v>225025100</v>
      </c>
      <c r="K138" s="89">
        <f>SUBTOTAL(9,K139:K140)</f>
        <v>225025100</v>
      </c>
      <c r="L138" s="26"/>
    </row>
    <row r="139" spans="1:12" s="4" customFormat="1" ht="76.5" customHeight="1" outlineLevel="1">
      <c r="A139" s="27" t="str">
        <f>$A$138&amp;"."&amp;ROW()-ROW($A$138)</f>
        <v>12A.F4.1</v>
      </c>
      <c r="B139" s="28" t="s">
        <v>131</v>
      </c>
      <c r="C139" s="28" t="s">
        <v>515</v>
      </c>
      <c r="D139" s="29" t="s">
        <v>516</v>
      </c>
      <c r="E139" s="31">
        <v>33</v>
      </c>
      <c r="F139" s="31">
        <v>33</v>
      </c>
      <c r="G139" s="31">
        <f>_xlfn.XLOOKUP(B139, Rate_Master!$A:$A, Rate_Master!$C:$C, "")</f>
        <v>5037000</v>
      </c>
      <c r="H139" s="31">
        <f>_xlfn.XLOOKUP(B139, Rate_Master!$A:$A, Rate_Master!$D:$D, "")</f>
        <v>206999.99999999997</v>
      </c>
      <c r="I139" s="32">
        <f>+G139+H139</f>
        <v>5244000</v>
      </c>
      <c r="J139" s="32">
        <f>I139*E139</f>
        <v>173052000</v>
      </c>
      <c r="K139" s="58">
        <f>I139*F139</f>
        <v>173052000</v>
      </c>
      <c r="L139" s="32"/>
    </row>
    <row r="140" spans="1:12" s="4" customFormat="1" ht="38.25" customHeight="1" outlineLevel="1">
      <c r="A140" s="27" t="str">
        <f>$A$138&amp;"."&amp;ROW()-ROW($A$138)</f>
        <v>12A.F4.2</v>
      </c>
      <c r="B140" s="28" t="s">
        <v>217</v>
      </c>
      <c r="C140" s="28" t="s">
        <v>515</v>
      </c>
      <c r="D140" s="29" t="s">
        <v>516</v>
      </c>
      <c r="E140" s="31">
        <v>2</v>
      </c>
      <c r="F140" s="31">
        <v>2</v>
      </c>
      <c r="G140" s="31">
        <f>_xlfn.XLOOKUP(B140, Rate_Master!$A:$A, Rate_Master!$C:$C, "")</f>
        <v>18710500</v>
      </c>
      <c r="H140" s="31">
        <f>_xlfn.XLOOKUP(B140, Rate_Master!$A:$A, Rate_Master!$D:$D, "")</f>
        <v>7276049.9999999991</v>
      </c>
      <c r="I140" s="32">
        <f>+G140+H140</f>
        <v>25986550</v>
      </c>
      <c r="J140" s="32">
        <f>I140*E140</f>
        <v>51973100</v>
      </c>
      <c r="K140" s="58">
        <f>I140*F140</f>
        <v>51973100</v>
      </c>
      <c r="L140" s="71" t="s">
        <v>559</v>
      </c>
    </row>
    <row r="141" spans="1:12" s="3" customFormat="1" ht="25.5" customHeight="1">
      <c r="A141" s="22" t="str">
        <f>$A$103&amp;5</f>
        <v>12A.F5</v>
      </c>
      <c r="B141" s="23" t="s">
        <v>143</v>
      </c>
      <c r="C141" s="23" t="s">
        <v>515</v>
      </c>
      <c r="D141" s="22"/>
      <c r="E141" s="25"/>
      <c r="F141" s="25"/>
      <c r="G141" s="25">
        <f>_xlfn.XLOOKUP(B141, Rate_Master!$A:$A, Rate_Master!$C:$C, "")</f>
        <v>0</v>
      </c>
      <c r="H141" s="25">
        <f>_xlfn.XLOOKUP(B141, Rate_Master!$A:$A, Rate_Master!$D:$D, "")</f>
        <v>0</v>
      </c>
      <c r="I141" s="26">
        <v>0</v>
      </c>
      <c r="J141" s="26">
        <f>SUBTOTAL(9,J142:J144)</f>
        <v>0</v>
      </c>
      <c r="K141" s="89">
        <f>SUBTOTAL(9,K142:K144)</f>
        <v>0</v>
      </c>
      <c r="L141" s="26"/>
    </row>
    <row r="142" spans="1:12" s="4" customFormat="1" ht="51" customHeight="1" outlineLevel="1">
      <c r="A142" s="37" t="str">
        <f>$A$141&amp;"."&amp;ROW()-ROW($A$141)</f>
        <v>12A.F5.1</v>
      </c>
      <c r="B142" s="43" t="s">
        <v>144</v>
      </c>
      <c r="C142" s="38" t="s">
        <v>515</v>
      </c>
      <c r="D142" s="39" t="s">
        <v>517</v>
      </c>
      <c r="E142" s="40">
        <v>0</v>
      </c>
      <c r="F142" s="40">
        <v>0</v>
      </c>
      <c r="G142" s="40">
        <f>_xlfn.XLOOKUP(B142, Rate_Master!$A:$A, Rate_Master!$C:$C, "")</f>
        <v>161000</v>
      </c>
      <c r="H142" s="40">
        <f>_xlfn.XLOOKUP(B142, Rate_Master!$A:$A, Rate_Master!$D:$D, "")</f>
        <v>34500</v>
      </c>
      <c r="I142" s="41">
        <v>0</v>
      </c>
      <c r="J142" s="41">
        <f>I142*E142</f>
        <v>0</v>
      </c>
      <c r="K142" s="92">
        <f>I142*F142</f>
        <v>0</v>
      </c>
      <c r="L142" s="41"/>
    </row>
    <row r="143" spans="1:12" s="4" customFormat="1" ht="38.25" customHeight="1" outlineLevel="1">
      <c r="A143" s="37" t="str">
        <f>$A$141&amp;"."&amp;ROW()-ROW($A$141)</f>
        <v>12A.F5.2</v>
      </c>
      <c r="B143" s="43" t="s">
        <v>145</v>
      </c>
      <c r="C143" s="38" t="s">
        <v>515</v>
      </c>
      <c r="D143" s="39" t="s">
        <v>517</v>
      </c>
      <c r="E143" s="40">
        <v>0</v>
      </c>
      <c r="F143" s="40">
        <v>0</v>
      </c>
      <c r="G143" s="40">
        <f>_xlfn.XLOOKUP(B143, Rate_Master!$A:$A, Rate_Master!$C:$C, "")</f>
        <v>517499.99999999994</v>
      </c>
      <c r="H143" s="40">
        <f>_xlfn.XLOOKUP(B143, Rate_Master!$A:$A, Rate_Master!$D:$D, "")</f>
        <v>57499.999999999993</v>
      </c>
      <c r="I143" s="41">
        <v>0</v>
      </c>
      <c r="J143" s="41">
        <f>I143*E143</f>
        <v>0</v>
      </c>
      <c r="K143" s="92">
        <f>I143*F143</f>
        <v>0</v>
      </c>
      <c r="L143" s="41"/>
    </row>
    <row r="144" spans="1:12" s="4" customFormat="1" ht="38.25" customHeight="1" outlineLevel="1">
      <c r="A144" s="37" t="str">
        <f>$A$141&amp;"."&amp;ROW()-ROW($A$141)</f>
        <v>12A.F5.3</v>
      </c>
      <c r="B144" s="43" t="s">
        <v>146</v>
      </c>
      <c r="C144" s="38" t="s">
        <v>515</v>
      </c>
      <c r="D144" s="39" t="s">
        <v>517</v>
      </c>
      <c r="E144" s="40">
        <v>0</v>
      </c>
      <c r="F144" s="40">
        <v>0</v>
      </c>
      <c r="G144" s="40">
        <f>_xlfn.XLOOKUP(B144, Rate_Master!$A:$A, Rate_Master!$C:$C, "")</f>
        <v>632500</v>
      </c>
      <c r="H144" s="40">
        <f>_xlfn.XLOOKUP(B144, Rate_Master!$A:$A, Rate_Master!$D:$D, "")</f>
        <v>57499.999999999993</v>
      </c>
      <c r="I144" s="41">
        <v>0</v>
      </c>
      <c r="J144" s="41">
        <f>I144*E144</f>
        <v>0</v>
      </c>
      <c r="K144" s="92">
        <f>I144*F144</f>
        <v>0</v>
      </c>
      <c r="L144" s="41"/>
    </row>
    <row r="145" spans="1:12" s="3" customFormat="1" ht="25.5" customHeight="1">
      <c r="A145" s="22" t="str">
        <f>$A$103&amp;6</f>
        <v>12A.F6</v>
      </c>
      <c r="B145" s="23" t="s">
        <v>147</v>
      </c>
      <c r="C145" s="23" t="s">
        <v>515</v>
      </c>
      <c r="D145" s="22"/>
      <c r="E145" s="25"/>
      <c r="F145" s="25"/>
      <c r="G145" s="25">
        <f>_xlfn.XLOOKUP(B145, Rate_Master!$A:$A, Rate_Master!$C:$C, "")</f>
        <v>0</v>
      </c>
      <c r="H145" s="25">
        <f>_xlfn.XLOOKUP(B145, Rate_Master!$A:$A, Rate_Master!$D:$D, "")</f>
        <v>0</v>
      </c>
      <c r="I145" s="26">
        <v>0</v>
      </c>
      <c r="J145" s="26">
        <f>SUBTOTAL(9,J146:J150)</f>
        <v>1088497080</v>
      </c>
      <c r="K145" s="89">
        <f>SUBTOTAL(9,K146:K150)</f>
        <v>1088497080</v>
      </c>
      <c r="L145" s="26"/>
    </row>
    <row r="146" spans="1:12" s="4" customFormat="1" ht="51" customHeight="1" outlineLevel="1">
      <c r="A146" s="27" t="str">
        <f>$A$145&amp;"."&amp;ROW()-ROW($A$145)</f>
        <v>12A.F6.1</v>
      </c>
      <c r="B146" s="34" t="s">
        <v>148</v>
      </c>
      <c r="C146" s="34" t="s">
        <v>515</v>
      </c>
      <c r="D146" s="29" t="s">
        <v>520</v>
      </c>
      <c r="E146" s="31">
        <v>0</v>
      </c>
      <c r="F146" s="31">
        <v>0</v>
      </c>
      <c r="G146" s="31">
        <f>_xlfn.XLOOKUP(B146, Rate_Master!$A:$A, Rate_Master!$C:$C, "")</f>
        <v>155000</v>
      </c>
      <c r="H146" s="31">
        <f>_xlfn.XLOOKUP(B146, Rate_Master!$A:$A, Rate_Master!$D:$D, "")</f>
        <v>45000</v>
      </c>
      <c r="I146" s="32">
        <v>0</v>
      </c>
      <c r="J146" s="32">
        <f>I146*E146</f>
        <v>0</v>
      </c>
      <c r="K146" s="58">
        <f>I146*F146</f>
        <v>0</v>
      </c>
      <c r="L146" s="32"/>
    </row>
    <row r="147" spans="1:12" s="4" customFormat="1" ht="25.5" customHeight="1" outlineLevel="1">
      <c r="A147" s="27" t="str">
        <f>$A$145&amp;"."&amp;ROW()-ROW($A$145)</f>
        <v>12A.F6.2</v>
      </c>
      <c r="B147" s="34" t="s">
        <v>149</v>
      </c>
      <c r="C147" s="34" t="s">
        <v>515</v>
      </c>
      <c r="D147" s="29" t="s">
        <v>520</v>
      </c>
      <c r="E147" s="31">
        <v>1279.08</v>
      </c>
      <c r="F147" s="31">
        <v>1279.08</v>
      </c>
      <c r="G147" s="31">
        <f>_xlfn.XLOOKUP(B147, Rate_Master!$A:$A, Rate_Master!$C:$C, "")</f>
        <v>310500</v>
      </c>
      <c r="H147" s="31">
        <f>_xlfn.XLOOKUP(B147, Rate_Master!$A:$A, Rate_Master!$D:$D, "")</f>
        <v>34500</v>
      </c>
      <c r="I147" s="32">
        <f>+H147+G147</f>
        <v>345000</v>
      </c>
      <c r="J147" s="32">
        <f>I147*E147</f>
        <v>441282600</v>
      </c>
      <c r="K147" s="58">
        <f>I147*F147</f>
        <v>441282600</v>
      </c>
      <c r="L147" s="32"/>
    </row>
    <row r="148" spans="1:12" s="4" customFormat="1" ht="51" customHeight="1" outlineLevel="1">
      <c r="A148" s="27" t="str">
        <f>$A$145&amp;"."&amp;ROW()-ROW($A$145)</f>
        <v>12A.F6.3</v>
      </c>
      <c r="B148" s="34" t="s">
        <v>150</v>
      </c>
      <c r="C148" s="34" t="s">
        <v>515</v>
      </c>
      <c r="D148" s="29" t="s">
        <v>520</v>
      </c>
      <c r="E148" s="31">
        <v>1279.08</v>
      </c>
      <c r="F148" s="31">
        <v>1279.08</v>
      </c>
      <c r="G148" s="31">
        <f>_xlfn.XLOOKUP(B148, Rate_Master!$A:$A, Rate_Master!$C:$C, "")</f>
        <v>287500</v>
      </c>
      <c r="H148" s="31">
        <f>_xlfn.XLOOKUP(B148, Rate_Master!$A:$A, Rate_Master!$D:$D, "")</f>
        <v>69000</v>
      </c>
      <c r="I148" s="32">
        <f>+H148+G148</f>
        <v>356500</v>
      </c>
      <c r="J148" s="32">
        <f>I148*E148</f>
        <v>455992020</v>
      </c>
      <c r="K148" s="58">
        <f>I148*F148</f>
        <v>455992020</v>
      </c>
      <c r="L148" s="32"/>
    </row>
    <row r="149" spans="1:12" s="4" customFormat="1" ht="51" customHeight="1" outlineLevel="1">
      <c r="A149" s="27" t="str">
        <f>$A$145&amp;"."&amp;ROW()-ROW($A$145)</f>
        <v>12A.F6.4</v>
      </c>
      <c r="B149" s="34" t="s">
        <v>151</v>
      </c>
      <c r="C149" s="34" t="s">
        <v>515</v>
      </c>
      <c r="D149" s="29" t="s">
        <v>520</v>
      </c>
      <c r="E149" s="31">
        <v>1279.08</v>
      </c>
      <c r="F149" s="31">
        <v>1279.08</v>
      </c>
      <c r="G149" s="31">
        <f>_xlfn.XLOOKUP(B149, Rate_Master!$A:$A, Rate_Master!$C:$C, "")</f>
        <v>23000</v>
      </c>
      <c r="H149" s="31">
        <f>_xlfn.XLOOKUP(B149, Rate_Master!$A:$A, Rate_Master!$D:$D, "")</f>
        <v>126499.99999999999</v>
      </c>
      <c r="I149" s="32">
        <f>+H149+G149</f>
        <v>149500</v>
      </c>
      <c r="J149" s="32">
        <f>I149*E149</f>
        <v>191222460</v>
      </c>
      <c r="K149" s="58">
        <f>I149*F149</f>
        <v>191222460</v>
      </c>
      <c r="L149" s="32"/>
    </row>
    <row r="150" spans="1:12" s="4" customFormat="1" ht="63.75" customHeight="1" outlineLevel="1">
      <c r="A150" s="27" t="str">
        <f>$A$145&amp;"."&amp;ROW()-ROW($A$145)</f>
        <v>12A.F6.5</v>
      </c>
      <c r="B150" s="34" t="s">
        <v>152</v>
      </c>
      <c r="C150" s="34" t="s">
        <v>560</v>
      </c>
      <c r="D150" s="29" t="s">
        <v>517</v>
      </c>
      <c r="E150" s="31">
        <v>0</v>
      </c>
      <c r="F150" s="31">
        <v>0</v>
      </c>
      <c r="G150" s="31">
        <f>_xlfn.XLOOKUP(B150, Rate_Master!$A:$A, Rate_Master!$C:$C, "")</f>
        <v>155250</v>
      </c>
      <c r="H150" s="31">
        <f>_xlfn.XLOOKUP(B150, Rate_Master!$A:$A, Rate_Master!$D:$D, "")</f>
        <v>57499.999999999993</v>
      </c>
      <c r="I150" s="32">
        <v>0</v>
      </c>
      <c r="J150" s="32">
        <f>I150*E150</f>
        <v>0</v>
      </c>
      <c r="K150" s="58">
        <f>I150*F150</f>
        <v>0</v>
      </c>
      <c r="L150" s="32"/>
    </row>
    <row r="151" spans="1:12" s="3" customFormat="1" ht="25.5" customHeight="1">
      <c r="A151" s="22" t="str">
        <f>$A$103&amp;7</f>
        <v>12A.F7</v>
      </c>
      <c r="B151" s="23" t="s">
        <v>84</v>
      </c>
      <c r="C151" s="23" t="s">
        <v>515</v>
      </c>
      <c r="D151" s="22"/>
      <c r="E151" s="25"/>
      <c r="F151" s="25"/>
      <c r="G151" s="25">
        <f>_xlfn.XLOOKUP(B151, Rate_Master!$A:$A, Rate_Master!$C:$C, "")</f>
        <v>0</v>
      </c>
      <c r="H151" s="25">
        <f>_xlfn.XLOOKUP(B151, Rate_Master!$A:$A, Rate_Master!$D:$D, "")</f>
        <v>0</v>
      </c>
      <c r="I151" s="26">
        <v>0</v>
      </c>
      <c r="J151" s="26">
        <f>SUBTOTAL(9,J152:J163)</f>
        <v>0</v>
      </c>
      <c r="K151" s="89">
        <f>SUBTOTAL(9,K152:K163)</f>
        <v>0</v>
      </c>
      <c r="L151" s="26"/>
    </row>
    <row r="152" spans="1:12" s="4" customFormat="1" ht="38.25" customHeight="1" outlineLevel="1">
      <c r="A152" s="37" t="str">
        <f t="shared" ref="A152:A163" si="29">$A$151&amp;"."&amp;ROW()-ROW($A$151)</f>
        <v>12A.F7.1</v>
      </c>
      <c r="B152" s="44" t="s">
        <v>153</v>
      </c>
      <c r="C152" s="43" t="s">
        <v>561</v>
      </c>
      <c r="D152" s="39" t="s">
        <v>517</v>
      </c>
      <c r="E152" s="40">
        <v>0</v>
      </c>
      <c r="F152" s="40">
        <v>0</v>
      </c>
      <c r="G152" s="40">
        <f>_xlfn.XLOOKUP(B152, Rate_Master!$A:$A, Rate_Master!$C:$C, "")</f>
        <v>4024999.9999999995</v>
      </c>
      <c r="H152" s="40">
        <f>_xlfn.XLOOKUP(B152, Rate_Master!$A:$A, Rate_Master!$D:$D, "")</f>
        <v>1380000</v>
      </c>
      <c r="I152" s="41">
        <v>0</v>
      </c>
      <c r="J152" s="41">
        <f t="shared" ref="J152:J163" si="30">I152*E152</f>
        <v>0</v>
      </c>
      <c r="K152" s="92">
        <f t="shared" ref="K152:K163" si="31">I152*F152</f>
        <v>0</v>
      </c>
      <c r="L152" s="41"/>
    </row>
    <row r="153" spans="1:12" s="4" customFormat="1" ht="38.25" customHeight="1" outlineLevel="1">
      <c r="A153" s="37" t="str">
        <f t="shared" si="29"/>
        <v>12A.F7.2</v>
      </c>
      <c r="B153" s="44" t="s">
        <v>167</v>
      </c>
      <c r="C153" s="43"/>
      <c r="D153" s="39" t="s">
        <v>517</v>
      </c>
      <c r="E153" s="40">
        <v>0</v>
      </c>
      <c r="F153" s="40">
        <v>0</v>
      </c>
      <c r="G153" s="40">
        <f>_xlfn.XLOOKUP(B153, Rate_Master!$A:$A, Rate_Master!$C:$C, "")</f>
        <v>0</v>
      </c>
      <c r="H153" s="40">
        <f>_xlfn.XLOOKUP(B153, Rate_Master!$A:$A, Rate_Master!$D:$D, "")</f>
        <v>0</v>
      </c>
      <c r="I153" s="41">
        <v>0</v>
      </c>
      <c r="J153" s="41">
        <f t="shared" si="30"/>
        <v>0</v>
      </c>
      <c r="K153" s="92">
        <f t="shared" si="31"/>
        <v>0</v>
      </c>
      <c r="L153" s="41"/>
    </row>
    <row r="154" spans="1:12" s="4" customFormat="1" ht="38.25" customHeight="1" outlineLevel="1">
      <c r="A154" s="37" t="str">
        <f t="shared" si="29"/>
        <v>12A.F7.3</v>
      </c>
      <c r="B154" s="44" t="s">
        <v>154</v>
      </c>
      <c r="C154" s="38" t="s">
        <v>515</v>
      </c>
      <c r="D154" s="45" t="s">
        <v>517</v>
      </c>
      <c r="E154" s="40">
        <v>0</v>
      </c>
      <c r="F154" s="40">
        <v>0</v>
      </c>
      <c r="G154" s="40">
        <f>_xlfn.XLOOKUP(B154, Rate_Master!$A:$A, Rate_Master!$C:$C, "")</f>
        <v>359375</v>
      </c>
      <c r="H154" s="40">
        <f>_xlfn.XLOOKUP(B154, Rate_Master!$A:$A, Rate_Master!$D:$D, "")</f>
        <v>71875</v>
      </c>
      <c r="I154" s="41">
        <v>0</v>
      </c>
      <c r="J154" s="41">
        <f t="shared" si="30"/>
        <v>0</v>
      </c>
      <c r="K154" s="92">
        <f t="shared" si="31"/>
        <v>0</v>
      </c>
      <c r="L154" s="41"/>
    </row>
    <row r="155" spans="1:12" s="4" customFormat="1" ht="25.5" customHeight="1" outlineLevel="1">
      <c r="A155" s="37" t="str">
        <f t="shared" si="29"/>
        <v>12A.F7.4</v>
      </c>
      <c r="B155" s="46" t="s">
        <v>155</v>
      </c>
      <c r="C155" s="38" t="s">
        <v>515</v>
      </c>
      <c r="D155" s="45" t="s">
        <v>517</v>
      </c>
      <c r="E155" s="40">
        <v>0</v>
      </c>
      <c r="F155" s="40">
        <v>0</v>
      </c>
      <c r="G155" s="40">
        <f>_xlfn.XLOOKUP(B155, Rate_Master!$A:$A, Rate_Master!$C:$C, "")</f>
        <v>1954999.9999999998</v>
      </c>
      <c r="H155" s="40">
        <f>_xlfn.XLOOKUP(B155, Rate_Master!$A:$A, Rate_Master!$D:$D, "")</f>
        <v>114999.99999999999</v>
      </c>
      <c r="I155" s="41">
        <v>0</v>
      </c>
      <c r="J155" s="41">
        <f t="shared" si="30"/>
        <v>0</v>
      </c>
      <c r="K155" s="92">
        <f t="shared" si="31"/>
        <v>0</v>
      </c>
      <c r="L155" s="41"/>
    </row>
    <row r="156" spans="1:12" s="4" customFormat="1" ht="51" customHeight="1" outlineLevel="1">
      <c r="A156" s="37" t="str">
        <f t="shared" si="29"/>
        <v>12A.F7.5</v>
      </c>
      <c r="B156" s="46" t="s">
        <v>168</v>
      </c>
      <c r="C156" s="38"/>
      <c r="D156" s="45" t="s">
        <v>517</v>
      </c>
      <c r="E156" s="40">
        <v>0</v>
      </c>
      <c r="F156" s="40">
        <v>0</v>
      </c>
      <c r="G156" s="40">
        <f>_xlfn.XLOOKUP(B156, Rate_Master!$A:$A, Rate_Master!$C:$C, "")</f>
        <v>0</v>
      </c>
      <c r="H156" s="40">
        <f>_xlfn.XLOOKUP(B156, Rate_Master!$A:$A, Rate_Master!$D:$D, "")</f>
        <v>0</v>
      </c>
      <c r="I156" s="41">
        <v>0</v>
      </c>
      <c r="J156" s="41">
        <f t="shared" si="30"/>
        <v>0</v>
      </c>
      <c r="K156" s="92">
        <f t="shared" si="31"/>
        <v>0</v>
      </c>
      <c r="L156" s="41"/>
    </row>
    <row r="157" spans="1:12" s="4" customFormat="1" ht="51" customHeight="1" outlineLevel="1">
      <c r="A157" s="37" t="str">
        <f t="shared" si="29"/>
        <v>12A.F7.6</v>
      </c>
      <c r="B157" s="44" t="s">
        <v>156</v>
      </c>
      <c r="C157" s="38" t="s">
        <v>515</v>
      </c>
      <c r="D157" s="47" t="s">
        <v>518</v>
      </c>
      <c r="E157" s="40">
        <v>0</v>
      </c>
      <c r="F157" s="40">
        <v>0</v>
      </c>
      <c r="G157" s="40">
        <f>_xlfn.XLOOKUP(B157, Rate_Master!$A:$A, Rate_Master!$C:$C, "")</f>
        <v>1724999.9999999998</v>
      </c>
      <c r="H157" s="40">
        <f>_xlfn.XLOOKUP(B157, Rate_Master!$A:$A, Rate_Master!$D:$D, "")</f>
        <v>287500</v>
      </c>
      <c r="I157" s="41">
        <v>0</v>
      </c>
      <c r="J157" s="41">
        <f t="shared" si="30"/>
        <v>0</v>
      </c>
      <c r="K157" s="92">
        <f t="shared" si="31"/>
        <v>0</v>
      </c>
      <c r="L157" s="41"/>
    </row>
    <row r="158" spans="1:12" s="4" customFormat="1" ht="25.5" customHeight="1" outlineLevel="1">
      <c r="A158" s="37" t="str">
        <f t="shared" si="29"/>
        <v>12A.F7.7</v>
      </c>
      <c r="B158" s="44" t="s">
        <v>157</v>
      </c>
      <c r="C158" s="38" t="s">
        <v>515</v>
      </c>
      <c r="D158" s="39" t="s">
        <v>517</v>
      </c>
      <c r="E158" s="40">
        <v>0</v>
      </c>
      <c r="F158" s="40">
        <v>0</v>
      </c>
      <c r="G158" s="40">
        <f>_xlfn.XLOOKUP(B158, Rate_Master!$A:$A, Rate_Master!$C:$C, "")</f>
        <v>632500</v>
      </c>
      <c r="H158" s="40">
        <f>_xlfn.XLOOKUP(B158, Rate_Master!$A:$A, Rate_Master!$D:$D, "")</f>
        <v>57499.999999999993</v>
      </c>
      <c r="I158" s="41">
        <v>0</v>
      </c>
      <c r="J158" s="41">
        <f t="shared" si="30"/>
        <v>0</v>
      </c>
      <c r="K158" s="92">
        <f t="shared" si="31"/>
        <v>0</v>
      </c>
      <c r="L158" s="41"/>
    </row>
    <row r="159" spans="1:12" s="4" customFormat="1" ht="25.5" customHeight="1" outlineLevel="1">
      <c r="A159" s="37" t="str">
        <f t="shared" si="29"/>
        <v>12A.F7.8</v>
      </c>
      <c r="B159" s="43" t="s">
        <v>158</v>
      </c>
      <c r="C159" s="38" t="s">
        <v>562</v>
      </c>
      <c r="D159" s="39" t="s">
        <v>516</v>
      </c>
      <c r="E159" s="40">
        <v>0</v>
      </c>
      <c r="F159" s="40">
        <v>0</v>
      </c>
      <c r="G159" s="40">
        <f>_xlfn.XLOOKUP(B159, Rate_Master!$A:$A, Rate_Master!$C:$C, "")</f>
        <v>68400000</v>
      </c>
      <c r="H159" s="40">
        <f>_xlfn.XLOOKUP(B159, Rate_Master!$A:$A, Rate_Master!$D:$D, "")</f>
        <v>26600000</v>
      </c>
      <c r="I159" s="41">
        <v>0</v>
      </c>
      <c r="J159" s="41">
        <f t="shared" si="30"/>
        <v>0</v>
      </c>
      <c r="K159" s="92">
        <f t="shared" si="31"/>
        <v>0</v>
      </c>
      <c r="L159" s="41"/>
    </row>
    <row r="160" spans="1:12" s="4" customFormat="1" ht="25.5" customHeight="1" outlineLevel="1">
      <c r="A160" s="37" t="str">
        <f t="shared" si="29"/>
        <v>12A.F7.9</v>
      </c>
      <c r="B160" s="43" t="s">
        <v>159</v>
      </c>
      <c r="C160" s="38" t="s">
        <v>515</v>
      </c>
      <c r="D160" s="39" t="s">
        <v>516</v>
      </c>
      <c r="E160" s="40">
        <v>0</v>
      </c>
      <c r="F160" s="40">
        <v>0</v>
      </c>
      <c r="G160" s="40">
        <f>_xlfn.XLOOKUP(B160, Rate_Master!$A:$A, Rate_Master!$C:$C, "")</f>
        <v>25200000</v>
      </c>
      <c r="H160" s="40">
        <f>_xlfn.XLOOKUP(B160, Rate_Master!$A:$A, Rate_Master!$D:$D, "")</f>
        <v>9800000.0000000019</v>
      </c>
      <c r="I160" s="41">
        <v>0</v>
      </c>
      <c r="J160" s="41">
        <f t="shared" si="30"/>
        <v>0</v>
      </c>
      <c r="K160" s="92">
        <f t="shared" si="31"/>
        <v>0</v>
      </c>
      <c r="L160" s="41"/>
    </row>
    <row r="161" spans="1:12" s="4" customFormat="1" ht="25.5" customHeight="1" outlineLevel="1">
      <c r="A161" s="37" t="str">
        <f t="shared" si="29"/>
        <v>12A.F7.10</v>
      </c>
      <c r="B161" s="43" t="s">
        <v>160</v>
      </c>
      <c r="C161" s="38" t="s">
        <v>515</v>
      </c>
      <c r="D161" s="39" t="s">
        <v>518</v>
      </c>
      <c r="E161" s="40">
        <v>0</v>
      </c>
      <c r="F161" s="40">
        <v>0</v>
      </c>
      <c r="G161" s="40">
        <f>_xlfn.XLOOKUP(B161, Rate_Master!$A:$A, Rate_Master!$C:$C, "")</f>
        <v>1440000</v>
      </c>
      <c r="H161" s="40">
        <f>_xlfn.XLOOKUP(B161, Rate_Master!$A:$A, Rate_Master!$D:$D, "")</f>
        <v>560000</v>
      </c>
      <c r="I161" s="41">
        <v>0</v>
      </c>
      <c r="J161" s="41">
        <f t="shared" si="30"/>
        <v>0</v>
      </c>
      <c r="K161" s="92">
        <f t="shared" si="31"/>
        <v>0</v>
      </c>
      <c r="L161" s="41"/>
    </row>
    <row r="162" spans="1:12" s="4" customFormat="1" ht="25.5" customHeight="1" outlineLevel="1">
      <c r="A162" s="37" t="str">
        <f t="shared" si="29"/>
        <v>12A.F7.11</v>
      </c>
      <c r="B162" s="44" t="s">
        <v>161</v>
      </c>
      <c r="C162" s="38" t="s">
        <v>515</v>
      </c>
      <c r="D162" s="39" t="s">
        <v>517</v>
      </c>
      <c r="E162" s="40">
        <v>0</v>
      </c>
      <c r="F162" s="40">
        <v>0</v>
      </c>
      <c r="G162" s="40">
        <f>_xlfn.XLOOKUP(B162, Rate_Master!$A:$A, Rate_Master!$C:$C, "")</f>
        <v>149500</v>
      </c>
      <c r="H162" s="40">
        <f>_xlfn.XLOOKUP(B162, Rate_Master!$A:$A, Rate_Master!$D:$D, "")</f>
        <v>34500</v>
      </c>
      <c r="I162" s="41">
        <v>0</v>
      </c>
      <c r="J162" s="41">
        <f t="shared" si="30"/>
        <v>0</v>
      </c>
      <c r="K162" s="92">
        <f t="shared" si="31"/>
        <v>0</v>
      </c>
      <c r="L162" s="41"/>
    </row>
    <row r="163" spans="1:12" s="4" customFormat="1" ht="38.25" customHeight="1" outlineLevel="1">
      <c r="A163" s="37" t="str">
        <f t="shared" si="29"/>
        <v>12A.F7.12</v>
      </c>
      <c r="B163" s="43" t="s">
        <v>162</v>
      </c>
      <c r="C163" s="38" t="s">
        <v>515</v>
      </c>
      <c r="D163" s="39" t="s">
        <v>517</v>
      </c>
      <c r="E163" s="40">
        <v>0</v>
      </c>
      <c r="F163" s="40">
        <v>0</v>
      </c>
      <c r="G163" s="40">
        <f>_xlfn.XLOOKUP(B163, Rate_Master!$A:$A, Rate_Master!$C:$C, "")</f>
        <v>252000</v>
      </c>
      <c r="H163" s="40">
        <f>_xlfn.XLOOKUP(B163, Rate_Master!$A:$A, Rate_Master!$D:$D, "")</f>
        <v>98000</v>
      </c>
      <c r="I163" s="41">
        <v>0</v>
      </c>
      <c r="J163" s="41">
        <f t="shared" si="30"/>
        <v>0</v>
      </c>
      <c r="K163" s="92">
        <f t="shared" si="31"/>
        <v>0</v>
      </c>
      <c r="L163" s="41"/>
    </row>
    <row r="164" spans="1:12">
      <c r="F164" s="8"/>
    </row>
  </sheetData>
  <mergeCells count="5">
    <mergeCell ref="C5:L5"/>
    <mergeCell ref="C4:L4"/>
    <mergeCell ref="C3:L3"/>
    <mergeCell ref="C7:L7"/>
    <mergeCell ref="C6:L6"/>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pageSetUpPr fitToPage="1"/>
  </sheetPr>
  <dimension ref="A1:P186"/>
  <sheetViews>
    <sheetView topLeftCell="A8" zoomScale="85" zoomScaleNormal="85" workbookViewId="0">
      <pane ySplit="1" topLeftCell="A75" activePane="bottomLeft" state="frozen"/>
      <selection activeCell="A8" sqref="A8"/>
      <selection pane="bottomLeft" activeCell="C82" sqref="C82"/>
    </sheetView>
  </sheetViews>
  <sheetFormatPr defaultColWidth="9" defaultRowHeight="12.75" outlineLevelRow="1" outlineLevelCol="1"/>
  <cols>
    <col min="1" max="1" width="8.25" style="2" customWidth="1"/>
    <col min="2" max="2" width="40.25" style="5" customWidth="1"/>
    <col min="3" max="3" width="33.625" style="5" customWidth="1"/>
    <col min="4" max="4" width="8.125" style="6" customWidth="1"/>
    <col min="5" max="5" width="14" style="8" customWidth="1"/>
    <col min="6" max="6" width="9" style="85" bestFit="1" customWidth="1"/>
    <col min="7" max="8" width="14" style="8" customWidth="1" outlineLevel="1"/>
    <col min="9" max="10" width="14" style="9" customWidth="1"/>
    <col min="11" max="11" width="13.375" style="9" bestFit="1" customWidth="1"/>
    <col min="12" max="12" width="14" style="9" customWidth="1"/>
    <col min="13" max="13" width="12.625" style="6" bestFit="1" customWidth="1"/>
    <col min="14" max="231" width="9.125" style="6" customWidth="1"/>
    <col min="232" max="232" width="6.375" style="6" customWidth="1"/>
    <col min="233" max="233" width="34.25" style="6" customWidth="1"/>
    <col min="234" max="234" width="7.375" style="6" customWidth="1"/>
    <col min="235" max="235" width="6.375" style="6" customWidth="1"/>
    <col min="236" max="236" width="13.125" style="6" customWidth="1"/>
    <col min="237" max="237" width="15.375" style="6" customWidth="1"/>
    <col min="238" max="238" width="21.25" style="6" customWidth="1"/>
    <col min="239" max="487" width="9.125" style="6" customWidth="1"/>
    <col min="488" max="488" width="6.375" style="6" customWidth="1"/>
    <col min="489" max="489" width="34.25" style="6" customWidth="1"/>
    <col min="490" max="490" width="7.375" style="6" customWidth="1"/>
    <col min="491" max="491" width="6.375" style="6" customWidth="1"/>
    <col min="492" max="492" width="13.125" style="6" customWidth="1"/>
    <col min="493" max="493" width="15.375" style="6" customWidth="1"/>
    <col min="494" max="494" width="21.25" style="6" customWidth="1"/>
    <col min="495" max="743" width="9.125" style="6" customWidth="1"/>
    <col min="744" max="744" width="6.375" style="6" customWidth="1"/>
    <col min="745" max="745" width="34.25" style="6" customWidth="1"/>
    <col min="746" max="746" width="7.375" style="6" customWidth="1"/>
    <col min="747" max="747" width="6.375" style="6" customWidth="1"/>
    <col min="748" max="748" width="13.125" style="6" customWidth="1"/>
    <col min="749" max="749" width="15.375" style="6" customWidth="1"/>
    <col min="750" max="750" width="21.25" style="6" customWidth="1"/>
    <col min="751" max="999" width="9.125" style="6" customWidth="1"/>
    <col min="1000" max="1000" width="6.375" style="6" customWidth="1"/>
    <col min="1001" max="1001" width="34.25" style="6" customWidth="1"/>
    <col min="1002" max="1002" width="7.375" style="6" customWidth="1"/>
    <col min="1003" max="1003" width="6.375" style="6" customWidth="1"/>
    <col min="1004" max="1004" width="13.125" style="6" customWidth="1"/>
    <col min="1005" max="1005" width="15.375" style="6" customWidth="1"/>
    <col min="1006" max="1006" width="21.25" style="6" customWidth="1"/>
    <col min="1007" max="1255" width="9.125" style="6" customWidth="1"/>
    <col min="1256" max="1256" width="6.375" style="6" customWidth="1"/>
    <col min="1257" max="1257" width="34.25" style="6" customWidth="1"/>
    <col min="1258" max="1258" width="7.375" style="6" customWidth="1"/>
    <col min="1259" max="1259" width="6.375" style="6" customWidth="1"/>
    <col min="1260" max="1260" width="13.125" style="6" customWidth="1"/>
    <col min="1261" max="1261" width="15.375" style="6" customWidth="1"/>
    <col min="1262" max="1262" width="21.25" style="6" customWidth="1"/>
    <col min="1263" max="1511" width="9.125" style="6" customWidth="1"/>
    <col min="1512" max="1512" width="6.375" style="6" customWidth="1"/>
    <col min="1513" max="1513" width="34.25" style="6" customWidth="1"/>
    <col min="1514" max="1514" width="7.375" style="6" customWidth="1"/>
    <col min="1515" max="1515" width="6.375" style="6" customWidth="1"/>
    <col min="1516" max="1516" width="13.125" style="6" customWidth="1"/>
    <col min="1517" max="1517" width="15.375" style="6" customWidth="1"/>
    <col min="1518" max="1518" width="21.25" style="6" customWidth="1"/>
    <col min="1519" max="1767" width="9.125" style="6" customWidth="1"/>
    <col min="1768" max="1768" width="6.375" style="6" customWidth="1"/>
    <col min="1769" max="1769" width="34.25" style="6" customWidth="1"/>
    <col min="1770" max="1770" width="7.375" style="6" customWidth="1"/>
    <col min="1771" max="1771" width="6.375" style="6" customWidth="1"/>
    <col min="1772" max="1772" width="13.125" style="6" customWidth="1"/>
    <col min="1773" max="1773" width="15.375" style="6" customWidth="1"/>
    <col min="1774" max="1774" width="21.25" style="6" customWidth="1"/>
    <col min="1775" max="2023" width="9.125" style="6" customWidth="1"/>
    <col min="2024" max="2024" width="6.375" style="6" customWidth="1"/>
    <col min="2025" max="2025" width="34.25" style="6" customWidth="1"/>
    <col min="2026" max="2026" width="7.375" style="6" customWidth="1"/>
    <col min="2027" max="2027" width="6.375" style="6" customWidth="1"/>
    <col min="2028" max="2028" width="13.125" style="6" customWidth="1"/>
    <col min="2029" max="2029" width="15.375" style="6" customWidth="1"/>
    <col min="2030" max="2030" width="21.25" style="6" customWidth="1"/>
    <col min="2031" max="2279" width="9.125" style="6" customWidth="1"/>
    <col min="2280" max="2280" width="6.375" style="6" customWidth="1"/>
    <col min="2281" max="2281" width="34.25" style="6" customWidth="1"/>
    <col min="2282" max="2282" width="7.375" style="6" customWidth="1"/>
    <col min="2283" max="2283" width="6.375" style="6" customWidth="1"/>
    <col min="2284" max="2284" width="13.125" style="6" customWidth="1"/>
    <col min="2285" max="2285" width="15.375" style="6" customWidth="1"/>
    <col min="2286" max="2286" width="21.25" style="6" customWidth="1"/>
    <col min="2287" max="2535" width="9.125" style="6" customWidth="1"/>
    <col min="2536" max="2536" width="6.375" style="6" customWidth="1"/>
    <col min="2537" max="2537" width="34.25" style="6" customWidth="1"/>
    <col min="2538" max="2538" width="7.375" style="6" customWidth="1"/>
    <col min="2539" max="2539" width="6.375" style="6" customWidth="1"/>
    <col min="2540" max="2540" width="13.125" style="6" customWidth="1"/>
    <col min="2541" max="2541" width="15.375" style="6" customWidth="1"/>
    <col min="2542" max="2542" width="21.25" style="6" customWidth="1"/>
    <col min="2543" max="2791" width="9.125" style="6" customWidth="1"/>
    <col min="2792" max="2792" width="6.375" style="6" customWidth="1"/>
    <col min="2793" max="2793" width="34.25" style="6" customWidth="1"/>
    <col min="2794" max="2794" width="7.375" style="6" customWidth="1"/>
    <col min="2795" max="2795" width="6.375" style="6" customWidth="1"/>
    <col min="2796" max="2796" width="13.125" style="6" customWidth="1"/>
    <col min="2797" max="2797" width="15.375" style="6" customWidth="1"/>
    <col min="2798" max="2798" width="21.25" style="6" customWidth="1"/>
    <col min="2799" max="3047" width="9.125" style="6" customWidth="1"/>
    <col min="3048" max="3048" width="6.375" style="6" customWidth="1"/>
    <col min="3049" max="3049" width="34.25" style="6" customWidth="1"/>
    <col min="3050" max="3050" width="7.375" style="6" customWidth="1"/>
    <col min="3051" max="3051" width="6.375" style="6" customWidth="1"/>
    <col min="3052" max="3052" width="13.125" style="6" customWidth="1"/>
    <col min="3053" max="3053" width="15.375" style="6" customWidth="1"/>
    <col min="3054" max="3054" width="21.25" style="6" customWidth="1"/>
    <col min="3055" max="3303" width="9.125" style="6" customWidth="1"/>
    <col min="3304" max="3304" width="6.375" style="6" customWidth="1"/>
    <col min="3305" max="3305" width="34.25" style="6" customWidth="1"/>
    <col min="3306" max="3306" width="7.375" style="6" customWidth="1"/>
    <col min="3307" max="3307" width="6.375" style="6" customWidth="1"/>
    <col min="3308" max="3308" width="13.125" style="6" customWidth="1"/>
    <col min="3309" max="3309" width="15.375" style="6" customWidth="1"/>
    <col min="3310" max="3310" width="21.25" style="6" customWidth="1"/>
    <col min="3311" max="3559" width="9.125" style="6" customWidth="1"/>
    <col min="3560" max="3560" width="6.375" style="6" customWidth="1"/>
    <col min="3561" max="3561" width="34.25" style="6" customWidth="1"/>
    <col min="3562" max="3562" width="7.375" style="6" customWidth="1"/>
    <col min="3563" max="3563" width="6.375" style="6" customWidth="1"/>
    <col min="3564" max="3564" width="13.125" style="6" customWidth="1"/>
    <col min="3565" max="3565" width="15.375" style="6" customWidth="1"/>
    <col min="3566" max="3566" width="21.25" style="6" customWidth="1"/>
    <col min="3567" max="3815" width="9.125" style="6" customWidth="1"/>
    <col min="3816" max="3816" width="6.375" style="6" customWidth="1"/>
    <col min="3817" max="3817" width="34.25" style="6" customWidth="1"/>
    <col min="3818" max="3818" width="7.375" style="6" customWidth="1"/>
    <col min="3819" max="3819" width="6.375" style="6" customWidth="1"/>
    <col min="3820" max="3820" width="13.125" style="6" customWidth="1"/>
    <col min="3821" max="3821" width="15.375" style="6" customWidth="1"/>
    <col min="3822" max="3822" width="21.25" style="6" customWidth="1"/>
    <col min="3823" max="4071" width="9.125" style="6" customWidth="1"/>
    <col min="4072" max="4072" width="6.375" style="6" customWidth="1"/>
    <col min="4073" max="4073" width="34.25" style="6" customWidth="1"/>
    <col min="4074" max="4074" width="7.375" style="6" customWidth="1"/>
    <col min="4075" max="4075" width="6.375" style="6" customWidth="1"/>
    <col min="4076" max="4076" width="13.125" style="6" customWidth="1"/>
    <col min="4077" max="4077" width="15.375" style="6" customWidth="1"/>
    <col min="4078" max="4078" width="21.25" style="6" customWidth="1"/>
    <col min="4079" max="4327" width="9.125" style="6" customWidth="1"/>
    <col min="4328" max="4328" width="6.375" style="6" customWidth="1"/>
    <col min="4329" max="4329" width="34.25" style="6" customWidth="1"/>
    <col min="4330" max="4330" width="7.375" style="6" customWidth="1"/>
    <col min="4331" max="4331" width="6.375" style="6" customWidth="1"/>
    <col min="4332" max="4332" width="13.125" style="6" customWidth="1"/>
    <col min="4333" max="4333" width="15.375" style="6" customWidth="1"/>
    <col min="4334" max="4334" width="21.25" style="6" customWidth="1"/>
    <col min="4335" max="4583" width="9.125" style="6" customWidth="1"/>
    <col min="4584" max="4584" width="6.375" style="6" customWidth="1"/>
    <col min="4585" max="4585" width="34.25" style="6" customWidth="1"/>
    <col min="4586" max="4586" width="7.375" style="6" customWidth="1"/>
    <col min="4587" max="4587" width="6.375" style="6" customWidth="1"/>
    <col min="4588" max="4588" width="13.125" style="6" customWidth="1"/>
    <col min="4589" max="4589" width="15.375" style="6" customWidth="1"/>
    <col min="4590" max="4590" width="21.25" style="6" customWidth="1"/>
    <col min="4591" max="4839" width="9.125" style="6" customWidth="1"/>
    <col min="4840" max="4840" width="6.375" style="6" customWidth="1"/>
    <col min="4841" max="4841" width="34.25" style="6" customWidth="1"/>
    <col min="4842" max="4842" width="7.375" style="6" customWidth="1"/>
    <col min="4843" max="4843" width="6.375" style="6" customWidth="1"/>
    <col min="4844" max="4844" width="13.125" style="6" customWidth="1"/>
    <col min="4845" max="4845" width="15.375" style="6" customWidth="1"/>
    <col min="4846" max="4846" width="21.25" style="6" customWidth="1"/>
    <col min="4847" max="5095" width="9.125" style="6" customWidth="1"/>
    <col min="5096" max="5096" width="6.375" style="6" customWidth="1"/>
    <col min="5097" max="5097" width="34.25" style="6" customWidth="1"/>
    <col min="5098" max="5098" width="7.375" style="6" customWidth="1"/>
    <col min="5099" max="5099" width="6.375" style="6" customWidth="1"/>
    <col min="5100" max="5100" width="13.125" style="6" customWidth="1"/>
    <col min="5101" max="5101" width="15.375" style="6" customWidth="1"/>
    <col min="5102" max="5102" width="21.25" style="6" customWidth="1"/>
    <col min="5103" max="5351" width="9.125" style="6" customWidth="1"/>
    <col min="5352" max="5352" width="6.375" style="6" customWidth="1"/>
    <col min="5353" max="5353" width="34.25" style="6" customWidth="1"/>
    <col min="5354" max="5354" width="7.375" style="6" customWidth="1"/>
    <col min="5355" max="5355" width="6.375" style="6" customWidth="1"/>
    <col min="5356" max="5356" width="13.125" style="6" customWidth="1"/>
    <col min="5357" max="5357" width="15.375" style="6" customWidth="1"/>
    <col min="5358" max="5358" width="21.25" style="6" customWidth="1"/>
    <col min="5359" max="5607" width="9.125" style="6" customWidth="1"/>
    <col min="5608" max="5608" width="6.375" style="6" customWidth="1"/>
    <col min="5609" max="5609" width="34.25" style="6" customWidth="1"/>
    <col min="5610" max="5610" width="7.375" style="6" customWidth="1"/>
    <col min="5611" max="5611" width="6.375" style="6" customWidth="1"/>
    <col min="5612" max="5612" width="13.125" style="6" customWidth="1"/>
    <col min="5613" max="5613" width="15.375" style="6" customWidth="1"/>
    <col min="5614" max="5614" width="21.25" style="6" customWidth="1"/>
    <col min="5615" max="5863" width="9.125" style="6" customWidth="1"/>
    <col min="5864" max="5864" width="6.375" style="6" customWidth="1"/>
    <col min="5865" max="5865" width="34.25" style="6" customWidth="1"/>
    <col min="5866" max="5866" width="7.375" style="6" customWidth="1"/>
    <col min="5867" max="5867" width="6.375" style="6" customWidth="1"/>
    <col min="5868" max="5868" width="13.125" style="6" customWidth="1"/>
    <col min="5869" max="5869" width="15.375" style="6" customWidth="1"/>
    <col min="5870" max="5870" width="21.25" style="6" customWidth="1"/>
    <col min="5871" max="6119" width="9.125" style="6" customWidth="1"/>
    <col min="6120" max="6120" width="6.375" style="6" customWidth="1"/>
    <col min="6121" max="6121" width="34.25" style="6" customWidth="1"/>
    <col min="6122" max="6122" width="7.375" style="6" customWidth="1"/>
    <col min="6123" max="6123" width="6.375" style="6" customWidth="1"/>
    <col min="6124" max="6124" width="13.125" style="6" customWidth="1"/>
    <col min="6125" max="6125" width="15.375" style="6" customWidth="1"/>
    <col min="6126" max="6126" width="21.25" style="6" customWidth="1"/>
    <col min="6127" max="6375" width="9.125" style="6" customWidth="1"/>
    <col min="6376" max="6376" width="6.375" style="6" customWidth="1"/>
    <col min="6377" max="6377" width="34.25" style="6" customWidth="1"/>
    <col min="6378" max="6378" width="7.375" style="6" customWidth="1"/>
    <col min="6379" max="6379" width="6.375" style="6" customWidth="1"/>
    <col min="6380" max="6380" width="13.125" style="6" customWidth="1"/>
    <col min="6381" max="6381" width="15.375" style="6" customWidth="1"/>
    <col min="6382" max="6382" width="21.25" style="6" customWidth="1"/>
    <col min="6383" max="6631" width="9.125" style="6" customWidth="1"/>
    <col min="6632" max="6632" width="6.375" style="6" customWidth="1"/>
    <col min="6633" max="6633" width="34.25" style="6" customWidth="1"/>
    <col min="6634" max="6634" width="7.375" style="6" customWidth="1"/>
    <col min="6635" max="6635" width="6.375" style="6" customWidth="1"/>
    <col min="6636" max="6636" width="13.125" style="6" customWidth="1"/>
    <col min="6637" max="6637" width="15.375" style="6" customWidth="1"/>
    <col min="6638" max="6638" width="21.25" style="6" customWidth="1"/>
    <col min="6639" max="6887" width="9.125" style="6" customWidth="1"/>
    <col min="6888" max="6888" width="6.375" style="6" customWidth="1"/>
    <col min="6889" max="6889" width="34.25" style="6" customWidth="1"/>
    <col min="6890" max="6890" width="7.375" style="6" customWidth="1"/>
    <col min="6891" max="6891" width="6.375" style="6" customWidth="1"/>
    <col min="6892" max="6892" width="13.125" style="6" customWidth="1"/>
    <col min="6893" max="6893" width="15.375" style="6" customWidth="1"/>
    <col min="6894" max="6894" width="21.25" style="6" customWidth="1"/>
    <col min="6895" max="7143" width="9.125" style="6" customWidth="1"/>
    <col min="7144" max="7144" width="6.375" style="6" customWidth="1"/>
    <col min="7145" max="7145" width="34.25" style="6" customWidth="1"/>
    <col min="7146" max="7146" width="7.375" style="6" customWidth="1"/>
    <col min="7147" max="7147" width="6.375" style="6" customWidth="1"/>
    <col min="7148" max="7148" width="13.125" style="6" customWidth="1"/>
    <col min="7149" max="7149" width="15.375" style="6" customWidth="1"/>
    <col min="7150" max="7150" width="21.25" style="6" customWidth="1"/>
    <col min="7151" max="7399" width="9.125" style="6" customWidth="1"/>
    <col min="7400" max="7400" width="6.375" style="6" customWidth="1"/>
    <col min="7401" max="7401" width="34.25" style="6" customWidth="1"/>
    <col min="7402" max="7402" width="7.375" style="6" customWidth="1"/>
    <col min="7403" max="7403" width="6.375" style="6" customWidth="1"/>
    <col min="7404" max="7404" width="13.125" style="6" customWidth="1"/>
    <col min="7405" max="7405" width="15.375" style="6" customWidth="1"/>
    <col min="7406" max="7406" width="21.25" style="6" customWidth="1"/>
    <col min="7407" max="7655" width="9.125" style="6" customWidth="1"/>
    <col min="7656" max="7656" width="6.375" style="6" customWidth="1"/>
    <col min="7657" max="7657" width="34.25" style="6" customWidth="1"/>
    <col min="7658" max="7658" width="7.375" style="6" customWidth="1"/>
    <col min="7659" max="7659" width="6.375" style="6" customWidth="1"/>
    <col min="7660" max="7660" width="13.125" style="6" customWidth="1"/>
    <col min="7661" max="7661" width="15.375" style="6" customWidth="1"/>
    <col min="7662" max="7662" width="21.25" style="6" customWidth="1"/>
    <col min="7663" max="7911" width="9.125" style="6" customWidth="1"/>
    <col min="7912" max="7912" width="6.375" style="6" customWidth="1"/>
    <col min="7913" max="7913" width="34.25" style="6" customWidth="1"/>
    <col min="7914" max="7914" width="7.375" style="6" customWidth="1"/>
    <col min="7915" max="7915" width="6.375" style="6" customWidth="1"/>
    <col min="7916" max="7916" width="13.125" style="6" customWidth="1"/>
    <col min="7917" max="7917" width="15.375" style="6" customWidth="1"/>
    <col min="7918" max="7918" width="21.25" style="6" customWidth="1"/>
    <col min="7919" max="8167" width="9.125" style="6" customWidth="1"/>
    <col min="8168" max="8168" width="6.375" style="6" customWidth="1"/>
    <col min="8169" max="8169" width="34.25" style="6" customWidth="1"/>
    <col min="8170" max="8170" width="7.375" style="6" customWidth="1"/>
    <col min="8171" max="8171" width="6.375" style="6" customWidth="1"/>
    <col min="8172" max="8172" width="13.125" style="6" customWidth="1"/>
    <col min="8173" max="8173" width="15.375" style="6" customWidth="1"/>
    <col min="8174" max="8174" width="21.25" style="6" customWidth="1"/>
    <col min="8175" max="8423" width="9.125" style="6" customWidth="1"/>
    <col min="8424" max="8424" width="6.375" style="6" customWidth="1"/>
    <col min="8425" max="8425" width="34.25" style="6" customWidth="1"/>
    <col min="8426" max="8426" width="7.375" style="6" customWidth="1"/>
    <col min="8427" max="8427" width="6.375" style="6" customWidth="1"/>
    <col min="8428" max="8428" width="13.125" style="6" customWidth="1"/>
    <col min="8429" max="8429" width="15.375" style="6" customWidth="1"/>
    <col min="8430" max="8430" width="21.25" style="6" customWidth="1"/>
    <col min="8431" max="8679" width="9.125" style="6" customWidth="1"/>
    <col min="8680" max="8680" width="6.375" style="6" customWidth="1"/>
    <col min="8681" max="8681" width="34.25" style="6" customWidth="1"/>
    <col min="8682" max="8682" width="7.375" style="6" customWidth="1"/>
    <col min="8683" max="8683" width="6.375" style="6" customWidth="1"/>
    <col min="8684" max="8684" width="13.125" style="6" customWidth="1"/>
    <col min="8685" max="8685" width="15.375" style="6" customWidth="1"/>
    <col min="8686" max="8686" width="21.25" style="6" customWidth="1"/>
    <col min="8687" max="8935" width="9.125" style="6" customWidth="1"/>
    <col min="8936" max="8936" width="6.375" style="6" customWidth="1"/>
    <col min="8937" max="8937" width="34.25" style="6" customWidth="1"/>
    <col min="8938" max="8938" width="7.375" style="6" customWidth="1"/>
    <col min="8939" max="8939" width="6.375" style="6" customWidth="1"/>
    <col min="8940" max="8940" width="13.125" style="6" customWidth="1"/>
    <col min="8941" max="8941" width="15.375" style="6" customWidth="1"/>
    <col min="8942" max="8942" width="21.25" style="6" customWidth="1"/>
    <col min="8943" max="9191" width="9.125" style="6" customWidth="1"/>
    <col min="9192" max="9192" width="6.375" style="6" customWidth="1"/>
    <col min="9193" max="9193" width="34.25" style="6" customWidth="1"/>
    <col min="9194" max="9194" width="7.375" style="6" customWidth="1"/>
    <col min="9195" max="9195" width="6.375" style="6" customWidth="1"/>
    <col min="9196" max="9196" width="13.125" style="6" customWidth="1"/>
    <col min="9197" max="9197" width="15.375" style="6" customWidth="1"/>
    <col min="9198" max="9198" width="21.25" style="6" customWidth="1"/>
    <col min="9199" max="9447" width="9.125" style="6" customWidth="1"/>
    <col min="9448" max="9448" width="6.375" style="6" customWidth="1"/>
    <col min="9449" max="9449" width="34.25" style="6" customWidth="1"/>
    <col min="9450" max="9450" width="7.375" style="6" customWidth="1"/>
    <col min="9451" max="9451" width="6.375" style="6" customWidth="1"/>
    <col min="9452" max="9452" width="13.125" style="6" customWidth="1"/>
    <col min="9453" max="9453" width="15.375" style="6" customWidth="1"/>
    <col min="9454" max="9454" width="21.25" style="6" customWidth="1"/>
    <col min="9455" max="9703" width="9.125" style="6" customWidth="1"/>
    <col min="9704" max="9704" width="6.375" style="6" customWidth="1"/>
    <col min="9705" max="9705" width="34.25" style="6" customWidth="1"/>
    <col min="9706" max="9706" width="7.375" style="6" customWidth="1"/>
    <col min="9707" max="9707" width="6.375" style="6" customWidth="1"/>
    <col min="9708" max="9708" width="13.125" style="6" customWidth="1"/>
    <col min="9709" max="9709" width="15.375" style="6" customWidth="1"/>
    <col min="9710" max="9710" width="21.25" style="6" customWidth="1"/>
    <col min="9711" max="9959" width="9.125" style="6" customWidth="1"/>
    <col min="9960" max="9960" width="6.375" style="6" customWidth="1"/>
    <col min="9961" max="9961" width="34.25" style="6" customWidth="1"/>
    <col min="9962" max="9962" width="7.375" style="6" customWidth="1"/>
    <col min="9963" max="9963" width="6.375" style="6" customWidth="1"/>
    <col min="9964" max="9964" width="13.125" style="6" customWidth="1"/>
    <col min="9965" max="9965" width="15.375" style="6" customWidth="1"/>
    <col min="9966" max="9966" width="21.25" style="6" customWidth="1"/>
    <col min="9967" max="10215" width="9.125" style="6" customWidth="1"/>
    <col min="10216" max="10216" width="6.375" style="6" customWidth="1"/>
    <col min="10217" max="10217" width="34.25" style="6" customWidth="1"/>
    <col min="10218" max="10218" width="7.375" style="6" customWidth="1"/>
    <col min="10219" max="10219" width="6.375" style="6" customWidth="1"/>
    <col min="10220" max="10220" width="13.125" style="6" customWidth="1"/>
    <col min="10221" max="10221" width="15.375" style="6" customWidth="1"/>
    <col min="10222" max="10222" width="21.25" style="6" customWidth="1"/>
    <col min="10223" max="10471" width="9.125" style="6" customWidth="1"/>
    <col min="10472" max="10472" width="6.375" style="6" customWidth="1"/>
    <col min="10473" max="10473" width="34.25" style="6" customWidth="1"/>
    <col min="10474" max="10474" width="7.375" style="6" customWidth="1"/>
    <col min="10475" max="10475" width="6.375" style="6" customWidth="1"/>
    <col min="10476" max="10476" width="13.125" style="6" customWidth="1"/>
    <col min="10477" max="10477" width="15.375" style="6" customWidth="1"/>
    <col min="10478" max="10478" width="21.25" style="6" customWidth="1"/>
    <col min="10479" max="10727" width="9.125" style="6" customWidth="1"/>
    <col min="10728" max="10728" width="6.375" style="6" customWidth="1"/>
    <col min="10729" max="10729" width="34.25" style="6" customWidth="1"/>
    <col min="10730" max="10730" width="7.375" style="6" customWidth="1"/>
    <col min="10731" max="10731" width="6.375" style="6" customWidth="1"/>
    <col min="10732" max="10732" width="13.125" style="6" customWidth="1"/>
    <col min="10733" max="10733" width="15.375" style="6" customWidth="1"/>
    <col min="10734" max="10734" width="21.25" style="6" customWidth="1"/>
    <col min="10735" max="10983" width="9.125" style="6" customWidth="1"/>
    <col min="10984" max="10984" width="6.375" style="6" customWidth="1"/>
    <col min="10985" max="10985" width="34.25" style="6" customWidth="1"/>
    <col min="10986" max="10986" width="7.375" style="6" customWidth="1"/>
    <col min="10987" max="10987" width="6.375" style="6" customWidth="1"/>
    <col min="10988" max="10988" width="13.125" style="6" customWidth="1"/>
    <col min="10989" max="10989" width="15.375" style="6" customWidth="1"/>
    <col min="10990" max="10990" width="21.25" style="6" customWidth="1"/>
    <col min="10991" max="11239" width="9.125" style="6" customWidth="1"/>
    <col min="11240" max="11240" width="6.375" style="6" customWidth="1"/>
    <col min="11241" max="11241" width="34.25" style="6" customWidth="1"/>
    <col min="11242" max="11242" width="7.375" style="6" customWidth="1"/>
    <col min="11243" max="11243" width="6.375" style="6" customWidth="1"/>
    <col min="11244" max="11244" width="13.125" style="6" customWidth="1"/>
    <col min="11245" max="11245" width="15.375" style="6" customWidth="1"/>
    <col min="11246" max="11246" width="21.25" style="6" customWidth="1"/>
    <col min="11247" max="11495" width="9.125" style="6" customWidth="1"/>
    <col min="11496" max="11496" width="6.375" style="6" customWidth="1"/>
    <col min="11497" max="11497" width="34.25" style="6" customWidth="1"/>
    <col min="11498" max="11498" width="7.375" style="6" customWidth="1"/>
    <col min="11499" max="11499" width="6.375" style="6" customWidth="1"/>
    <col min="11500" max="11500" width="13.125" style="6" customWidth="1"/>
    <col min="11501" max="11501" width="15.375" style="6" customWidth="1"/>
    <col min="11502" max="11502" width="21.25" style="6" customWidth="1"/>
    <col min="11503" max="11751" width="9.125" style="6" customWidth="1"/>
    <col min="11752" max="11752" width="6.375" style="6" customWidth="1"/>
    <col min="11753" max="11753" width="34.25" style="6" customWidth="1"/>
    <col min="11754" max="11754" width="7.375" style="6" customWidth="1"/>
    <col min="11755" max="11755" width="6.375" style="6" customWidth="1"/>
    <col min="11756" max="11756" width="13.125" style="6" customWidth="1"/>
    <col min="11757" max="11757" width="15.375" style="6" customWidth="1"/>
    <col min="11758" max="11758" width="21.25" style="6" customWidth="1"/>
    <col min="11759" max="12007" width="9.125" style="6" customWidth="1"/>
    <col min="12008" max="12008" width="6.375" style="6" customWidth="1"/>
    <col min="12009" max="12009" width="34.25" style="6" customWidth="1"/>
    <col min="12010" max="12010" width="7.375" style="6" customWidth="1"/>
    <col min="12011" max="12011" width="6.375" style="6" customWidth="1"/>
    <col min="12012" max="12012" width="13.125" style="6" customWidth="1"/>
    <col min="12013" max="12013" width="15.375" style="6" customWidth="1"/>
    <col min="12014" max="12014" width="21.25" style="6" customWidth="1"/>
    <col min="12015" max="12263" width="9.125" style="6" customWidth="1"/>
    <col min="12264" max="12264" width="6.375" style="6" customWidth="1"/>
    <col min="12265" max="12265" width="34.25" style="6" customWidth="1"/>
    <col min="12266" max="12266" width="7.375" style="6" customWidth="1"/>
    <col min="12267" max="12267" width="6.375" style="6" customWidth="1"/>
    <col min="12268" max="12268" width="13.125" style="6" customWidth="1"/>
    <col min="12269" max="12269" width="15.375" style="6" customWidth="1"/>
    <col min="12270" max="12270" width="21.25" style="6" customWidth="1"/>
    <col min="12271" max="12519" width="9.125" style="6" customWidth="1"/>
    <col min="12520" max="12520" width="6.375" style="6" customWidth="1"/>
    <col min="12521" max="12521" width="34.25" style="6" customWidth="1"/>
    <col min="12522" max="12522" width="7.375" style="6" customWidth="1"/>
    <col min="12523" max="12523" width="6.375" style="6" customWidth="1"/>
    <col min="12524" max="12524" width="13.125" style="6" customWidth="1"/>
    <col min="12525" max="12525" width="15.375" style="6" customWidth="1"/>
    <col min="12526" max="12526" width="21.25" style="6" customWidth="1"/>
    <col min="12527" max="12775" width="9.125" style="6" customWidth="1"/>
    <col min="12776" max="12776" width="6.375" style="6" customWidth="1"/>
    <col min="12777" max="12777" width="34.25" style="6" customWidth="1"/>
    <col min="12778" max="12778" width="7.375" style="6" customWidth="1"/>
    <col min="12779" max="12779" width="6.375" style="6" customWidth="1"/>
    <col min="12780" max="12780" width="13.125" style="6" customWidth="1"/>
    <col min="12781" max="12781" width="15.375" style="6" customWidth="1"/>
    <col min="12782" max="12782" width="21.25" style="6" customWidth="1"/>
    <col min="12783" max="13031" width="9.125" style="6" customWidth="1"/>
    <col min="13032" max="13032" width="6.375" style="6" customWidth="1"/>
    <col min="13033" max="13033" width="34.25" style="6" customWidth="1"/>
    <col min="13034" max="13034" width="7.375" style="6" customWidth="1"/>
    <col min="13035" max="13035" width="6.375" style="6" customWidth="1"/>
    <col min="13036" max="13036" width="13.125" style="6" customWidth="1"/>
    <col min="13037" max="13037" width="15.375" style="6" customWidth="1"/>
    <col min="13038" max="13038" width="21.25" style="6" customWidth="1"/>
    <col min="13039" max="13287" width="9.125" style="6" customWidth="1"/>
    <col min="13288" max="13288" width="6.375" style="6" customWidth="1"/>
    <col min="13289" max="13289" width="34.25" style="6" customWidth="1"/>
    <col min="13290" max="13290" width="7.375" style="6" customWidth="1"/>
    <col min="13291" max="13291" width="6.375" style="6" customWidth="1"/>
    <col min="13292" max="13292" width="13.125" style="6" customWidth="1"/>
    <col min="13293" max="13293" width="15.375" style="6" customWidth="1"/>
    <col min="13294" max="13294" width="21.25" style="6" customWidth="1"/>
    <col min="13295" max="13543" width="9.125" style="6" customWidth="1"/>
    <col min="13544" max="13544" width="6.375" style="6" customWidth="1"/>
    <col min="13545" max="13545" width="34.25" style="6" customWidth="1"/>
    <col min="13546" max="13546" width="7.375" style="6" customWidth="1"/>
    <col min="13547" max="13547" width="6.375" style="6" customWidth="1"/>
    <col min="13548" max="13548" width="13.125" style="6" customWidth="1"/>
    <col min="13549" max="13549" width="15.375" style="6" customWidth="1"/>
    <col min="13550" max="13550" width="21.25" style="6" customWidth="1"/>
    <col min="13551" max="13799" width="9.125" style="6" customWidth="1"/>
    <col min="13800" max="13800" width="6.375" style="6" customWidth="1"/>
    <col min="13801" max="13801" width="34.25" style="6" customWidth="1"/>
    <col min="13802" max="13802" width="7.375" style="6" customWidth="1"/>
    <col min="13803" max="13803" width="6.375" style="6" customWidth="1"/>
    <col min="13804" max="13804" width="13.125" style="6" customWidth="1"/>
    <col min="13805" max="13805" width="15.375" style="6" customWidth="1"/>
    <col min="13806" max="13806" width="21.25" style="6" customWidth="1"/>
    <col min="13807" max="14055" width="9.125" style="6" customWidth="1"/>
    <col min="14056" max="14056" width="6.375" style="6" customWidth="1"/>
    <col min="14057" max="14057" width="34.25" style="6" customWidth="1"/>
    <col min="14058" max="14058" width="7.375" style="6" customWidth="1"/>
    <col min="14059" max="14059" width="6.375" style="6" customWidth="1"/>
    <col min="14060" max="14060" width="13.125" style="6" customWidth="1"/>
    <col min="14061" max="14061" width="15.375" style="6" customWidth="1"/>
    <col min="14062" max="14062" width="21.25" style="6" customWidth="1"/>
    <col min="14063" max="14311" width="9.125" style="6" customWidth="1"/>
    <col min="14312" max="14312" width="6.375" style="6" customWidth="1"/>
    <col min="14313" max="14313" width="34.25" style="6" customWidth="1"/>
    <col min="14314" max="14314" width="7.375" style="6" customWidth="1"/>
    <col min="14315" max="14315" width="6.375" style="6" customWidth="1"/>
    <col min="14316" max="14316" width="13.125" style="6" customWidth="1"/>
    <col min="14317" max="14317" width="15.375" style="6" customWidth="1"/>
    <col min="14318" max="14318" width="21.25" style="6" customWidth="1"/>
    <col min="14319" max="14567" width="9.125" style="6" customWidth="1"/>
    <col min="14568" max="14568" width="6.375" style="6" customWidth="1"/>
    <col min="14569" max="14569" width="34.25" style="6" customWidth="1"/>
    <col min="14570" max="14570" width="7.375" style="6" customWidth="1"/>
    <col min="14571" max="14571" width="6.375" style="6" customWidth="1"/>
    <col min="14572" max="14572" width="13.125" style="6" customWidth="1"/>
    <col min="14573" max="14573" width="15.375" style="6" customWidth="1"/>
    <col min="14574" max="14574" width="21.25" style="6" customWidth="1"/>
    <col min="14575" max="14823" width="9.125" style="6" customWidth="1"/>
    <col min="14824" max="14824" width="6.375" style="6" customWidth="1"/>
    <col min="14825" max="14825" width="34.25" style="6" customWidth="1"/>
    <col min="14826" max="14826" width="7.375" style="6" customWidth="1"/>
    <col min="14827" max="14827" width="6.375" style="6" customWidth="1"/>
    <col min="14828" max="14828" width="13.125" style="6" customWidth="1"/>
    <col min="14829" max="14829" width="15.375" style="6" customWidth="1"/>
    <col min="14830" max="14830" width="21.25" style="6" customWidth="1"/>
    <col min="14831" max="15079" width="9.125" style="6" customWidth="1"/>
    <col min="15080" max="15080" width="6.375" style="6" customWidth="1"/>
    <col min="15081" max="15081" width="34.25" style="6" customWidth="1"/>
    <col min="15082" max="15082" width="7.375" style="6" customWidth="1"/>
    <col min="15083" max="15083" width="6.375" style="6" customWidth="1"/>
    <col min="15084" max="15084" width="13.125" style="6" customWidth="1"/>
    <col min="15085" max="15085" width="15.375" style="6" customWidth="1"/>
    <col min="15086" max="15086" width="21.25" style="6" customWidth="1"/>
    <col min="15087" max="15335" width="9.125" style="6" customWidth="1"/>
    <col min="15336" max="15336" width="6.375" style="6" customWidth="1"/>
    <col min="15337" max="15337" width="34.25" style="6" customWidth="1"/>
    <col min="15338" max="15338" width="7.375" style="6" customWidth="1"/>
    <col min="15339" max="15339" width="6.375" style="6" customWidth="1"/>
    <col min="15340" max="15340" width="13.125" style="6" customWidth="1"/>
    <col min="15341" max="15341" width="15.375" style="6" customWidth="1"/>
    <col min="15342" max="15342" width="21.25" style="6" customWidth="1"/>
    <col min="15343" max="15591" width="9.125" style="6" customWidth="1"/>
    <col min="15592" max="15592" width="6.375" style="6" customWidth="1"/>
    <col min="15593" max="15593" width="34.25" style="6" customWidth="1"/>
    <col min="15594" max="15594" width="7.375" style="6" customWidth="1"/>
    <col min="15595" max="15595" width="6.375" style="6" customWidth="1"/>
    <col min="15596" max="15596" width="13.125" style="6" customWidth="1"/>
    <col min="15597" max="15597" width="15.375" style="6" customWidth="1"/>
    <col min="15598" max="15598" width="21.25" style="6" customWidth="1"/>
    <col min="15599" max="15847" width="9.125" style="6" customWidth="1"/>
    <col min="15848" max="15848" width="6.375" style="6" customWidth="1"/>
    <col min="15849" max="15849" width="34.25" style="6" customWidth="1"/>
    <col min="15850" max="15850" width="7.375" style="6" customWidth="1"/>
    <col min="15851" max="15851" width="6.375" style="6" customWidth="1"/>
    <col min="15852" max="15852" width="13.125" style="6" customWidth="1"/>
    <col min="15853" max="15853" width="15.375" style="6" customWidth="1"/>
    <col min="15854" max="15854" width="21.25" style="6" customWidth="1"/>
    <col min="15855" max="16103" width="9.125" style="6" customWidth="1"/>
    <col min="16104" max="16104" width="6.375" style="6" customWidth="1"/>
    <col min="16105" max="16105" width="34.25" style="6" customWidth="1"/>
    <col min="16106" max="16106" width="7.375" style="6" customWidth="1"/>
    <col min="16107" max="16107" width="6.375" style="6" customWidth="1"/>
    <col min="16108" max="16108" width="13.125" style="6" customWidth="1"/>
    <col min="16109" max="16109" width="15.375" style="6" customWidth="1"/>
    <col min="16110" max="16110" width="21.25" style="6" customWidth="1"/>
    <col min="16111" max="16384" width="9.125" style="6" customWidth="1"/>
  </cols>
  <sheetData>
    <row r="1" spans="1:13" ht="48" customHeight="1"/>
    <row r="2" spans="1:13" s="1" customFormat="1" ht="51" customHeight="1">
      <c r="A2" s="10" t="s">
        <v>507</v>
      </c>
      <c r="B2" s="11"/>
      <c r="C2" s="12"/>
      <c r="D2" s="11"/>
      <c r="E2" s="14"/>
      <c r="F2" s="86"/>
      <c r="G2" s="14"/>
      <c r="H2" s="14"/>
      <c r="I2" s="15"/>
      <c r="J2" s="15"/>
      <c r="K2" s="15"/>
      <c r="L2" s="15"/>
    </row>
    <row r="3" spans="1:13" ht="26.25" customHeight="1">
      <c r="A3" s="16"/>
      <c r="B3" s="17" t="s">
        <v>440</v>
      </c>
      <c r="C3" s="213"/>
      <c r="D3" s="217"/>
      <c r="E3" s="214"/>
      <c r="F3" s="218"/>
      <c r="G3" s="214"/>
      <c r="H3" s="214"/>
      <c r="I3" s="220"/>
      <c r="J3" s="220"/>
      <c r="K3" s="220"/>
      <c r="L3" s="220"/>
    </row>
    <row r="4" spans="1:13" ht="26.25" customHeight="1">
      <c r="A4" s="18"/>
      <c r="B4" s="5" t="s">
        <v>441</v>
      </c>
      <c r="C4" s="222"/>
      <c r="D4" s="217"/>
      <c r="E4" s="214"/>
      <c r="F4" s="218"/>
      <c r="G4" s="214"/>
      <c r="H4" s="214"/>
      <c r="I4" s="220"/>
      <c r="J4" s="220"/>
      <c r="K4" s="220"/>
      <c r="L4" s="220"/>
    </row>
    <row r="5" spans="1:13" ht="26.25" customHeight="1">
      <c r="A5" s="18"/>
      <c r="B5" s="5" t="s">
        <v>442</v>
      </c>
      <c r="C5" s="216"/>
      <c r="D5" s="217"/>
      <c r="E5" s="214"/>
      <c r="F5" s="218"/>
      <c r="G5" s="214"/>
      <c r="H5" s="214"/>
      <c r="I5" s="220"/>
      <c r="J5" s="220"/>
      <c r="K5" s="220"/>
      <c r="L5" s="220"/>
    </row>
    <row r="6" spans="1:13" ht="26.25" customHeight="1">
      <c r="A6" s="18"/>
      <c r="B6" s="5" t="s">
        <v>443</v>
      </c>
      <c r="C6" s="213" t="str">
        <f>INDEX(總表!$B$9:$B$47,MATCH('13A'!A9,總表!$A$9:$A$48,0))</f>
        <v>Nhà văn phòng
辦公棟</v>
      </c>
      <c r="D6" s="217"/>
      <c r="E6" s="214"/>
      <c r="F6" s="218"/>
      <c r="G6" s="214"/>
      <c r="H6" s="214"/>
      <c r="I6" s="220"/>
      <c r="J6" s="220"/>
      <c r="K6" s="220"/>
      <c r="L6" s="220"/>
    </row>
    <row r="7" spans="1:13" ht="26.25" customHeight="1">
      <c r="A7" s="18"/>
      <c r="B7" s="5" t="s">
        <v>444</v>
      </c>
      <c r="C7" s="223" t="s">
        <v>445</v>
      </c>
      <c r="D7" s="224"/>
      <c r="E7" s="224"/>
      <c r="F7" s="224"/>
      <c r="G7" s="224"/>
      <c r="H7" s="224"/>
      <c r="I7" s="224"/>
      <c r="J7" s="224"/>
      <c r="K7" s="224"/>
      <c r="L7" s="224"/>
    </row>
    <row r="8" spans="1:13" s="2" customFormat="1" ht="41.25" customHeight="1">
      <c r="A8" s="19" t="s">
        <v>446</v>
      </c>
      <c r="B8" s="19" t="s">
        <v>508</v>
      </c>
      <c r="C8" s="19" t="s">
        <v>509</v>
      </c>
      <c r="D8" s="19" t="s">
        <v>448</v>
      </c>
      <c r="E8" s="19" t="s">
        <v>449</v>
      </c>
      <c r="F8" s="84" t="s">
        <v>510</v>
      </c>
      <c r="G8" s="19" t="s">
        <v>511</v>
      </c>
      <c r="H8" s="19" t="s">
        <v>512</v>
      </c>
      <c r="I8" s="21" t="s">
        <v>450</v>
      </c>
      <c r="J8" s="21" t="s">
        <v>452</v>
      </c>
      <c r="K8" s="84" t="s">
        <v>513</v>
      </c>
      <c r="L8" s="21" t="s">
        <v>514</v>
      </c>
    </row>
    <row r="9" spans="1:13" s="3" customFormat="1" ht="25.5" customHeight="1">
      <c r="A9" s="22" t="s">
        <v>470</v>
      </c>
      <c r="B9" s="23" t="str">
        <f>C6</f>
        <v>Nhà văn phòng
辦公棟</v>
      </c>
      <c r="C9" s="23" t="s">
        <v>515</v>
      </c>
      <c r="D9" s="22"/>
      <c r="E9" s="25"/>
      <c r="F9" s="25"/>
      <c r="G9" s="25">
        <f>_xlfn.XLOOKUP(B9, Rate_Master!$A:$A, Rate_Master!$C:$C, "")</f>
        <v>0</v>
      </c>
      <c r="H9" s="25">
        <f>_xlfn.XLOOKUP(B9, Rate_Master!$A:$A, Rate_Master!$D:$D, "")</f>
        <v>0</v>
      </c>
      <c r="I9" s="26"/>
      <c r="J9" s="26">
        <f>SUBTOTAL(9,J10:J186)</f>
        <v>49939373628.017723</v>
      </c>
      <c r="K9" s="26">
        <f>SUBTOTAL(9,K10:K186)</f>
        <v>50274528902.661842</v>
      </c>
      <c r="L9" s="26"/>
      <c r="M9" s="103"/>
    </row>
    <row r="10" spans="1:13" s="3" customFormat="1" ht="25.5" customHeight="1">
      <c r="A10" s="22" t="str">
        <f>$A$9&amp;".C"</f>
        <v>13A.C</v>
      </c>
      <c r="B10" s="23" t="s">
        <v>1</v>
      </c>
      <c r="C10" s="23" t="s">
        <v>515</v>
      </c>
      <c r="D10" s="22"/>
      <c r="E10" s="25"/>
      <c r="F10" s="25"/>
      <c r="G10" s="25">
        <f>_xlfn.XLOOKUP(B10, Rate_Master!$A:$A, Rate_Master!$C:$C, "")</f>
        <v>0</v>
      </c>
      <c r="H10" s="25">
        <f>_xlfn.XLOOKUP(B10, Rate_Master!$A:$A, Rate_Master!$D:$D, "")</f>
        <v>0</v>
      </c>
      <c r="I10" s="26"/>
      <c r="J10" s="26"/>
      <c r="K10" s="26"/>
      <c r="L10" s="26"/>
    </row>
    <row r="11" spans="1:13" s="3" customFormat="1" ht="25.5" customHeight="1">
      <c r="A11" s="22" t="str">
        <f>$A$10&amp;1</f>
        <v>13A.C1</v>
      </c>
      <c r="B11" s="23" t="s">
        <v>2</v>
      </c>
      <c r="C11" s="23" t="s">
        <v>515</v>
      </c>
      <c r="D11" s="22"/>
      <c r="E11" s="25"/>
      <c r="F11" s="25"/>
      <c r="G11" s="25">
        <f>_xlfn.XLOOKUP(B11, Rate_Master!$A:$A, Rate_Master!$C:$C, "")</f>
        <v>0</v>
      </c>
      <c r="H11" s="25">
        <f>_xlfn.XLOOKUP(B11, Rate_Master!$A:$A, Rate_Master!$D:$D, "")</f>
        <v>0</v>
      </c>
      <c r="I11" s="26"/>
      <c r="J11" s="26">
        <f>SUBTOTAL(9,J12:J22)</f>
        <v>1740996499.9999998</v>
      </c>
      <c r="K11" s="26">
        <f>SUBTOTAL(9,K12:K22)</f>
        <v>1740996499.9999998</v>
      </c>
      <c r="L11" s="26"/>
    </row>
    <row r="12" spans="1:13" s="4" customFormat="1" ht="25.5" customHeight="1" outlineLevel="1">
      <c r="A12" s="27" t="str">
        <f t="shared" ref="A12:A22" si="0">$A$11&amp;"."&amp;ROW()-ROW($A$11)</f>
        <v>13A.C1.1</v>
      </c>
      <c r="B12" s="28" t="s">
        <v>3</v>
      </c>
      <c r="C12" s="28" t="s">
        <v>515</v>
      </c>
      <c r="D12" s="29" t="s">
        <v>516</v>
      </c>
      <c r="E12" s="31">
        <v>1</v>
      </c>
      <c r="F12" s="31">
        <v>1</v>
      </c>
      <c r="G12" s="31">
        <f>_xlfn.XLOOKUP(B12, Rate_Master!$A:$A, Rate_Master!$C:$C, "")</f>
        <v>0</v>
      </c>
      <c r="H12" s="31">
        <f>_xlfn.XLOOKUP(B12, Rate_Master!$A:$A, Rate_Master!$D:$D, "")</f>
        <v>114999999.99999999</v>
      </c>
      <c r="I12" s="66">
        <f t="shared" ref="I12:I22" si="1">G12+H12</f>
        <v>114999999.99999999</v>
      </c>
      <c r="J12" s="32">
        <f t="shared" ref="J12:J22" si="2">I12*E12</f>
        <v>114999999.99999999</v>
      </c>
      <c r="K12" s="32">
        <f t="shared" ref="K12:K22" si="3">I12*F12</f>
        <v>114999999.99999999</v>
      </c>
      <c r="L12" s="32"/>
    </row>
    <row r="13" spans="1:13" s="4" customFormat="1" ht="25.5" customHeight="1" outlineLevel="1">
      <c r="A13" s="27" t="str">
        <f t="shared" si="0"/>
        <v>13A.C1.2</v>
      </c>
      <c r="B13" s="28" t="s">
        <v>4</v>
      </c>
      <c r="C13" s="28" t="s">
        <v>515</v>
      </c>
      <c r="D13" s="29" t="s">
        <v>517</v>
      </c>
      <c r="E13" s="31">
        <v>72</v>
      </c>
      <c r="F13" s="31">
        <v>72</v>
      </c>
      <c r="G13" s="31">
        <f>_xlfn.XLOOKUP(B13, Rate_Master!$A:$A, Rate_Master!$C:$C, "")</f>
        <v>425499.99999999994</v>
      </c>
      <c r="H13" s="31">
        <f>_xlfn.XLOOKUP(B13, Rate_Master!$A:$A, Rate_Master!$D:$D, "")</f>
        <v>0</v>
      </c>
      <c r="I13" s="66">
        <f t="shared" si="1"/>
        <v>425499.99999999994</v>
      </c>
      <c r="J13" s="32">
        <f t="shared" si="2"/>
        <v>30635999.999999996</v>
      </c>
      <c r="K13" s="32">
        <f t="shared" si="3"/>
        <v>30635999.999999996</v>
      </c>
      <c r="L13" s="32"/>
    </row>
    <row r="14" spans="1:13" s="4" customFormat="1" ht="25.5" customHeight="1" outlineLevel="1">
      <c r="A14" s="27" t="str">
        <f t="shared" si="0"/>
        <v>13A.C1.3</v>
      </c>
      <c r="B14" s="28" t="s">
        <v>5</v>
      </c>
      <c r="C14" s="28" t="s">
        <v>515</v>
      </c>
      <c r="D14" s="29" t="s">
        <v>517</v>
      </c>
      <c r="E14" s="31">
        <v>66</v>
      </c>
      <c r="F14" s="31">
        <v>66</v>
      </c>
      <c r="G14" s="31">
        <f>_xlfn.XLOOKUP(B14, Rate_Master!$A:$A, Rate_Master!$C:$C, "")</f>
        <v>0</v>
      </c>
      <c r="H14" s="31">
        <f>_xlfn.XLOOKUP(B14, Rate_Master!$A:$A, Rate_Master!$D:$D, "")</f>
        <v>69000</v>
      </c>
      <c r="I14" s="66">
        <f t="shared" si="1"/>
        <v>69000</v>
      </c>
      <c r="J14" s="32">
        <f t="shared" si="2"/>
        <v>4554000</v>
      </c>
      <c r="K14" s="32">
        <f t="shared" si="3"/>
        <v>4554000</v>
      </c>
      <c r="L14" s="32"/>
    </row>
    <row r="15" spans="1:13" s="4" customFormat="1" ht="25.5" customHeight="1" outlineLevel="1">
      <c r="A15" s="27" t="str">
        <f t="shared" si="0"/>
        <v>13A.C1.4</v>
      </c>
      <c r="B15" s="28" t="s">
        <v>6</v>
      </c>
      <c r="C15" s="28" t="s">
        <v>515</v>
      </c>
      <c r="D15" s="29" t="s">
        <v>517</v>
      </c>
      <c r="E15" s="31">
        <v>69</v>
      </c>
      <c r="F15" s="31">
        <v>69</v>
      </c>
      <c r="G15" s="31">
        <f>_xlfn.XLOOKUP(B15, Rate_Master!$A:$A, Rate_Master!$C:$C, "")</f>
        <v>0</v>
      </c>
      <c r="H15" s="31">
        <f>_xlfn.XLOOKUP(B15, Rate_Master!$A:$A, Rate_Master!$D:$D, "")</f>
        <v>57499.999999999993</v>
      </c>
      <c r="I15" s="66">
        <f t="shared" si="1"/>
        <v>57499.999999999993</v>
      </c>
      <c r="J15" s="32">
        <f t="shared" si="2"/>
        <v>3967499.9999999995</v>
      </c>
      <c r="K15" s="32">
        <f t="shared" si="3"/>
        <v>3967499.9999999995</v>
      </c>
      <c r="L15" s="32"/>
    </row>
    <row r="16" spans="1:13" s="4" customFormat="1" ht="102" customHeight="1" outlineLevel="1">
      <c r="A16" s="27" t="str">
        <f t="shared" si="0"/>
        <v>13A.C1.5</v>
      </c>
      <c r="B16" s="28" t="s">
        <v>7</v>
      </c>
      <c r="C16" s="28" t="s">
        <v>515</v>
      </c>
      <c r="D16" s="29" t="s">
        <v>518</v>
      </c>
      <c r="E16" s="31">
        <v>3</v>
      </c>
      <c r="F16" s="31">
        <v>3</v>
      </c>
      <c r="G16" s="31">
        <f>_xlfn.XLOOKUP(B16, Rate_Master!$A:$A, Rate_Master!$C:$C, "")</f>
        <v>0</v>
      </c>
      <c r="H16" s="31">
        <f>_xlfn.XLOOKUP(B16, Rate_Master!$A:$A, Rate_Master!$D:$D, "")</f>
        <v>13799999.999999998</v>
      </c>
      <c r="I16" s="66">
        <f t="shared" si="1"/>
        <v>13799999.999999998</v>
      </c>
      <c r="J16" s="32">
        <f t="shared" si="2"/>
        <v>41399999.999999993</v>
      </c>
      <c r="K16" s="32">
        <f t="shared" si="3"/>
        <v>41399999.999999993</v>
      </c>
      <c r="L16" s="32"/>
    </row>
    <row r="17" spans="1:12" s="4" customFormat="1" ht="25.5" customHeight="1" outlineLevel="1">
      <c r="A17" s="27" t="str">
        <f t="shared" si="0"/>
        <v>13A.C1.6</v>
      </c>
      <c r="B17" s="28" t="s">
        <v>8</v>
      </c>
      <c r="C17" s="28" t="s">
        <v>515</v>
      </c>
      <c r="D17" s="29" t="s">
        <v>518</v>
      </c>
      <c r="E17" s="31">
        <v>26</v>
      </c>
      <c r="F17" s="31">
        <v>26</v>
      </c>
      <c r="G17" s="31">
        <f>_xlfn.XLOOKUP(B17, Rate_Master!$A:$A, Rate_Master!$C:$C, "")</f>
        <v>0</v>
      </c>
      <c r="H17" s="31">
        <f>_xlfn.XLOOKUP(B17, Rate_Master!$A:$A, Rate_Master!$D:$D, "")</f>
        <v>252999.99999999997</v>
      </c>
      <c r="I17" s="66">
        <f t="shared" si="1"/>
        <v>252999.99999999997</v>
      </c>
      <c r="J17" s="32">
        <f t="shared" si="2"/>
        <v>6577999.9999999991</v>
      </c>
      <c r="K17" s="32">
        <f t="shared" si="3"/>
        <v>6577999.9999999991</v>
      </c>
      <c r="L17" s="32"/>
    </row>
    <row r="18" spans="1:12" s="4" customFormat="1" ht="25.5" customHeight="1" outlineLevel="1">
      <c r="A18" s="27" t="str">
        <f t="shared" si="0"/>
        <v>13A.C1.7</v>
      </c>
      <c r="B18" s="28" t="s">
        <v>9</v>
      </c>
      <c r="C18" s="28" t="s">
        <v>515</v>
      </c>
      <c r="D18" s="29" t="s">
        <v>517</v>
      </c>
      <c r="E18" s="31">
        <v>2750</v>
      </c>
      <c r="F18" s="31">
        <v>2750</v>
      </c>
      <c r="G18" s="31">
        <f>_xlfn.XLOOKUP(B18, Rate_Master!$A:$A, Rate_Master!$C:$C, "")</f>
        <v>402499.99999999994</v>
      </c>
      <c r="H18" s="31">
        <f>_xlfn.XLOOKUP(B18, Rate_Master!$A:$A, Rate_Master!$D:$D, "")</f>
        <v>0</v>
      </c>
      <c r="I18" s="66">
        <f t="shared" si="1"/>
        <v>402499.99999999994</v>
      </c>
      <c r="J18" s="32">
        <f t="shared" si="2"/>
        <v>1106874999.9999998</v>
      </c>
      <c r="K18" s="32">
        <f t="shared" si="3"/>
        <v>1106874999.9999998</v>
      </c>
      <c r="L18" s="32"/>
    </row>
    <row r="19" spans="1:12" s="4" customFormat="1" ht="25.5" customHeight="1" outlineLevel="1">
      <c r="A19" s="27" t="str">
        <f t="shared" si="0"/>
        <v>13A.C1.8</v>
      </c>
      <c r="B19" s="28" t="s">
        <v>10</v>
      </c>
      <c r="C19" s="28" t="s">
        <v>515</v>
      </c>
      <c r="D19" s="29" t="s">
        <v>518</v>
      </c>
      <c r="E19" s="31">
        <v>128</v>
      </c>
      <c r="F19" s="31">
        <v>128</v>
      </c>
      <c r="G19" s="31">
        <f>_xlfn.XLOOKUP(B19, Rate_Master!$A:$A, Rate_Master!$C:$C, "")</f>
        <v>80500</v>
      </c>
      <c r="H19" s="31">
        <f>_xlfn.XLOOKUP(B19, Rate_Master!$A:$A, Rate_Master!$D:$D, "")</f>
        <v>0</v>
      </c>
      <c r="I19" s="66">
        <f t="shared" si="1"/>
        <v>80500</v>
      </c>
      <c r="J19" s="32">
        <f t="shared" si="2"/>
        <v>10304000</v>
      </c>
      <c r="K19" s="32">
        <f t="shared" si="3"/>
        <v>10304000</v>
      </c>
      <c r="L19" s="32"/>
    </row>
    <row r="20" spans="1:12" s="4" customFormat="1" ht="25.5" customHeight="1" outlineLevel="1">
      <c r="A20" s="27" t="str">
        <f t="shared" si="0"/>
        <v>13A.C1.9</v>
      </c>
      <c r="B20" s="28" t="s">
        <v>11</v>
      </c>
      <c r="C20" s="28" t="s">
        <v>515</v>
      </c>
      <c r="D20" s="29" t="s">
        <v>517</v>
      </c>
      <c r="E20" s="31">
        <v>2625</v>
      </c>
      <c r="F20" s="31">
        <v>2625</v>
      </c>
      <c r="G20" s="31">
        <f>_xlfn.XLOOKUP(B20, Rate_Master!$A:$A, Rate_Master!$C:$C, "")</f>
        <v>0</v>
      </c>
      <c r="H20" s="31">
        <f>_xlfn.XLOOKUP(B20, Rate_Master!$A:$A, Rate_Master!$D:$D, "")</f>
        <v>69000</v>
      </c>
      <c r="I20" s="66">
        <f t="shared" si="1"/>
        <v>69000</v>
      </c>
      <c r="J20" s="32">
        <f t="shared" si="2"/>
        <v>181125000</v>
      </c>
      <c r="K20" s="32">
        <f t="shared" si="3"/>
        <v>181125000</v>
      </c>
      <c r="L20" s="32"/>
    </row>
    <row r="21" spans="1:12" s="4" customFormat="1" ht="25.5" customHeight="1" outlineLevel="1">
      <c r="A21" s="27" t="str">
        <f t="shared" si="0"/>
        <v>13A.C1.10</v>
      </c>
      <c r="B21" s="28" t="s">
        <v>12</v>
      </c>
      <c r="C21" s="28" t="s">
        <v>515</v>
      </c>
      <c r="D21" s="29" t="s">
        <v>517</v>
      </c>
      <c r="E21" s="31">
        <v>2750</v>
      </c>
      <c r="F21" s="31">
        <v>2750</v>
      </c>
      <c r="G21" s="31">
        <f>_xlfn.XLOOKUP(B21, Rate_Master!$A:$A, Rate_Master!$C:$C, "")</f>
        <v>0</v>
      </c>
      <c r="H21" s="31">
        <f>_xlfn.XLOOKUP(B21, Rate_Master!$A:$A, Rate_Master!$D:$D, "")</f>
        <v>57499.999999999993</v>
      </c>
      <c r="I21" s="66">
        <f t="shared" si="1"/>
        <v>57499.999999999993</v>
      </c>
      <c r="J21" s="32">
        <f t="shared" si="2"/>
        <v>158124999.99999997</v>
      </c>
      <c r="K21" s="32">
        <f t="shared" si="3"/>
        <v>158124999.99999997</v>
      </c>
      <c r="L21" s="32"/>
    </row>
    <row r="22" spans="1:12" s="4" customFormat="1" ht="63.75" customHeight="1" outlineLevel="1">
      <c r="A22" s="27" t="str">
        <f t="shared" si="0"/>
        <v>13A.C1.11</v>
      </c>
      <c r="B22" s="28" t="s">
        <v>13</v>
      </c>
      <c r="C22" s="28" t="s">
        <v>515</v>
      </c>
      <c r="D22" s="29" t="s">
        <v>518</v>
      </c>
      <c r="E22" s="31">
        <v>128</v>
      </c>
      <c r="F22" s="31">
        <v>128</v>
      </c>
      <c r="G22" s="31">
        <f>_xlfn.XLOOKUP(B22, Rate_Master!$A:$A, Rate_Master!$C:$C, "")</f>
        <v>482999.99999999994</v>
      </c>
      <c r="H22" s="31">
        <f>_xlfn.XLOOKUP(B22, Rate_Master!$A:$A, Rate_Master!$D:$D, "")</f>
        <v>161000</v>
      </c>
      <c r="I22" s="66">
        <f t="shared" si="1"/>
        <v>644000</v>
      </c>
      <c r="J22" s="32">
        <f t="shared" si="2"/>
        <v>82432000</v>
      </c>
      <c r="K22" s="32">
        <f t="shared" si="3"/>
        <v>82432000</v>
      </c>
      <c r="L22" s="32"/>
    </row>
    <row r="23" spans="1:12" s="3" customFormat="1" ht="25.5" customHeight="1">
      <c r="A23" s="22" t="str">
        <f>$A$10&amp;2</f>
        <v>13A.C2</v>
      </c>
      <c r="B23" s="23" t="s">
        <v>14</v>
      </c>
      <c r="C23" s="23" t="s">
        <v>515</v>
      </c>
      <c r="D23" s="22"/>
      <c r="E23" s="25"/>
      <c r="F23" s="25"/>
      <c r="G23" s="25">
        <f>_xlfn.XLOOKUP(B23, Rate_Master!$A:$A, Rate_Master!$C:$C, "")</f>
        <v>0</v>
      </c>
      <c r="H23" s="25">
        <f>_xlfn.XLOOKUP(B23, Rate_Master!$A:$A, Rate_Master!$D:$D, "")</f>
        <v>0</v>
      </c>
      <c r="I23" s="26"/>
      <c r="J23" s="26">
        <f>SUBTOTAL(9,J24:J31)</f>
        <v>243351729.42499998</v>
      </c>
      <c r="K23" s="26">
        <f>SUBTOTAL(9,K24:K31)</f>
        <v>243351729.42499998</v>
      </c>
      <c r="L23" s="26"/>
    </row>
    <row r="24" spans="1:12" s="4" customFormat="1" ht="25.5" customHeight="1" outlineLevel="1">
      <c r="A24" s="27" t="str">
        <f t="shared" ref="A24:A31" si="4">$A$23&amp;"."&amp;ROW()-ROW($A$23)</f>
        <v>13A.C2.1</v>
      </c>
      <c r="B24" s="28" t="s">
        <v>15</v>
      </c>
      <c r="C24" s="28" t="s">
        <v>515</v>
      </c>
      <c r="D24" s="29" t="s">
        <v>519</v>
      </c>
      <c r="E24" s="31">
        <v>360.65600000000001</v>
      </c>
      <c r="F24" s="31">
        <v>360.65600000000001</v>
      </c>
      <c r="G24" s="31">
        <f>_xlfn.XLOOKUP(B24, Rate_Master!$A:$A, Rate_Master!$C:$C, "")</f>
        <v>0</v>
      </c>
      <c r="H24" s="31">
        <f>_xlfn.XLOOKUP(B24, Rate_Master!$A:$A, Rate_Master!$D:$D, "")</f>
        <v>32199.999999999996</v>
      </c>
      <c r="I24" s="66">
        <f t="shared" ref="I24:I31" si="5">G24+H24</f>
        <v>32199.999999999996</v>
      </c>
      <c r="J24" s="32">
        <f t="shared" ref="J24:J31" si="6">I24*E24</f>
        <v>11613123.199999999</v>
      </c>
      <c r="K24" s="32">
        <f t="shared" ref="K24:K31" si="7">I24*F24</f>
        <v>11613123.199999999</v>
      </c>
      <c r="L24" s="32"/>
    </row>
    <row r="25" spans="1:12" s="4" customFormat="1" ht="25.5" customHeight="1" outlineLevel="1">
      <c r="A25" s="27" t="str">
        <f t="shared" si="4"/>
        <v>13A.C2.2</v>
      </c>
      <c r="B25" s="28" t="s">
        <v>16</v>
      </c>
      <c r="C25" s="28" t="s">
        <v>515</v>
      </c>
      <c r="D25" s="29" t="s">
        <v>520</v>
      </c>
      <c r="E25" s="31">
        <v>406.39</v>
      </c>
      <c r="F25" s="31">
        <v>406.39</v>
      </c>
      <c r="G25" s="31">
        <f>_xlfn.XLOOKUP(B25, Rate_Master!$A:$A, Rate_Master!$C:$C, "")</f>
        <v>0</v>
      </c>
      <c r="H25" s="31">
        <f>_xlfn.XLOOKUP(B25, Rate_Master!$A:$A, Rate_Master!$D:$D, "")</f>
        <v>17250</v>
      </c>
      <c r="I25" s="66">
        <f t="shared" si="5"/>
        <v>17250</v>
      </c>
      <c r="J25" s="32">
        <f t="shared" si="6"/>
        <v>7010227.5</v>
      </c>
      <c r="K25" s="32">
        <f t="shared" si="7"/>
        <v>7010227.5</v>
      </c>
      <c r="L25" s="32"/>
    </row>
    <row r="26" spans="1:12" s="4" customFormat="1" ht="25.5" customHeight="1" outlineLevel="1">
      <c r="A26" s="27" t="str">
        <f t="shared" si="4"/>
        <v>13A.C2.3</v>
      </c>
      <c r="B26" s="28" t="s">
        <v>17</v>
      </c>
      <c r="C26" s="28" t="s">
        <v>515</v>
      </c>
      <c r="D26" s="29" t="s">
        <v>519</v>
      </c>
      <c r="E26" s="31">
        <v>232.58099999999999</v>
      </c>
      <c r="F26" s="31">
        <v>232.58099999999999</v>
      </c>
      <c r="G26" s="31">
        <f>_xlfn.XLOOKUP(B26, Rate_Master!$A:$A, Rate_Master!$C:$C, "")</f>
        <v>0</v>
      </c>
      <c r="H26" s="31">
        <f>_xlfn.XLOOKUP(B26, Rate_Master!$A:$A, Rate_Master!$D:$D, "")</f>
        <v>37950</v>
      </c>
      <c r="I26" s="66">
        <f t="shared" si="5"/>
        <v>37950</v>
      </c>
      <c r="J26" s="32">
        <f t="shared" si="6"/>
        <v>8826448.9499999993</v>
      </c>
      <c r="K26" s="32">
        <f t="shared" si="7"/>
        <v>8826448.9499999993</v>
      </c>
      <c r="L26" s="32"/>
    </row>
    <row r="27" spans="1:12" s="4" customFormat="1" ht="25.5" customHeight="1" outlineLevel="1">
      <c r="A27" s="27" t="str">
        <f t="shared" si="4"/>
        <v>13A.C2.4</v>
      </c>
      <c r="B27" s="34" t="s">
        <v>18</v>
      </c>
      <c r="C27" s="34" t="s">
        <v>521</v>
      </c>
      <c r="D27" s="29" t="s">
        <v>519</v>
      </c>
      <c r="E27" s="31">
        <v>128.07499999999999</v>
      </c>
      <c r="F27" s="31">
        <v>128.07499999999999</v>
      </c>
      <c r="G27" s="31">
        <f>_xlfn.XLOOKUP(B27, Rate_Master!$A:$A, Rate_Master!$C:$C, "")</f>
        <v>0</v>
      </c>
      <c r="H27" s="31">
        <f>_xlfn.XLOOKUP(B27, Rate_Master!$A:$A, Rate_Master!$D:$D, "")</f>
        <v>32199.999999999996</v>
      </c>
      <c r="I27" s="66">
        <f t="shared" si="5"/>
        <v>32199.999999999996</v>
      </c>
      <c r="J27" s="32">
        <f t="shared" si="6"/>
        <v>4124014.9999999991</v>
      </c>
      <c r="K27" s="32">
        <f t="shared" si="7"/>
        <v>4124014.9999999991</v>
      </c>
      <c r="L27" s="32"/>
    </row>
    <row r="28" spans="1:12" s="4" customFormat="1" ht="25.5" customHeight="1" outlineLevel="1">
      <c r="A28" s="27" t="str">
        <f t="shared" si="4"/>
        <v>13A.C2.5</v>
      </c>
      <c r="B28" s="28" t="s">
        <v>19</v>
      </c>
      <c r="C28" s="28" t="s">
        <v>515</v>
      </c>
      <c r="D28" s="29" t="s">
        <v>520</v>
      </c>
      <c r="E28" s="31">
        <v>406.39</v>
      </c>
      <c r="F28" s="31">
        <v>406.39</v>
      </c>
      <c r="G28" s="31">
        <f>_xlfn.XLOOKUP(B28, Rate_Master!$A:$A, Rate_Master!$C:$C, "")</f>
        <v>6899.9999999999991</v>
      </c>
      <c r="H28" s="31">
        <f>_xlfn.XLOOKUP(B28, Rate_Master!$A:$A, Rate_Master!$D:$D, "")</f>
        <v>1724.9999999999998</v>
      </c>
      <c r="I28" s="66">
        <f t="shared" si="5"/>
        <v>8624.9999999999982</v>
      </c>
      <c r="J28" s="32">
        <f t="shared" si="6"/>
        <v>3505113.7499999991</v>
      </c>
      <c r="K28" s="32">
        <f t="shared" si="7"/>
        <v>3505113.7499999991</v>
      </c>
      <c r="L28" s="32"/>
    </row>
    <row r="29" spans="1:12" s="4" customFormat="1" ht="38.25" customHeight="1" outlineLevel="1">
      <c r="A29" s="27" t="str">
        <f t="shared" si="4"/>
        <v>13A.C2.6</v>
      </c>
      <c r="B29" s="28" t="s">
        <v>20</v>
      </c>
      <c r="C29" s="28" t="s">
        <v>515</v>
      </c>
      <c r="D29" s="29" t="s">
        <v>520</v>
      </c>
      <c r="E29" s="31">
        <v>749.61199999999997</v>
      </c>
      <c r="F29" s="31">
        <v>749.61199999999997</v>
      </c>
      <c r="G29" s="31">
        <f>_xlfn.XLOOKUP(B29, Rate_Master!$A:$A, Rate_Master!$C:$C, "")</f>
        <v>34500</v>
      </c>
      <c r="H29" s="31">
        <f>_xlfn.XLOOKUP(B29, Rate_Master!$A:$A, Rate_Master!$D:$D, "")</f>
        <v>5750</v>
      </c>
      <c r="I29" s="66">
        <f t="shared" si="5"/>
        <v>40250</v>
      </c>
      <c r="J29" s="32">
        <f t="shared" si="6"/>
        <v>30171883</v>
      </c>
      <c r="K29" s="32">
        <f t="shared" si="7"/>
        <v>30171883</v>
      </c>
      <c r="L29" s="32"/>
    </row>
    <row r="30" spans="1:12" s="4" customFormat="1" ht="25.5" customHeight="1" outlineLevel="1">
      <c r="A30" s="27" t="str">
        <f t="shared" si="4"/>
        <v>13A.C2.7</v>
      </c>
      <c r="B30" s="34" t="s">
        <v>21</v>
      </c>
      <c r="C30" s="28" t="s">
        <v>515</v>
      </c>
      <c r="D30" s="29" t="s">
        <v>520</v>
      </c>
      <c r="E30" s="31">
        <v>749.61199999999997</v>
      </c>
      <c r="F30" s="31">
        <v>749.61199999999997</v>
      </c>
      <c r="G30" s="31">
        <f>_xlfn.XLOOKUP(B30, Rate_Master!$A:$A, Rate_Master!$C:$C, "")</f>
        <v>0</v>
      </c>
      <c r="H30" s="31">
        <f>_xlfn.XLOOKUP(B30, Rate_Master!$A:$A, Rate_Master!$D:$D, "")</f>
        <v>13799.999999999998</v>
      </c>
      <c r="I30" s="32">
        <f t="shared" si="5"/>
        <v>13799.999999999998</v>
      </c>
      <c r="J30" s="32">
        <f t="shared" si="6"/>
        <v>10344645.599999998</v>
      </c>
      <c r="K30" s="32">
        <f t="shared" si="7"/>
        <v>10344645.599999998</v>
      </c>
      <c r="L30" s="32"/>
    </row>
    <row r="31" spans="1:12" s="4" customFormat="1" ht="25.5" customHeight="1" outlineLevel="1">
      <c r="A31" s="27" t="str">
        <f t="shared" si="4"/>
        <v>13A.C2.8</v>
      </c>
      <c r="B31" s="28" t="s">
        <v>22</v>
      </c>
      <c r="C31" s="28" t="s">
        <v>515</v>
      </c>
      <c r="D31" s="29" t="s">
        <v>519</v>
      </c>
      <c r="E31" s="31">
        <v>272.40899999999999</v>
      </c>
      <c r="F31" s="31">
        <v>272.40899999999999</v>
      </c>
      <c r="G31" s="31">
        <f>_xlfn.XLOOKUP(B31, Rate_Master!$A:$A, Rate_Master!$C:$C, "")</f>
        <v>512325</v>
      </c>
      <c r="H31" s="31">
        <f>_xlfn.XLOOKUP(B31, Rate_Master!$A:$A, Rate_Master!$D:$D, "")</f>
        <v>103499.99999999999</v>
      </c>
      <c r="I31" s="66">
        <f t="shared" si="5"/>
        <v>615825</v>
      </c>
      <c r="J31" s="32">
        <f t="shared" si="6"/>
        <v>167756272.42499998</v>
      </c>
      <c r="K31" s="32">
        <f t="shared" si="7"/>
        <v>167756272.42499998</v>
      </c>
      <c r="L31" s="32"/>
    </row>
    <row r="32" spans="1:12" s="3" customFormat="1" ht="25.5" customHeight="1">
      <c r="A32" s="22" t="str">
        <f>$A$10&amp;3</f>
        <v>13A.C3</v>
      </c>
      <c r="B32" s="23" t="s">
        <v>23</v>
      </c>
      <c r="C32" s="23" t="s">
        <v>515</v>
      </c>
      <c r="D32" s="22"/>
      <c r="E32" s="25"/>
      <c r="F32" s="25"/>
      <c r="G32" s="25">
        <f>_xlfn.XLOOKUP(B32, Rate_Master!$A:$A, Rate_Master!$C:$C, "")</f>
        <v>0</v>
      </c>
      <c r="H32" s="25">
        <f>_xlfn.XLOOKUP(B32, Rate_Master!$A:$A, Rate_Master!$D:$D, "")</f>
        <v>0</v>
      </c>
      <c r="I32" s="26"/>
      <c r="J32" s="26">
        <f>SUBTOTAL(9,J33:J39)</f>
        <v>1836564463.9333329</v>
      </c>
      <c r="K32" s="26">
        <f>SUBTOTAL(9,K33:K39)</f>
        <v>1836564463.9333329</v>
      </c>
      <c r="L32" s="26"/>
    </row>
    <row r="33" spans="1:12" s="4" customFormat="1" ht="25.5" customHeight="1" outlineLevel="1">
      <c r="A33" s="27" t="str">
        <f t="shared" ref="A33:A39" si="8">$A$32&amp;"."&amp;ROW()-ROW($A$32)</f>
        <v>13A.C3.1</v>
      </c>
      <c r="B33" s="28" t="s">
        <v>24</v>
      </c>
      <c r="C33" s="28" t="s">
        <v>515</v>
      </c>
      <c r="D33" s="29" t="s">
        <v>519</v>
      </c>
      <c r="E33" s="31">
        <v>40.911999999999999</v>
      </c>
      <c r="F33" s="31">
        <v>40.911999999999999</v>
      </c>
      <c r="G33" s="30">
        <f>_xlfn.XLOOKUP(B33, Rate_Master!$A:$A, Rate_Master!$C:$C, "")</f>
        <v>1249762.5</v>
      </c>
      <c r="H33" s="30">
        <f>_xlfn.XLOOKUP(B33, Rate_Master!$A:$A, Rate_Master!$D:$D, "")</f>
        <v>206999.99999999997</v>
      </c>
      <c r="I33" s="66">
        <f>+H33+G33</f>
        <v>1456762.5</v>
      </c>
      <c r="J33" s="32">
        <f t="shared" ref="J33:J39" si="9">I33*E33</f>
        <v>59599067.399999999</v>
      </c>
      <c r="K33" s="32">
        <f t="shared" ref="K33:K39" si="10">I33*F33</f>
        <v>59599067.399999999</v>
      </c>
      <c r="L33" s="32"/>
    </row>
    <row r="34" spans="1:12" s="4" customFormat="1" ht="51" customHeight="1" outlineLevel="1">
      <c r="A34" s="27" t="str">
        <f t="shared" si="8"/>
        <v>13A.C3.2</v>
      </c>
      <c r="B34" s="28" t="s">
        <v>25</v>
      </c>
      <c r="C34" s="28" t="s">
        <v>515</v>
      </c>
      <c r="D34" s="29" t="s">
        <v>519</v>
      </c>
      <c r="E34" s="31">
        <v>403.13799999999998</v>
      </c>
      <c r="F34" s="31">
        <v>403.13799999999998</v>
      </c>
      <c r="G34" s="30">
        <f>_xlfn.XLOOKUP(B34, Rate_Master!$A:$A, Rate_Master!$C:$C, "")</f>
        <v>1607444.4444444443</v>
      </c>
      <c r="H34" s="30">
        <f>_xlfn.XLOOKUP(B34, Rate_Master!$A:$A, Rate_Master!$D:$D, "")</f>
        <v>149500</v>
      </c>
      <c r="I34" s="66">
        <f>+H34+G34</f>
        <v>1756944.4444444443</v>
      </c>
      <c r="J34" s="32">
        <f t="shared" si="9"/>
        <v>708291069.4444443</v>
      </c>
      <c r="K34" s="32">
        <f t="shared" si="10"/>
        <v>708291069.4444443</v>
      </c>
      <c r="L34" s="32"/>
    </row>
    <row r="35" spans="1:12" s="4" customFormat="1" ht="25.5" customHeight="1" outlineLevel="1">
      <c r="A35" s="27" t="str">
        <f t="shared" si="8"/>
        <v>13A.C3.3</v>
      </c>
      <c r="B35" s="28" t="s">
        <v>26</v>
      </c>
      <c r="C35" s="28" t="s">
        <v>515</v>
      </c>
      <c r="D35" s="29" t="s">
        <v>519</v>
      </c>
      <c r="E35" s="31">
        <v>68.716999999999999</v>
      </c>
      <c r="F35" s="31">
        <v>68.716999999999999</v>
      </c>
      <c r="G35" s="30">
        <f>_xlfn.XLOOKUP(B35, Rate_Master!$A:$A, Rate_Master!$C:$C, "")</f>
        <v>1520555.5555555553</v>
      </c>
      <c r="H35" s="30">
        <f>_xlfn.XLOOKUP(B35, Rate_Master!$A:$A, Rate_Master!$D:$D, "")</f>
        <v>252999.99999999997</v>
      </c>
      <c r="I35" s="66">
        <f>+H35+G35</f>
        <v>1773555.5555555553</v>
      </c>
      <c r="J35" s="32">
        <f t="shared" si="9"/>
        <v>121873417.11111109</v>
      </c>
      <c r="K35" s="32">
        <f t="shared" si="10"/>
        <v>121873417.11111109</v>
      </c>
      <c r="L35" s="32"/>
    </row>
    <row r="36" spans="1:12" s="4" customFormat="1" ht="25.5" customHeight="1" outlineLevel="1">
      <c r="A36" s="27" t="str">
        <f t="shared" si="8"/>
        <v>13A.C3.4</v>
      </c>
      <c r="B36" s="28" t="s">
        <v>27</v>
      </c>
      <c r="C36" s="28" t="s">
        <v>515</v>
      </c>
      <c r="D36" s="29" t="s">
        <v>519</v>
      </c>
      <c r="E36" s="31">
        <v>508.26499999999999</v>
      </c>
      <c r="F36" s="31">
        <v>508.26499999999999</v>
      </c>
      <c r="G36" s="30">
        <f>_xlfn.XLOOKUP(B36, Rate_Master!$A:$A, Rate_Master!$C:$C, "")</f>
        <v>1520555.5555555553</v>
      </c>
      <c r="H36" s="30">
        <f>_xlfn.XLOOKUP(B36, Rate_Master!$A:$A, Rate_Master!$D:$D, "")</f>
        <v>149500</v>
      </c>
      <c r="I36" s="66">
        <f>+H36+G36</f>
        <v>1670055.5555555553</v>
      </c>
      <c r="J36" s="32">
        <f t="shared" si="9"/>
        <v>848830786.9444443</v>
      </c>
      <c r="K36" s="32">
        <f t="shared" si="10"/>
        <v>848830786.9444443</v>
      </c>
      <c r="L36" s="32"/>
    </row>
    <row r="37" spans="1:12" s="4" customFormat="1" ht="25.5" customHeight="1" outlineLevel="1">
      <c r="A37" s="27" t="str">
        <f t="shared" si="8"/>
        <v>13A.C3.5</v>
      </c>
      <c r="B37" s="28" t="s">
        <v>28</v>
      </c>
      <c r="C37" s="28" t="s">
        <v>515</v>
      </c>
      <c r="D37" s="29" t="s">
        <v>519</v>
      </c>
      <c r="E37" s="31">
        <v>63.628439999999998</v>
      </c>
      <c r="F37" s="31">
        <v>63.628439999999998</v>
      </c>
      <c r="G37" s="30">
        <f>_xlfn.XLOOKUP(B37, Rate_Master!$A:$A, Rate_Master!$C:$C, "")</f>
        <v>1390222.2222222222</v>
      </c>
      <c r="H37" s="30">
        <f>_xlfn.XLOOKUP(B37, Rate_Master!$A:$A, Rate_Master!$D:$D, "")</f>
        <v>149500</v>
      </c>
      <c r="I37" s="66">
        <f>+H37+G37</f>
        <v>1539722.2222222222</v>
      </c>
      <c r="J37" s="32">
        <f t="shared" si="9"/>
        <v>97970123.033333331</v>
      </c>
      <c r="K37" s="32">
        <f t="shared" si="10"/>
        <v>97970123.033333331</v>
      </c>
      <c r="L37" s="32"/>
    </row>
    <row r="38" spans="1:12" s="4" customFormat="1" ht="25.5" customHeight="1" outlineLevel="1">
      <c r="A38" s="27" t="str">
        <f t="shared" si="8"/>
        <v>13A.C3.6</v>
      </c>
      <c r="B38" s="28" t="s">
        <v>29</v>
      </c>
      <c r="C38" s="28" t="s">
        <v>515</v>
      </c>
      <c r="D38" s="29" t="s">
        <v>519</v>
      </c>
      <c r="E38" s="31">
        <v>0</v>
      </c>
      <c r="F38" s="31">
        <v>0</v>
      </c>
      <c r="G38" s="30">
        <f>_xlfn.XLOOKUP(B38, Rate_Master!$A:$A, Rate_Master!$C:$C, "")</f>
        <v>1390222.2222222222</v>
      </c>
      <c r="H38" s="30">
        <f>_xlfn.XLOOKUP(B38, Rate_Master!$A:$A, Rate_Master!$D:$D, "")</f>
        <v>149500</v>
      </c>
      <c r="I38" s="32">
        <v>0</v>
      </c>
      <c r="J38" s="32">
        <f t="shared" si="9"/>
        <v>0</v>
      </c>
      <c r="K38" s="32">
        <f t="shared" si="10"/>
        <v>0</v>
      </c>
      <c r="L38" s="32"/>
    </row>
    <row r="39" spans="1:12" s="4" customFormat="1" ht="38.25" customHeight="1" outlineLevel="1">
      <c r="A39" s="27" t="str">
        <f t="shared" si="8"/>
        <v>13A.C3.7</v>
      </c>
      <c r="B39" s="28" t="s">
        <v>30</v>
      </c>
      <c r="C39" s="28" t="s">
        <v>515</v>
      </c>
      <c r="D39" s="29" t="s">
        <v>519</v>
      </c>
      <c r="E39" s="31">
        <v>0</v>
      </c>
      <c r="F39" s="31">
        <v>0</v>
      </c>
      <c r="G39" s="30">
        <f>_xlfn.XLOOKUP(B39, Rate_Master!$A:$A, Rate_Master!$C:$C, "")</f>
        <v>22425000</v>
      </c>
      <c r="H39" s="30">
        <f>_xlfn.XLOOKUP(B39, Rate_Master!$A:$A, Rate_Master!$D:$D, "")</f>
        <v>8003999.9999999991</v>
      </c>
      <c r="I39" s="32">
        <v>0</v>
      </c>
      <c r="J39" s="32">
        <f t="shared" si="9"/>
        <v>0</v>
      </c>
      <c r="K39" s="32">
        <f t="shared" si="10"/>
        <v>0</v>
      </c>
      <c r="L39" s="32"/>
    </row>
    <row r="40" spans="1:12" s="3" customFormat="1" ht="25.5" customHeight="1">
      <c r="A40" s="22" t="str">
        <f>$A$10&amp;4</f>
        <v>13A.C4</v>
      </c>
      <c r="B40" s="23" t="s">
        <v>31</v>
      </c>
      <c r="C40" s="23" t="s">
        <v>515</v>
      </c>
      <c r="D40" s="22"/>
      <c r="E40" s="25"/>
      <c r="F40" s="25"/>
      <c r="G40" s="25">
        <f>_xlfn.XLOOKUP(B40, Rate_Master!$A:$A, Rate_Master!$C:$C, "")</f>
        <v>0</v>
      </c>
      <c r="H40" s="25">
        <f>_xlfn.XLOOKUP(B40, Rate_Master!$A:$A, Rate_Master!$D:$D, "")</f>
        <v>0</v>
      </c>
      <c r="I40" s="26"/>
      <c r="J40" s="26">
        <f>SUBTOTAL(9,J41:J45)</f>
        <v>638926510.5</v>
      </c>
      <c r="K40" s="26">
        <f>SUBTOTAL(9,K41:K45)</f>
        <v>638926510.5</v>
      </c>
      <c r="L40" s="26"/>
    </row>
    <row r="41" spans="1:12" s="4" customFormat="1" ht="25.5" customHeight="1" outlineLevel="1">
      <c r="A41" s="27" t="str">
        <f>$A$40&amp;"."&amp;ROW()-ROW($A$40)</f>
        <v>13A.C4.1</v>
      </c>
      <c r="B41" s="28" t="s">
        <v>32</v>
      </c>
      <c r="C41" s="28" t="s">
        <v>515</v>
      </c>
      <c r="D41" s="29" t="s">
        <v>520</v>
      </c>
      <c r="E41" s="31">
        <v>108.17</v>
      </c>
      <c r="F41" s="31">
        <v>108.17</v>
      </c>
      <c r="G41" s="30">
        <f>_xlfn.XLOOKUP(B41, Rate_Master!$A:$A, Rate_Master!$C:$C, "")</f>
        <v>80500</v>
      </c>
      <c r="H41" s="30">
        <f>_xlfn.XLOOKUP(B41, Rate_Master!$A:$A, Rate_Master!$D:$D, "")</f>
        <v>92000</v>
      </c>
      <c r="I41" s="66">
        <f>+H41+G41</f>
        <v>172500</v>
      </c>
      <c r="J41" s="32">
        <f>I41*E41</f>
        <v>18659325</v>
      </c>
      <c r="K41" s="32">
        <f>I41*F41</f>
        <v>18659325</v>
      </c>
      <c r="L41" s="32"/>
    </row>
    <row r="42" spans="1:12" s="4" customFormat="1" ht="38.25" customHeight="1" outlineLevel="1">
      <c r="A42" s="27" t="str">
        <f>$A$40&amp;"."&amp;ROW()-ROW($A$40)</f>
        <v>13A.C4.2</v>
      </c>
      <c r="B42" s="28" t="s">
        <v>33</v>
      </c>
      <c r="C42" s="28" t="s">
        <v>515</v>
      </c>
      <c r="D42" s="29" t="s">
        <v>520</v>
      </c>
      <c r="E42" s="31">
        <v>674.96100000000001</v>
      </c>
      <c r="F42" s="31">
        <v>674.96100000000001</v>
      </c>
      <c r="G42" s="30">
        <f>_xlfn.XLOOKUP(B42, Rate_Master!$A:$A, Rate_Master!$C:$C, "")</f>
        <v>126499.99999999999</v>
      </c>
      <c r="H42" s="30">
        <f>_xlfn.XLOOKUP(B42, Rate_Master!$A:$A, Rate_Master!$D:$D, "")</f>
        <v>103499.99999999999</v>
      </c>
      <c r="I42" s="66">
        <f>+H42+G42</f>
        <v>229999.99999999997</v>
      </c>
      <c r="J42" s="32">
        <f>I42*E42</f>
        <v>155241029.99999997</v>
      </c>
      <c r="K42" s="32">
        <f>I42*F42</f>
        <v>155241029.99999997</v>
      </c>
      <c r="L42" s="32"/>
    </row>
    <row r="43" spans="1:12" s="4" customFormat="1" ht="25.5" customHeight="1" outlineLevel="1">
      <c r="A43" s="27" t="str">
        <f>$A$40&amp;"."&amp;ROW()-ROW($A$40)</f>
        <v>13A.C4.3</v>
      </c>
      <c r="B43" s="28" t="s">
        <v>34</v>
      </c>
      <c r="C43" s="28" t="s">
        <v>515</v>
      </c>
      <c r="D43" s="29" t="s">
        <v>520</v>
      </c>
      <c r="E43" s="31">
        <v>916.89599999999996</v>
      </c>
      <c r="F43" s="31">
        <v>916.89599999999996</v>
      </c>
      <c r="G43" s="30">
        <f>_xlfn.XLOOKUP(B43, Rate_Master!$A:$A, Rate_Master!$C:$C, "")</f>
        <v>126499.99999999999</v>
      </c>
      <c r="H43" s="30">
        <f>_xlfn.XLOOKUP(B43, Rate_Master!$A:$A, Rate_Master!$D:$D, "")</f>
        <v>149500</v>
      </c>
      <c r="I43" s="66">
        <f>+H43+G43</f>
        <v>276000</v>
      </c>
      <c r="J43" s="32">
        <f>I43*E43</f>
        <v>253063296</v>
      </c>
      <c r="K43" s="32">
        <f>I43*F43</f>
        <v>253063296</v>
      </c>
      <c r="L43" s="32"/>
    </row>
    <row r="44" spans="1:12" s="4" customFormat="1" ht="25.5" customHeight="1" outlineLevel="1">
      <c r="A44" s="27" t="str">
        <f>$A$40&amp;"."&amp;ROW()-ROW($A$40)</f>
        <v>13A.C4.4</v>
      </c>
      <c r="B44" s="28" t="s">
        <v>35</v>
      </c>
      <c r="C44" s="28" t="s">
        <v>515</v>
      </c>
      <c r="D44" s="29" t="s">
        <v>520</v>
      </c>
      <c r="E44" s="31">
        <v>877.69299999999998</v>
      </c>
      <c r="F44" s="31">
        <v>877.69299999999998</v>
      </c>
      <c r="G44" s="30">
        <f>_xlfn.XLOOKUP(B44, Rate_Master!$A:$A, Rate_Master!$C:$C, "")</f>
        <v>126499.99999999999</v>
      </c>
      <c r="H44" s="30">
        <f>_xlfn.XLOOKUP(B44, Rate_Master!$A:$A, Rate_Master!$D:$D, "")</f>
        <v>114999.99999999999</v>
      </c>
      <c r="I44" s="66">
        <f>+H44+G44</f>
        <v>241499.99999999997</v>
      </c>
      <c r="J44" s="32">
        <f>I44*E44</f>
        <v>211962859.49999997</v>
      </c>
      <c r="K44" s="32">
        <f>I44*F44</f>
        <v>211962859.49999997</v>
      </c>
      <c r="L44" s="32"/>
    </row>
    <row r="45" spans="1:12" s="4" customFormat="1" ht="25.5" customHeight="1" outlineLevel="1">
      <c r="A45" s="27" t="str">
        <f>$A$40&amp;"."&amp;ROW()-ROW($A$40)</f>
        <v>13A.C4.5</v>
      </c>
      <c r="B45" s="28" t="s">
        <v>36</v>
      </c>
      <c r="C45" s="28" t="s">
        <v>515</v>
      </c>
      <c r="D45" s="29" t="s">
        <v>520</v>
      </c>
      <c r="E45" s="31">
        <v>0</v>
      </c>
      <c r="F45" s="31">
        <v>0</v>
      </c>
      <c r="G45" s="30">
        <f>_xlfn.XLOOKUP(B45, Rate_Master!$A:$A, Rate_Master!$C:$C, "")</f>
        <v>126499.99999999999</v>
      </c>
      <c r="H45" s="30">
        <f>_xlfn.XLOOKUP(B45, Rate_Master!$A:$A, Rate_Master!$D:$D, "")</f>
        <v>97749.999999999985</v>
      </c>
      <c r="I45" s="66"/>
      <c r="J45" s="32">
        <f>I45*E45</f>
        <v>0</v>
      </c>
      <c r="K45" s="32">
        <f>I45*F45</f>
        <v>0</v>
      </c>
      <c r="L45" s="32"/>
    </row>
    <row r="46" spans="1:12" s="3" customFormat="1" ht="25.5" customHeight="1">
      <c r="A46" s="22" t="str">
        <f>$A$10&amp;5</f>
        <v>13A.C5</v>
      </c>
      <c r="B46" s="23" t="s">
        <v>37</v>
      </c>
      <c r="C46" s="23" t="s">
        <v>515</v>
      </c>
      <c r="D46" s="22"/>
      <c r="E46" s="25"/>
      <c r="F46" s="25"/>
      <c r="G46" s="25">
        <f>_xlfn.XLOOKUP(B46, Rate_Master!$A:$A, Rate_Master!$C:$C, "")</f>
        <v>0</v>
      </c>
      <c r="H46" s="25">
        <f>_xlfn.XLOOKUP(B46, Rate_Master!$A:$A, Rate_Master!$D:$D, "")</f>
        <v>0</v>
      </c>
      <c r="I46" s="26"/>
      <c r="J46" s="26">
        <f>SUBTOTAL(9,J47:J51)</f>
        <v>3425361768.3832917</v>
      </c>
      <c r="K46" s="26">
        <f>SUBTOTAL(9,K47:K51)</f>
        <v>3425361768.3832917</v>
      </c>
      <c r="L46" s="26"/>
    </row>
    <row r="47" spans="1:12" s="4" customFormat="1" ht="38.25" customHeight="1" outlineLevel="1">
      <c r="A47" s="27" t="str">
        <f>$A$46&amp;"."&amp;ROW()-ROW($A$46)</f>
        <v>13A.C5.1</v>
      </c>
      <c r="B47" s="28" t="s">
        <v>38</v>
      </c>
      <c r="C47" s="28" t="s">
        <v>522</v>
      </c>
      <c r="D47" s="29" t="s">
        <v>523</v>
      </c>
      <c r="E47" s="31">
        <v>86173.659</v>
      </c>
      <c r="F47" s="31">
        <v>86173.659</v>
      </c>
      <c r="G47" s="30">
        <f>_xlfn.XLOOKUP(B47, Rate_Master!$A:$A, Rate_Master!$C:$C, "")</f>
        <v>16770.564999999999</v>
      </c>
      <c r="H47" s="30">
        <f>_xlfn.XLOOKUP(B47, Rate_Master!$A:$A, Rate_Master!$D:$D, "")</f>
        <v>2875</v>
      </c>
      <c r="I47" s="66">
        <f>+H47+G47</f>
        <v>19645.564999999999</v>
      </c>
      <c r="J47" s="32">
        <f>I47*E47</f>
        <v>1692930219.1723349</v>
      </c>
      <c r="K47" s="32">
        <f>I47*F47</f>
        <v>1692930219.1723349</v>
      </c>
      <c r="L47" s="32"/>
    </row>
    <row r="48" spans="1:12" s="4" customFormat="1" ht="25.5" customHeight="1" outlineLevel="1">
      <c r="A48" s="27" t="str">
        <f>$A$46&amp;"."&amp;ROW()-ROW($A$46)</f>
        <v>13A.C5.2</v>
      </c>
      <c r="B48" s="28" t="s">
        <v>39</v>
      </c>
      <c r="C48" s="28" t="s">
        <v>522</v>
      </c>
      <c r="D48" s="29" t="s">
        <v>523</v>
      </c>
      <c r="E48" s="31">
        <v>18935.166000000001</v>
      </c>
      <c r="F48" s="31">
        <v>18935.166000000001</v>
      </c>
      <c r="G48" s="30">
        <f>_xlfn.XLOOKUP(B48, Rate_Master!$A:$A, Rate_Master!$C:$C, "")</f>
        <v>16770.564999999999</v>
      </c>
      <c r="H48" s="30">
        <f>_xlfn.XLOOKUP(B48, Rate_Master!$A:$A, Rate_Master!$D:$D, "")</f>
        <v>3679.9999999999995</v>
      </c>
      <c r="I48" s="66">
        <f>+H48+G48</f>
        <v>20450.564999999999</v>
      </c>
      <c r="J48" s="32">
        <f>I48*E48</f>
        <v>387234843.06879002</v>
      </c>
      <c r="K48" s="32">
        <f>I48*F48</f>
        <v>387234843.06879002</v>
      </c>
      <c r="L48" s="32"/>
    </row>
    <row r="49" spans="1:16" s="4" customFormat="1" ht="25.5" customHeight="1" outlineLevel="1">
      <c r="A49" s="27" t="str">
        <f>$A$46&amp;"."&amp;ROW()-ROW($A$46)</f>
        <v>13A.C5.3</v>
      </c>
      <c r="B49" s="28" t="s">
        <v>40</v>
      </c>
      <c r="C49" s="28" t="s">
        <v>522</v>
      </c>
      <c r="D49" s="29" t="s">
        <v>523</v>
      </c>
      <c r="E49" s="31">
        <v>24296.777999999998</v>
      </c>
      <c r="F49" s="31">
        <v>24296.777999999998</v>
      </c>
      <c r="G49" s="30">
        <f>_xlfn.XLOOKUP(B49, Rate_Master!$A:$A, Rate_Master!$C:$C, "")</f>
        <v>16770.564999999999</v>
      </c>
      <c r="H49" s="30">
        <f>_xlfn.XLOOKUP(B49, Rate_Master!$A:$A, Rate_Master!$D:$D, "")</f>
        <v>3449.9999999999995</v>
      </c>
      <c r="I49" s="66">
        <f>+H49+G49</f>
        <v>20220.564999999999</v>
      </c>
      <c r="J49" s="32">
        <f>I49*E49</f>
        <v>491294578.83956993</v>
      </c>
      <c r="K49" s="32">
        <f>I49*F49</f>
        <v>491294578.83956993</v>
      </c>
      <c r="L49" s="32"/>
    </row>
    <row r="50" spans="1:16" s="4" customFormat="1" ht="25.5" customHeight="1" outlineLevel="1">
      <c r="A50" s="27" t="str">
        <f>$A$46&amp;"."&amp;ROW()-ROW($A$46)</f>
        <v>13A.C5.4</v>
      </c>
      <c r="B50" s="28" t="s">
        <v>41</v>
      </c>
      <c r="C50" s="28" t="s">
        <v>522</v>
      </c>
      <c r="D50" s="29" t="s">
        <v>523</v>
      </c>
      <c r="E50" s="31">
        <v>9739.2209999999995</v>
      </c>
      <c r="F50" s="31">
        <v>9739.2209999999995</v>
      </c>
      <c r="G50" s="30">
        <f>_xlfn.XLOOKUP(B50, Rate_Master!$A:$A, Rate_Master!$C:$C, "")</f>
        <v>16770.564999999999</v>
      </c>
      <c r="H50" s="30">
        <f>_xlfn.XLOOKUP(B50, Rate_Master!$A:$A, Rate_Master!$D:$D, "")</f>
        <v>3679.9999999999995</v>
      </c>
      <c r="I50" s="66">
        <f>+H50+G50</f>
        <v>20450.564999999999</v>
      </c>
      <c r="J50" s="32">
        <f>I50*E50</f>
        <v>199172572.10986498</v>
      </c>
      <c r="K50" s="32">
        <f>I50*F50</f>
        <v>199172572.10986498</v>
      </c>
      <c r="L50" s="32"/>
    </row>
    <row r="51" spans="1:16" s="4" customFormat="1" ht="25.5" customHeight="1" outlineLevel="1">
      <c r="A51" s="27" t="str">
        <f>$A$46&amp;"."&amp;ROW()-ROW($A$46)</f>
        <v>13A.C5.5</v>
      </c>
      <c r="B51" s="28" t="s">
        <v>42</v>
      </c>
      <c r="C51" s="28" t="s">
        <v>524</v>
      </c>
      <c r="D51" s="29" t="s">
        <v>523</v>
      </c>
      <c r="E51" s="31">
        <v>30760.6302</v>
      </c>
      <c r="F51" s="31">
        <v>30760.6302</v>
      </c>
      <c r="G51" s="30">
        <f>_xlfn.XLOOKUP(B51, Rate_Master!$A:$A, Rate_Master!$C:$C, "")</f>
        <v>17834.66</v>
      </c>
      <c r="H51" s="30">
        <f>_xlfn.XLOOKUP(B51, Rate_Master!$A:$A, Rate_Master!$D:$D, "")</f>
        <v>3449.9999999999995</v>
      </c>
      <c r="I51" s="66">
        <f>+H51+G51</f>
        <v>21284.66</v>
      </c>
      <c r="J51" s="32">
        <f>I51*E51</f>
        <v>654729555.19273198</v>
      </c>
      <c r="K51" s="32">
        <f>I51*F51</f>
        <v>654729555.19273198</v>
      </c>
      <c r="L51" s="32"/>
    </row>
    <row r="52" spans="1:16" s="3" customFormat="1" ht="25.5" customHeight="1">
      <c r="A52" s="22" t="str">
        <f>$A$10&amp;6</f>
        <v>13A.C6</v>
      </c>
      <c r="B52" s="23" t="s">
        <v>43</v>
      </c>
      <c r="C52" s="23" t="s">
        <v>515</v>
      </c>
      <c r="D52" s="22"/>
      <c r="E52" s="25"/>
      <c r="F52" s="25"/>
      <c r="G52" s="25">
        <f>_xlfn.XLOOKUP(B52, Rate_Master!$A:$A, Rate_Master!$C:$C, "")</f>
        <v>0</v>
      </c>
      <c r="H52" s="25">
        <f>_xlfn.XLOOKUP(B52, Rate_Master!$A:$A, Rate_Master!$D:$D, "")</f>
        <v>0</v>
      </c>
      <c r="I52" s="26"/>
      <c r="J52" s="26">
        <f>SUBTOTAL(9,J53:J55)</f>
        <v>46405195.600000001</v>
      </c>
      <c r="K52" s="26">
        <f>SUBTOTAL(9,K53:K55)</f>
        <v>46405195.600000001</v>
      </c>
      <c r="L52" s="26"/>
    </row>
    <row r="53" spans="1:16" s="4" customFormat="1" ht="25.5" customHeight="1" outlineLevel="1">
      <c r="A53" s="27" t="str">
        <f>$A$52&amp;"."&amp;ROW()-ROW($A$52)</f>
        <v>13A.C6.1</v>
      </c>
      <c r="B53" s="28" t="s">
        <v>44</v>
      </c>
      <c r="C53" s="28" t="s">
        <v>515</v>
      </c>
      <c r="D53" s="29" t="s">
        <v>520</v>
      </c>
      <c r="E53" s="31">
        <v>1358.298</v>
      </c>
      <c r="F53" s="31">
        <v>1358.298</v>
      </c>
      <c r="G53" s="30">
        <f>_xlfn.XLOOKUP(B53, Rate_Master!$A:$A, Rate_Master!$C:$C, "")</f>
        <v>14949.999999999998</v>
      </c>
      <c r="H53" s="30">
        <f>_xlfn.XLOOKUP(B53, Rate_Master!$A:$A, Rate_Master!$D:$D, "")</f>
        <v>17250</v>
      </c>
      <c r="I53" s="32">
        <f>+H53+G53</f>
        <v>32200</v>
      </c>
      <c r="J53" s="32">
        <f>I53*E53</f>
        <v>43737195.600000001</v>
      </c>
      <c r="K53" s="32">
        <f>I53*F53</f>
        <v>43737195.600000001</v>
      </c>
      <c r="L53" s="32"/>
    </row>
    <row r="54" spans="1:16" s="4" customFormat="1" ht="51" customHeight="1" outlineLevel="1">
      <c r="A54" s="27" t="str">
        <f>$A$52&amp;"."&amp;ROW()-ROW($A$52)</f>
        <v>13A.C6.2</v>
      </c>
      <c r="B54" s="34" t="s">
        <v>45</v>
      </c>
      <c r="C54" s="28" t="s">
        <v>515</v>
      </c>
      <c r="D54" s="29" t="s">
        <v>517</v>
      </c>
      <c r="E54" s="31">
        <v>0</v>
      </c>
      <c r="F54" s="31">
        <v>0</v>
      </c>
      <c r="G54" s="30">
        <f>_xlfn.XLOOKUP(B54, Rate_Master!$A:$A, Rate_Master!$C:$C, "")</f>
        <v>5750</v>
      </c>
      <c r="H54" s="30">
        <f>_xlfn.XLOOKUP(B54, Rate_Master!$A:$A, Rate_Master!$D:$D, "")</f>
        <v>23000</v>
      </c>
      <c r="I54" s="32"/>
      <c r="J54" s="32">
        <f>I54*E54</f>
        <v>0</v>
      </c>
      <c r="K54" s="32">
        <f>I54*F54</f>
        <v>0</v>
      </c>
      <c r="L54" s="32"/>
    </row>
    <row r="55" spans="1:16" s="4" customFormat="1" ht="38.25" customHeight="1" outlineLevel="1">
      <c r="A55" s="27" t="str">
        <f>$A$52&amp;"."&amp;ROW()-ROW($A$52)</f>
        <v>13A.C6.3</v>
      </c>
      <c r="B55" s="28" t="s">
        <v>46</v>
      </c>
      <c r="C55" s="28" t="s">
        <v>515</v>
      </c>
      <c r="D55" s="29" t="s">
        <v>517</v>
      </c>
      <c r="E55" s="31">
        <v>11.6</v>
      </c>
      <c r="F55" s="31">
        <v>11.6</v>
      </c>
      <c r="G55" s="30">
        <f>_xlfn.XLOOKUP(B55, Rate_Master!$A:$A, Rate_Master!$C:$C, "")</f>
        <v>172500</v>
      </c>
      <c r="H55" s="30">
        <f>_xlfn.XLOOKUP(B55, Rate_Master!$A:$A, Rate_Master!$D:$D, "")</f>
        <v>57499.999999999993</v>
      </c>
      <c r="I55" s="32">
        <f>+H55+G55</f>
        <v>230000</v>
      </c>
      <c r="J55" s="32">
        <f>I55*E55</f>
        <v>2668000</v>
      </c>
      <c r="K55" s="32">
        <f>I55*F55</f>
        <v>2668000</v>
      </c>
      <c r="L55" s="32"/>
    </row>
    <row r="56" spans="1:16" s="3" customFormat="1" ht="25.5" customHeight="1">
      <c r="A56" s="22" t="str">
        <f>$A$9&amp;".S"</f>
        <v>13A.S</v>
      </c>
      <c r="B56" s="23" t="s">
        <v>47</v>
      </c>
      <c r="C56" s="23" t="s">
        <v>515</v>
      </c>
      <c r="D56" s="22"/>
      <c r="E56" s="25"/>
      <c r="F56" s="25"/>
      <c r="G56" s="25">
        <f>_xlfn.XLOOKUP(B56, Rate_Master!$A:$A, Rate_Master!$C:$C, "")</f>
        <v>0</v>
      </c>
      <c r="H56" s="25">
        <f>_xlfn.XLOOKUP(B56, Rate_Master!$A:$A, Rate_Master!$D:$D, "")</f>
        <v>0</v>
      </c>
      <c r="I56" s="26"/>
      <c r="J56" s="26"/>
      <c r="K56" s="26"/>
      <c r="L56" s="26"/>
    </row>
    <row r="57" spans="1:16" s="3" customFormat="1" ht="25.5" customHeight="1">
      <c r="A57" s="22" t="str">
        <f>$A$56&amp;1</f>
        <v>13A.S1</v>
      </c>
      <c r="B57" s="23" t="s">
        <v>48</v>
      </c>
      <c r="C57" s="23" t="s">
        <v>515</v>
      </c>
      <c r="D57" s="22"/>
      <c r="E57" s="25"/>
      <c r="F57" s="87"/>
      <c r="G57" s="25">
        <f>_xlfn.XLOOKUP(B57, Rate_Master!$A:$A, Rate_Master!$C:$C, "")</f>
        <v>0</v>
      </c>
      <c r="H57" s="25">
        <f>_xlfn.XLOOKUP(B57, Rate_Master!$A:$A, Rate_Master!$D:$D, "")</f>
        <v>0</v>
      </c>
      <c r="I57" s="26"/>
      <c r="J57" s="26">
        <f>SUBTOTAL(9,J58:J72)</f>
        <v>17219658172.676704</v>
      </c>
      <c r="K57" s="89">
        <f>SUBTOTAL(9,K58:K72)</f>
        <v>17536915217.279049</v>
      </c>
      <c r="L57" s="26"/>
    </row>
    <row r="58" spans="1:16" s="4" customFormat="1" ht="56.25" customHeight="1" outlineLevel="1">
      <c r="A58" s="27" t="str">
        <f t="shared" ref="A58:A72" si="11">$A$57&amp;"."&amp;ROW()-ROW($A$57)</f>
        <v>13A.S1.1</v>
      </c>
      <c r="B58" s="28" t="s">
        <v>49</v>
      </c>
      <c r="C58" s="28" t="s">
        <v>525</v>
      </c>
      <c r="D58" s="29" t="s">
        <v>523</v>
      </c>
      <c r="E58" s="31">
        <v>686201.84849560005</v>
      </c>
      <c r="F58" s="36">
        <v>691333.55197454011</v>
      </c>
      <c r="G58" s="93">
        <f>_xlfn.XLOOKUP(B58, Rate_Master!$A:$A, Rate_Master!$C:$C, "")</f>
        <v>20475</v>
      </c>
      <c r="H58" s="93">
        <f>_xlfn.XLOOKUP(B58, Rate_Master!$A:$A, Rate_Master!$D:$D, "")</f>
        <v>0</v>
      </c>
      <c r="I58" s="67">
        <f t="shared" ref="I58:I72" si="12">+SUM(G58:H58)</f>
        <v>20475</v>
      </c>
      <c r="J58" s="32">
        <f t="shared" ref="J58:J72" si="13">I58*E58</f>
        <v>14049982847.947411</v>
      </c>
      <c r="K58" s="58">
        <f t="shared" ref="K58:K72" si="14">+F58*I58</f>
        <v>14155054476.678709</v>
      </c>
      <c r="L58" s="32"/>
      <c r="N58" s="104"/>
      <c r="O58" s="104"/>
      <c r="P58" s="104"/>
    </row>
    <row r="59" spans="1:16" s="4" customFormat="1" ht="63.75" customHeight="1" outlineLevel="1">
      <c r="A59" s="27" t="str">
        <f t="shared" si="11"/>
        <v>13A.S1.2</v>
      </c>
      <c r="B59" s="28" t="s">
        <v>50</v>
      </c>
      <c r="C59" s="28" t="s">
        <v>526</v>
      </c>
      <c r="D59" s="29" t="s">
        <v>523</v>
      </c>
      <c r="E59" s="31">
        <v>0</v>
      </c>
      <c r="F59" s="36"/>
      <c r="G59" s="93">
        <f>_xlfn.XLOOKUP(B59, Rate_Master!$A:$A, Rate_Master!$C:$C, "")</f>
        <v>26775</v>
      </c>
      <c r="H59" s="93">
        <f>_xlfn.XLOOKUP(B59, Rate_Master!$A:$A, Rate_Master!$D:$D, "")</f>
        <v>0</v>
      </c>
      <c r="I59" s="67">
        <f t="shared" si="12"/>
        <v>26775</v>
      </c>
      <c r="J59" s="32">
        <f t="shared" si="13"/>
        <v>0</v>
      </c>
      <c r="K59" s="58">
        <f t="shared" si="14"/>
        <v>0</v>
      </c>
      <c r="L59" s="32"/>
      <c r="N59" s="104"/>
      <c r="O59" s="104"/>
      <c r="P59" s="104"/>
    </row>
    <row r="60" spans="1:16" s="4" customFormat="1" ht="76.5" customHeight="1" outlineLevel="1">
      <c r="A60" s="27" t="str">
        <f t="shared" si="11"/>
        <v>13A.S1.3</v>
      </c>
      <c r="B60" s="28" t="s">
        <v>51</v>
      </c>
      <c r="C60" s="28" t="s">
        <v>527</v>
      </c>
      <c r="D60" s="29" t="s">
        <v>523</v>
      </c>
      <c r="E60" s="31">
        <v>0</v>
      </c>
      <c r="F60" s="36"/>
      <c r="G60" s="93">
        <f>_xlfn.XLOOKUP(B60, Rate_Master!$A:$A, Rate_Master!$C:$C, "")</f>
        <v>36750</v>
      </c>
      <c r="H60" s="93">
        <f>_xlfn.XLOOKUP(B60, Rate_Master!$A:$A, Rate_Master!$D:$D, "")</f>
        <v>0</v>
      </c>
      <c r="I60" s="67">
        <f t="shared" si="12"/>
        <v>36750</v>
      </c>
      <c r="J60" s="32">
        <f t="shared" si="13"/>
        <v>0</v>
      </c>
      <c r="K60" s="58">
        <f t="shared" si="14"/>
        <v>0</v>
      </c>
      <c r="L60" s="32"/>
      <c r="N60" s="104"/>
      <c r="O60" s="104"/>
      <c r="P60" s="104"/>
    </row>
    <row r="61" spans="1:16" s="4" customFormat="1" ht="76.5" customHeight="1" outlineLevel="1">
      <c r="A61" s="27" t="str">
        <f t="shared" si="11"/>
        <v>13A.S1.4</v>
      </c>
      <c r="B61" s="28" t="s">
        <v>52</v>
      </c>
      <c r="C61" s="28" t="s">
        <v>527</v>
      </c>
      <c r="D61" s="29" t="s">
        <v>523</v>
      </c>
      <c r="E61" s="31">
        <v>0</v>
      </c>
      <c r="F61" s="36"/>
      <c r="G61" s="93">
        <f>_xlfn.XLOOKUP(B61, Rate_Master!$A:$A, Rate_Master!$C:$C, "")</f>
        <v>26775</v>
      </c>
      <c r="H61" s="93">
        <f>_xlfn.XLOOKUP(B61, Rate_Master!$A:$A, Rate_Master!$D:$D, "")</f>
        <v>0</v>
      </c>
      <c r="I61" s="67">
        <f t="shared" si="12"/>
        <v>26775</v>
      </c>
      <c r="J61" s="32">
        <f t="shared" si="13"/>
        <v>0</v>
      </c>
      <c r="K61" s="58">
        <f t="shared" si="14"/>
        <v>0</v>
      </c>
      <c r="L61" s="32"/>
      <c r="N61" s="104"/>
      <c r="O61" s="104"/>
      <c r="P61" s="104"/>
    </row>
    <row r="62" spans="1:16" s="4" customFormat="1" ht="25.5" customHeight="1" outlineLevel="1">
      <c r="A62" s="27" t="str">
        <f t="shared" si="11"/>
        <v>13A.S1.5</v>
      </c>
      <c r="B62" s="28" t="s">
        <v>53</v>
      </c>
      <c r="C62" s="28" t="s">
        <v>528</v>
      </c>
      <c r="D62" s="29" t="s">
        <v>523</v>
      </c>
      <c r="E62" s="31">
        <v>0</v>
      </c>
      <c r="F62" s="36"/>
      <c r="G62" s="93">
        <f>_xlfn.XLOOKUP(B62, Rate_Master!$A:$A, Rate_Master!$C:$C, "")</f>
        <v>22365</v>
      </c>
      <c r="H62" s="93">
        <f>_xlfn.XLOOKUP(B62, Rate_Master!$A:$A, Rate_Master!$D:$D, "")</f>
        <v>0</v>
      </c>
      <c r="I62" s="67">
        <f t="shared" si="12"/>
        <v>22365</v>
      </c>
      <c r="J62" s="32">
        <f t="shared" si="13"/>
        <v>0</v>
      </c>
      <c r="K62" s="58">
        <f t="shared" si="14"/>
        <v>0</v>
      </c>
      <c r="L62" s="32"/>
      <c r="N62" s="104"/>
      <c r="O62" s="104"/>
      <c r="P62" s="104"/>
    </row>
    <row r="63" spans="1:16" s="4" customFormat="1" ht="38.25" customHeight="1" outlineLevel="1">
      <c r="A63" s="27" t="str">
        <f t="shared" si="11"/>
        <v>13A.S1.6</v>
      </c>
      <c r="B63" s="28" t="s">
        <v>54</v>
      </c>
      <c r="C63" s="28" t="s">
        <v>529</v>
      </c>
      <c r="D63" s="29" t="s">
        <v>523</v>
      </c>
      <c r="E63" s="31">
        <v>0</v>
      </c>
      <c r="F63" s="36"/>
      <c r="G63" s="93">
        <f>_xlfn.XLOOKUP(B63, Rate_Master!$A:$A, Rate_Master!$C:$C, "")</f>
        <v>36750</v>
      </c>
      <c r="H63" s="93">
        <f>_xlfn.XLOOKUP(B63, Rate_Master!$A:$A, Rate_Master!$D:$D, "")</f>
        <v>0</v>
      </c>
      <c r="I63" s="67">
        <f t="shared" si="12"/>
        <v>36750</v>
      </c>
      <c r="J63" s="32">
        <f t="shared" si="13"/>
        <v>0</v>
      </c>
      <c r="K63" s="58">
        <f t="shared" si="14"/>
        <v>0</v>
      </c>
      <c r="L63" s="32"/>
      <c r="N63" s="104"/>
      <c r="O63" s="104"/>
      <c r="P63" s="104"/>
    </row>
    <row r="64" spans="1:16" s="4" customFormat="1" ht="25.5" customHeight="1" outlineLevel="1">
      <c r="A64" s="27" t="str">
        <f t="shared" si="11"/>
        <v>13A.S1.7</v>
      </c>
      <c r="B64" s="28" t="s">
        <v>55</v>
      </c>
      <c r="C64" s="28" t="s">
        <v>530</v>
      </c>
      <c r="D64" s="29" t="s">
        <v>523</v>
      </c>
      <c r="E64" s="31">
        <v>0</v>
      </c>
      <c r="F64" s="36"/>
      <c r="G64" s="93">
        <f>_xlfn.XLOOKUP(B64, Rate_Master!$A:$A, Rate_Master!$C:$C, "")</f>
        <v>27930</v>
      </c>
      <c r="H64" s="93">
        <f>_xlfn.XLOOKUP(B64, Rate_Master!$A:$A, Rate_Master!$D:$D, "")</f>
        <v>0</v>
      </c>
      <c r="I64" s="67">
        <f t="shared" si="12"/>
        <v>27930</v>
      </c>
      <c r="J64" s="32">
        <f t="shared" si="13"/>
        <v>0</v>
      </c>
      <c r="K64" s="58">
        <f t="shared" si="14"/>
        <v>0</v>
      </c>
      <c r="L64" s="32"/>
      <c r="N64" s="104"/>
      <c r="O64" s="104"/>
      <c r="P64" s="104"/>
    </row>
    <row r="65" spans="1:16" s="4" customFormat="1" ht="25.5" customHeight="1" outlineLevel="1">
      <c r="A65" s="27" t="str">
        <f t="shared" si="11"/>
        <v>13A.S1.8</v>
      </c>
      <c r="B65" s="28" t="s">
        <v>56</v>
      </c>
      <c r="C65" s="28" t="s">
        <v>531</v>
      </c>
      <c r="D65" s="29" t="s">
        <v>523</v>
      </c>
      <c r="E65" s="31">
        <v>1848.32</v>
      </c>
      <c r="F65" s="36">
        <v>2383.4039414875078</v>
      </c>
      <c r="G65" s="93">
        <f>_xlfn.XLOOKUP(B65, Rate_Master!$A:$A, Rate_Master!$C:$C, "")</f>
        <v>52500</v>
      </c>
      <c r="H65" s="93">
        <f>_xlfn.XLOOKUP(B65, Rate_Master!$A:$A, Rate_Master!$D:$D, "")</f>
        <v>0</v>
      </c>
      <c r="I65" s="67">
        <f t="shared" si="12"/>
        <v>52500</v>
      </c>
      <c r="J65" s="32">
        <f t="shared" si="13"/>
        <v>97036800</v>
      </c>
      <c r="K65" s="58">
        <f t="shared" si="14"/>
        <v>125128706.92809416</v>
      </c>
      <c r="L65" s="32"/>
      <c r="N65" s="104"/>
      <c r="O65" s="104"/>
      <c r="P65" s="104"/>
    </row>
    <row r="66" spans="1:16" s="4" customFormat="1" ht="25.5" customHeight="1" outlineLevel="1">
      <c r="A66" s="27" t="str">
        <f t="shared" si="11"/>
        <v>13A.S1.9</v>
      </c>
      <c r="B66" s="28" t="s">
        <v>57</v>
      </c>
      <c r="C66" s="28" t="s">
        <v>532</v>
      </c>
      <c r="D66" s="29" t="s">
        <v>523</v>
      </c>
      <c r="E66" s="31">
        <v>8888.76</v>
      </c>
      <c r="F66" s="36">
        <v>10010.512000000001</v>
      </c>
      <c r="G66" s="93">
        <f>_xlfn.XLOOKUP(B66, Rate_Master!$A:$A, Rate_Master!$C:$C, "")</f>
        <v>60900</v>
      </c>
      <c r="H66" s="93">
        <f>_xlfn.XLOOKUP(B66, Rate_Master!$A:$A, Rate_Master!$D:$D, "")</f>
        <v>0</v>
      </c>
      <c r="I66" s="67">
        <f t="shared" si="12"/>
        <v>60900</v>
      </c>
      <c r="J66" s="32">
        <f t="shared" si="13"/>
        <v>541325484</v>
      </c>
      <c r="K66" s="58">
        <f t="shared" si="14"/>
        <v>609640180.80000007</v>
      </c>
      <c r="L66" s="32"/>
      <c r="N66" s="104"/>
      <c r="O66" s="104"/>
      <c r="P66" s="104"/>
    </row>
    <row r="67" spans="1:16" s="4" customFormat="1" ht="25.5" customHeight="1" outlineLevel="1">
      <c r="A67" s="27" t="str">
        <f t="shared" si="11"/>
        <v>13A.S1.10</v>
      </c>
      <c r="B67" s="28" t="s">
        <v>58</v>
      </c>
      <c r="C67" s="28" t="s">
        <v>533</v>
      </c>
      <c r="D67" s="29" t="s">
        <v>523</v>
      </c>
      <c r="E67" s="31">
        <v>0</v>
      </c>
      <c r="F67" s="36"/>
      <c r="G67" s="93">
        <f>_xlfn.XLOOKUP(B67, Rate_Master!$A:$A, Rate_Master!$C:$C, "")</f>
        <v>60900</v>
      </c>
      <c r="H67" s="93">
        <f>_xlfn.XLOOKUP(B67, Rate_Master!$A:$A, Rate_Master!$D:$D, "")</f>
        <v>0</v>
      </c>
      <c r="I67" s="67">
        <f t="shared" si="12"/>
        <v>60900</v>
      </c>
      <c r="J67" s="32">
        <f t="shared" si="13"/>
        <v>0</v>
      </c>
      <c r="K67" s="58">
        <f t="shared" si="14"/>
        <v>0</v>
      </c>
      <c r="L67" s="32"/>
      <c r="N67" s="104"/>
      <c r="O67" s="104"/>
      <c r="P67" s="104"/>
    </row>
    <row r="68" spans="1:16" s="4" customFormat="1" ht="25.5" customHeight="1" outlineLevel="1">
      <c r="A68" s="27" t="str">
        <f t="shared" si="11"/>
        <v>13A.S1.11</v>
      </c>
      <c r="B68" s="28" t="s">
        <v>59</v>
      </c>
      <c r="C68" s="28" t="s">
        <v>534</v>
      </c>
      <c r="D68" s="29" t="s">
        <v>518</v>
      </c>
      <c r="E68" s="31">
        <v>0</v>
      </c>
      <c r="F68" s="36">
        <v>1462</v>
      </c>
      <c r="G68" s="93">
        <f>_xlfn.XLOOKUP(B68, Rate_Master!$A:$A, Rate_Master!$C:$C, "")</f>
        <v>21000</v>
      </c>
      <c r="H68" s="93">
        <f>_xlfn.XLOOKUP(B68, Rate_Master!$A:$A, Rate_Master!$D:$D, "")</f>
        <v>0</v>
      </c>
      <c r="I68" s="67">
        <f t="shared" si="12"/>
        <v>21000</v>
      </c>
      <c r="J68" s="32">
        <f t="shared" si="13"/>
        <v>0</v>
      </c>
      <c r="K68" s="58">
        <f t="shared" si="14"/>
        <v>30702000</v>
      </c>
      <c r="L68" s="32"/>
      <c r="N68" s="104"/>
      <c r="O68" s="104"/>
      <c r="P68" s="104"/>
    </row>
    <row r="69" spans="1:16" s="4" customFormat="1" ht="25.5" customHeight="1" outlineLevel="1">
      <c r="A69" s="27" t="str">
        <f t="shared" si="11"/>
        <v>13A.S1.12</v>
      </c>
      <c r="B69" s="28" t="s">
        <v>60</v>
      </c>
      <c r="C69" s="28" t="s">
        <v>515</v>
      </c>
      <c r="D69" s="29" t="s">
        <v>523</v>
      </c>
      <c r="E69" s="31">
        <v>1848.32</v>
      </c>
      <c r="F69" s="36">
        <v>2383.4039414875078</v>
      </c>
      <c r="G69" s="93">
        <f>_xlfn.XLOOKUP(B69, Rate_Master!$A:$A, Rate_Master!$C:$C, "")</f>
        <v>630</v>
      </c>
      <c r="H69" s="107">
        <f>_xlfn.XLOOKUP(B69, Rate_Master!$A:$A, Rate_Master!$D:$D, "")</f>
        <v>0</v>
      </c>
      <c r="I69" s="67">
        <f t="shared" si="12"/>
        <v>630</v>
      </c>
      <c r="J69" s="32">
        <f t="shared" si="13"/>
        <v>1164441.5999999999</v>
      </c>
      <c r="K69" s="58">
        <f t="shared" si="14"/>
        <v>1501544.48313713</v>
      </c>
      <c r="L69" s="32"/>
      <c r="N69" s="104"/>
      <c r="O69" s="104"/>
      <c r="P69" s="104"/>
    </row>
    <row r="70" spans="1:16" s="4" customFormat="1" ht="25.5" customHeight="1" outlineLevel="1">
      <c r="A70" s="27" t="str">
        <f t="shared" si="11"/>
        <v>13A.S1.13</v>
      </c>
      <c r="B70" s="28" t="s">
        <v>61</v>
      </c>
      <c r="C70" s="28" t="s">
        <v>515</v>
      </c>
      <c r="D70" s="29" t="s">
        <v>523</v>
      </c>
      <c r="E70" s="31">
        <v>686201.84849560005</v>
      </c>
      <c r="F70" s="36">
        <v>701344.0639745401</v>
      </c>
      <c r="G70" s="93">
        <f>_xlfn.XLOOKUP(B70, Rate_Master!$A:$A, Rate_Master!$C:$C, "")</f>
        <v>630</v>
      </c>
      <c r="H70" s="93">
        <f>_xlfn.XLOOKUP(B70, Rate_Master!$A:$A, Rate_Master!$D:$D, "")</f>
        <v>0</v>
      </c>
      <c r="I70" s="67">
        <f t="shared" si="12"/>
        <v>630</v>
      </c>
      <c r="J70" s="32">
        <f t="shared" si="13"/>
        <v>432307164.55222803</v>
      </c>
      <c r="K70" s="58">
        <f t="shared" si="14"/>
        <v>441846760.30396026</v>
      </c>
      <c r="L70" s="32"/>
      <c r="N70" s="104"/>
      <c r="O70" s="104"/>
      <c r="P70" s="104"/>
    </row>
    <row r="71" spans="1:16" s="4" customFormat="1" ht="25.5" customHeight="1" outlineLevel="1">
      <c r="A71" s="27" t="str">
        <f t="shared" si="11"/>
        <v>13A.S1.14</v>
      </c>
      <c r="B71" s="28" t="s">
        <v>62</v>
      </c>
      <c r="C71" s="28" t="s">
        <v>515</v>
      </c>
      <c r="D71" s="29" t="s">
        <v>518</v>
      </c>
      <c r="E71" s="31">
        <v>304</v>
      </c>
      <c r="F71" s="36">
        <v>420</v>
      </c>
      <c r="G71" s="93">
        <f>_xlfn.XLOOKUP(B71, Rate_Master!$A:$A, Rate_Master!$C:$C, "")</f>
        <v>0</v>
      </c>
      <c r="H71" s="93">
        <f>_xlfn.XLOOKUP(B71, Rate_Master!$A:$A, Rate_Master!$D:$D, "")</f>
        <v>264500</v>
      </c>
      <c r="I71" s="67">
        <f t="shared" si="12"/>
        <v>264500</v>
      </c>
      <c r="J71" s="32">
        <f t="shared" si="13"/>
        <v>80408000</v>
      </c>
      <c r="K71" s="58">
        <f t="shared" si="14"/>
        <v>111090000</v>
      </c>
      <c r="L71" s="32"/>
      <c r="N71" s="104"/>
      <c r="O71" s="104"/>
      <c r="P71" s="104"/>
    </row>
    <row r="72" spans="1:16" s="4" customFormat="1" ht="25.5" customHeight="1" outlineLevel="1">
      <c r="A72" s="27" t="str">
        <f t="shared" si="11"/>
        <v>13A.S1.15</v>
      </c>
      <c r="B72" s="28" t="s">
        <v>63</v>
      </c>
      <c r="C72" s="28" t="s">
        <v>515</v>
      </c>
      <c r="D72" s="29" t="s">
        <v>523</v>
      </c>
      <c r="E72" s="31">
        <v>686201.84849560005</v>
      </c>
      <c r="F72" s="36">
        <v>701344.0639745401</v>
      </c>
      <c r="G72" s="93">
        <f>_xlfn.XLOOKUP(B72, Rate_Master!$A:$A, Rate_Master!$C:$C, "")</f>
        <v>2940</v>
      </c>
      <c r="H72" s="93">
        <f>_xlfn.XLOOKUP(B72, Rate_Master!$A:$A, Rate_Master!$D:$D, "")</f>
        <v>0</v>
      </c>
      <c r="I72" s="67">
        <f t="shared" si="12"/>
        <v>2940</v>
      </c>
      <c r="J72" s="32">
        <f t="shared" si="13"/>
        <v>2017433434.577064</v>
      </c>
      <c r="K72" s="58">
        <f t="shared" si="14"/>
        <v>2061951548.0851479</v>
      </c>
      <c r="L72" s="32"/>
      <c r="N72" s="104"/>
      <c r="O72" s="104"/>
      <c r="P72" s="104"/>
    </row>
    <row r="73" spans="1:16" s="3" customFormat="1" ht="25.5" customHeight="1">
      <c r="A73" s="22" t="str">
        <f>$A$56&amp;2</f>
        <v>13A.S2</v>
      </c>
      <c r="B73" s="23" t="s">
        <v>64</v>
      </c>
      <c r="C73" s="23" t="s">
        <v>515</v>
      </c>
      <c r="D73" s="22"/>
      <c r="E73" s="25"/>
      <c r="F73" s="87"/>
      <c r="G73" s="25">
        <f>_xlfn.XLOOKUP(B73, Rate_Master!$A:$A, Rate_Master!$C:$C, "")</f>
        <v>0</v>
      </c>
      <c r="H73" s="25">
        <f>_xlfn.XLOOKUP(B73, Rate_Master!$A:$A, Rate_Master!$D:$D, "")</f>
        <v>0</v>
      </c>
      <c r="I73" s="68"/>
      <c r="J73" s="26">
        <f>SUBTOTAL(9,J74:J78)</f>
        <v>0</v>
      </c>
      <c r="K73" s="89">
        <f>SUBTOTAL(9,K74:K78)</f>
        <v>0</v>
      </c>
      <c r="L73" s="26"/>
      <c r="N73" s="104"/>
      <c r="O73" s="104"/>
      <c r="P73" s="104"/>
    </row>
    <row r="74" spans="1:16" s="4" customFormat="1" ht="25.5" customHeight="1" outlineLevel="1">
      <c r="A74" s="27" t="str">
        <f>$A$73&amp;"."&amp;ROW()-ROW($A$73)</f>
        <v>13A.S2.1</v>
      </c>
      <c r="B74" s="28" t="s">
        <v>65</v>
      </c>
      <c r="C74" s="28" t="s">
        <v>535</v>
      </c>
      <c r="D74" s="29" t="s">
        <v>520</v>
      </c>
      <c r="E74" s="31">
        <v>5581.902</v>
      </c>
      <c r="F74" s="36">
        <v>5318.7354143000002</v>
      </c>
      <c r="G74" s="93">
        <f>_xlfn.XLOOKUP(B74, Rate_Master!$A:$A, Rate_Master!$C:$C, "")</f>
        <v>0</v>
      </c>
      <c r="H74" s="93">
        <f>_xlfn.XLOOKUP(B74, Rate_Master!$A:$A, Rate_Master!$D:$D, "")</f>
        <v>0</v>
      </c>
      <c r="I74" s="67">
        <f>+SUM(G74:H74)</f>
        <v>0</v>
      </c>
      <c r="J74" s="32">
        <f>I74*E74</f>
        <v>0</v>
      </c>
      <c r="K74" s="58">
        <f>+F74*I74</f>
        <v>0</v>
      </c>
      <c r="L74" s="32"/>
      <c r="N74" s="104"/>
      <c r="O74" s="104"/>
      <c r="P74" s="104"/>
    </row>
    <row r="75" spans="1:16" s="4" customFormat="1" ht="25.5" customHeight="1" outlineLevel="1">
      <c r="A75" s="27" t="str">
        <f>$A$73&amp;"."&amp;ROW()-ROW($A$73)</f>
        <v>13A.S2.2</v>
      </c>
      <c r="B75" s="28" t="s">
        <v>66</v>
      </c>
      <c r="C75" s="28" t="s">
        <v>536</v>
      </c>
      <c r="D75" s="29" t="s">
        <v>518</v>
      </c>
      <c r="E75" s="31">
        <v>12441</v>
      </c>
      <c r="F75" s="36">
        <v>13811</v>
      </c>
      <c r="G75" s="93">
        <f>_xlfn.XLOOKUP(B75, Rate_Master!$A:$A, Rate_Master!$C:$C, "")</f>
        <v>0</v>
      </c>
      <c r="H75" s="93">
        <f>_xlfn.XLOOKUP(B75, Rate_Master!$A:$A, Rate_Master!$D:$D, "")</f>
        <v>0</v>
      </c>
      <c r="I75" s="67">
        <f>+SUM(G75:H75)</f>
        <v>0</v>
      </c>
      <c r="J75" s="32">
        <f>I75*E75</f>
        <v>0</v>
      </c>
      <c r="K75" s="58">
        <f>+F75*I75</f>
        <v>0</v>
      </c>
      <c r="L75" s="32"/>
      <c r="N75" s="104"/>
      <c r="O75" s="104"/>
      <c r="P75" s="104"/>
    </row>
    <row r="76" spans="1:16" s="4" customFormat="1" ht="25.5" customHeight="1" outlineLevel="1">
      <c r="A76" s="27" t="str">
        <f>$A$73&amp;"."&amp;ROW()-ROW($A$73)</f>
        <v>13A.S2.3</v>
      </c>
      <c r="B76" s="28" t="s">
        <v>67</v>
      </c>
      <c r="C76" s="28" t="s">
        <v>515</v>
      </c>
      <c r="D76" s="29" t="s">
        <v>520</v>
      </c>
      <c r="E76" s="31">
        <v>5581.902</v>
      </c>
      <c r="F76" s="36">
        <v>5318.7354143000002</v>
      </c>
      <c r="G76" s="93">
        <f>_xlfn.XLOOKUP(B76, Rate_Master!$A:$A, Rate_Master!$C:$C, "")</f>
        <v>0</v>
      </c>
      <c r="H76" s="93">
        <f>_xlfn.XLOOKUP(B76, Rate_Master!$A:$A, Rate_Master!$D:$D, "")</f>
        <v>0</v>
      </c>
      <c r="I76" s="67">
        <f>+SUM(G76:H76)</f>
        <v>0</v>
      </c>
      <c r="J76" s="32">
        <f>I76*E76</f>
        <v>0</v>
      </c>
      <c r="K76" s="58">
        <f>+F76*I76</f>
        <v>0</v>
      </c>
      <c r="L76" s="32"/>
      <c r="N76" s="104"/>
      <c r="O76" s="104"/>
      <c r="P76" s="104"/>
    </row>
    <row r="77" spans="1:16" s="4" customFormat="1" ht="25.5" customHeight="1" outlineLevel="1">
      <c r="A77" s="27" t="str">
        <f>$A$73&amp;"."&amp;ROW()-ROW($A$73)</f>
        <v>13A.S2.4</v>
      </c>
      <c r="B77" s="28" t="s">
        <v>68</v>
      </c>
      <c r="C77" s="28" t="s">
        <v>515</v>
      </c>
      <c r="D77" s="29" t="s">
        <v>457</v>
      </c>
      <c r="E77" s="31">
        <v>1</v>
      </c>
      <c r="F77" s="36">
        <v>1</v>
      </c>
      <c r="G77" s="93">
        <f>_xlfn.XLOOKUP(B77, Rate_Master!$A:$A, Rate_Master!$C:$C, "")</f>
        <v>0</v>
      </c>
      <c r="H77" s="93">
        <f>_xlfn.XLOOKUP(B77, Rate_Master!$A:$A, Rate_Master!$D:$D, "")</f>
        <v>0</v>
      </c>
      <c r="I77" s="67">
        <f>+SUM(G77:H77)</f>
        <v>0</v>
      </c>
      <c r="J77" s="32">
        <f>I77*E77</f>
        <v>0</v>
      </c>
      <c r="K77" s="58">
        <f>+F77*I77</f>
        <v>0</v>
      </c>
      <c r="L77" s="32"/>
      <c r="N77" s="104"/>
      <c r="O77" s="104"/>
      <c r="P77" s="104"/>
    </row>
    <row r="78" spans="1:16" s="4" customFormat="1" ht="25.5" customHeight="1" outlineLevel="1">
      <c r="A78" s="27" t="str">
        <f>$A$73&amp;"."&amp;ROW()-ROW($A$73)</f>
        <v>13A.S2.5</v>
      </c>
      <c r="B78" s="28" t="s">
        <v>69</v>
      </c>
      <c r="C78" s="28" t="s">
        <v>515</v>
      </c>
      <c r="D78" s="29" t="s">
        <v>520</v>
      </c>
      <c r="E78" s="31">
        <v>5581.902</v>
      </c>
      <c r="F78" s="36">
        <v>5318.7354143000002</v>
      </c>
      <c r="G78" s="93">
        <f>_xlfn.XLOOKUP(B78, Rate_Master!$A:$A, Rate_Master!$C:$C, "")</f>
        <v>0</v>
      </c>
      <c r="H78" s="93">
        <f>_xlfn.XLOOKUP(B78, Rate_Master!$A:$A, Rate_Master!$D:$D, "")</f>
        <v>0</v>
      </c>
      <c r="I78" s="67">
        <f>+SUM(G78:H78)</f>
        <v>0</v>
      </c>
      <c r="J78" s="32">
        <f>I78*E78</f>
        <v>0</v>
      </c>
      <c r="K78" s="58">
        <f>+F78*I78</f>
        <v>0</v>
      </c>
      <c r="L78" s="32"/>
      <c r="N78" s="104"/>
      <c r="O78" s="104"/>
      <c r="P78" s="104"/>
    </row>
    <row r="79" spans="1:16" s="3" customFormat="1" ht="25.5" customHeight="1">
      <c r="A79" s="22" t="str">
        <f>$A$56&amp;3</f>
        <v>13A.S3</v>
      </c>
      <c r="B79" s="23" t="s">
        <v>70</v>
      </c>
      <c r="C79" s="23" t="s">
        <v>515</v>
      </c>
      <c r="D79" s="22"/>
      <c r="E79" s="25"/>
      <c r="F79" s="87"/>
      <c r="G79" s="25">
        <f>_xlfn.XLOOKUP(B79, Rate_Master!$A:$A, Rate_Master!$C:$C, "")</f>
        <v>0</v>
      </c>
      <c r="H79" s="25">
        <f>_xlfn.XLOOKUP(B79, Rate_Master!$A:$A, Rate_Master!$D:$D, "")</f>
        <v>0</v>
      </c>
      <c r="I79" s="68"/>
      <c r="J79" s="26">
        <f>SUBTOTAL(9,J80:J93)</f>
        <v>197526313.10876715</v>
      </c>
      <c r="K79" s="26">
        <f>SUBTOTAL(9,K80:K93)</f>
        <v>0</v>
      </c>
      <c r="L79" s="26"/>
      <c r="N79" s="104"/>
      <c r="O79" s="104"/>
      <c r="P79" s="104"/>
    </row>
    <row r="80" spans="1:16" s="4" customFormat="1" ht="51" customHeight="1" outlineLevel="1">
      <c r="A80" s="27" t="str">
        <f t="shared" ref="A80:A93" si="15">$A$79&amp;"."&amp;ROW()-ROW($A$79)</f>
        <v>13A.S3.1</v>
      </c>
      <c r="B80" s="28" t="s">
        <v>71</v>
      </c>
      <c r="C80" s="28" t="str">
        <f>+'12A'!C80</f>
        <v xml:space="preserve">Tôn liên doanh Việt hàn, AZ170
</v>
      </c>
      <c r="D80" s="29" t="s">
        <v>520</v>
      </c>
      <c r="E80" s="31">
        <v>0</v>
      </c>
      <c r="F80" s="36"/>
      <c r="G80" s="93">
        <f>_xlfn.XLOOKUP(B80, Rate_Master!$A:$A, Rate_Master!$C:$C, "")</f>
        <v>248399.99999999997</v>
      </c>
      <c r="H80" s="93">
        <f>_xlfn.XLOOKUP(B80, Rate_Master!$A:$A, Rate_Master!$D:$D, "")</f>
        <v>34500</v>
      </c>
      <c r="I80" s="67">
        <f t="shared" ref="I80:I93" si="16">+SUM(G80:H80)</f>
        <v>282900</v>
      </c>
      <c r="J80" s="32">
        <f t="shared" ref="J80:J93" si="17">I80*E80</f>
        <v>0</v>
      </c>
      <c r="K80" s="58">
        <f t="shared" ref="K80:K93" si="18">+F80*I80</f>
        <v>0</v>
      </c>
      <c r="L80" s="32"/>
      <c r="N80" s="104"/>
      <c r="O80" s="104"/>
      <c r="P80" s="104"/>
    </row>
    <row r="81" spans="1:16" s="4" customFormat="1" ht="51" customHeight="1" outlineLevel="1">
      <c r="A81" s="27" t="str">
        <f t="shared" si="15"/>
        <v>13A.S3.2</v>
      </c>
      <c r="B81" s="28" t="s">
        <v>72</v>
      </c>
      <c r="C81" s="28" t="str">
        <f>+'12A'!C81</f>
        <v xml:space="preserve">Tôn liên doanh Việt hàn, AZ170
</v>
      </c>
      <c r="D81" s="29" t="s">
        <v>520</v>
      </c>
      <c r="E81" s="31">
        <v>0</v>
      </c>
      <c r="F81" s="36"/>
      <c r="G81" s="93">
        <f>_xlfn.XLOOKUP(B81, Rate_Master!$A:$A, Rate_Master!$C:$C, "")</f>
        <v>206999.99999999997</v>
      </c>
      <c r="H81" s="93">
        <f>_xlfn.XLOOKUP(B81, Rate_Master!$A:$A, Rate_Master!$D:$D, "")</f>
        <v>34500</v>
      </c>
      <c r="I81" s="67">
        <f t="shared" si="16"/>
        <v>241499.99999999997</v>
      </c>
      <c r="J81" s="32">
        <f t="shared" si="17"/>
        <v>0</v>
      </c>
      <c r="K81" s="58">
        <f t="shared" si="18"/>
        <v>0</v>
      </c>
      <c r="L81" s="32"/>
      <c r="N81" s="104"/>
      <c r="O81" s="104"/>
      <c r="P81" s="104"/>
    </row>
    <row r="82" spans="1:16" s="4" customFormat="1" ht="63.75" customHeight="1" outlineLevel="1">
      <c r="A82" s="27" t="str">
        <f t="shared" si="15"/>
        <v>13A.S3.3</v>
      </c>
      <c r="B82" s="28" t="s">
        <v>73</v>
      </c>
      <c r="C82" s="28" t="str">
        <f>+'12A'!C82</f>
        <v xml:space="preserve">Tôn liên doanh Việt hàn, AZ170
</v>
      </c>
      <c r="D82" s="29" t="s">
        <v>520</v>
      </c>
      <c r="E82" s="31">
        <v>0</v>
      </c>
      <c r="F82" s="36"/>
      <c r="G82" s="93">
        <f>_xlfn.XLOOKUP(B82, Rate_Master!$A:$A, Rate_Master!$C:$C, "")</f>
        <v>195499.99999999997</v>
      </c>
      <c r="H82" s="93">
        <f>_xlfn.XLOOKUP(B82, Rate_Master!$A:$A, Rate_Master!$D:$D, "")</f>
        <v>34500</v>
      </c>
      <c r="I82" s="67">
        <f t="shared" si="16"/>
        <v>229999.99999999997</v>
      </c>
      <c r="J82" s="32">
        <f t="shared" si="17"/>
        <v>0</v>
      </c>
      <c r="K82" s="58">
        <f t="shared" si="18"/>
        <v>0</v>
      </c>
      <c r="L82" s="32"/>
      <c r="N82" s="104"/>
      <c r="O82" s="104"/>
      <c r="P82" s="104"/>
    </row>
    <row r="83" spans="1:16" s="4" customFormat="1" ht="25.5" customHeight="1" outlineLevel="1">
      <c r="A83" s="27" t="str">
        <f t="shared" si="15"/>
        <v>13A.S3.4</v>
      </c>
      <c r="B83" s="28" t="s">
        <v>74</v>
      </c>
      <c r="C83" s="28" t="s">
        <v>515</v>
      </c>
      <c r="D83" s="29" t="s">
        <v>520</v>
      </c>
      <c r="E83" s="31">
        <v>0</v>
      </c>
      <c r="F83" s="36"/>
      <c r="G83" s="93">
        <f>_xlfn.XLOOKUP(B83, Rate_Master!$A:$A, Rate_Master!$C:$C, "")</f>
        <v>23000</v>
      </c>
      <c r="H83" s="93">
        <f>_xlfn.XLOOKUP(B83, Rate_Master!$A:$A, Rate_Master!$D:$D, "")</f>
        <v>11500</v>
      </c>
      <c r="I83" s="67">
        <f t="shared" si="16"/>
        <v>34500</v>
      </c>
      <c r="J83" s="32">
        <f t="shared" si="17"/>
        <v>0</v>
      </c>
      <c r="K83" s="58">
        <f t="shared" si="18"/>
        <v>0</v>
      </c>
      <c r="L83" s="32"/>
      <c r="N83" s="104"/>
      <c r="O83" s="104"/>
      <c r="P83" s="104"/>
    </row>
    <row r="84" spans="1:16" s="4" customFormat="1" ht="25.5" customHeight="1" outlineLevel="1">
      <c r="A84" s="27" t="str">
        <f t="shared" si="15"/>
        <v>13A.S3.5</v>
      </c>
      <c r="B84" s="28" t="s">
        <v>75</v>
      </c>
      <c r="C84" s="28" t="s">
        <v>538</v>
      </c>
      <c r="D84" s="29" t="s">
        <v>517</v>
      </c>
      <c r="E84" s="31">
        <v>0</v>
      </c>
      <c r="F84" s="36"/>
      <c r="G84" s="93">
        <f>_xlfn.XLOOKUP(B84, Rate_Master!$A:$A, Rate_Master!$C:$C, "")</f>
        <v>110399.99999999999</v>
      </c>
      <c r="H84" s="93">
        <f>_xlfn.XLOOKUP(B84, Rate_Master!$A:$A, Rate_Master!$D:$D, "")</f>
        <v>17250</v>
      </c>
      <c r="I84" s="67">
        <f t="shared" si="16"/>
        <v>127649.99999999999</v>
      </c>
      <c r="J84" s="32">
        <f t="shared" si="17"/>
        <v>0</v>
      </c>
      <c r="K84" s="58">
        <f t="shared" si="18"/>
        <v>0</v>
      </c>
      <c r="L84" s="32"/>
      <c r="N84" s="104"/>
      <c r="O84" s="104"/>
      <c r="P84" s="104"/>
    </row>
    <row r="85" spans="1:16" s="4" customFormat="1" ht="25.5" customHeight="1" outlineLevel="1">
      <c r="A85" s="27" t="str">
        <f t="shared" si="15"/>
        <v>13A.S3.6</v>
      </c>
      <c r="B85" s="28" t="s">
        <v>75</v>
      </c>
      <c r="C85" s="28" t="s">
        <v>539</v>
      </c>
      <c r="D85" s="29" t="s">
        <v>517</v>
      </c>
      <c r="E85" s="31">
        <v>0</v>
      </c>
      <c r="F85" s="36"/>
      <c r="G85" s="93">
        <f>_xlfn.XLOOKUP(B85, Rate_Master!$A:$A, Rate_Master!$C:$C, "")</f>
        <v>110399.99999999999</v>
      </c>
      <c r="H85" s="93">
        <f>_xlfn.XLOOKUP(B85, Rate_Master!$A:$A, Rate_Master!$D:$D, "")</f>
        <v>17250</v>
      </c>
      <c r="I85" s="67">
        <f t="shared" si="16"/>
        <v>127649.99999999999</v>
      </c>
      <c r="J85" s="32">
        <f t="shared" si="17"/>
        <v>0</v>
      </c>
      <c r="K85" s="58">
        <f t="shared" si="18"/>
        <v>0</v>
      </c>
      <c r="L85" s="32"/>
      <c r="N85" s="104"/>
      <c r="O85" s="104"/>
      <c r="P85" s="104"/>
    </row>
    <row r="86" spans="1:16" s="4" customFormat="1" ht="25.5" customHeight="1" outlineLevel="1">
      <c r="A86" s="27" t="str">
        <f t="shared" si="15"/>
        <v>13A.S3.7</v>
      </c>
      <c r="B86" s="28" t="s">
        <v>76</v>
      </c>
      <c r="C86" s="28" t="s">
        <v>540</v>
      </c>
      <c r="D86" s="29" t="s">
        <v>517</v>
      </c>
      <c r="E86" s="31">
        <v>0</v>
      </c>
      <c r="F86" s="36"/>
      <c r="G86" s="93">
        <f>_xlfn.XLOOKUP(B86, Rate_Master!$A:$A, Rate_Master!$C:$C, "")</f>
        <v>1976115.3983999996</v>
      </c>
      <c r="H86" s="93">
        <f>_xlfn.XLOOKUP(B86, Rate_Master!$A:$A, Rate_Master!$D:$D, "")</f>
        <v>28749.999999999996</v>
      </c>
      <c r="I86" s="67">
        <f t="shared" si="16"/>
        <v>2004865.3983999996</v>
      </c>
      <c r="J86" s="32">
        <f t="shared" si="17"/>
        <v>0</v>
      </c>
      <c r="K86" s="58">
        <f t="shared" si="18"/>
        <v>0</v>
      </c>
      <c r="L86" s="32"/>
      <c r="N86" s="104"/>
      <c r="O86" s="104"/>
      <c r="P86" s="104"/>
    </row>
    <row r="87" spans="1:16" s="4" customFormat="1" ht="25.5" customHeight="1" outlineLevel="1">
      <c r="A87" s="27" t="str">
        <f t="shared" si="15"/>
        <v>13A.S3.8</v>
      </c>
      <c r="B87" s="28" t="s">
        <v>77</v>
      </c>
      <c r="C87" s="28" t="s">
        <v>541</v>
      </c>
      <c r="D87" s="29" t="s">
        <v>517</v>
      </c>
      <c r="E87" s="31">
        <v>0</v>
      </c>
      <c r="F87" s="36"/>
      <c r="G87" s="93">
        <f>_xlfn.XLOOKUP(B87, Rate_Master!$A:$A, Rate_Master!$C:$C, "")</f>
        <v>1077881.1263999997</v>
      </c>
      <c r="H87" s="93">
        <f>_xlfn.XLOOKUP(B87, Rate_Master!$A:$A, Rate_Master!$D:$D, "")</f>
        <v>23000</v>
      </c>
      <c r="I87" s="67">
        <f t="shared" si="16"/>
        <v>1100881.1263999997</v>
      </c>
      <c r="J87" s="32">
        <f t="shared" si="17"/>
        <v>0</v>
      </c>
      <c r="K87" s="58">
        <f t="shared" si="18"/>
        <v>0</v>
      </c>
      <c r="L87" s="32"/>
      <c r="N87" s="104"/>
      <c r="O87" s="104"/>
      <c r="P87" s="104"/>
    </row>
    <row r="88" spans="1:16" s="4" customFormat="1" ht="25.5" customHeight="1" outlineLevel="1">
      <c r="A88" s="27" t="str">
        <f t="shared" si="15"/>
        <v>13A.S3.9</v>
      </c>
      <c r="B88" s="28" t="s">
        <v>205</v>
      </c>
      <c r="C88" s="28" t="s">
        <v>515</v>
      </c>
      <c r="D88" s="29" t="s">
        <v>518</v>
      </c>
      <c r="E88" s="31">
        <v>10</v>
      </c>
      <c r="F88" s="36"/>
      <c r="G88" s="93">
        <f>_xlfn.XLOOKUP(B88, Rate_Master!$A:$A, Rate_Master!$C:$C, "")</f>
        <v>112699.99999999999</v>
      </c>
      <c r="H88" s="93">
        <f>_xlfn.XLOOKUP(B88, Rate_Master!$A:$A, Rate_Master!$D:$D, "")</f>
        <v>0</v>
      </c>
      <c r="I88" s="67">
        <f t="shared" si="16"/>
        <v>112699.99999999999</v>
      </c>
      <c r="J88" s="32">
        <f t="shared" si="17"/>
        <v>1126999.9999999998</v>
      </c>
      <c r="K88" s="58">
        <f t="shared" si="18"/>
        <v>0</v>
      </c>
      <c r="L88" s="32"/>
      <c r="M88" s="79"/>
      <c r="N88" s="104"/>
      <c r="O88" s="104"/>
      <c r="P88" s="104"/>
    </row>
    <row r="89" spans="1:16" s="4" customFormat="1" ht="63.75" customHeight="1" outlineLevel="1">
      <c r="A89" s="27" t="str">
        <f t="shared" si="15"/>
        <v>13A.S3.10</v>
      </c>
      <c r="B89" s="28" t="s">
        <v>206</v>
      </c>
      <c r="C89" s="28" t="s">
        <v>542</v>
      </c>
      <c r="D89" s="29" t="s">
        <v>517</v>
      </c>
      <c r="E89" s="31">
        <v>272.52</v>
      </c>
      <c r="F89" s="36"/>
      <c r="G89" s="93">
        <f>_xlfn.XLOOKUP(B89, Rate_Master!$A:$A, Rate_Master!$C:$C, "")</f>
        <v>162150</v>
      </c>
      <c r="H89" s="93">
        <f>_xlfn.XLOOKUP(B89, Rate_Master!$A:$A, Rate_Master!$D:$D, "")</f>
        <v>0</v>
      </c>
      <c r="I89" s="67">
        <f t="shared" si="16"/>
        <v>162150</v>
      </c>
      <c r="J89" s="32">
        <f t="shared" si="17"/>
        <v>44189118</v>
      </c>
      <c r="K89" s="58">
        <f t="shared" si="18"/>
        <v>0</v>
      </c>
      <c r="L89" s="32"/>
      <c r="M89" s="78"/>
      <c r="N89" s="104"/>
      <c r="O89" s="104"/>
      <c r="P89" s="104"/>
    </row>
    <row r="90" spans="1:16" s="4" customFormat="1" ht="25.5" customHeight="1" outlineLevel="1">
      <c r="A90" s="27" t="str">
        <f t="shared" si="15"/>
        <v>13A.S3.11</v>
      </c>
      <c r="B90" s="28" t="s">
        <v>80</v>
      </c>
      <c r="C90" s="28" t="s">
        <v>515</v>
      </c>
      <c r="D90" s="29" t="s">
        <v>457</v>
      </c>
      <c r="E90" s="31">
        <v>0</v>
      </c>
      <c r="F90" s="36"/>
      <c r="G90" s="93">
        <f>_xlfn.XLOOKUP(B90, Rate_Master!$A:$A, Rate_Master!$C:$C, "")</f>
        <v>0</v>
      </c>
      <c r="H90" s="93">
        <f>_xlfn.XLOOKUP(B90, Rate_Master!$A:$A, Rate_Master!$D:$D, "")</f>
        <v>57499999.999999993</v>
      </c>
      <c r="I90" s="67">
        <f t="shared" si="16"/>
        <v>57499999.999999993</v>
      </c>
      <c r="J90" s="32">
        <f t="shared" si="17"/>
        <v>0</v>
      </c>
      <c r="K90" s="58">
        <f t="shared" si="18"/>
        <v>0</v>
      </c>
      <c r="L90" s="32"/>
      <c r="N90" s="104"/>
      <c r="O90" s="104"/>
      <c r="P90" s="104"/>
    </row>
    <row r="91" spans="1:16" s="4" customFormat="1" ht="25.5" customHeight="1" outlineLevel="1">
      <c r="A91" s="27" t="str">
        <f t="shared" si="15"/>
        <v>13A.S3.12</v>
      </c>
      <c r="B91" s="28" t="s">
        <v>81</v>
      </c>
      <c r="C91" s="28" t="s">
        <v>515</v>
      </c>
      <c r="D91" s="29" t="s">
        <v>520</v>
      </c>
      <c r="E91" s="31">
        <v>0</v>
      </c>
      <c r="F91" s="36"/>
      <c r="G91" s="93">
        <f>_xlfn.XLOOKUP(B91, Rate_Master!$A:$A, Rate_Master!$C:$C, "")</f>
        <v>0</v>
      </c>
      <c r="H91" s="93">
        <f>_xlfn.XLOOKUP(B91, Rate_Master!$A:$A, Rate_Master!$D:$D, "")</f>
        <v>40250</v>
      </c>
      <c r="I91" s="67">
        <f t="shared" si="16"/>
        <v>40250</v>
      </c>
      <c r="J91" s="32">
        <f t="shared" si="17"/>
        <v>0</v>
      </c>
      <c r="K91" s="58">
        <f t="shared" si="18"/>
        <v>0</v>
      </c>
      <c r="L91" s="32"/>
      <c r="N91" s="104"/>
      <c r="O91" s="104"/>
      <c r="P91" s="104"/>
    </row>
    <row r="92" spans="1:16" s="4" customFormat="1" ht="38.25" customHeight="1" outlineLevel="1">
      <c r="A92" s="27" t="str">
        <f t="shared" si="15"/>
        <v>13A.S3.13</v>
      </c>
      <c r="B92" s="28" t="s">
        <v>82</v>
      </c>
      <c r="C92" s="28" t="s">
        <v>515</v>
      </c>
      <c r="D92" s="29" t="s">
        <v>517</v>
      </c>
      <c r="E92" s="31">
        <v>272.52</v>
      </c>
      <c r="F92" s="36"/>
      <c r="G92" s="93">
        <f>_xlfn.XLOOKUP(B92, Rate_Master!$A:$A, Rate_Master!$C:$C, "")</f>
        <v>0</v>
      </c>
      <c r="H92" s="93">
        <f>_xlfn.XLOOKUP(B92, Rate_Master!$A:$A, Rate_Master!$D:$D, "")</f>
        <v>23000</v>
      </c>
      <c r="I92" s="67">
        <f t="shared" si="16"/>
        <v>23000</v>
      </c>
      <c r="J92" s="32">
        <f t="shared" si="17"/>
        <v>6267960</v>
      </c>
      <c r="K92" s="58">
        <f t="shared" si="18"/>
        <v>0</v>
      </c>
      <c r="L92" s="32"/>
      <c r="N92" s="104"/>
      <c r="O92" s="104"/>
      <c r="P92" s="104"/>
    </row>
    <row r="93" spans="1:16" s="4" customFormat="1" ht="25.5" customHeight="1" outlineLevel="1">
      <c r="A93" s="27" t="str">
        <f t="shared" si="15"/>
        <v>13A.S3.14</v>
      </c>
      <c r="B93" s="28" t="s">
        <v>83</v>
      </c>
      <c r="C93" s="28" t="s">
        <v>543</v>
      </c>
      <c r="D93" s="29" t="s">
        <v>457</v>
      </c>
      <c r="E93" s="31">
        <v>1</v>
      </c>
      <c r="F93" s="36"/>
      <c r="G93" s="93">
        <f>_xlfn.XLOOKUP(B93, Rate_Master!$A:$A, Rate_Master!$C:$C, "")</f>
        <v>145942235.10876715</v>
      </c>
      <c r="H93" s="93">
        <f>_xlfn.XLOOKUP(B93, Rate_Master!$A:$A, Rate_Master!$D:$D, "")</f>
        <v>0</v>
      </c>
      <c r="I93" s="67">
        <f t="shared" si="16"/>
        <v>145942235.10876715</v>
      </c>
      <c r="J93" s="32">
        <f t="shared" si="17"/>
        <v>145942235.10876715</v>
      </c>
      <c r="K93" s="58">
        <f t="shared" si="18"/>
        <v>0</v>
      </c>
      <c r="L93" s="32"/>
      <c r="N93" s="104"/>
      <c r="O93" s="104"/>
      <c r="P93" s="104"/>
    </row>
    <row r="94" spans="1:16" s="3" customFormat="1" ht="25.5" customHeight="1">
      <c r="A94" s="22" t="str">
        <f>$A$56&amp;4</f>
        <v>13A.S4</v>
      </c>
      <c r="B94" s="23" t="s">
        <v>84</v>
      </c>
      <c r="C94" s="23" t="s">
        <v>515</v>
      </c>
      <c r="D94" s="22"/>
      <c r="E94" s="25"/>
      <c r="F94" s="87"/>
      <c r="G94" s="25">
        <f>_xlfn.XLOOKUP(B94, Rate_Master!$A:$A, Rate_Master!$C:$C, "")</f>
        <v>0</v>
      </c>
      <c r="H94" s="25">
        <f>_xlfn.XLOOKUP(B94, Rate_Master!$A:$A, Rate_Master!$D:$D, "")</f>
        <v>0</v>
      </c>
      <c r="I94" s="68"/>
      <c r="J94" s="26">
        <f>SUBTOTAL(9,J95:J103)</f>
        <v>754217916.04558992</v>
      </c>
      <c r="K94" s="26">
        <f>SUBTOTAL(9,K95:K103)</f>
        <v>969642459.19612801</v>
      </c>
      <c r="L94" s="26"/>
      <c r="N94" s="104"/>
      <c r="O94" s="104"/>
      <c r="P94" s="104"/>
    </row>
    <row r="95" spans="1:16" s="4" customFormat="1" ht="38.25" customHeight="1" outlineLevel="1">
      <c r="A95" s="27" t="str">
        <f t="shared" ref="A95:A103" si="19">$A$94&amp;"."&amp;ROW()-ROW($A$94)</f>
        <v>13A.S4.1</v>
      </c>
      <c r="B95" s="28" t="s">
        <v>85</v>
      </c>
      <c r="C95" s="28" t="s">
        <v>544</v>
      </c>
      <c r="D95" s="29" t="s">
        <v>517</v>
      </c>
      <c r="E95" s="31">
        <v>0</v>
      </c>
      <c r="F95" s="36"/>
      <c r="G95" s="93">
        <f>_xlfn.XLOOKUP(B95, Rate_Master!$A:$A, Rate_Master!$C:$C, "")</f>
        <v>5175000</v>
      </c>
      <c r="H95" s="93">
        <f>_xlfn.XLOOKUP(B95, Rate_Master!$A:$A, Rate_Master!$D:$D, "")</f>
        <v>0</v>
      </c>
      <c r="I95" s="67">
        <f t="shared" ref="I95:I103" si="20">+SUM(G95:H95)</f>
        <v>5175000</v>
      </c>
      <c r="J95" s="32">
        <f t="shared" ref="J95:J103" si="21">I95*E95</f>
        <v>0</v>
      </c>
      <c r="K95" s="58">
        <f t="shared" ref="K95:K103" si="22">+F95*I95</f>
        <v>0</v>
      </c>
      <c r="L95" s="32"/>
      <c r="M95" s="78"/>
      <c r="N95" s="104"/>
      <c r="O95" s="104"/>
      <c r="P95" s="104"/>
    </row>
    <row r="96" spans="1:16" s="4" customFormat="1" ht="38.25" customHeight="1" outlineLevel="1">
      <c r="A96" s="27" t="str">
        <f t="shared" si="19"/>
        <v>13A.S4.2</v>
      </c>
      <c r="B96" s="28" t="s">
        <v>86</v>
      </c>
      <c r="C96" s="28" t="s">
        <v>545</v>
      </c>
      <c r="D96" s="29" t="s">
        <v>517</v>
      </c>
      <c r="E96" s="31">
        <v>12</v>
      </c>
      <c r="F96" s="36"/>
      <c r="G96" s="93">
        <f>_xlfn.XLOOKUP(B96, Rate_Master!$A:$A, Rate_Master!$C:$C, "")</f>
        <v>0</v>
      </c>
      <c r="H96" s="93">
        <f>_xlfn.XLOOKUP(B96, Rate_Master!$A:$A, Rate_Master!$D:$D, "")</f>
        <v>0</v>
      </c>
      <c r="I96" s="67">
        <f t="shared" si="20"/>
        <v>0</v>
      </c>
      <c r="J96" s="32">
        <f t="shared" si="21"/>
        <v>0</v>
      </c>
      <c r="K96" s="58">
        <f t="shared" si="22"/>
        <v>0</v>
      </c>
      <c r="L96" s="32"/>
      <c r="M96" s="78"/>
      <c r="N96" s="104"/>
      <c r="O96" s="104"/>
      <c r="P96" s="104"/>
    </row>
    <row r="97" spans="1:16" s="4" customFormat="1" ht="76.5" customHeight="1" outlineLevel="1">
      <c r="A97" s="27" t="str">
        <f t="shared" si="19"/>
        <v>13A.S4.3</v>
      </c>
      <c r="B97" s="28" t="s">
        <v>219</v>
      </c>
      <c r="C97" s="28" t="s">
        <v>572</v>
      </c>
      <c r="D97" s="29" t="s">
        <v>523</v>
      </c>
      <c r="E97" s="31">
        <v>16045.4410104</v>
      </c>
      <c r="F97" s="36">
        <v>30426.693159279999</v>
      </c>
      <c r="G97" s="93">
        <f>_xlfn.XLOOKUP(B97, Rate_Master!$A:$A, Rate_Master!$C:$C, "")</f>
        <v>20700</v>
      </c>
      <c r="H97" s="93">
        <f>_xlfn.XLOOKUP(B97, Rate_Master!$A:$A, Rate_Master!$D:$D, "")</f>
        <v>6899.9999999999991</v>
      </c>
      <c r="I97" s="67">
        <f t="shared" si="20"/>
        <v>27600</v>
      </c>
      <c r="J97" s="32">
        <f t="shared" si="21"/>
        <v>442854171.88704002</v>
      </c>
      <c r="K97" s="58">
        <f t="shared" si="22"/>
        <v>839776731.19612801</v>
      </c>
      <c r="L97" s="32"/>
      <c r="M97" s="78"/>
      <c r="N97" s="104"/>
      <c r="O97" s="104"/>
      <c r="P97" s="104"/>
    </row>
    <row r="98" spans="1:16" s="4" customFormat="1" ht="38.25" customHeight="1" outlineLevel="1">
      <c r="A98" s="27" t="str">
        <f t="shared" si="19"/>
        <v>13A.S4.4</v>
      </c>
      <c r="B98" s="28" t="s">
        <v>87</v>
      </c>
      <c r="C98" s="28" t="s">
        <v>546</v>
      </c>
      <c r="D98" s="29" t="s">
        <v>517</v>
      </c>
      <c r="E98" s="31">
        <v>200</v>
      </c>
      <c r="F98" s="36">
        <v>200</v>
      </c>
      <c r="G98" s="93">
        <f>_xlfn.XLOOKUP(B98, Rate_Master!$A:$A, Rate_Master!$C:$C, "")</f>
        <v>0</v>
      </c>
      <c r="H98" s="93">
        <f>_xlfn.XLOOKUP(B98, Rate_Master!$A:$A, Rate_Master!$D:$D, "")</f>
        <v>0</v>
      </c>
      <c r="I98" s="67">
        <f t="shared" si="20"/>
        <v>0</v>
      </c>
      <c r="J98" s="32">
        <f t="shared" si="21"/>
        <v>0</v>
      </c>
      <c r="K98" s="58">
        <f t="shared" si="22"/>
        <v>0</v>
      </c>
      <c r="L98" s="32"/>
      <c r="M98" s="78"/>
      <c r="N98" s="104"/>
      <c r="O98" s="104"/>
      <c r="P98" s="104"/>
    </row>
    <row r="99" spans="1:16" s="4" customFormat="1" ht="25.5" customHeight="1" outlineLevel="1">
      <c r="A99" s="27" t="str">
        <f t="shared" si="19"/>
        <v>13A.S4.5</v>
      </c>
      <c r="B99" s="28" t="s">
        <v>88</v>
      </c>
      <c r="C99" s="28" t="s">
        <v>546</v>
      </c>
      <c r="D99" s="29" t="s">
        <v>517</v>
      </c>
      <c r="E99" s="31">
        <v>0</v>
      </c>
      <c r="F99" s="36"/>
      <c r="G99" s="30">
        <f>_xlfn.XLOOKUP(B99, Rate_Master!$A:$A, Rate_Master!$C:$C, "")</f>
        <v>0</v>
      </c>
      <c r="H99" s="30">
        <f>_xlfn.XLOOKUP(B99, Rate_Master!$A:$A, Rate_Master!$D:$D, "")</f>
        <v>0</v>
      </c>
      <c r="I99" s="67">
        <f t="shared" si="20"/>
        <v>0</v>
      </c>
      <c r="J99" s="32">
        <f t="shared" si="21"/>
        <v>0</v>
      </c>
      <c r="K99" s="58">
        <f t="shared" si="22"/>
        <v>0</v>
      </c>
      <c r="L99" s="32"/>
      <c r="M99" s="78"/>
      <c r="N99" s="104"/>
      <c r="O99" s="104"/>
      <c r="P99" s="104"/>
    </row>
    <row r="100" spans="1:16" s="4" customFormat="1" ht="38.25" customHeight="1" outlineLevel="1">
      <c r="A100" s="27" t="str">
        <f t="shared" si="19"/>
        <v>13A.S4.6</v>
      </c>
      <c r="B100" s="28" t="s">
        <v>89</v>
      </c>
      <c r="C100" s="28" t="s">
        <v>547</v>
      </c>
      <c r="D100" s="29" t="s">
        <v>520</v>
      </c>
      <c r="E100" s="31">
        <v>1100</v>
      </c>
      <c r="F100" s="36">
        <v>5646.3360000000002</v>
      </c>
      <c r="G100" s="93">
        <f>_xlfn.XLOOKUP(B100, Rate_Master!$A:$A, Rate_Master!$C:$C, "")</f>
        <v>17250</v>
      </c>
      <c r="H100" s="93">
        <f>_xlfn.XLOOKUP(B100, Rate_Master!$A:$A, Rate_Master!$D:$D, "")</f>
        <v>5750</v>
      </c>
      <c r="I100" s="67">
        <f t="shared" si="20"/>
        <v>23000</v>
      </c>
      <c r="J100" s="32">
        <f t="shared" si="21"/>
        <v>25300000</v>
      </c>
      <c r="K100" s="58">
        <f t="shared" si="22"/>
        <v>129865728</v>
      </c>
      <c r="L100" s="32"/>
      <c r="M100" s="78"/>
      <c r="N100" s="104"/>
      <c r="O100" s="104"/>
      <c r="P100" s="104"/>
    </row>
    <row r="101" spans="1:16" s="4" customFormat="1" ht="38.25" customHeight="1" outlineLevel="1">
      <c r="A101" s="27" t="str">
        <f t="shared" si="19"/>
        <v>13A.S4.7</v>
      </c>
      <c r="B101" s="28" t="s">
        <v>90</v>
      </c>
      <c r="C101" s="28" t="s">
        <v>573</v>
      </c>
      <c r="D101" s="29" t="s">
        <v>520</v>
      </c>
      <c r="E101" s="31">
        <v>14632.416580999999</v>
      </c>
      <c r="F101" s="36"/>
      <c r="G101" s="30">
        <f>_xlfn.XLOOKUP(B101, Rate_Master!$A:$A, Rate_Master!$C:$C, "")</f>
        <v>0</v>
      </c>
      <c r="H101" s="30">
        <f>_xlfn.XLOOKUP(B101, Rate_Master!$A:$A, Rate_Master!$D:$D, "")</f>
        <v>0</v>
      </c>
      <c r="I101" s="67">
        <f t="shared" si="20"/>
        <v>0</v>
      </c>
      <c r="J101" s="32">
        <f t="shared" si="21"/>
        <v>0</v>
      </c>
      <c r="K101" s="58">
        <f t="shared" si="22"/>
        <v>0</v>
      </c>
      <c r="L101" s="32"/>
      <c r="M101" s="78"/>
      <c r="N101" s="104"/>
      <c r="O101" s="104"/>
      <c r="P101" s="104"/>
    </row>
    <row r="102" spans="1:16" s="4" customFormat="1" ht="25.5" customHeight="1" outlineLevel="1">
      <c r="A102" s="27" t="str">
        <f t="shared" si="19"/>
        <v>13A.S4.8</v>
      </c>
      <c r="B102" s="28" t="s">
        <v>91</v>
      </c>
      <c r="C102" s="28" t="s">
        <v>515</v>
      </c>
      <c r="D102" s="29" t="s">
        <v>457</v>
      </c>
      <c r="E102" s="31">
        <v>1</v>
      </c>
      <c r="F102" s="36"/>
      <c r="G102" s="30">
        <f>_xlfn.XLOOKUP(B102, Rate_Master!$A:$A, Rate_Master!$C:$C, "")</f>
        <v>0</v>
      </c>
      <c r="H102" s="30">
        <f>_xlfn.XLOOKUP(B102, Rate_Master!$A:$A, Rate_Master!$D:$D, "")</f>
        <v>0</v>
      </c>
      <c r="I102" s="67">
        <f t="shared" si="20"/>
        <v>0</v>
      </c>
      <c r="J102" s="32">
        <f t="shared" si="21"/>
        <v>0</v>
      </c>
      <c r="K102" s="58">
        <f t="shared" si="22"/>
        <v>0</v>
      </c>
      <c r="L102" s="32"/>
      <c r="M102" s="78"/>
      <c r="N102" s="104"/>
      <c r="O102" s="104"/>
      <c r="P102" s="104"/>
    </row>
    <row r="103" spans="1:16" s="4" customFormat="1" ht="38.25" customHeight="1" outlineLevel="1">
      <c r="A103" s="27" t="str">
        <f t="shared" si="19"/>
        <v>13A.S4.9</v>
      </c>
      <c r="B103" s="28" t="s">
        <v>92</v>
      </c>
      <c r="C103" s="28" t="s">
        <v>550</v>
      </c>
      <c r="D103" s="29" t="s">
        <v>520</v>
      </c>
      <c r="E103" s="31">
        <v>14632.416580999999</v>
      </c>
      <c r="F103" s="36"/>
      <c r="G103" s="30">
        <f>_xlfn.XLOOKUP(B103, Rate_Master!$A:$A, Rate_Master!$C:$C, "")</f>
        <v>16099.999999999998</v>
      </c>
      <c r="H103" s="30">
        <f>_xlfn.XLOOKUP(B103, Rate_Master!$A:$A, Rate_Master!$D:$D, "")</f>
        <v>3449.9999999999995</v>
      </c>
      <c r="I103" s="67">
        <f t="shared" si="20"/>
        <v>19549.999999999996</v>
      </c>
      <c r="J103" s="32">
        <f t="shared" si="21"/>
        <v>286063744.15854996</v>
      </c>
      <c r="K103" s="58">
        <f t="shared" si="22"/>
        <v>0</v>
      </c>
      <c r="L103" s="32"/>
      <c r="M103" s="78"/>
      <c r="N103" s="104"/>
      <c r="O103" s="104"/>
      <c r="P103" s="104"/>
    </row>
    <row r="104" spans="1:16" s="3" customFormat="1" ht="25.5" customHeight="1">
      <c r="A104" s="22" t="str">
        <f>$A$9&amp;".F"</f>
        <v>13A.F</v>
      </c>
      <c r="B104" s="23" t="s">
        <v>93</v>
      </c>
      <c r="C104" s="23" t="s">
        <v>515</v>
      </c>
      <c r="D104" s="22"/>
      <c r="E104" s="25"/>
      <c r="F104" s="25"/>
      <c r="G104" s="25">
        <f>_xlfn.XLOOKUP(B104, Rate_Master!$A:$A, Rate_Master!$C:$C, "")</f>
        <v>0</v>
      </c>
      <c r="H104" s="25">
        <f>_xlfn.XLOOKUP(B104, Rate_Master!$A:$A, Rate_Master!$D:$D, "")</f>
        <v>0</v>
      </c>
      <c r="I104" s="26"/>
      <c r="J104" s="26"/>
      <c r="K104" s="26"/>
      <c r="L104" s="26"/>
    </row>
    <row r="105" spans="1:16" s="3" customFormat="1" ht="25.5" customHeight="1">
      <c r="A105" s="22" t="str">
        <f>$A$104&amp;1</f>
        <v>13A.F1</v>
      </c>
      <c r="B105" s="23" t="s">
        <v>94</v>
      </c>
      <c r="C105" s="23" t="s">
        <v>515</v>
      </c>
      <c r="D105" s="22"/>
      <c r="E105" s="25"/>
      <c r="F105" s="25"/>
      <c r="G105" s="25">
        <f>_xlfn.XLOOKUP(B105, Rate_Master!$A:$A, Rate_Master!$C:$C, "")</f>
        <v>0</v>
      </c>
      <c r="H105" s="25">
        <f>_xlfn.XLOOKUP(B105, Rate_Master!$A:$A, Rate_Master!$D:$D, "")</f>
        <v>0</v>
      </c>
      <c r="I105" s="26"/>
      <c r="J105" s="26">
        <f>SUBTOTAL(9,J106:J123)</f>
        <v>7985942347.0450392</v>
      </c>
      <c r="K105" s="26">
        <f>SUBTOTAL(9,K106:K123)</f>
        <v>7985942347.0450392</v>
      </c>
      <c r="L105" s="26"/>
    </row>
    <row r="106" spans="1:16" s="4" customFormat="1" ht="25.5" customHeight="1" outlineLevel="1">
      <c r="A106" s="27" t="str">
        <f t="shared" ref="A106:A123" si="23">$A$105&amp;"."&amp;ROW()-ROW($A$105)</f>
        <v>13A.F1.1</v>
      </c>
      <c r="B106" s="35" t="s">
        <v>95</v>
      </c>
      <c r="C106" s="34" t="s">
        <v>551</v>
      </c>
      <c r="D106" s="29" t="s">
        <v>519</v>
      </c>
      <c r="E106" s="36">
        <v>1361.1379999999999</v>
      </c>
      <c r="F106" s="36">
        <v>1361.1379999999999</v>
      </c>
      <c r="G106" s="30">
        <f>_xlfn.XLOOKUP(B106, Rate_Master!$A:$A, Rate_Master!$C:$C, "")</f>
        <v>1587600.0077618286</v>
      </c>
      <c r="H106" s="30">
        <f>_xlfn.XLOOKUP(B106, Rate_Master!$A:$A, Rate_Master!$D:$D, "")</f>
        <v>1086539.80861244</v>
      </c>
      <c r="I106" s="32">
        <f>+H106+G106</f>
        <v>2674139.8163742684</v>
      </c>
      <c r="J106" s="32">
        <f t="shared" ref="J106:J123" si="24">I106*E106</f>
        <v>3639873321.3800387</v>
      </c>
      <c r="K106" s="32">
        <f t="shared" ref="K106:K123" si="25">I106*F106</f>
        <v>3639873321.3800387</v>
      </c>
      <c r="L106" s="32"/>
    </row>
    <row r="107" spans="1:16" s="4" customFormat="1" ht="25.5" customHeight="1" outlineLevel="1">
      <c r="A107" s="27" t="str">
        <f t="shared" si="23"/>
        <v>13A.F1.2</v>
      </c>
      <c r="B107" s="35" t="s">
        <v>96</v>
      </c>
      <c r="C107" s="34" t="s">
        <v>551</v>
      </c>
      <c r="D107" s="29" t="s">
        <v>519</v>
      </c>
      <c r="E107" s="36">
        <v>125.583</v>
      </c>
      <c r="F107" s="36">
        <v>125.583</v>
      </c>
      <c r="G107" s="30">
        <f>_xlfn.XLOOKUP(B107, Rate_Master!$A:$A, Rate_Master!$C:$C, "")</f>
        <v>1368500</v>
      </c>
      <c r="H107" s="30">
        <f>_xlfn.XLOOKUP(B107, Rate_Master!$A:$A, Rate_Master!$D:$D, "")</f>
        <v>948749.99999999988</v>
      </c>
      <c r="I107" s="32">
        <f>+H107+G107</f>
        <v>2317250</v>
      </c>
      <c r="J107" s="32">
        <f t="shared" si="24"/>
        <v>291007206.75</v>
      </c>
      <c r="K107" s="32">
        <f t="shared" si="25"/>
        <v>291007206.75</v>
      </c>
      <c r="L107" s="32"/>
    </row>
    <row r="108" spans="1:16" s="4" customFormat="1" ht="51" customHeight="1" outlineLevel="1">
      <c r="A108" s="27" t="str">
        <f t="shared" si="23"/>
        <v>13A.F1.3</v>
      </c>
      <c r="B108" s="28" t="s">
        <v>97</v>
      </c>
      <c r="C108" s="34" t="s">
        <v>552</v>
      </c>
      <c r="D108" s="29" t="s">
        <v>520</v>
      </c>
      <c r="E108" s="36">
        <v>117.89100000000001</v>
      </c>
      <c r="F108" s="36">
        <v>117.89100000000001</v>
      </c>
      <c r="G108" s="31">
        <f>_xlfn.XLOOKUP(B108, Rate_Master!$A:$A, Rate_Master!$C:$C, "")</f>
        <v>229999.99999999997</v>
      </c>
      <c r="H108" s="31">
        <f>_xlfn.XLOOKUP(B108, Rate_Master!$A:$A, Rate_Master!$D:$D, "")</f>
        <v>46000</v>
      </c>
      <c r="I108" s="32">
        <f>+H108+G108</f>
        <v>276000</v>
      </c>
      <c r="J108" s="32">
        <f t="shared" si="24"/>
        <v>32537916</v>
      </c>
      <c r="K108" s="32">
        <f t="shared" si="25"/>
        <v>32537916</v>
      </c>
      <c r="L108" s="32"/>
    </row>
    <row r="109" spans="1:16" s="4" customFormat="1" ht="51" customHeight="1" outlineLevel="1">
      <c r="A109" s="27" t="str">
        <f t="shared" si="23"/>
        <v>13A.F1.4</v>
      </c>
      <c r="B109" s="28" t="s">
        <v>98</v>
      </c>
      <c r="C109" s="34" t="s">
        <v>553</v>
      </c>
      <c r="D109" s="29" t="s">
        <v>520</v>
      </c>
      <c r="E109" s="31">
        <v>0</v>
      </c>
      <c r="F109" s="31">
        <v>0</v>
      </c>
      <c r="G109" s="31">
        <f>_xlfn.XLOOKUP(B109, Rate_Master!$A:$A, Rate_Master!$C:$C, "")</f>
        <v>0</v>
      </c>
      <c r="H109" s="31">
        <f>_xlfn.XLOOKUP(B109, Rate_Master!$A:$A, Rate_Master!$D:$D, "")</f>
        <v>0</v>
      </c>
      <c r="I109" s="32">
        <v>0</v>
      </c>
      <c r="J109" s="32">
        <f t="shared" si="24"/>
        <v>0</v>
      </c>
      <c r="K109" s="32">
        <f t="shared" si="25"/>
        <v>0</v>
      </c>
      <c r="L109" s="32"/>
    </row>
    <row r="110" spans="1:16" s="4" customFormat="1" ht="51" customHeight="1" outlineLevel="1">
      <c r="A110" s="27" t="str">
        <f t="shared" si="23"/>
        <v>13A.F1.5</v>
      </c>
      <c r="B110" s="28" t="s">
        <v>99</v>
      </c>
      <c r="C110" s="34" t="s">
        <v>553</v>
      </c>
      <c r="D110" s="29" t="s">
        <v>520</v>
      </c>
      <c r="E110" s="31">
        <v>0</v>
      </c>
      <c r="F110" s="31">
        <v>0</v>
      </c>
      <c r="G110" s="31">
        <f>_xlfn.XLOOKUP(B110, Rate_Master!$A:$A, Rate_Master!$C:$C, "")</f>
        <v>931499.99999999988</v>
      </c>
      <c r="H110" s="31">
        <f>_xlfn.XLOOKUP(B110, Rate_Master!$A:$A, Rate_Master!$D:$D, "")</f>
        <v>114999.99999999999</v>
      </c>
      <c r="I110" s="32">
        <v>0</v>
      </c>
      <c r="J110" s="32">
        <f t="shared" si="24"/>
        <v>0</v>
      </c>
      <c r="K110" s="32">
        <f t="shared" si="25"/>
        <v>0</v>
      </c>
      <c r="L110" s="32"/>
    </row>
    <row r="111" spans="1:16" s="4" customFormat="1" ht="25.5" customHeight="1" outlineLevel="1">
      <c r="A111" s="27" t="str">
        <f t="shared" si="23"/>
        <v>13A.F1.6</v>
      </c>
      <c r="B111" s="28" t="s">
        <v>100</v>
      </c>
      <c r="C111" s="34" t="s">
        <v>554</v>
      </c>
      <c r="D111" s="29" t="s">
        <v>520</v>
      </c>
      <c r="E111" s="31">
        <v>0</v>
      </c>
      <c r="F111" s="31">
        <v>0</v>
      </c>
      <c r="G111" s="31">
        <f>_xlfn.XLOOKUP(B111, Rate_Master!$A:$A, Rate_Master!$C:$C, "")</f>
        <v>1586790</v>
      </c>
      <c r="H111" s="31">
        <f>_xlfn.XLOOKUP(B111, Rate_Master!$A:$A, Rate_Master!$D:$D, "")</f>
        <v>372210</v>
      </c>
      <c r="I111" s="32">
        <v>0</v>
      </c>
      <c r="J111" s="32">
        <f t="shared" si="24"/>
        <v>0</v>
      </c>
      <c r="K111" s="32">
        <f t="shared" si="25"/>
        <v>0</v>
      </c>
      <c r="L111" s="32"/>
    </row>
    <row r="112" spans="1:16" s="4" customFormat="1" ht="51" customHeight="1" outlineLevel="1">
      <c r="A112" s="27" t="str">
        <f t="shared" si="23"/>
        <v>13A.F1.7</v>
      </c>
      <c r="B112" s="28" t="s">
        <v>101</v>
      </c>
      <c r="C112" s="28" t="s">
        <v>515</v>
      </c>
      <c r="D112" s="29" t="s">
        <v>520</v>
      </c>
      <c r="E112" s="31">
        <v>361.56</v>
      </c>
      <c r="F112" s="31">
        <v>361.56</v>
      </c>
      <c r="G112" s="31">
        <f>_xlfn.XLOOKUP(B112, Rate_Master!$A:$A, Rate_Master!$C:$C, "")</f>
        <v>1121250</v>
      </c>
      <c r="H112" s="31">
        <f>_xlfn.XLOOKUP(B112, Rate_Master!$A:$A, Rate_Master!$D:$D, "")</f>
        <v>114999.99999999999</v>
      </c>
      <c r="I112" s="32">
        <f t="shared" ref="I112:I121" si="26">+H112+G112</f>
        <v>1236250</v>
      </c>
      <c r="J112" s="32">
        <f t="shared" si="24"/>
        <v>446978550</v>
      </c>
      <c r="K112" s="32">
        <f t="shared" si="25"/>
        <v>446978550</v>
      </c>
      <c r="L112" s="32"/>
    </row>
    <row r="113" spans="1:12" s="4" customFormat="1" ht="51" customHeight="1" outlineLevel="1">
      <c r="A113" s="27" t="str">
        <f t="shared" si="23"/>
        <v>13A.F1.8</v>
      </c>
      <c r="B113" s="28" t="s">
        <v>102</v>
      </c>
      <c r="C113" s="34" t="s">
        <v>555</v>
      </c>
      <c r="D113" s="29" t="s">
        <v>520</v>
      </c>
      <c r="E113" s="31">
        <v>30.812000000000001</v>
      </c>
      <c r="F113" s="31">
        <v>30.812000000000001</v>
      </c>
      <c r="G113" s="31">
        <f>_xlfn.XLOOKUP(B113, Rate_Master!$A:$A, Rate_Master!$C:$C, "")</f>
        <v>0</v>
      </c>
      <c r="H113" s="31">
        <f>_xlfn.XLOOKUP(B113, Rate_Master!$A:$A, Rate_Master!$D:$D, "")</f>
        <v>0</v>
      </c>
      <c r="I113" s="32">
        <f t="shared" si="26"/>
        <v>0</v>
      </c>
      <c r="J113" s="32">
        <f t="shared" si="24"/>
        <v>0</v>
      </c>
      <c r="K113" s="32">
        <f t="shared" si="25"/>
        <v>0</v>
      </c>
      <c r="L113" s="32"/>
    </row>
    <row r="114" spans="1:12" s="4" customFormat="1" ht="51" customHeight="1" outlineLevel="1">
      <c r="A114" s="27" t="str">
        <f t="shared" si="23"/>
        <v>13A.F1.9</v>
      </c>
      <c r="B114" s="28" t="s">
        <v>103</v>
      </c>
      <c r="C114" s="34" t="s">
        <v>555</v>
      </c>
      <c r="D114" s="29" t="s">
        <v>520</v>
      </c>
      <c r="E114" s="31">
        <v>200.339</v>
      </c>
      <c r="F114" s="31">
        <v>200.339</v>
      </c>
      <c r="G114" s="31">
        <f>_xlfn.XLOOKUP(B114, Rate_Master!$A:$A, Rate_Master!$C:$C, "")</f>
        <v>0</v>
      </c>
      <c r="H114" s="31">
        <f>_xlfn.XLOOKUP(B114, Rate_Master!$A:$A, Rate_Master!$D:$D, "")</f>
        <v>0</v>
      </c>
      <c r="I114" s="32">
        <f t="shared" si="26"/>
        <v>0</v>
      </c>
      <c r="J114" s="32">
        <f t="shared" si="24"/>
        <v>0</v>
      </c>
      <c r="K114" s="32">
        <f t="shared" si="25"/>
        <v>0</v>
      </c>
      <c r="L114" s="32"/>
    </row>
    <row r="115" spans="1:12" s="4" customFormat="1" ht="25.5" customHeight="1" outlineLevel="1">
      <c r="A115" s="27" t="str">
        <f t="shared" si="23"/>
        <v>13A.F1.10</v>
      </c>
      <c r="B115" s="28" t="s">
        <v>104</v>
      </c>
      <c r="C115" s="28" t="s">
        <v>515</v>
      </c>
      <c r="D115" s="29" t="s">
        <v>520</v>
      </c>
      <c r="E115" s="31">
        <v>3536</v>
      </c>
      <c r="F115" s="31">
        <v>3536</v>
      </c>
      <c r="G115" s="30">
        <f>_xlfn.XLOOKUP(B115, Rate_Master!$A:$A, Rate_Master!$C:$C, "")</f>
        <v>46000</v>
      </c>
      <c r="H115" s="30">
        <f>_xlfn.XLOOKUP(B115, Rate_Master!$A:$A, Rate_Master!$D:$D, "")</f>
        <v>34500</v>
      </c>
      <c r="I115" s="32">
        <f t="shared" si="26"/>
        <v>80500</v>
      </c>
      <c r="J115" s="32">
        <f t="shared" si="24"/>
        <v>284648000</v>
      </c>
      <c r="K115" s="32">
        <f t="shared" si="25"/>
        <v>284648000</v>
      </c>
      <c r="L115" s="32"/>
    </row>
    <row r="116" spans="1:12" s="4" customFormat="1" ht="25.5" customHeight="1" outlineLevel="1">
      <c r="A116" s="27" t="str">
        <f t="shared" si="23"/>
        <v>13A.F1.11</v>
      </c>
      <c r="B116" s="28" t="s">
        <v>105</v>
      </c>
      <c r="C116" s="34" t="s">
        <v>556</v>
      </c>
      <c r="D116" s="29" t="s">
        <v>520</v>
      </c>
      <c r="E116" s="31">
        <v>3016.2109999999998</v>
      </c>
      <c r="F116" s="31">
        <v>3016.2109999999998</v>
      </c>
      <c r="G116" s="30">
        <f>_xlfn.XLOOKUP(B116, Rate_Master!$A:$A, Rate_Master!$C:$C, "")</f>
        <v>26565.000000000004</v>
      </c>
      <c r="H116" s="30">
        <f>_xlfn.XLOOKUP(B116, Rate_Master!$A:$A, Rate_Master!$D:$D, "")</f>
        <v>132250</v>
      </c>
      <c r="I116" s="32">
        <f t="shared" si="26"/>
        <v>158815</v>
      </c>
      <c r="J116" s="32">
        <f t="shared" si="24"/>
        <v>479019549.96499997</v>
      </c>
      <c r="K116" s="32">
        <f t="shared" si="25"/>
        <v>479019549.96499997</v>
      </c>
      <c r="L116" s="32"/>
    </row>
    <row r="117" spans="1:12" s="4" customFormat="1" ht="25.5" customHeight="1" outlineLevel="1">
      <c r="A117" s="27" t="str">
        <f t="shared" si="23"/>
        <v>13A.F1.12</v>
      </c>
      <c r="B117" s="28" t="s">
        <v>106</v>
      </c>
      <c r="C117" s="34" t="s">
        <v>556</v>
      </c>
      <c r="D117" s="29" t="s">
        <v>520</v>
      </c>
      <c r="E117" s="31">
        <v>10701.16</v>
      </c>
      <c r="F117" s="31">
        <v>10701.16</v>
      </c>
      <c r="G117" s="30">
        <f>_xlfn.XLOOKUP(B117, Rate_Master!$A:$A, Rate_Master!$C:$C, "")</f>
        <v>26565.000000000004</v>
      </c>
      <c r="H117" s="30">
        <f>_xlfn.XLOOKUP(B117, Rate_Master!$A:$A, Rate_Master!$D:$D, "")</f>
        <v>117299.99999999999</v>
      </c>
      <c r="I117" s="32">
        <f t="shared" si="26"/>
        <v>143865</v>
      </c>
      <c r="J117" s="32">
        <f t="shared" si="24"/>
        <v>1539522383.4000001</v>
      </c>
      <c r="K117" s="32">
        <f t="shared" si="25"/>
        <v>1539522383.4000001</v>
      </c>
      <c r="L117" s="32"/>
    </row>
    <row r="118" spans="1:12" s="4" customFormat="1" ht="38.25" customHeight="1" outlineLevel="1">
      <c r="A118" s="27" t="str">
        <f t="shared" si="23"/>
        <v>13A.F1.13</v>
      </c>
      <c r="B118" s="28" t="s">
        <v>107</v>
      </c>
      <c r="C118" s="28" t="s">
        <v>515</v>
      </c>
      <c r="D118" s="29" t="s">
        <v>520</v>
      </c>
      <c r="E118" s="36">
        <v>1061.221</v>
      </c>
      <c r="F118" s="36">
        <v>1061.221</v>
      </c>
      <c r="G118" s="31">
        <f>_xlfn.XLOOKUP(B118, Rate_Master!$A:$A, Rate_Master!$C:$C, "")</f>
        <v>218499.99999999997</v>
      </c>
      <c r="H118" s="31">
        <f>_xlfn.XLOOKUP(B118, Rate_Master!$A:$A, Rate_Master!$D:$D, "")</f>
        <v>138000</v>
      </c>
      <c r="I118" s="32">
        <f t="shared" si="26"/>
        <v>356500</v>
      </c>
      <c r="J118" s="32">
        <f t="shared" si="24"/>
        <v>378325286.5</v>
      </c>
      <c r="K118" s="32">
        <f t="shared" si="25"/>
        <v>378325286.5</v>
      </c>
      <c r="L118" s="32"/>
    </row>
    <row r="119" spans="1:12" s="4" customFormat="1" ht="25.5" customHeight="1" outlineLevel="1">
      <c r="A119" s="27" t="str">
        <f t="shared" si="23"/>
        <v>13A.F1.14</v>
      </c>
      <c r="B119" s="34" t="s">
        <v>108</v>
      </c>
      <c r="C119" s="28" t="s">
        <v>515</v>
      </c>
      <c r="D119" s="29" t="s">
        <v>520</v>
      </c>
      <c r="E119" s="31">
        <v>3016.2109999999998</v>
      </c>
      <c r="F119" s="31">
        <v>3016.2109999999998</v>
      </c>
      <c r="G119" s="30">
        <f>_xlfn.XLOOKUP(B119, Rate_Master!$A:$A, Rate_Master!$C:$C, "")</f>
        <v>51749.999999999993</v>
      </c>
      <c r="H119" s="30">
        <f>_xlfn.XLOOKUP(B119, Rate_Master!$A:$A, Rate_Master!$D:$D, "")</f>
        <v>34500</v>
      </c>
      <c r="I119" s="32">
        <f t="shared" si="26"/>
        <v>86250</v>
      </c>
      <c r="J119" s="32">
        <f t="shared" si="24"/>
        <v>260148198.74999997</v>
      </c>
      <c r="K119" s="32">
        <f t="shared" si="25"/>
        <v>260148198.74999997</v>
      </c>
      <c r="L119" s="32"/>
    </row>
    <row r="120" spans="1:12" s="4" customFormat="1" ht="25.5" customHeight="1" outlineLevel="1">
      <c r="A120" s="27" t="str">
        <f t="shared" si="23"/>
        <v>13A.F1.15</v>
      </c>
      <c r="B120" s="34" t="s">
        <v>109</v>
      </c>
      <c r="C120" s="28" t="s">
        <v>515</v>
      </c>
      <c r="D120" s="29" t="s">
        <v>520</v>
      </c>
      <c r="E120" s="36">
        <v>9064.8860000000004</v>
      </c>
      <c r="F120" s="36">
        <v>9064.8860000000004</v>
      </c>
      <c r="G120" s="31">
        <f>_xlfn.XLOOKUP(B120, Rate_Master!$A:$A, Rate_Master!$C:$C, "")</f>
        <v>46000</v>
      </c>
      <c r="H120" s="31">
        <f>_xlfn.XLOOKUP(B120, Rate_Master!$A:$A, Rate_Master!$D:$D, "")</f>
        <v>19550</v>
      </c>
      <c r="I120" s="32">
        <f t="shared" si="26"/>
        <v>65550</v>
      </c>
      <c r="J120" s="32">
        <f t="shared" si="24"/>
        <v>594203277.30000007</v>
      </c>
      <c r="K120" s="32">
        <f t="shared" si="25"/>
        <v>594203277.30000007</v>
      </c>
      <c r="L120" s="32"/>
    </row>
    <row r="121" spans="1:12" s="4" customFormat="1" ht="38.25" customHeight="1" outlineLevel="1">
      <c r="A121" s="27" t="str">
        <f t="shared" si="23"/>
        <v>13A.F1.16</v>
      </c>
      <c r="B121" s="34" t="s">
        <v>110</v>
      </c>
      <c r="C121" s="28" t="s">
        <v>515</v>
      </c>
      <c r="D121" s="29" t="s">
        <v>520</v>
      </c>
      <c r="E121" s="36">
        <v>575.053</v>
      </c>
      <c r="F121" s="36">
        <v>575.053</v>
      </c>
      <c r="G121" s="31">
        <f>_xlfn.XLOOKUP(B121, Rate_Master!$A:$A, Rate_Master!$C:$C, "")</f>
        <v>51749.999999999993</v>
      </c>
      <c r="H121" s="31">
        <f>_xlfn.XLOOKUP(B121, Rate_Master!$A:$A, Rate_Master!$D:$D, "")</f>
        <v>17250</v>
      </c>
      <c r="I121" s="32">
        <f t="shared" si="26"/>
        <v>69000</v>
      </c>
      <c r="J121" s="32">
        <f t="shared" si="24"/>
        <v>39678657</v>
      </c>
      <c r="K121" s="32">
        <f t="shared" si="25"/>
        <v>39678657</v>
      </c>
      <c r="L121" s="32"/>
    </row>
    <row r="122" spans="1:12" s="4" customFormat="1" ht="25.5" customHeight="1" outlineLevel="1">
      <c r="A122" s="27" t="str">
        <f t="shared" si="23"/>
        <v>13A.F1.17</v>
      </c>
      <c r="B122" s="34" t="s">
        <v>111</v>
      </c>
      <c r="C122" s="28" t="s">
        <v>515</v>
      </c>
      <c r="D122" s="29" t="s">
        <v>520</v>
      </c>
      <c r="E122" s="31">
        <v>0</v>
      </c>
      <c r="F122" s="31">
        <v>0</v>
      </c>
      <c r="G122" s="31">
        <f>_xlfn.XLOOKUP(B122, Rate_Master!$A:$A, Rate_Master!$C:$C, "")</f>
        <v>172500</v>
      </c>
      <c r="H122" s="31">
        <f>_xlfn.XLOOKUP(B122, Rate_Master!$A:$A, Rate_Master!$D:$D, "")</f>
        <v>28749.999999999996</v>
      </c>
      <c r="I122" s="32"/>
      <c r="J122" s="32">
        <f t="shared" si="24"/>
        <v>0</v>
      </c>
      <c r="K122" s="32">
        <f t="shared" si="25"/>
        <v>0</v>
      </c>
      <c r="L122" s="32"/>
    </row>
    <row r="123" spans="1:12" s="4" customFormat="1" ht="38.25" customHeight="1" outlineLevel="1">
      <c r="A123" s="27" t="str">
        <f t="shared" si="23"/>
        <v>13A.F1.18</v>
      </c>
      <c r="B123" s="34" t="s">
        <v>112</v>
      </c>
      <c r="C123" s="34" t="s">
        <v>557</v>
      </c>
      <c r="D123" s="29" t="s">
        <v>517</v>
      </c>
      <c r="E123" s="31">
        <v>0</v>
      </c>
      <c r="F123" s="31">
        <v>0</v>
      </c>
      <c r="G123" s="31">
        <f>_xlfn.XLOOKUP(B123, Rate_Master!$A:$A, Rate_Master!$C:$C, "")</f>
        <v>163300</v>
      </c>
      <c r="H123" s="31">
        <f>_xlfn.XLOOKUP(B123, Rate_Master!$A:$A, Rate_Master!$D:$D, "")</f>
        <v>51749.999999999993</v>
      </c>
      <c r="I123" s="32"/>
      <c r="J123" s="32">
        <f t="shared" si="24"/>
        <v>0</v>
      </c>
      <c r="K123" s="32">
        <f t="shared" si="25"/>
        <v>0</v>
      </c>
      <c r="L123" s="32"/>
    </row>
    <row r="124" spans="1:12" s="3" customFormat="1" ht="25.5" customHeight="1">
      <c r="A124" s="22" t="str">
        <f>$A$104&amp;2</f>
        <v>13A.F2</v>
      </c>
      <c r="B124" s="23" t="s">
        <v>113</v>
      </c>
      <c r="C124" s="23" t="s">
        <v>515</v>
      </c>
      <c r="D124" s="22"/>
      <c r="E124" s="25"/>
      <c r="F124" s="25"/>
      <c r="G124" s="25">
        <f>_xlfn.XLOOKUP(B124, Rate_Master!$A:$A, Rate_Master!$C:$C, "")</f>
        <v>0</v>
      </c>
      <c r="H124" s="25">
        <f>_xlfn.XLOOKUP(B124, Rate_Master!$A:$A, Rate_Master!$D:$D, "")</f>
        <v>0</v>
      </c>
      <c r="I124" s="26"/>
      <c r="J124" s="26">
        <f>SUBTOTAL(9,J125:J129)</f>
        <v>201919773.79999995</v>
      </c>
      <c r="K124" s="26">
        <f>SUBTOTAL(9,K125:K129)</f>
        <v>201919773.79999995</v>
      </c>
      <c r="L124" s="26"/>
    </row>
    <row r="125" spans="1:12" s="4" customFormat="1" ht="51" customHeight="1" outlineLevel="1">
      <c r="A125" s="27" t="str">
        <f>$A$124&amp;"."&amp;ROW()-ROW($A$124)</f>
        <v>13A.F2.1</v>
      </c>
      <c r="B125" s="34" t="s">
        <v>114</v>
      </c>
      <c r="C125" s="28" t="s">
        <v>515</v>
      </c>
      <c r="D125" s="29" t="s">
        <v>520</v>
      </c>
      <c r="E125" s="36">
        <v>535.62199999999996</v>
      </c>
      <c r="F125" s="36">
        <v>535.62199999999996</v>
      </c>
      <c r="G125" s="30">
        <f>_xlfn.XLOOKUP(B125, Rate_Master!$A:$A, Rate_Master!$C:$C, "")</f>
        <v>206999.99999999997</v>
      </c>
      <c r="H125" s="30">
        <f>_xlfn.XLOOKUP(B125, Rate_Master!$A:$A, Rate_Master!$D:$D, "")</f>
        <v>126499.99999999999</v>
      </c>
      <c r="I125" s="32">
        <f>+H125+G125</f>
        <v>333499.99999999994</v>
      </c>
      <c r="J125" s="32">
        <f>I125*E125</f>
        <v>178629936.99999994</v>
      </c>
      <c r="K125" s="32">
        <f>I125*F125</f>
        <v>178629936.99999994</v>
      </c>
      <c r="L125" s="32"/>
    </row>
    <row r="126" spans="1:12" s="4" customFormat="1" ht="51" customHeight="1" outlineLevel="1">
      <c r="A126" s="27" t="str">
        <f>$A$124&amp;"."&amp;ROW()-ROW($A$124)</f>
        <v>13A.F2.2</v>
      </c>
      <c r="B126" s="28" t="s">
        <v>115</v>
      </c>
      <c r="C126" s="28" t="s">
        <v>515</v>
      </c>
      <c r="D126" s="29" t="s">
        <v>520</v>
      </c>
      <c r="E126" s="36">
        <v>297.82400000000001</v>
      </c>
      <c r="F126" s="36">
        <v>297.82400000000001</v>
      </c>
      <c r="G126" s="30">
        <f>_xlfn.XLOOKUP(B126, Rate_Master!$A:$A, Rate_Master!$C:$C, "")</f>
        <v>28749.999999999996</v>
      </c>
      <c r="H126" s="30">
        <f>_xlfn.XLOOKUP(B126, Rate_Master!$A:$A, Rate_Master!$D:$D, "")</f>
        <v>49449.999999999993</v>
      </c>
      <c r="I126" s="32">
        <f>+H126+G126</f>
        <v>78199.999999999985</v>
      </c>
      <c r="J126" s="32">
        <f>I126*E126</f>
        <v>23289836.799999997</v>
      </c>
      <c r="K126" s="32">
        <f>I126*F126</f>
        <v>23289836.799999997</v>
      </c>
      <c r="L126" s="32"/>
    </row>
    <row r="127" spans="1:12" s="4" customFormat="1" ht="51" customHeight="1" outlineLevel="1">
      <c r="A127" s="27" t="str">
        <f>$A$124&amp;"."&amp;ROW()-ROW($A$124)</f>
        <v>13A.F2.3</v>
      </c>
      <c r="B127" s="34" t="s">
        <v>116</v>
      </c>
      <c r="C127" s="28" t="s">
        <v>515</v>
      </c>
      <c r="D127" s="29" t="s">
        <v>520</v>
      </c>
      <c r="E127" s="31">
        <v>0</v>
      </c>
      <c r="F127" s="31">
        <v>0</v>
      </c>
      <c r="G127" s="31">
        <f>_xlfn.XLOOKUP(B127, Rate_Master!$A:$A, Rate_Master!$C:$C, "")</f>
        <v>0</v>
      </c>
      <c r="H127" s="31">
        <f>_xlfn.XLOOKUP(B127, Rate_Master!$A:$A, Rate_Master!$D:$D, "")</f>
        <v>0</v>
      </c>
      <c r="I127" s="32">
        <v>0</v>
      </c>
      <c r="J127" s="32">
        <f>I127*E127</f>
        <v>0</v>
      </c>
      <c r="K127" s="32">
        <f>I127*F127</f>
        <v>0</v>
      </c>
      <c r="L127" s="32"/>
    </row>
    <row r="128" spans="1:12" s="4" customFormat="1" ht="51" customHeight="1" outlineLevel="1">
      <c r="A128" s="27" t="str">
        <f>$A$124&amp;"."&amp;ROW()-ROW($A$124)</f>
        <v>13A.F2.4</v>
      </c>
      <c r="B128" s="34" t="s">
        <v>117</v>
      </c>
      <c r="C128" s="28" t="s">
        <v>515</v>
      </c>
      <c r="D128" s="29" t="s">
        <v>520</v>
      </c>
      <c r="E128" s="36">
        <v>34.168999999999997</v>
      </c>
      <c r="F128" s="36">
        <v>34.168999999999997</v>
      </c>
      <c r="G128" s="31">
        <f>_xlfn.XLOOKUP(B128, Rate_Master!$A:$A, Rate_Master!$C:$C, "")</f>
        <v>0</v>
      </c>
      <c r="H128" s="31">
        <f>_xlfn.XLOOKUP(B128, Rate_Master!$A:$A, Rate_Master!$D:$D, "")</f>
        <v>0</v>
      </c>
      <c r="I128" s="32">
        <f>+H128+G128</f>
        <v>0</v>
      </c>
      <c r="J128" s="32">
        <f>I128*E128</f>
        <v>0</v>
      </c>
      <c r="K128" s="32">
        <f>I128*F128</f>
        <v>0</v>
      </c>
      <c r="L128" s="32"/>
    </row>
    <row r="129" spans="1:12" s="4" customFormat="1" ht="38.25" customHeight="1" outlineLevel="1">
      <c r="A129" s="27" t="str">
        <f>$A$124&amp;"."&amp;ROW()-ROW($A$124)</f>
        <v>13A.F2.5</v>
      </c>
      <c r="B129" s="34" t="s">
        <v>118</v>
      </c>
      <c r="C129" s="28" t="s">
        <v>515</v>
      </c>
      <c r="D129" s="29" t="s">
        <v>520</v>
      </c>
      <c r="E129" s="36">
        <v>3919.1979999999999</v>
      </c>
      <c r="F129" s="36">
        <v>3919.1979999999999</v>
      </c>
      <c r="G129" s="31">
        <f>_xlfn.XLOOKUP(B129, Rate_Master!$A:$A, Rate_Master!$C:$C, "")</f>
        <v>0</v>
      </c>
      <c r="H129" s="31">
        <f>_xlfn.XLOOKUP(B129, Rate_Master!$A:$A, Rate_Master!$D:$D, "")</f>
        <v>0</v>
      </c>
      <c r="I129" s="32">
        <f>+H129+G129</f>
        <v>0</v>
      </c>
      <c r="J129" s="32">
        <f>I129*E129</f>
        <v>0</v>
      </c>
      <c r="K129" s="32">
        <f>I129*F129</f>
        <v>0</v>
      </c>
      <c r="L129" s="32"/>
    </row>
    <row r="130" spans="1:12" s="3" customFormat="1" ht="25.5" customHeight="1">
      <c r="A130" s="22" t="str">
        <f>$A$104&amp;3</f>
        <v>13A.F3</v>
      </c>
      <c r="B130" s="23" t="s">
        <v>119</v>
      </c>
      <c r="C130" s="23" t="s">
        <v>515</v>
      </c>
      <c r="D130" s="22"/>
      <c r="E130" s="25"/>
      <c r="F130" s="25"/>
      <c r="G130" s="25">
        <f>_xlfn.XLOOKUP(B130, Rate_Master!$A:$A, Rate_Master!$C:$C, "")</f>
        <v>0</v>
      </c>
      <c r="H130" s="25">
        <f>_xlfn.XLOOKUP(B130, Rate_Master!$A:$A, Rate_Master!$D:$D, "")</f>
        <v>0</v>
      </c>
      <c r="I130" s="26"/>
      <c r="J130" s="26">
        <f>SUBTOTAL(9,J131:J138)</f>
        <v>0</v>
      </c>
      <c r="K130" s="26">
        <f>SUBTOTAL(9,K131:K138)</f>
        <v>0</v>
      </c>
      <c r="L130" s="26"/>
    </row>
    <row r="131" spans="1:12" s="4" customFormat="1" ht="25.5" customHeight="1" outlineLevel="1">
      <c r="A131" s="27" t="str">
        <f t="shared" ref="A131:A138" si="27">$A$130&amp;"."&amp;ROW()-ROW($A$130)</f>
        <v>13A.F3.1</v>
      </c>
      <c r="B131" s="34" t="s">
        <v>120</v>
      </c>
      <c r="C131" s="28" t="s">
        <v>515</v>
      </c>
      <c r="D131" s="29" t="s">
        <v>520</v>
      </c>
      <c r="E131" s="31">
        <v>0</v>
      </c>
      <c r="F131" s="31">
        <v>0</v>
      </c>
      <c r="G131" s="31">
        <f>_xlfn.XLOOKUP(B131, Rate_Master!$A:$A, Rate_Master!$C:$C, "")</f>
        <v>28749.999999999996</v>
      </c>
      <c r="H131" s="31">
        <f>_xlfn.XLOOKUP(B131, Rate_Master!$A:$A, Rate_Master!$D:$D, "")</f>
        <v>0</v>
      </c>
      <c r="I131" s="32">
        <v>0</v>
      </c>
      <c r="J131" s="32">
        <f t="shared" ref="J131:J138" si="28">I131*E131</f>
        <v>0</v>
      </c>
      <c r="K131" s="32">
        <f t="shared" ref="K131:K138" si="29">I131*F131</f>
        <v>0</v>
      </c>
      <c r="L131" s="32"/>
    </row>
    <row r="132" spans="1:12" s="4" customFormat="1" ht="25.5" customHeight="1" outlineLevel="1">
      <c r="A132" s="27" t="str">
        <f t="shared" si="27"/>
        <v>13A.F3.2</v>
      </c>
      <c r="B132" s="34" t="s">
        <v>121</v>
      </c>
      <c r="C132" s="28" t="s">
        <v>515</v>
      </c>
      <c r="D132" s="29" t="s">
        <v>520</v>
      </c>
      <c r="E132" s="31">
        <v>0</v>
      </c>
      <c r="F132" s="31">
        <v>0</v>
      </c>
      <c r="G132" s="31">
        <f>_xlfn.XLOOKUP(B132, Rate_Master!$A:$A, Rate_Master!$C:$C, "")</f>
        <v>0</v>
      </c>
      <c r="H132" s="31">
        <f>_xlfn.XLOOKUP(B132, Rate_Master!$A:$A, Rate_Master!$D:$D, "")</f>
        <v>0</v>
      </c>
      <c r="I132" s="32">
        <v>0</v>
      </c>
      <c r="J132" s="32">
        <f t="shared" si="28"/>
        <v>0</v>
      </c>
      <c r="K132" s="32">
        <f t="shared" si="29"/>
        <v>0</v>
      </c>
      <c r="L132" s="32"/>
    </row>
    <row r="133" spans="1:12" s="4" customFormat="1" ht="38.25" customHeight="1" outlineLevel="1">
      <c r="A133" s="27" t="str">
        <f t="shared" si="27"/>
        <v>13A.F3.3</v>
      </c>
      <c r="B133" s="34" t="s">
        <v>122</v>
      </c>
      <c r="C133" s="28" t="s">
        <v>515</v>
      </c>
      <c r="D133" s="29" t="s">
        <v>520</v>
      </c>
      <c r="E133" s="31">
        <v>0</v>
      </c>
      <c r="F133" s="31">
        <v>0</v>
      </c>
      <c r="G133" s="31">
        <f>_xlfn.XLOOKUP(B133, Rate_Master!$A:$A, Rate_Master!$C:$C, "")</f>
        <v>51749.999999999993</v>
      </c>
      <c r="H133" s="31">
        <f>_xlfn.XLOOKUP(B133, Rate_Master!$A:$A, Rate_Master!$D:$D, "")</f>
        <v>23000</v>
      </c>
      <c r="I133" s="32">
        <v>0</v>
      </c>
      <c r="J133" s="32">
        <f t="shared" si="28"/>
        <v>0</v>
      </c>
      <c r="K133" s="32">
        <f t="shared" si="29"/>
        <v>0</v>
      </c>
      <c r="L133" s="32"/>
    </row>
    <row r="134" spans="1:12" s="4" customFormat="1" ht="25.5" customHeight="1" outlineLevel="1">
      <c r="A134" s="27" t="str">
        <f t="shared" si="27"/>
        <v>13A.F3.4</v>
      </c>
      <c r="B134" s="34" t="s">
        <v>123</v>
      </c>
      <c r="C134" s="28" t="s">
        <v>515</v>
      </c>
      <c r="D134" s="29" t="s">
        <v>520</v>
      </c>
      <c r="E134" s="31">
        <v>0</v>
      </c>
      <c r="F134" s="31">
        <v>0</v>
      </c>
      <c r="G134" s="31">
        <f>_xlfn.XLOOKUP(B134, Rate_Master!$A:$A, Rate_Master!$C:$C, "")</f>
        <v>172500</v>
      </c>
      <c r="H134" s="31">
        <f>_xlfn.XLOOKUP(B134, Rate_Master!$A:$A, Rate_Master!$D:$D, "")</f>
        <v>34500</v>
      </c>
      <c r="I134" s="32">
        <v>0</v>
      </c>
      <c r="J134" s="32">
        <f t="shared" si="28"/>
        <v>0</v>
      </c>
      <c r="K134" s="32">
        <f t="shared" si="29"/>
        <v>0</v>
      </c>
      <c r="L134" s="32"/>
    </row>
    <row r="135" spans="1:12" s="4" customFormat="1" ht="51" customHeight="1" outlineLevel="1">
      <c r="A135" s="27" t="str">
        <f t="shared" si="27"/>
        <v>13A.F3.5</v>
      </c>
      <c r="B135" s="28" t="s">
        <v>124</v>
      </c>
      <c r="C135" s="34" t="s">
        <v>553</v>
      </c>
      <c r="D135" s="29" t="s">
        <v>520</v>
      </c>
      <c r="E135" s="31">
        <v>0</v>
      </c>
      <c r="F135" s="31">
        <v>0</v>
      </c>
      <c r="G135" s="30">
        <f>_xlfn.XLOOKUP(B135, Rate_Master!$A:$A, Rate_Master!$C:$C, "")</f>
        <v>1069500</v>
      </c>
      <c r="H135" s="30">
        <f>_xlfn.XLOOKUP(B135, Rate_Master!$A:$A, Rate_Master!$D:$D, "")</f>
        <v>172500</v>
      </c>
      <c r="I135" s="32">
        <v>0</v>
      </c>
      <c r="J135" s="32">
        <f t="shared" si="28"/>
        <v>0</v>
      </c>
      <c r="K135" s="32">
        <f t="shared" si="29"/>
        <v>0</v>
      </c>
      <c r="L135" s="32"/>
    </row>
    <row r="136" spans="1:12" s="4" customFormat="1" ht="51" customHeight="1" outlineLevel="1">
      <c r="A136" s="27" t="str">
        <f t="shared" si="27"/>
        <v>13A.F3.6</v>
      </c>
      <c r="B136" s="34" t="s">
        <v>125</v>
      </c>
      <c r="C136" s="28" t="s">
        <v>515</v>
      </c>
      <c r="D136" s="29" t="s">
        <v>520</v>
      </c>
      <c r="E136" s="31">
        <v>0</v>
      </c>
      <c r="F136" s="31">
        <v>0</v>
      </c>
      <c r="G136" s="30">
        <f>_xlfn.XLOOKUP(B136, Rate_Master!$A:$A, Rate_Master!$C:$C, "")</f>
        <v>965999.99999999988</v>
      </c>
      <c r="H136" s="30">
        <f>_xlfn.XLOOKUP(B136, Rate_Master!$A:$A, Rate_Master!$D:$D, "")</f>
        <v>138000</v>
      </c>
      <c r="I136" s="32">
        <v>0</v>
      </c>
      <c r="J136" s="32">
        <f t="shared" si="28"/>
        <v>0</v>
      </c>
      <c r="K136" s="32">
        <f t="shared" si="29"/>
        <v>0</v>
      </c>
      <c r="L136" s="32"/>
    </row>
    <row r="137" spans="1:12" s="4" customFormat="1" ht="25.5" customHeight="1" outlineLevel="1">
      <c r="A137" s="27" t="str">
        <f t="shared" si="27"/>
        <v>13A.F3.7</v>
      </c>
      <c r="B137" s="28" t="s">
        <v>126</v>
      </c>
      <c r="C137" s="28" t="s">
        <v>515</v>
      </c>
      <c r="D137" s="29" t="s">
        <v>520</v>
      </c>
      <c r="E137" s="36">
        <v>135.91300000000001</v>
      </c>
      <c r="F137" s="36">
        <v>135.91300000000001</v>
      </c>
      <c r="G137" s="30">
        <f>_xlfn.XLOOKUP(B137, Rate_Master!$A:$A, Rate_Master!$C:$C, "")</f>
        <v>0</v>
      </c>
      <c r="H137" s="30">
        <f>_xlfn.XLOOKUP(B137, Rate_Master!$A:$A, Rate_Master!$D:$D, "")</f>
        <v>0</v>
      </c>
      <c r="I137" s="32">
        <f>+H137+G137</f>
        <v>0</v>
      </c>
      <c r="J137" s="32">
        <f t="shared" si="28"/>
        <v>0</v>
      </c>
      <c r="K137" s="32">
        <f t="shared" si="29"/>
        <v>0</v>
      </c>
      <c r="L137" s="32"/>
    </row>
    <row r="138" spans="1:12" s="4" customFormat="1" ht="25.5" customHeight="1" outlineLevel="1">
      <c r="A138" s="27" t="str">
        <f t="shared" si="27"/>
        <v>13A.F3.8</v>
      </c>
      <c r="B138" s="34" t="s">
        <v>127</v>
      </c>
      <c r="C138" s="28" t="s">
        <v>515</v>
      </c>
      <c r="D138" s="29" t="s">
        <v>520</v>
      </c>
      <c r="E138" s="36">
        <v>4566.2370000000001</v>
      </c>
      <c r="F138" s="36">
        <v>4566.2370000000001</v>
      </c>
      <c r="G138" s="30">
        <f>_xlfn.XLOOKUP(B138, Rate_Master!$A:$A, Rate_Master!$C:$C, "")</f>
        <v>0</v>
      </c>
      <c r="H138" s="30">
        <f>_xlfn.XLOOKUP(B138, Rate_Master!$A:$A, Rate_Master!$D:$D, "")</f>
        <v>0</v>
      </c>
      <c r="I138" s="32">
        <f>+H138+G138</f>
        <v>0</v>
      </c>
      <c r="J138" s="32">
        <f t="shared" si="28"/>
        <v>0</v>
      </c>
      <c r="K138" s="32">
        <f t="shared" si="29"/>
        <v>0</v>
      </c>
      <c r="L138" s="32"/>
    </row>
    <row r="139" spans="1:12" s="3" customFormat="1" ht="25.5" customHeight="1">
      <c r="A139" s="22" t="str">
        <f>$A$104&amp;4</f>
        <v>13A.F4</v>
      </c>
      <c r="B139" s="23" t="s">
        <v>128</v>
      </c>
      <c r="C139" s="23" t="s">
        <v>515</v>
      </c>
      <c r="D139" s="22"/>
      <c r="E139" s="25"/>
      <c r="F139" s="25"/>
      <c r="G139" s="25">
        <f>_xlfn.XLOOKUP(B139, Rate_Master!$A:$A, Rate_Master!$C:$C, "")</f>
        <v>0</v>
      </c>
      <c r="H139" s="25">
        <f>_xlfn.XLOOKUP(B139, Rate_Master!$A:$A, Rate_Master!$D:$D, "")</f>
        <v>0</v>
      </c>
      <c r="I139" s="26"/>
      <c r="J139" s="26">
        <f>SUBTOTAL(9,J140:J156)</f>
        <v>2373376670</v>
      </c>
      <c r="K139" s="26">
        <f>SUBTOTAL(9,K140:K157)</f>
        <v>2484257370</v>
      </c>
      <c r="L139" s="26"/>
    </row>
    <row r="140" spans="1:12" s="4" customFormat="1" ht="76.5" customHeight="1" outlineLevel="1">
      <c r="A140" s="27" t="str">
        <f t="shared" ref="A140:A157" si="30">$A$139&amp;"."&amp;ROW()-ROW($A$139)</f>
        <v>13A.F4.1</v>
      </c>
      <c r="B140" s="28" t="s">
        <v>220</v>
      </c>
      <c r="C140" s="28" t="s">
        <v>515</v>
      </c>
      <c r="D140" s="29" t="s">
        <v>516</v>
      </c>
      <c r="E140" s="31">
        <v>12</v>
      </c>
      <c r="F140" s="31">
        <v>12</v>
      </c>
      <c r="G140" s="31">
        <f>_xlfn.XLOOKUP(B140, Rate_Master!$A:$A, Rate_Master!$C:$C, "")</f>
        <v>6071999.9999999991</v>
      </c>
      <c r="H140" s="31">
        <f>_xlfn.XLOOKUP(B140, Rate_Master!$A:$A, Rate_Master!$D:$D, "")</f>
        <v>379499.99999999994</v>
      </c>
      <c r="I140" s="32">
        <f t="shared" ref="I140:I157" si="31">+G140+H140</f>
        <v>6451499.9999999991</v>
      </c>
      <c r="J140" s="32">
        <f t="shared" ref="J140:J157" si="32">I140*E140</f>
        <v>77417999.999999985</v>
      </c>
      <c r="K140" s="32">
        <f t="shared" ref="K140:K157" si="33">I140*F140</f>
        <v>77417999.999999985</v>
      </c>
      <c r="L140" s="32"/>
    </row>
    <row r="141" spans="1:12" s="4" customFormat="1" ht="76.5" customHeight="1" outlineLevel="1">
      <c r="A141" s="27" t="str">
        <f t="shared" si="30"/>
        <v>13A.F4.2</v>
      </c>
      <c r="B141" s="28" t="s">
        <v>221</v>
      </c>
      <c r="C141" s="28"/>
      <c r="D141" s="29" t="s">
        <v>516</v>
      </c>
      <c r="E141" s="31">
        <v>54</v>
      </c>
      <c r="F141" s="31">
        <v>54</v>
      </c>
      <c r="G141" s="31">
        <f>_xlfn.XLOOKUP(B141, Rate_Master!$A:$A, Rate_Master!$C:$C, "")</f>
        <v>9936000</v>
      </c>
      <c r="H141" s="31">
        <f>_xlfn.XLOOKUP(B141, Rate_Master!$A:$A, Rate_Master!$D:$D, "")</f>
        <v>621000</v>
      </c>
      <c r="I141" s="32">
        <f t="shared" si="31"/>
        <v>10557000</v>
      </c>
      <c r="J141" s="32">
        <f t="shared" si="32"/>
        <v>570078000</v>
      </c>
      <c r="K141" s="32">
        <f t="shared" si="33"/>
        <v>570078000</v>
      </c>
      <c r="L141" s="32"/>
    </row>
    <row r="142" spans="1:12" s="4" customFormat="1" ht="76.5" customHeight="1" outlineLevel="1">
      <c r="A142" s="27" t="str">
        <f t="shared" si="30"/>
        <v>13A.F4.3</v>
      </c>
      <c r="B142" s="28" t="s">
        <v>222</v>
      </c>
      <c r="C142" s="28"/>
      <c r="D142" s="29" t="s">
        <v>516</v>
      </c>
      <c r="E142" s="31">
        <v>2</v>
      </c>
      <c r="F142" s="31">
        <v>2</v>
      </c>
      <c r="G142" s="31">
        <f>_xlfn.XLOOKUP(B142, Rate_Master!$A:$A, Rate_Master!$C:$C, "")</f>
        <v>14351999.999999998</v>
      </c>
      <c r="H142" s="31">
        <f>_xlfn.XLOOKUP(B142, Rate_Master!$A:$A, Rate_Master!$D:$D, "")</f>
        <v>896999.99999999988</v>
      </c>
      <c r="I142" s="32">
        <f t="shared" si="31"/>
        <v>15248999.999999998</v>
      </c>
      <c r="J142" s="32">
        <f t="shared" si="32"/>
        <v>30497999.999999996</v>
      </c>
      <c r="K142" s="32">
        <f t="shared" si="33"/>
        <v>30497999.999999996</v>
      </c>
      <c r="L142" s="32"/>
    </row>
    <row r="143" spans="1:12" s="4" customFormat="1" ht="76.5" customHeight="1" outlineLevel="1">
      <c r="A143" s="27" t="str">
        <f t="shared" si="30"/>
        <v>13A.F4.4</v>
      </c>
      <c r="B143" s="28" t="s">
        <v>223</v>
      </c>
      <c r="C143" s="28"/>
      <c r="D143" s="29" t="s">
        <v>516</v>
      </c>
      <c r="E143" s="31">
        <v>20</v>
      </c>
      <c r="F143" s="31">
        <v>20</v>
      </c>
      <c r="G143" s="31">
        <f>_xlfn.XLOOKUP(B143, Rate_Master!$A:$A, Rate_Master!$C:$C, "")</f>
        <v>5299200</v>
      </c>
      <c r="H143" s="31">
        <f>_xlfn.XLOOKUP(B143, Rate_Master!$A:$A, Rate_Master!$D:$D, "")</f>
        <v>331200</v>
      </c>
      <c r="I143" s="32">
        <f t="shared" si="31"/>
        <v>5630400</v>
      </c>
      <c r="J143" s="32">
        <f t="shared" si="32"/>
        <v>112608000</v>
      </c>
      <c r="K143" s="32">
        <f t="shared" si="33"/>
        <v>112608000</v>
      </c>
      <c r="L143" s="32"/>
    </row>
    <row r="144" spans="1:12" s="4" customFormat="1" ht="76.5" customHeight="1" outlineLevel="1">
      <c r="A144" s="27" t="str">
        <f t="shared" si="30"/>
        <v>13A.F4.5</v>
      </c>
      <c r="B144" s="28" t="s">
        <v>224</v>
      </c>
      <c r="C144" s="28"/>
      <c r="D144" s="29" t="s">
        <v>516</v>
      </c>
      <c r="E144" s="31">
        <v>54</v>
      </c>
      <c r="F144" s="31">
        <v>54</v>
      </c>
      <c r="G144" s="31">
        <f>_xlfn.XLOOKUP(B144, Rate_Master!$A:$A, Rate_Master!$C:$C, "")</f>
        <v>14903999.999999998</v>
      </c>
      <c r="H144" s="31">
        <f>_xlfn.XLOOKUP(B144, Rate_Master!$A:$A, Rate_Master!$D:$D, "")</f>
        <v>931499.99999999988</v>
      </c>
      <c r="I144" s="32">
        <f t="shared" si="31"/>
        <v>15835499.999999998</v>
      </c>
      <c r="J144" s="32">
        <f t="shared" si="32"/>
        <v>855116999.99999988</v>
      </c>
      <c r="K144" s="32">
        <f t="shared" si="33"/>
        <v>855116999.99999988</v>
      </c>
      <c r="L144" s="32"/>
    </row>
    <row r="145" spans="1:12" s="4" customFormat="1" ht="76.5" customHeight="1" outlineLevel="1">
      <c r="A145" s="27" t="str">
        <f t="shared" si="30"/>
        <v>13A.F4.6</v>
      </c>
      <c r="B145" s="28" t="s">
        <v>225</v>
      </c>
      <c r="C145" s="28"/>
      <c r="D145" s="29" t="s">
        <v>516</v>
      </c>
      <c r="E145" s="31">
        <v>4</v>
      </c>
      <c r="F145" s="31">
        <v>4</v>
      </c>
      <c r="G145" s="31">
        <f>_xlfn.XLOOKUP(B145, Rate_Master!$A:$A, Rate_Master!$C:$C, "")</f>
        <v>29807999.999999996</v>
      </c>
      <c r="H145" s="31">
        <f>_xlfn.XLOOKUP(B145, Rate_Master!$A:$A, Rate_Master!$D:$D, "")</f>
        <v>1862999.9999999998</v>
      </c>
      <c r="I145" s="32">
        <f t="shared" si="31"/>
        <v>31670999.999999996</v>
      </c>
      <c r="J145" s="32">
        <f t="shared" si="32"/>
        <v>126683999.99999999</v>
      </c>
      <c r="K145" s="32">
        <f t="shared" si="33"/>
        <v>126683999.99999999</v>
      </c>
      <c r="L145" s="32"/>
    </row>
    <row r="146" spans="1:12" s="4" customFormat="1" ht="76.5" customHeight="1" outlineLevel="1">
      <c r="A146" s="27" t="str">
        <f t="shared" si="30"/>
        <v>13A.F4.7</v>
      </c>
      <c r="B146" s="28" t="s">
        <v>226</v>
      </c>
      <c r="C146" s="28" t="s">
        <v>558</v>
      </c>
      <c r="D146" s="29" t="s">
        <v>516</v>
      </c>
      <c r="E146" s="31">
        <v>20</v>
      </c>
      <c r="F146" s="31">
        <v>20</v>
      </c>
      <c r="G146" s="31">
        <f>_xlfn.XLOOKUP(B146, Rate_Master!$A:$A, Rate_Master!$C:$C, "")</f>
        <v>3175149.9999999995</v>
      </c>
      <c r="H146" s="31">
        <f>_xlfn.XLOOKUP(B146, Rate_Master!$A:$A, Rate_Master!$D:$D, "")</f>
        <v>1235100</v>
      </c>
      <c r="I146" s="32">
        <f t="shared" si="31"/>
        <v>4410250</v>
      </c>
      <c r="J146" s="32">
        <f t="shared" si="32"/>
        <v>88205000</v>
      </c>
      <c r="K146" s="32">
        <f t="shared" si="33"/>
        <v>88205000</v>
      </c>
      <c r="L146" s="71" t="s">
        <v>559</v>
      </c>
    </row>
    <row r="147" spans="1:12" s="4" customFormat="1" ht="76.5" customHeight="1" outlineLevel="1">
      <c r="A147" s="27" t="str">
        <f t="shared" si="30"/>
        <v>13A.F4.8</v>
      </c>
      <c r="B147" s="28" t="s">
        <v>227</v>
      </c>
      <c r="C147" s="28" t="s">
        <v>558</v>
      </c>
      <c r="D147" s="29" t="s">
        <v>516</v>
      </c>
      <c r="E147" s="31">
        <v>1</v>
      </c>
      <c r="F147" s="31">
        <v>1</v>
      </c>
      <c r="G147" s="31">
        <f>_xlfn.XLOOKUP(B147, Rate_Master!$A:$A, Rate_Master!$C:$C, "")</f>
        <v>5544150</v>
      </c>
      <c r="H147" s="31">
        <f>_xlfn.XLOOKUP(B147, Rate_Master!$A:$A, Rate_Master!$D:$D, "")</f>
        <v>2156250</v>
      </c>
      <c r="I147" s="32">
        <f t="shared" si="31"/>
        <v>7700400</v>
      </c>
      <c r="J147" s="32">
        <f t="shared" si="32"/>
        <v>7700400</v>
      </c>
      <c r="K147" s="32">
        <f t="shared" si="33"/>
        <v>7700400</v>
      </c>
      <c r="L147" s="71" t="s">
        <v>559</v>
      </c>
    </row>
    <row r="148" spans="1:12" s="4" customFormat="1" ht="76.5" customHeight="1" outlineLevel="1">
      <c r="A148" s="27" t="str">
        <f t="shared" si="30"/>
        <v>13A.F4.9</v>
      </c>
      <c r="B148" s="28" t="s">
        <v>228</v>
      </c>
      <c r="C148" s="28" t="s">
        <v>558</v>
      </c>
      <c r="D148" s="29" t="s">
        <v>516</v>
      </c>
      <c r="E148" s="31">
        <v>10</v>
      </c>
      <c r="F148" s="31">
        <v>10</v>
      </c>
      <c r="G148" s="31">
        <f>_xlfn.XLOOKUP(B148, Rate_Master!$A:$A, Rate_Master!$C:$C, "")</f>
        <v>8315649.9999999991</v>
      </c>
      <c r="H148" s="31">
        <f>_xlfn.XLOOKUP(B148, Rate_Master!$A:$A, Rate_Master!$D:$D, "")</f>
        <v>3233799.9999999995</v>
      </c>
      <c r="I148" s="32">
        <f t="shared" si="31"/>
        <v>11549449.999999998</v>
      </c>
      <c r="J148" s="32">
        <f t="shared" si="32"/>
        <v>115494499.99999999</v>
      </c>
      <c r="K148" s="32">
        <f t="shared" si="33"/>
        <v>115494499.99999999</v>
      </c>
      <c r="L148" s="71" t="s">
        <v>559</v>
      </c>
    </row>
    <row r="149" spans="1:12" s="4" customFormat="1" ht="76.5" customHeight="1" outlineLevel="1">
      <c r="A149" s="27" t="str">
        <f t="shared" si="30"/>
        <v>13A.F4.10</v>
      </c>
      <c r="B149" s="28" t="s">
        <v>229</v>
      </c>
      <c r="C149" s="28" t="s">
        <v>558</v>
      </c>
      <c r="D149" s="29" t="s">
        <v>516</v>
      </c>
      <c r="E149" s="31">
        <v>7</v>
      </c>
      <c r="F149" s="31">
        <v>7</v>
      </c>
      <c r="G149" s="31">
        <f>_xlfn.XLOOKUP(B149, Rate_Master!$A:$A, Rate_Master!$C:$C, "")</f>
        <v>5544150</v>
      </c>
      <c r="H149" s="31">
        <f>_xlfn.XLOOKUP(B149, Rate_Master!$A:$A, Rate_Master!$D:$D, "")</f>
        <v>2156250</v>
      </c>
      <c r="I149" s="32">
        <f t="shared" si="31"/>
        <v>7700400</v>
      </c>
      <c r="J149" s="32">
        <f t="shared" si="32"/>
        <v>53902800</v>
      </c>
      <c r="K149" s="32">
        <f t="shared" si="33"/>
        <v>53902800</v>
      </c>
      <c r="L149" s="71" t="s">
        <v>559</v>
      </c>
    </row>
    <row r="150" spans="1:12" s="4" customFormat="1" ht="51" customHeight="1" outlineLevel="1">
      <c r="A150" s="27" t="str">
        <f t="shared" si="30"/>
        <v>13A.F4.11</v>
      </c>
      <c r="B150" s="28" t="s">
        <v>230</v>
      </c>
      <c r="C150" s="28"/>
      <c r="D150" s="29" t="s">
        <v>516</v>
      </c>
      <c r="E150" s="31">
        <v>2</v>
      </c>
      <c r="F150" s="31">
        <v>2</v>
      </c>
      <c r="G150" s="31">
        <f>_xlfn.XLOOKUP(B150, Rate_Master!$A:$A, Rate_Master!$C:$C, "")</f>
        <v>10583450</v>
      </c>
      <c r="H150" s="31">
        <f>_xlfn.XLOOKUP(B150, Rate_Master!$A:$A, Rate_Master!$D:$D, "")</f>
        <v>4115849.9999999995</v>
      </c>
      <c r="I150" s="32">
        <f t="shared" si="31"/>
        <v>14699300</v>
      </c>
      <c r="J150" s="32">
        <f t="shared" si="32"/>
        <v>29398600</v>
      </c>
      <c r="K150" s="32">
        <f t="shared" si="33"/>
        <v>29398600</v>
      </c>
      <c r="L150" s="32"/>
    </row>
    <row r="151" spans="1:12" s="4" customFormat="1" ht="38.25" customHeight="1" outlineLevel="1">
      <c r="A151" s="27" t="str">
        <f t="shared" si="30"/>
        <v>13A.F4.12</v>
      </c>
      <c r="B151" s="28" t="s">
        <v>231</v>
      </c>
      <c r="C151" s="28" t="s">
        <v>515</v>
      </c>
      <c r="D151" s="29" t="s">
        <v>516</v>
      </c>
      <c r="E151" s="31">
        <v>1</v>
      </c>
      <c r="F151" s="31">
        <v>1</v>
      </c>
      <c r="G151" s="31">
        <f>_xlfn.XLOOKUP(B151, Rate_Master!$A:$A, Rate_Master!$C:$C, "")</f>
        <v>2613950</v>
      </c>
      <c r="H151" s="31">
        <f>_xlfn.XLOOKUP(B151, Rate_Master!$A:$A, Rate_Master!$D:$D, "")</f>
        <v>1016599.9999999999</v>
      </c>
      <c r="I151" s="32">
        <f t="shared" si="31"/>
        <v>3630550</v>
      </c>
      <c r="J151" s="32">
        <f t="shared" si="32"/>
        <v>3630550</v>
      </c>
      <c r="K151" s="32">
        <f t="shared" si="33"/>
        <v>3630550</v>
      </c>
      <c r="L151" s="71" t="s">
        <v>559</v>
      </c>
    </row>
    <row r="152" spans="1:12" s="4" customFormat="1" ht="38.25" customHeight="1" outlineLevel="1">
      <c r="A152" s="27" t="str">
        <f t="shared" si="30"/>
        <v>13A.F4.13</v>
      </c>
      <c r="B152" s="28" t="s">
        <v>232</v>
      </c>
      <c r="C152" s="28" t="s">
        <v>515</v>
      </c>
      <c r="D152" s="29" t="s">
        <v>516</v>
      </c>
      <c r="E152" s="31">
        <v>2</v>
      </c>
      <c r="F152" s="31">
        <v>2</v>
      </c>
      <c r="G152" s="31">
        <f>_xlfn.XLOOKUP(B152, Rate_Master!$A:$A, Rate_Master!$C:$C, "")</f>
        <v>3920349.9999999995</v>
      </c>
      <c r="H152" s="31">
        <f>_xlfn.XLOOKUP(B152, Rate_Master!$A:$A, Rate_Master!$D:$D, "")</f>
        <v>1524899.9999999998</v>
      </c>
      <c r="I152" s="32">
        <f t="shared" si="31"/>
        <v>5445249.9999999991</v>
      </c>
      <c r="J152" s="32">
        <f t="shared" si="32"/>
        <v>10890499.999999998</v>
      </c>
      <c r="K152" s="32">
        <f t="shared" si="33"/>
        <v>10890499.999999998</v>
      </c>
      <c r="L152" s="71" t="s">
        <v>559</v>
      </c>
    </row>
    <row r="153" spans="1:12" s="4" customFormat="1" ht="51" customHeight="1" outlineLevel="1">
      <c r="A153" s="27" t="str">
        <f t="shared" si="30"/>
        <v>13A.F4.14</v>
      </c>
      <c r="B153" s="28" t="s">
        <v>233</v>
      </c>
      <c r="C153" s="28"/>
      <c r="D153" s="29" t="s">
        <v>516</v>
      </c>
      <c r="E153" s="31">
        <v>41</v>
      </c>
      <c r="F153" s="31">
        <v>41</v>
      </c>
      <c r="G153" s="31">
        <f>_xlfn.XLOOKUP(B153, Rate_Master!$A:$A, Rate_Master!$C:$C, "")</f>
        <v>3484499.9999999995</v>
      </c>
      <c r="H153" s="31">
        <f>_xlfn.XLOOKUP(B153, Rate_Master!$A:$A, Rate_Master!$D:$D, "")</f>
        <v>1354700</v>
      </c>
      <c r="I153" s="32">
        <f t="shared" si="31"/>
        <v>4839200</v>
      </c>
      <c r="J153" s="32">
        <f t="shared" si="32"/>
        <v>198407200</v>
      </c>
      <c r="K153" s="32">
        <f t="shared" si="33"/>
        <v>198407200</v>
      </c>
      <c r="L153" s="32"/>
    </row>
    <row r="154" spans="1:12" s="4" customFormat="1" ht="51" customHeight="1" outlineLevel="1">
      <c r="A154" s="27" t="str">
        <f t="shared" si="30"/>
        <v>13A.F4.15</v>
      </c>
      <c r="B154" s="28" t="s">
        <v>234</v>
      </c>
      <c r="C154" s="28"/>
      <c r="D154" s="29" t="s">
        <v>516</v>
      </c>
      <c r="E154" s="31">
        <v>4</v>
      </c>
      <c r="F154" s="31">
        <v>4</v>
      </c>
      <c r="G154" s="31">
        <f>_xlfn.XLOOKUP(B154, Rate_Master!$A:$A, Rate_Master!$C:$C, "")</f>
        <v>6970149.9999999991</v>
      </c>
      <c r="H154" s="31">
        <f>_xlfn.XLOOKUP(B154, Rate_Master!$A:$A, Rate_Master!$D:$D, "")</f>
        <v>2710550</v>
      </c>
      <c r="I154" s="32">
        <f t="shared" si="31"/>
        <v>9680700</v>
      </c>
      <c r="J154" s="32">
        <f t="shared" si="32"/>
        <v>38722800</v>
      </c>
      <c r="K154" s="32">
        <f t="shared" si="33"/>
        <v>38722800</v>
      </c>
      <c r="L154" s="32"/>
    </row>
    <row r="155" spans="1:12" s="4" customFormat="1" ht="63.75" customHeight="1" outlineLevel="1">
      <c r="A155" s="27" t="str">
        <f t="shared" si="30"/>
        <v>13A.F4.16</v>
      </c>
      <c r="B155" s="28" t="s">
        <v>235</v>
      </c>
      <c r="C155" s="28"/>
      <c r="D155" s="29" t="s">
        <v>516</v>
      </c>
      <c r="E155" s="31">
        <v>2</v>
      </c>
      <c r="F155" s="31">
        <v>2</v>
      </c>
      <c r="G155" s="31">
        <f>_xlfn.XLOOKUP(B155, Rate_Master!$A:$A, Rate_Master!$C:$C, "")</f>
        <v>4181399.9999999995</v>
      </c>
      <c r="H155" s="31">
        <f>_xlfn.XLOOKUP(B155, Rate_Master!$A:$A, Rate_Master!$D:$D, "")</f>
        <v>1626099.9999999998</v>
      </c>
      <c r="I155" s="32">
        <f t="shared" si="31"/>
        <v>5807499.9999999991</v>
      </c>
      <c r="J155" s="32">
        <f t="shared" si="32"/>
        <v>11614999.999999998</v>
      </c>
      <c r="K155" s="32">
        <f t="shared" si="33"/>
        <v>11614999.999999998</v>
      </c>
      <c r="L155" s="32"/>
    </row>
    <row r="156" spans="1:12" s="4" customFormat="1" ht="76.5" customHeight="1" outlineLevel="1">
      <c r="A156" s="27" t="str">
        <f t="shared" si="30"/>
        <v>13A.F4.17</v>
      </c>
      <c r="B156" s="28" t="s">
        <v>190</v>
      </c>
      <c r="C156" s="28"/>
      <c r="D156" s="29" t="s">
        <v>516</v>
      </c>
      <c r="E156" s="31">
        <v>2</v>
      </c>
      <c r="F156" s="31">
        <v>2</v>
      </c>
      <c r="G156" s="31">
        <f>_xlfn.XLOOKUP(B156, Rate_Master!$A:$A, Rate_Master!$C:$C, "")</f>
        <v>20286000</v>
      </c>
      <c r="H156" s="31">
        <f>_xlfn.XLOOKUP(B156, Rate_Master!$A:$A, Rate_Master!$D:$D, "")</f>
        <v>1217160</v>
      </c>
      <c r="I156" s="32">
        <f t="shared" si="31"/>
        <v>21503160</v>
      </c>
      <c r="J156" s="32">
        <f t="shared" si="32"/>
        <v>43006320</v>
      </c>
      <c r="K156" s="32">
        <f t="shared" si="33"/>
        <v>43006320</v>
      </c>
      <c r="L156" s="32"/>
    </row>
    <row r="157" spans="1:12" s="4" customFormat="1" ht="63.75" customHeight="1" outlineLevel="1">
      <c r="A157" s="27" t="str">
        <f t="shared" si="30"/>
        <v>13A.F4.18</v>
      </c>
      <c r="B157" s="28" t="s">
        <v>236</v>
      </c>
      <c r="C157" s="28"/>
      <c r="D157" s="29" t="s">
        <v>516</v>
      </c>
      <c r="E157" s="31">
        <v>1</v>
      </c>
      <c r="F157" s="31">
        <v>1</v>
      </c>
      <c r="G157" s="31">
        <f>_xlfn.XLOOKUP(B157, Rate_Master!$A:$A, Rate_Master!$C:$C, "")</f>
        <v>79834150</v>
      </c>
      <c r="H157" s="31">
        <f>_xlfn.XLOOKUP(B157, Rate_Master!$A:$A, Rate_Master!$D:$D, "")</f>
        <v>31046549.999999996</v>
      </c>
      <c r="I157" s="32">
        <f t="shared" si="31"/>
        <v>110880700</v>
      </c>
      <c r="J157" s="32">
        <f t="shared" si="32"/>
        <v>110880700</v>
      </c>
      <c r="K157" s="32">
        <f t="shared" si="33"/>
        <v>110880700</v>
      </c>
      <c r="L157" s="32"/>
    </row>
    <row r="158" spans="1:12" s="3" customFormat="1" ht="25.5" customHeight="1">
      <c r="A158" s="22" t="str">
        <f>$A$104&amp;5</f>
        <v>13A.F5</v>
      </c>
      <c r="B158" s="23" t="s">
        <v>143</v>
      </c>
      <c r="C158" s="23" t="s">
        <v>515</v>
      </c>
      <c r="D158" s="22"/>
      <c r="E158" s="25"/>
      <c r="F158" s="25"/>
      <c r="G158" s="25">
        <f>_xlfn.XLOOKUP(B158, Rate_Master!$A:$A, Rate_Master!$C:$C, "")</f>
        <v>0</v>
      </c>
      <c r="H158" s="25">
        <f>_xlfn.XLOOKUP(B158, Rate_Master!$A:$A, Rate_Master!$D:$D, "")</f>
        <v>0</v>
      </c>
      <c r="I158" s="26"/>
      <c r="J158" s="26">
        <f>SUBTOTAL(9,J159:J161)</f>
        <v>0</v>
      </c>
      <c r="K158" s="26">
        <f>SUBTOTAL(9,K159:K161)</f>
        <v>0</v>
      </c>
      <c r="L158" s="26"/>
    </row>
    <row r="159" spans="1:12" s="4" customFormat="1" ht="51" customHeight="1" outlineLevel="1">
      <c r="A159" s="37" t="str">
        <f>$A$158&amp;"."&amp;ROW()-ROW($A$158)</f>
        <v>13A.F5.1</v>
      </c>
      <c r="B159" s="43" t="s">
        <v>144</v>
      </c>
      <c r="C159" s="38" t="s">
        <v>515</v>
      </c>
      <c r="D159" s="39" t="s">
        <v>517</v>
      </c>
      <c r="E159" s="40">
        <v>0</v>
      </c>
      <c r="F159" s="40">
        <v>0</v>
      </c>
      <c r="G159" s="40">
        <f>_xlfn.XLOOKUP(B159, Rate_Master!$A:$A, Rate_Master!$C:$C, "")</f>
        <v>161000</v>
      </c>
      <c r="H159" s="40">
        <f>_xlfn.XLOOKUP(B159, Rate_Master!$A:$A, Rate_Master!$D:$D, "")</f>
        <v>34500</v>
      </c>
      <c r="I159" s="41">
        <v>0</v>
      </c>
      <c r="J159" s="41">
        <f>I159*E159</f>
        <v>0</v>
      </c>
      <c r="K159" s="41">
        <f>I159*F159</f>
        <v>0</v>
      </c>
      <c r="L159" s="41"/>
    </row>
    <row r="160" spans="1:12" s="4" customFormat="1" ht="38.25" customHeight="1" outlineLevel="1">
      <c r="A160" s="37" t="str">
        <f>$A$158&amp;"."&amp;ROW()-ROW($A$158)</f>
        <v>13A.F5.2</v>
      </c>
      <c r="B160" s="43" t="s">
        <v>145</v>
      </c>
      <c r="C160" s="38" t="s">
        <v>515</v>
      </c>
      <c r="D160" s="39" t="s">
        <v>517</v>
      </c>
      <c r="E160" s="40">
        <v>0</v>
      </c>
      <c r="F160" s="40">
        <v>0</v>
      </c>
      <c r="G160" s="40">
        <f>_xlfn.XLOOKUP(B160, Rate_Master!$A:$A, Rate_Master!$C:$C, "")</f>
        <v>517499.99999999994</v>
      </c>
      <c r="H160" s="40">
        <f>_xlfn.XLOOKUP(B160, Rate_Master!$A:$A, Rate_Master!$D:$D, "")</f>
        <v>57499.999999999993</v>
      </c>
      <c r="I160" s="41">
        <v>0</v>
      </c>
      <c r="J160" s="41">
        <f>I160*E160</f>
        <v>0</v>
      </c>
      <c r="K160" s="41">
        <f>I160*F160</f>
        <v>0</v>
      </c>
      <c r="L160" s="41"/>
    </row>
    <row r="161" spans="1:12" s="4" customFormat="1" ht="38.25" customHeight="1" outlineLevel="1">
      <c r="A161" s="37" t="str">
        <f>$A$158&amp;"."&amp;ROW()-ROW($A$158)</f>
        <v>13A.F5.3</v>
      </c>
      <c r="B161" s="43" t="s">
        <v>146</v>
      </c>
      <c r="C161" s="38" t="s">
        <v>515</v>
      </c>
      <c r="D161" s="39" t="s">
        <v>517</v>
      </c>
      <c r="E161" s="40">
        <v>0</v>
      </c>
      <c r="F161" s="40">
        <v>0</v>
      </c>
      <c r="G161" s="40">
        <f>_xlfn.XLOOKUP(B161, Rate_Master!$A:$A, Rate_Master!$C:$C, "")</f>
        <v>632500</v>
      </c>
      <c r="H161" s="40">
        <f>_xlfn.XLOOKUP(B161, Rate_Master!$A:$A, Rate_Master!$D:$D, "")</f>
        <v>57499.999999999993</v>
      </c>
      <c r="I161" s="41">
        <v>0</v>
      </c>
      <c r="J161" s="41">
        <f>I161*E161</f>
        <v>0</v>
      </c>
      <c r="K161" s="41">
        <f>I161*F161</f>
        <v>0</v>
      </c>
      <c r="L161" s="41"/>
    </row>
    <row r="162" spans="1:12" s="3" customFormat="1" ht="25.5" customHeight="1">
      <c r="A162" s="22" t="str">
        <f>$A$104&amp;6</f>
        <v>13A.F6</v>
      </c>
      <c r="B162" s="23" t="s">
        <v>147</v>
      </c>
      <c r="C162" s="23" t="s">
        <v>515</v>
      </c>
      <c r="D162" s="22"/>
      <c r="E162" s="25"/>
      <c r="F162" s="25"/>
      <c r="G162" s="25">
        <f>_xlfn.XLOOKUP(B162, Rate_Master!$A:$A, Rate_Master!$C:$C, "")</f>
        <v>0</v>
      </c>
      <c r="H162" s="25">
        <f>_xlfn.XLOOKUP(B162, Rate_Master!$A:$A, Rate_Master!$D:$D, "")</f>
        <v>0</v>
      </c>
      <c r="I162" s="26"/>
      <c r="J162" s="26">
        <f>SUBTOTAL(9,J163:J167)</f>
        <v>1168202451.5</v>
      </c>
      <c r="K162" s="26">
        <f>SUBTOTAL(9,K163:K167)</f>
        <v>1168202451.5</v>
      </c>
      <c r="L162" s="26"/>
    </row>
    <row r="163" spans="1:12" s="4" customFormat="1" ht="51" customHeight="1" outlineLevel="1">
      <c r="A163" s="27" t="str">
        <f>$A$162&amp;"."&amp;ROW()-ROW($A$162)</f>
        <v>13A.F6.1</v>
      </c>
      <c r="B163" s="34" t="s">
        <v>148</v>
      </c>
      <c r="C163" s="34" t="s">
        <v>515</v>
      </c>
      <c r="D163" s="29" t="s">
        <v>520</v>
      </c>
      <c r="E163" s="31">
        <v>1032.3240000000001</v>
      </c>
      <c r="F163" s="31">
        <v>1032.3240000000001</v>
      </c>
      <c r="G163" s="31">
        <f>_xlfn.XLOOKUP(B163, Rate_Master!$A:$A, Rate_Master!$C:$C, "")</f>
        <v>155000</v>
      </c>
      <c r="H163" s="31">
        <f>_xlfn.XLOOKUP(B163, Rate_Master!$A:$A, Rate_Master!$D:$D, "")</f>
        <v>45000</v>
      </c>
      <c r="I163" s="32">
        <f>+G163+H163</f>
        <v>200000</v>
      </c>
      <c r="J163" s="32">
        <f>I163*E163</f>
        <v>206464800</v>
      </c>
      <c r="K163" s="32">
        <f>I163*F163</f>
        <v>206464800</v>
      </c>
      <c r="L163" s="32"/>
    </row>
    <row r="164" spans="1:12" s="4" customFormat="1" ht="25.5" customHeight="1" outlineLevel="1">
      <c r="A164" s="27" t="str">
        <f>$A$162&amp;"."&amp;ROW()-ROW($A$162)</f>
        <v>13A.F6.2</v>
      </c>
      <c r="B164" s="34" t="s">
        <v>149</v>
      </c>
      <c r="C164" s="34" t="s">
        <v>515</v>
      </c>
      <c r="D164" s="29" t="s">
        <v>520</v>
      </c>
      <c r="E164" s="31">
        <v>1060.4739999999999</v>
      </c>
      <c r="F164" s="31">
        <v>1060.4739999999999</v>
      </c>
      <c r="G164" s="31">
        <f>_xlfn.XLOOKUP(B164, Rate_Master!$A:$A, Rate_Master!$C:$C, "")</f>
        <v>310500</v>
      </c>
      <c r="H164" s="31">
        <f>_xlfn.XLOOKUP(B164, Rate_Master!$A:$A, Rate_Master!$D:$D, "")</f>
        <v>34500</v>
      </c>
      <c r="I164" s="32">
        <f>+G164+H164</f>
        <v>345000</v>
      </c>
      <c r="J164" s="32">
        <f>I164*E164</f>
        <v>365863530</v>
      </c>
      <c r="K164" s="32">
        <f>I164*F164</f>
        <v>365863530</v>
      </c>
      <c r="L164" s="32"/>
    </row>
    <row r="165" spans="1:12" s="4" customFormat="1" ht="51" customHeight="1" outlineLevel="1">
      <c r="A165" s="27" t="str">
        <f>$A$162&amp;"."&amp;ROW()-ROW($A$162)</f>
        <v>13A.F6.3</v>
      </c>
      <c r="B165" s="34" t="s">
        <v>150</v>
      </c>
      <c r="C165" s="34" t="s">
        <v>515</v>
      </c>
      <c r="D165" s="29" t="s">
        <v>520</v>
      </c>
      <c r="E165" s="31">
        <v>1060.4739999999999</v>
      </c>
      <c r="F165" s="31">
        <v>1060.4739999999999</v>
      </c>
      <c r="G165" s="31">
        <f>_xlfn.XLOOKUP(B165, Rate_Master!$A:$A, Rate_Master!$C:$C, "")</f>
        <v>287500</v>
      </c>
      <c r="H165" s="31">
        <f>_xlfn.XLOOKUP(B165, Rate_Master!$A:$A, Rate_Master!$D:$D, "")</f>
        <v>69000</v>
      </c>
      <c r="I165" s="32">
        <f>+G165+H165</f>
        <v>356500</v>
      </c>
      <c r="J165" s="32">
        <f>I165*E165</f>
        <v>378058981</v>
      </c>
      <c r="K165" s="32">
        <f>I165*F165</f>
        <v>378058981</v>
      </c>
      <c r="L165" s="32"/>
    </row>
    <row r="166" spans="1:12" s="4" customFormat="1" ht="51" customHeight="1" outlineLevel="1">
      <c r="A166" s="27" t="str">
        <f>$A$162&amp;"."&amp;ROW()-ROW($A$162)</f>
        <v>13A.F6.4</v>
      </c>
      <c r="B166" s="34" t="s">
        <v>151</v>
      </c>
      <c r="C166" s="34" t="s">
        <v>515</v>
      </c>
      <c r="D166" s="29" t="s">
        <v>520</v>
      </c>
      <c r="E166" s="31">
        <v>1060.4739999999999</v>
      </c>
      <c r="F166" s="31">
        <v>1060.4739999999999</v>
      </c>
      <c r="G166" s="31">
        <f>_xlfn.XLOOKUP(B166, Rate_Master!$A:$A, Rate_Master!$C:$C, "")</f>
        <v>23000</v>
      </c>
      <c r="H166" s="31">
        <f>_xlfn.XLOOKUP(B166, Rate_Master!$A:$A, Rate_Master!$D:$D, "")</f>
        <v>126499.99999999999</v>
      </c>
      <c r="I166" s="32">
        <f>+G166+H166</f>
        <v>149500</v>
      </c>
      <c r="J166" s="32">
        <f>I166*E166</f>
        <v>158540863</v>
      </c>
      <c r="K166" s="32">
        <f>I166*F166</f>
        <v>158540863</v>
      </c>
      <c r="L166" s="32"/>
    </row>
    <row r="167" spans="1:12" s="4" customFormat="1" ht="63.75" customHeight="1" outlineLevel="1">
      <c r="A167" s="27" t="str">
        <f>$A$162&amp;"."&amp;ROW()-ROW($A$162)</f>
        <v>13A.F6.5</v>
      </c>
      <c r="B167" s="34" t="s">
        <v>152</v>
      </c>
      <c r="C167" s="34" t="s">
        <v>560</v>
      </c>
      <c r="D167" s="29" t="s">
        <v>517</v>
      </c>
      <c r="E167" s="31">
        <v>278.61</v>
      </c>
      <c r="F167" s="31">
        <v>278.61</v>
      </c>
      <c r="G167" s="31">
        <f>_xlfn.XLOOKUP(B167, Rate_Master!$A:$A, Rate_Master!$C:$C, "")</f>
        <v>155250</v>
      </c>
      <c r="H167" s="31">
        <f>_xlfn.XLOOKUP(B167, Rate_Master!$A:$A, Rate_Master!$D:$D, "")</f>
        <v>57499.999999999993</v>
      </c>
      <c r="I167" s="32">
        <f>+G167+H167</f>
        <v>212750</v>
      </c>
      <c r="J167" s="32">
        <f>I167*E167</f>
        <v>59274277.5</v>
      </c>
      <c r="K167" s="32">
        <f>I167*F167</f>
        <v>59274277.5</v>
      </c>
      <c r="L167" s="32"/>
    </row>
    <row r="168" spans="1:12" s="3" customFormat="1" ht="25.5" customHeight="1">
      <c r="A168" s="22" t="str">
        <f>$A$104&amp;7</f>
        <v>13A.F7</v>
      </c>
      <c r="B168" s="23" t="s">
        <v>84</v>
      </c>
      <c r="C168" s="23" t="s">
        <v>515</v>
      </c>
      <c r="D168" s="22"/>
      <c r="E168" s="25"/>
      <c r="F168" s="25"/>
      <c r="G168" s="25">
        <f>_xlfn.XLOOKUP(B168, Rate_Master!$A:$A, Rate_Master!$C:$C, "")</f>
        <v>0</v>
      </c>
      <c r="H168" s="25">
        <f>_xlfn.XLOOKUP(B168, Rate_Master!$A:$A, Rate_Master!$D:$D, "")</f>
        <v>0</v>
      </c>
      <c r="I168" s="26"/>
      <c r="J168" s="26">
        <f>SUBTOTAL(9,J169:J180)</f>
        <v>6727500</v>
      </c>
      <c r="K168" s="26">
        <f>SUBTOTAL(9,K169:K185)</f>
        <v>11996043116</v>
      </c>
      <c r="L168" s="26"/>
    </row>
    <row r="169" spans="1:12" s="4" customFormat="1" ht="25.5" customHeight="1" outlineLevel="1">
      <c r="A169" s="27" t="str">
        <f t="shared" ref="A169:A185" si="34">$A$168&amp;"."&amp;ROW()-ROW($A$168)</f>
        <v>13A.F7.1</v>
      </c>
      <c r="B169" s="48" t="s">
        <v>153</v>
      </c>
      <c r="C169" s="34"/>
      <c r="D169" s="29" t="s">
        <v>517</v>
      </c>
      <c r="E169" s="31">
        <v>0</v>
      </c>
      <c r="F169" s="31">
        <v>0</v>
      </c>
      <c r="G169" s="31">
        <f>_xlfn.XLOOKUP(B169, Rate_Master!$A:$A, Rate_Master!$C:$C, "")</f>
        <v>4024999.9999999995</v>
      </c>
      <c r="H169" s="31">
        <f>_xlfn.XLOOKUP(B169, Rate_Master!$A:$A, Rate_Master!$D:$D, "")</f>
        <v>1380000</v>
      </c>
      <c r="I169" s="32">
        <v>0</v>
      </c>
      <c r="J169" s="32">
        <f t="shared" ref="J169:J185" si="35">I169*E169</f>
        <v>0</v>
      </c>
      <c r="K169" s="32">
        <f t="shared" ref="K169:K185" si="36">I169*F169</f>
        <v>0</v>
      </c>
      <c r="L169" s="32"/>
    </row>
    <row r="170" spans="1:12" s="4" customFormat="1" ht="38.25" customHeight="1" outlineLevel="1">
      <c r="A170" s="27" t="str">
        <f t="shared" si="34"/>
        <v>13A.F7.2</v>
      </c>
      <c r="B170" s="48" t="s">
        <v>167</v>
      </c>
      <c r="C170" s="34"/>
      <c r="D170" s="29" t="s">
        <v>517</v>
      </c>
      <c r="E170" s="36">
        <v>40.997999999999998</v>
      </c>
      <c r="F170" s="36">
        <v>40.997999999999998</v>
      </c>
      <c r="G170" s="31">
        <f>_xlfn.XLOOKUP(B170, Rate_Master!$A:$A, Rate_Master!$C:$C, "")</f>
        <v>0</v>
      </c>
      <c r="H170" s="31">
        <f>_xlfn.XLOOKUP(B170, Rate_Master!$A:$A, Rate_Master!$D:$D, "")</f>
        <v>0</v>
      </c>
      <c r="I170" s="32">
        <f>+G170+H170</f>
        <v>0</v>
      </c>
      <c r="J170" s="32">
        <f t="shared" si="35"/>
        <v>0</v>
      </c>
      <c r="K170" s="32">
        <f t="shared" si="36"/>
        <v>0</v>
      </c>
      <c r="L170" s="32"/>
    </row>
    <row r="171" spans="1:12" s="4" customFormat="1" ht="38.25" customHeight="1" outlineLevel="1">
      <c r="A171" s="27" t="str">
        <f t="shared" si="34"/>
        <v>13A.F7.3</v>
      </c>
      <c r="B171" s="48" t="s">
        <v>154</v>
      </c>
      <c r="C171" s="28" t="s">
        <v>515</v>
      </c>
      <c r="D171" s="50" t="s">
        <v>517</v>
      </c>
      <c r="E171" s="31">
        <v>15.6</v>
      </c>
      <c r="F171" s="31">
        <v>15.6</v>
      </c>
      <c r="G171" s="31">
        <f>_xlfn.XLOOKUP(B171, Rate_Master!$A:$A, Rate_Master!$C:$C, "")</f>
        <v>359375</v>
      </c>
      <c r="H171" s="31">
        <f>_xlfn.XLOOKUP(B171, Rate_Master!$A:$A, Rate_Master!$D:$D, "")</f>
        <v>71875</v>
      </c>
      <c r="I171" s="32">
        <f>+G171+H171</f>
        <v>431250</v>
      </c>
      <c r="J171" s="32">
        <f t="shared" si="35"/>
        <v>6727500</v>
      </c>
      <c r="K171" s="32">
        <f t="shared" si="36"/>
        <v>6727500</v>
      </c>
      <c r="L171" s="32"/>
    </row>
    <row r="172" spans="1:12" s="4" customFormat="1" ht="25.5" customHeight="1" outlineLevel="1">
      <c r="A172" s="27" t="str">
        <f t="shared" si="34"/>
        <v>13A.F7.4</v>
      </c>
      <c r="B172" s="51" t="s">
        <v>155</v>
      </c>
      <c r="C172" s="28" t="s">
        <v>515</v>
      </c>
      <c r="D172" s="50" t="s">
        <v>517</v>
      </c>
      <c r="E172" s="31">
        <v>0</v>
      </c>
      <c r="F172" s="31">
        <v>0</v>
      </c>
      <c r="G172" s="31">
        <f>_xlfn.XLOOKUP(B172, Rate_Master!$A:$A, Rate_Master!$C:$C, "")</f>
        <v>1954999.9999999998</v>
      </c>
      <c r="H172" s="31">
        <f>_xlfn.XLOOKUP(B172, Rate_Master!$A:$A, Rate_Master!$D:$D, "")</f>
        <v>114999.99999999999</v>
      </c>
      <c r="I172" s="32">
        <v>0</v>
      </c>
      <c r="J172" s="32">
        <f t="shared" si="35"/>
        <v>0</v>
      </c>
      <c r="K172" s="32">
        <f t="shared" si="36"/>
        <v>0</v>
      </c>
      <c r="L172" s="32"/>
    </row>
    <row r="173" spans="1:12" s="4" customFormat="1" ht="51" customHeight="1" outlineLevel="1">
      <c r="A173" s="27" t="str">
        <f t="shared" si="34"/>
        <v>13A.F7.5</v>
      </c>
      <c r="B173" s="51" t="s">
        <v>168</v>
      </c>
      <c r="C173" s="28"/>
      <c r="D173" s="50" t="s">
        <v>517</v>
      </c>
      <c r="E173" s="36">
        <v>40.997999999999998</v>
      </c>
      <c r="F173" s="36">
        <v>40.997999999999998</v>
      </c>
      <c r="G173" s="31">
        <f>_xlfn.XLOOKUP(B173, Rate_Master!$A:$A, Rate_Master!$C:$C, "")</f>
        <v>0</v>
      </c>
      <c r="H173" s="31">
        <f>_xlfn.XLOOKUP(B173, Rate_Master!$A:$A, Rate_Master!$D:$D, "")</f>
        <v>0</v>
      </c>
      <c r="I173" s="32">
        <f>+G173+H173</f>
        <v>0</v>
      </c>
      <c r="J173" s="32">
        <f t="shared" si="35"/>
        <v>0</v>
      </c>
      <c r="K173" s="32">
        <f t="shared" si="36"/>
        <v>0</v>
      </c>
      <c r="L173" s="32"/>
    </row>
    <row r="174" spans="1:12" s="4" customFormat="1" ht="51" customHeight="1" outlineLevel="1">
      <c r="A174" s="27" t="str">
        <f t="shared" si="34"/>
        <v>13A.F7.6</v>
      </c>
      <c r="B174" s="48" t="s">
        <v>156</v>
      </c>
      <c r="C174" s="28" t="s">
        <v>515</v>
      </c>
      <c r="D174" s="54" t="s">
        <v>518</v>
      </c>
      <c r="E174" s="31">
        <v>0</v>
      </c>
      <c r="F174" s="31">
        <v>0</v>
      </c>
      <c r="G174" s="31">
        <f>_xlfn.XLOOKUP(B174, Rate_Master!$A:$A, Rate_Master!$C:$C, "")</f>
        <v>1724999.9999999998</v>
      </c>
      <c r="H174" s="31">
        <f>_xlfn.XLOOKUP(B174, Rate_Master!$A:$A, Rate_Master!$D:$D, "")</f>
        <v>287500</v>
      </c>
      <c r="I174" s="32">
        <v>0</v>
      </c>
      <c r="J174" s="32">
        <f t="shared" si="35"/>
        <v>0</v>
      </c>
      <c r="K174" s="32">
        <f t="shared" si="36"/>
        <v>0</v>
      </c>
      <c r="L174" s="32"/>
    </row>
    <row r="175" spans="1:12" s="4" customFormat="1" ht="25.5" customHeight="1" outlineLevel="1">
      <c r="A175" s="27" t="str">
        <f t="shared" si="34"/>
        <v>13A.F7.7</v>
      </c>
      <c r="B175" s="48" t="s">
        <v>157</v>
      </c>
      <c r="C175" s="28" t="s">
        <v>515</v>
      </c>
      <c r="D175" s="29" t="s">
        <v>517</v>
      </c>
      <c r="E175" s="31">
        <v>0</v>
      </c>
      <c r="F175" s="31">
        <v>0</v>
      </c>
      <c r="G175" s="31">
        <f>_xlfn.XLOOKUP(B175, Rate_Master!$A:$A, Rate_Master!$C:$C, "")</f>
        <v>632500</v>
      </c>
      <c r="H175" s="31">
        <f>_xlfn.XLOOKUP(B175, Rate_Master!$A:$A, Rate_Master!$D:$D, "")</f>
        <v>57499.999999999993</v>
      </c>
      <c r="I175" s="32">
        <v>0</v>
      </c>
      <c r="J175" s="32">
        <f t="shared" si="35"/>
        <v>0</v>
      </c>
      <c r="K175" s="32">
        <f t="shared" si="36"/>
        <v>0</v>
      </c>
      <c r="L175" s="32"/>
    </row>
    <row r="176" spans="1:12" s="4" customFormat="1" ht="25.5" customHeight="1" outlineLevel="1">
      <c r="A176" s="27" t="str">
        <f t="shared" si="34"/>
        <v>13A.F7.8</v>
      </c>
      <c r="B176" s="34" t="s">
        <v>158</v>
      </c>
      <c r="C176" s="28" t="s">
        <v>562</v>
      </c>
      <c r="D176" s="29" t="s">
        <v>516</v>
      </c>
      <c r="E176" s="31">
        <v>0</v>
      </c>
      <c r="F176" s="31">
        <v>0</v>
      </c>
      <c r="G176" s="31">
        <f>_xlfn.XLOOKUP(B176, Rate_Master!$A:$A, Rate_Master!$C:$C, "")</f>
        <v>68400000</v>
      </c>
      <c r="H176" s="31">
        <f>_xlfn.XLOOKUP(B176, Rate_Master!$A:$A, Rate_Master!$D:$D, "")</f>
        <v>26600000</v>
      </c>
      <c r="I176" s="32">
        <v>0</v>
      </c>
      <c r="J176" s="32">
        <f t="shared" si="35"/>
        <v>0</v>
      </c>
      <c r="K176" s="32">
        <f t="shared" si="36"/>
        <v>0</v>
      </c>
      <c r="L176" s="32"/>
    </row>
    <row r="177" spans="1:12" s="4" customFormat="1" ht="25.5" customHeight="1" outlineLevel="1">
      <c r="A177" s="27" t="str">
        <f t="shared" si="34"/>
        <v>13A.F7.9</v>
      </c>
      <c r="B177" s="34" t="s">
        <v>159</v>
      </c>
      <c r="C177" s="28" t="s">
        <v>515</v>
      </c>
      <c r="D177" s="29" t="s">
        <v>516</v>
      </c>
      <c r="E177" s="31">
        <v>0</v>
      </c>
      <c r="F177" s="31">
        <v>0</v>
      </c>
      <c r="G177" s="31">
        <f>_xlfn.XLOOKUP(B177, Rate_Master!$A:$A, Rate_Master!$C:$C, "")</f>
        <v>25200000</v>
      </c>
      <c r="H177" s="31">
        <f>_xlfn.XLOOKUP(B177, Rate_Master!$A:$A, Rate_Master!$D:$D, "")</f>
        <v>9800000.0000000019</v>
      </c>
      <c r="I177" s="32">
        <v>0</v>
      </c>
      <c r="J177" s="32">
        <f t="shared" si="35"/>
        <v>0</v>
      </c>
      <c r="K177" s="32">
        <f t="shared" si="36"/>
        <v>0</v>
      </c>
      <c r="L177" s="32"/>
    </row>
    <row r="178" spans="1:12" s="4" customFormat="1" ht="25.5" customHeight="1" outlineLevel="1">
      <c r="A178" s="27" t="str">
        <f t="shared" si="34"/>
        <v>13A.F7.10</v>
      </c>
      <c r="B178" s="34" t="s">
        <v>160</v>
      </c>
      <c r="C178" s="28" t="s">
        <v>515</v>
      </c>
      <c r="D178" s="29" t="s">
        <v>518</v>
      </c>
      <c r="E178" s="31">
        <v>0</v>
      </c>
      <c r="F178" s="31">
        <v>0</v>
      </c>
      <c r="G178" s="31">
        <f>_xlfn.XLOOKUP(B178, Rate_Master!$A:$A, Rate_Master!$C:$C, "")</f>
        <v>1440000</v>
      </c>
      <c r="H178" s="31">
        <f>_xlfn.XLOOKUP(B178, Rate_Master!$A:$A, Rate_Master!$D:$D, "")</f>
        <v>560000</v>
      </c>
      <c r="I178" s="32">
        <v>0</v>
      </c>
      <c r="J178" s="32">
        <f t="shared" si="35"/>
        <v>0</v>
      </c>
      <c r="K178" s="32">
        <f t="shared" si="36"/>
        <v>0</v>
      </c>
      <c r="L178" s="32"/>
    </row>
    <row r="179" spans="1:12" s="4" customFormat="1" ht="25.5" customHeight="1" outlineLevel="1">
      <c r="A179" s="27" t="str">
        <f t="shared" si="34"/>
        <v>13A.F7.11</v>
      </c>
      <c r="B179" s="48" t="s">
        <v>161</v>
      </c>
      <c r="C179" s="28" t="s">
        <v>515</v>
      </c>
      <c r="D179" s="29" t="s">
        <v>517</v>
      </c>
      <c r="E179" s="31">
        <v>0</v>
      </c>
      <c r="F179" s="31">
        <v>0</v>
      </c>
      <c r="G179" s="31">
        <f>_xlfn.XLOOKUP(B179, Rate_Master!$A:$A, Rate_Master!$C:$C, "")</f>
        <v>149500</v>
      </c>
      <c r="H179" s="31">
        <f>_xlfn.XLOOKUP(B179, Rate_Master!$A:$A, Rate_Master!$D:$D, "")</f>
        <v>34500</v>
      </c>
      <c r="I179" s="32">
        <v>0</v>
      </c>
      <c r="J179" s="32">
        <f t="shared" si="35"/>
        <v>0</v>
      </c>
      <c r="K179" s="32">
        <f t="shared" si="36"/>
        <v>0</v>
      </c>
      <c r="L179" s="32"/>
    </row>
    <row r="180" spans="1:12" s="4" customFormat="1" ht="38.25" customHeight="1" outlineLevel="1">
      <c r="A180" s="27" t="str">
        <f t="shared" si="34"/>
        <v>13A.F7.12</v>
      </c>
      <c r="B180" s="34" t="s">
        <v>162</v>
      </c>
      <c r="C180" s="28" t="s">
        <v>515</v>
      </c>
      <c r="D180" s="29" t="s">
        <v>517</v>
      </c>
      <c r="E180" s="31">
        <v>0</v>
      </c>
      <c r="F180" s="31">
        <v>0</v>
      </c>
      <c r="G180" s="31">
        <f>_xlfn.XLOOKUP(B180, Rate_Master!$A:$A, Rate_Master!$C:$C, "")</f>
        <v>252000</v>
      </c>
      <c r="H180" s="31">
        <f>_xlfn.XLOOKUP(B180, Rate_Master!$A:$A, Rate_Master!$D:$D, "")</f>
        <v>98000</v>
      </c>
      <c r="I180" s="32">
        <v>0</v>
      </c>
      <c r="J180" s="32">
        <f t="shared" si="35"/>
        <v>0</v>
      </c>
      <c r="K180" s="32">
        <f t="shared" si="36"/>
        <v>0</v>
      </c>
      <c r="L180" s="32"/>
    </row>
    <row r="181" spans="1:12" s="4" customFormat="1" ht="51" customHeight="1" outlineLevel="1">
      <c r="A181" s="27" t="str">
        <f t="shared" si="34"/>
        <v>13A.F7.13</v>
      </c>
      <c r="B181" s="34" t="s">
        <v>237</v>
      </c>
      <c r="C181" s="28" t="s">
        <v>574</v>
      </c>
      <c r="D181" s="29" t="s">
        <v>516</v>
      </c>
      <c r="E181" s="31">
        <v>1</v>
      </c>
      <c r="F181" s="31">
        <v>1</v>
      </c>
      <c r="G181" s="31">
        <f>_xlfn.XLOOKUP(B181, Rate_Master!$A:$A, Rate_Master!$C:$C, "")</f>
        <v>251999499.99999997</v>
      </c>
      <c r="H181" s="31">
        <f>_xlfn.XLOOKUP(B181, Rate_Master!$A:$A, Rate_Master!$D:$D, "")</f>
        <v>97999549.999999985</v>
      </c>
      <c r="I181" s="72">
        <f>+G181+H181</f>
        <v>349999049.99999994</v>
      </c>
      <c r="J181" s="32">
        <f t="shared" si="35"/>
        <v>349999049.99999994</v>
      </c>
      <c r="K181" s="32">
        <f t="shared" si="36"/>
        <v>349999049.99999994</v>
      </c>
      <c r="L181" s="32"/>
    </row>
    <row r="182" spans="1:12" s="4" customFormat="1" ht="38.25" customHeight="1" outlineLevel="1">
      <c r="A182" s="27" t="str">
        <f t="shared" si="34"/>
        <v>13A.F7.14</v>
      </c>
      <c r="B182" s="34" t="s">
        <v>238</v>
      </c>
      <c r="C182" s="28" t="s">
        <v>574</v>
      </c>
      <c r="D182" s="29" t="s">
        <v>520</v>
      </c>
      <c r="E182" s="31">
        <v>2630.66</v>
      </c>
      <c r="F182" s="31">
        <v>2630.66</v>
      </c>
      <c r="G182" s="31">
        <f>_xlfn.XLOOKUP(B182, Rate_Master!$A:$A, Rate_Master!$C:$C, "")</f>
        <v>1799749.9999999998</v>
      </c>
      <c r="H182" s="31">
        <f>_xlfn.XLOOKUP(B182, Rate_Master!$A:$A, Rate_Master!$D:$D, "")</f>
        <v>700350</v>
      </c>
      <c r="I182" s="32">
        <f>+G182+H182</f>
        <v>2500100</v>
      </c>
      <c r="J182" s="32">
        <f t="shared" si="35"/>
        <v>6576913066</v>
      </c>
      <c r="K182" s="32">
        <f t="shared" si="36"/>
        <v>6576913066</v>
      </c>
      <c r="L182" s="32"/>
    </row>
    <row r="183" spans="1:12" s="4" customFormat="1" ht="63.75" customHeight="1" outlineLevel="1">
      <c r="A183" s="27" t="str">
        <f t="shared" si="34"/>
        <v>13A.F7.15</v>
      </c>
      <c r="B183" s="34" t="s">
        <v>239</v>
      </c>
      <c r="C183" s="28" t="s">
        <v>574</v>
      </c>
      <c r="D183" s="29" t="s">
        <v>517</v>
      </c>
      <c r="E183" s="31">
        <v>2799</v>
      </c>
      <c r="F183" s="31">
        <v>2799</v>
      </c>
      <c r="G183" s="31">
        <f>_xlfn.XLOOKUP(B183, Rate_Master!$A:$A, Rate_Master!$C:$C, "")</f>
        <v>1018899.9999999999</v>
      </c>
      <c r="H183" s="31">
        <f>_xlfn.XLOOKUP(B183, Rate_Master!$A:$A, Rate_Master!$D:$D, "")</f>
        <v>396749.99999999994</v>
      </c>
      <c r="I183" s="32">
        <f>+G183+H183</f>
        <v>1415649.9999999998</v>
      </c>
      <c r="J183" s="32">
        <f t="shared" si="35"/>
        <v>3962404349.9999995</v>
      </c>
      <c r="K183" s="32">
        <f t="shared" si="36"/>
        <v>3962404349.9999995</v>
      </c>
      <c r="L183" s="32"/>
    </row>
    <row r="184" spans="1:12" s="4" customFormat="1" ht="89.25" customHeight="1" outlineLevel="1">
      <c r="A184" s="55" t="str">
        <f t="shared" si="34"/>
        <v>13A.F7.16</v>
      </c>
      <c r="B184" s="56" t="s">
        <v>240</v>
      </c>
      <c r="C184" s="56" t="s">
        <v>575</v>
      </c>
      <c r="D184" s="57" t="s">
        <v>516</v>
      </c>
      <c r="E184" s="36">
        <v>1</v>
      </c>
      <c r="F184" s="36">
        <v>1</v>
      </c>
      <c r="G184" s="36">
        <f>_xlfn.XLOOKUP(B184, Rate_Master!$A:$A, Rate_Master!$C:$C, "")</f>
        <v>755999650</v>
      </c>
      <c r="H184" s="36">
        <f>_xlfn.XLOOKUP(B184, Rate_Master!$A:$A, Rate_Master!$D:$D, "")</f>
        <v>293999800</v>
      </c>
      <c r="I184" s="58">
        <f>+G184+H184</f>
        <v>1049999450</v>
      </c>
      <c r="J184" s="58">
        <f t="shared" si="35"/>
        <v>1049999450</v>
      </c>
      <c r="K184" s="58">
        <f t="shared" si="36"/>
        <v>1049999450</v>
      </c>
      <c r="L184" s="58"/>
    </row>
    <row r="185" spans="1:12" s="4" customFormat="1" ht="25.5" customHeight="1" outlineLevel="1">
      <c r="A185" s="27" t="str">
        <f t="shared" si="34"/>
        <v>13A.F7.17</v>
      </c>
      <c r="B185" s="34" t="s">
        <v>241</v>
      </c>
      <c r="C185" s="28"/>
      <c r="D185" s="29" t="s">
        <v>518</v>
      </c>
      <c r="E185" s="31">
        <v>1</v>
      </c>
      <c r="F185" s="31">
        <v>1</v>
      </c>
      <c r="G185" s="31">
        <f>_xlfn.XLOOKUP(B185, Rate_Master!$A:$A, Rate_Master!$C:$C, "")</f>
        <v>35999600</v>
      </c>
      <c r="H185" s="31">
        <f>_xlfn.XLOOKUP(B185, Rate_Master!$A:$A, Rate_Master!$D:$D, "")</f>
        <v>14000099.999999998</v>
      </c>
      <c r="I185" s="32">
        <f>+G185+H185</f>
        <v>49999700</v>
      </c>
      <c r="J185" s="32">
        <f t="shared" si="35"/>
        <v>49999700</v>
      </c>
      <c r="K185" s="32">
        <f t="shared" si="36"/>
        <v>49999700</v>
      </c>
      <c r="L185" s="32"/>
    </row>
    <row r="186" spans="1:12">
      <c r="F186" s="8"/>
    </row>
  </sheetData>
  <mergeCells count="5">
    <mergeCell ref="C5:L5"/>
    <mergeCell ref="C4:L4"/>
    <mergeCell ref="C3:L3"/>
    <mergeCell ref="C7:L7"/>
    <mergeCell ref="C6:L6"/>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P180"/>
  <sheetViews>
    <sheetView topLeftCell="A8" zoomScale="85" zoomScaleNormal="85" workbookViewId="0">
      <pane ySplit="1" topLeftCell="A9" activePane="bottomLeft" state="frozen"/>
      <selection activeCell="A8" sqref="A8"/>
      <selection pane="bottomLeft" activeCell="B12" sqref="B12"/>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0.875" style="8" customWidth="1"/>
    <col min="6" max="6" width="10.875" style="85" customWidth="1"/>
    <col min="7" max="7" width="9.375" style="8" bestFit="1" customWidth="1" outlineLevel="1"/>
    <col min="8" max="8" width="14" style="8" customWidth="1" outlineLevel="1"/>
    <col min="9" max="12" width="14" style="9" customWidth="1"/>
    <col min="13" max="13" width="12.625" style="6" bestFit="1" customWidth="1"/>
    <col min="14" max="14" width="9.75" style="6" bestFit="1" customWidth="1"/>
    <col min="15" max="231" width="9.125" style="6" customWidth="1"/>
    <col min="232" max="232" width="6.375" style="6" customWidth="1"/>
    <col min="233" max="233" width="34.25" style="6" customWidth="1"/>
    <col min="234" max="234" width="7.375" style="6" customWidth="1"/>
    <col min="235" max="235" width="6.375" style="6" customWidth="1"/>
    <col min="236" max="236" width="13.125" style="6" customWidth="1"/>
    <col min="237" max="237" width="15.375" style="6" customWidth="1"/>
    <col min="238" max="238" width="21.25" style="6" customWidth="1"/>
    <col min="239" max="487" width="9.125" style="6" customWidth="1"/>
    <col min="488" max="488" width="6.375" style="6" customWidth="1"/>
    <col min="489" max="489" width="34.25" style="6" customWidth="1"/>
    <col min="490" max="490" width="7.375" style="6" customWidth="1"/>
    <col min="491" max="491" width="6.375" style="6" customWidth="1"/>
    <col min="492" max="492" width="13.125" style="6" customWidth="1"/>
    <col min="493" max="493" width="15.375" style="6" customWidth="1"/>
    <col min="494" max="494" width="21.25" style="6" customWidth="1"/>
    <col min="495" max="743" width="9.125" style="6" customWidth="1"/>
    <col min="744" max="744" width="6.375" style="6" customWidth="1"/>
    <col min="745" max="745" width="34.25" style="6" customWidth="1"/>
    <col min="746" max="746" width="7.375" style="6" customWidth="1"/>
    <col min="747" max="747" width="6.375" style="6" customWidth="1"/>
    <col min="748" max="748" width="13.125" style="6" customWidth="1"/>
    <col min="749" max="749" width="15.375" style="6" customWidth="1"/>
    <col min="750" max="750" width="21.25" style="6" customWidth="1"/>
    <col min="751" max="999" width="9.125" style="6" customWidth="1"/>
    <col min="1000" max="1000" width="6.375" style="6" customWidth="1"/>
    <col min="1001" max="1001" width="34.25" style="6" customWidth="1"/>
    <col min="1002" max="1002" width="7.375" style="6" customWidth="1"/>
    <col min="1003" max="1003" width="6.375" style="6" customWidth="1"/>
    <col min="1004" max="1004" width="13.125" style="6" customWidth="1"/>
    <col min="1005" max="1005" width="15.375" style="6" customWidth="1"/>
    <col min="1006" max="1006" width="21.25" style="6" customWidth="1"/>
    <col min="1007" max="1255" width="9.125" style="6" customWidth="1"/>
    <col min="1256" max="1256" width="6.375" style="6" customWidth="1"/>
    <col min="1257" max="1257" width="34.25" style="6" customWidth="1"/>
    <col min="1258" max="1258" width="7.375" style="6" customWidth="1"/>
    <col min="1259" max="1259" width="6.375" style="6" customWidth="1"/>
    <col min="1260" max="1260" width="13.125" style="6" customWidth="1"/>
    <col min="1261" max="1261" width="15.375" style="6" customWidth="1"/>
    <col min="1262" max="1262" width="21.25" style="6" customWidth="1"/>
    <col min="1263" max="1511" width="9.125" style="6" customWidth="1"/>
    <col min="1512" max="1512" width="6.375" style="6" customWidth="1"/>
    <col min="1513" max="1513" width="34.25" style="6" customWidth="1"/>
    <col min="1514" max="1514" width="7.375" style="6" customWidth="1"/>
    <col min="1515" max="1515" width="6.375" style="6" customWidth="1"/>
    <col min="1516" max="1516" width="13.125" style="6" customWidth="1"/>
    <col min="1517" max="1517" width="15.375" style="6" customWidth="1"/>
    <col min="1518" max="1518" width="21.25" style="6" customWidth="1"/>
    <col min="1519" max="1767" width="9.125" style="6" customWidth="1"/>
    <col min="1768" max="1768" width="6.375" style="6" customWidth="1"/>
    <col min="1769" max="1769" width="34.25" style="6" customWidth="1"/>
    <col min="1770" max="1770" width="7.375" style="6" customWidth="1"/>
    <col min="1771" max="1771" width="6.375" style="6" customWidth="1"/>
    <col min="1772" max="1772" width="13.125" style="6" customWidth="1"/>
    <col min="1773" max="1773" width="15.375" style="6" customWidth="1"/>
    <col min="1774" max="1774" width="21.25" style="6" customWidth="1"/>
    <col min="1775" max="2023" width="9.125" style="6" customWidth="1"/>
    <col min="2024" max="2024" width="6.375" style="6" customWidth="1"/>
    <col min="2025" max="2025" width="34.25" style="6" customWidth="1"/>
    <col min="2026" max="2026" width="7.375" style="6" customWidth="1"/>
    <col min="2027" max="2027" width="6.375" style="6" customWidth="1"/>
    <col min="2028" max="2028" width="13.125" style="6" customWidth="1"/>
    <col min="2029" max="2029" width="15.375" style="6" customWidth="1"/>
    <col min="2030" max="2030" width="21.25" style="6" customWidth="1"/>
    <col min="2031" max="2279" width="9.125" style="6" customWidth="1"/>
    <col min="2280" max="2280" width="6.375" style="6" customWidth="1"/>
    <col min="2281" max="2281" width="34.25" style="6" customWidth="1"/>
    <col min="2282" max="2282" width="7.375" style="6" customWidth="1"/>
    <col min="2283" max="2283" width="6.375" style="6" customWidth="1"/>
    <col min="2284" max="2284" width="13.125" style="6" customWidth="1"/>
    <col min="2285" max="2285" width="15.375" style="6" customWidth="1"/>
    <col min="2286" max="2286" width="21.25" style="6" customWidth="1"/>
    <col min="2287" max="2535" width="9.125" style="6" customWidth="1"/>
    <col min="2536" max="2536" width="6.375" style="6" customWidth="1"/>
    <col min="2537" max="2537" width="34.25" style="6" customWidth="1"/>
    <col min="2538" max="2538" width="7.375" style="6" customWidth="1"/>
    <col min="2539" max="2539" width="6.375" style="6" customWidth="1"/>
    <col min="2540" max="2540" width="13.125" style="6" customWidth="1"/>
    <col min="2541" max="2541" width="15.375" style="6" customWidth="1"/>
    <col min="2542" max="2542" width="21.25" style="6" customWidth="1"/>
    <col min="2543" max="2791" width="9.125" style="6" customWidth="1"/>
    <col min="2792" max="2792" width="6.375" style="6" customWidth="1"/>
    <col min="2793" max="2793" width="34.25" style="6" customWidth="1"/>
    <col min="2794" max="2794" width="7.375" style="6" customWidth="1"/>
    <col min="2795" max="2795" width="6.375" style="6" customWidth="1"/>
    <col min="2796" max="2796" width="13.125" style="6" customWidth="1"/>
    <col min="2797" max="2797" width="15.375" style="6" customWidth="1"/>
    <col min="2798" max="2798" width="21.25" style="6" customWidth="1"/>
    <col min="2799" max="3047" width="9.125" style="6" customWidth="1"/>
    <col min="3048" max="3048" width="6.375" style="6" customWidth="1"/>
    <col min="3049" max="3049" width="34.25" style="6" customWidth="1"/>
    <col min="3050" max="3050" width="7.375" style="6" customWidth="1"/>
    <col min="3051" max="3051" width="6.375" style="6" customWidth="1"/>
    <col min="3052" max="3052" width="13.125" style="6" customWidth="1"/>
    <col min="3053" max="3053" width="15.375" style="6" customWidth="1"/>
    <col min="3054" max="3054" width="21.25" style="6" customWidth="1"/>
    <col min="3055" max="3303" width="9.125" style="6" customWidth="1"/>
    <col min="3304" max="3304" width="6.375" style="6" customWidth="1"/>
    <col min="3305" max="3305" width="34.25" style="6" customWidth="1"/>
    <col min="3306" max="3306" width="7.375" style="6" customWidth="1"/>
    <col min="3307" max="3307" width="6.375" style="6" customWidth="1"/>
    <col min="3308" max="3308" width="13.125" style="6" customWidth="1"/>
    <col min="3309" max="3309" width="15.375" style="6" customWidth="1"/>
    <col min="3310" max="3310" width="21.25" style="6" customWidth="1"/>
    <col min="3311" max="3559" width="9.125" style="6" customWidth="1"/>
    <col min="3560" max="3560" width="6.375" style="6" customWidth="1"/>
    <col min="3561" max="3561" width="34.25" style="6" customWidth="1"/>
    <col min="3562" max="3562" width="7.375" style="6" customWidth="1"/>
    <col min="3563" max="3563" width="6.375" style="6" customWidth="1"/>
    <col min="3564" max="3564" width="13.125" style="6" customWidth="1"/>
    <col min="3565" max="3565" width="15.375" style="6" customWidth="1"/>
    <col min="3566" max="3566" width="21.25" style="6" customWidth="1"/>
    <col min="3567" max="3815" width="9.125" style="6" customWidth="1"/>
    <col min="3816" max="3816" width="6.375" style="6" customWidth="1"/>
    <col min="3817" max="3817" width="34.25" style="6" customWidth="1"/>
    <col min="3818" max="3818" width="7.375" style="6" customWidth="1"/>
    <col min="3819" max="3819" width="6.375" style="6" customWidth="1"/>
    <col min="3820" max="3820" width="13.125" style="6" customWidth="1"/>
    <col min="3821" max="3821" width="15.375" style="6" customWidth="1"/>
    <col min="3822" max="3822" width="21.25" style="6" customWidth="1"/>
    <col min="3823" max="4071" width="9.125" style="6" customWidth="1"/>
    <col min="4072" max="4072" width="6.375" style="6" customWidth="1"/>
    <col min="4073" max="4073" width="34.25" style="6" customWidth="1"/>
    <col min="4074" max="4074" width="7.375" style="6" customWidth="1"/>
    <col min="4075" max="4075" width="6.375" style="6" customWidth="1"/>
    <col min="4076" max="4076" width="13.125" style="6" customWidth="1"/>
    <col min="4077" max="4077" width="15.375" style="6" customWidth="1"/>
    <col min="4078" max="4078" width="21.25" style="6" customWidth="1"/>
    <col min="4079" max="4327" width="9.125" style="6" customWidth="1"/>
    <col min="4328" max="4328" width="6.375" style="6" customWidth="1"/>
    <col min="4329" max="4329" width="34.25" style="6" customWidth="1"/>
    <col min="4330" max="4330" width="7.375" style="6" customWidth="1"/>
    <col min="4331" max="4331" width="6.375" style="6" customWidth="1"/>
    <col min="4332" max="4332" width="13.125" style="6" customWidth="1"/>
    <col min="4333" max="4333" width="15.375" style="6" customWidth="1"/>
    <col min="4334" max="4334" width="21.25" style="6" customWidth="1"/>
    <col min="4335" max="4583" width="9.125" style="6" customWidth="1"/>
    <col min="4584" max="4584" width="6.375" style="6" customWidth="1"/>
    <col min="4585" max="4585" width="34.25" style="6" customWidth="1"/>
    <col min="4586" max="4586" width="7.375" style="6" customWidth="1"/>
    <col min="4587" max="4587" width="6.375" style="6" customWidth="1"/>
    <col min="4588" max="4588" width="13.125" style="6" customWidth="1"/>
    <col min="4589" max="4589" width="15.375" style="6" customWidth="1"/>
    <col min="4590" max="4590" width="21.25" style="6" customWidth="1"/>
    <col min="4591" max="4839" width="9.125" style="6" customWidth="1"/>
    <col min="4840" max="4840" width="6.375" style="6" customWidth="1"/>
    <col min="4841" max="4841" width="34.25" style="6" customWidth="1"/>
    <col min="4842" max="4842" width="7.375" style="6" customWidth="1"/>
    <col min="4843" max="4843" width="6.375" style="6" customWidth="1"/>
    <col min="4844" max="4844" width="13.125" style="6" customWidth="1"/>
    <col min="4845" max="4845" width="15.375" style="6" customWidth="1"/>
    <col min="4846" max="4846" width="21.25" style="6" customWidth="1"/>
    <col min="4847" max="5095" width="9.125" style="6" customWidth="1"/>
    <col min="5096" max="5096" width="6.375" style="6" customWidth="1"/>
    <col min="5097" max="5097" width="34.25" style="6" customWidth="1"/>
    <col min="5098" max="5098" width="7.375" style="6" customWidth="1"/>
    <col min="5099" max="5099" width="6.375" style="6" customWidth="1"/>
    <col min="5100" max="5100" width="13.125" style="6" customWidth="1"/>
    <col min="5101" max="5101" width="15.375" style="6" customWidth="1"/>
    <col min="5102" max="5102" width="21.25" style="6" customWidth="1"/>
    <col min="5103" max="5351" width="9.125" style="6" customWidth="1"/>
    <col min="5352" max="5352" width="6.375" style="6" customWidth="1"/>
    <col min="5353" max="5353" width="34.25" style="6" customWidth="1"/>
    <col min="5354" max="5354" width="7.375" style="6" customWidth="1"/>
    <col min="5355" max="5355" width="6.375" style="6" customWidth="1"/>
    <col min="5356" max="5356" width="13.125" style="6" customWidth="1"/>
    <col min="5357" max="5357" width="15.375" style="6" customWidth="1"/>
    <col min="5358" max="5358" width="21.25" style="6" customWidth="1"/>
    <col min="5359" max="5607" width="9.125" style="6" customWidth="1"/>
    <col min="5608" max="5608" width="6.375" style="6" customWidth="1"/>
    <col min="5609" max="5609" width="34.25" style="6" customWidth="1"/>
    <col min="5610" max="5610" width="7.375" style="6" customWidth="1"/>
    <col min="5611" max="5611" width="6.375" style="6" customWidth="1"/>
    <col min="5612" max="5612" width="13.125" style="6" customWidth="1"/>
    <col min="5613" max="5613" width="15.375" style="6" customWidth="1"/>
    <col min="5614" max="5614" width="21.25" style="6" customWidth="1"/>
    <col min="5615" max="5863" width="9.125" style="6" customWidth="1"/>
    <col min="5864" max="5864" width="6.375" style="6" customWidth="1"/>
    <col min="5865" max="5865" width="34.25" style="6" customWidth="1"/>
    <col min="5866" max="5866" width="7.375" style="6" customWidth="1"/>
    <col min="5867" max="5867" width="6.375" style="6" customWidth="1"/>
    <col min="5868" max="5868" width="13.125" style="6" customWidth="1"/>
    <col min="5869" max="5869" width="15.375" style="6" customWidth="1"/>
    <col min="5870" max="5870" width="21.25" style="6" customWidth="1"/>
    <col min="5871" max="6119" width="9.125" style="6" customWidth="1"/>
    <col min="6120" max="6120" width="6.375" style="6" customWidth="1"/>
    <col min="6121" max="6121" width="34.25" style="6" customWidth="1"/>
    <col min="6122" max="6122" width="7.375" style="6" customWidth="1"/>
    <col min="6123" max="6123" width="6.375" style="6" customWidth="1"/>
    <col min="6124" max="6124" width="13.125" style="6" customWidth="1"/>
    <col min="6125" max="6125" width="15.375" style="6" customWidth="1"/>
    <col min="6126" max="6126" width="21.25" style="6" customWidth="1"/>
    <col min="6127" max="6375" width="9.125" style="6" customWidth="1"/>
    <col min="6376" max="6376" width="6.375" style="6" customWidth="1"/>
    <col min="6377" max="6377" width="34.25" style="6" customWidth="1"/>
    <col min="6378" max="6378" width="7.375" style="6" customWidth="1"/>
    <col min="6379" max="6379" width="6.375" style="6" customWidth="1"/>
    <col min="6380" max="6380" width="13.125" style="6" customWidth="1"/>
    <col min="6381" max="6381" width="15.375" style="6" customWidth="1"/>
    <col min="6382" max="6382" width="21.25" style="6" customWidth="1"/>
    <col min="6383" max="6631" width="9.125" style="6" customWidth="1"/>
    <col min="6632" max="6632" width="6.375" style="6" customWidth="1"/>
    <col min="6633" max="6633" width="34.25" style="6" customWidth="1"/>
    <col min="6634" max="6634" width="7.375" style="6" customWidth="1"/>
    <col min="6635" max="6635" width="6.375" style="6" customWidth="1"/>
    <col min="6636" max="6636" width="13.125" style="6" customWidth="1"/>
    <col min="6637" max="6637" width="15.375" style="6" customWidth="1"/>
    <col min="6638" max="6638" width="21.25" style="6" customWidth="1"/>
    <col min="6639" max="6887" width="9.125" style="6" customWidth="1"/>
    <col min="6888" max="6888" width="6.375" style="6" customWidth="1"/>
    <col min="6889" max="6889" width="34.25" style="6" customWidth="1"/>
    <col min="6890" max="6890" width="7.375" style="6" customWidth="1"/>
    <col min="6891" max="6891" width="6.375" style="6" customWidth="1"/>
    <col min="6892" max="6892" width="13.125" style="6" customWidth="1"/>
    <col min="6893" max="6893" width="15.375" style="6" customWidth="1"/>
    <col min="6894" max="6894" width="21.25" style="6" customWidth="1"/>
    <col min="6895" max="7143" width="9.125" style="6" customWidth="1"/>
    <col min="7144" max="7144" width="6.375" style="6" customWidth="1"/>
    <col min="7145" max="7145" width="34.25" style="6" customWidth="1"/>
    <col min="7146" max="7146" width="7.375" style="6" customWidth="1"/>
    <col min="7147" max="7147" width="6.375" style="6" customWidth="1"/>
    <col min="7148" max="7148" width="13.125" style="6" customWidth="1"/>
    <col min="7149" max="7149" width="15.375" style="6" customWidth="1"/>
    <col min="7150" max="7150" width="21.25" style="6" customWidth="1"/>
    <col min="7151" max="7399" width="9.125" style="6" customWidth="1"/>
    <col min="7400" max="7400" width="6.375" style="6" customWidth="1"/>
    <col min="7401" max="7401" width="34.25" style="6" customWidth="1"/>
    <col min="7402" max="7402" width="7.375" style="6" customWidth="1"/>
    <col min="7403" max="7403" width="6.375" style="6" customWidth="1"/>
    <col min="7404" max="7404" width="13.125" style="6" customWidth="1"/>
    <col min="7405" max="7405" width="15.375" style="6" customWidth="1"/>
    <col min="7406" max="7406" width="21.25" style="6" customWidth="1"/>
    <col min="7407" max="7655" width="9.125" style="6" customWidth="1"/>
    <col min="7656" max="7656" width="6.375" style="6" customWidth="1"/>
    <col min="7657" max="7657" width="34.25" style="6" customWidth="1"/>
    <col min="7658" max="7658" width="7.375" style="6" customWidth="1"/>
    <col min="7659" max="7659" width="6.375" style="6" customWidth="1"/>
    <col min="7660" max="7660" width="13.125" style="6" customWidth="1"/>
    <col min="7661" max="7661" width="15.375" style="6" customWidth="1"/>
    <col min="7662" max="7662" width="21.25" style="6" customWidth="1"/>
    <col min="7663" max="7911" width="9.125" style="6" customWidth="1"/>
    <col min="7912" max="7912" width="6.375" style="6" customWidth="1"/>
    <col min="7913" max="7913" width="34.25" style="6" customWidth="1"/>
    <col min="7914" max="7914" width="7.375" style="6" customWidth="1"/>
    <col min="7915" max="7915" width="6.375" style="6" customWidth="1"/>
    <col min="7916" max="7916" width="13.125" style="6" customWidth="1"/>
    <col min="7917" max="7917" width="15.375" style="6" customWidth="1"/>
    <col min="7918" max="7918" width="21.25" style="6" customWidth="1"/>
    <col min="7919" max="8167" width="9.125" style="6" customWidth="1"/>
    <col min="8168" max="8168" width="6.375" style="6" customWidth="1"/>
    <col min="8169" max="8169" width="34.25" style="6" customWidth="1"/>
    <col min="8170" max="8170" width="7.375" style="6" customWidth="1"/>
    <col min="8171" max="8171" width="6.375" style="6" customWidth="1"/>
    <col min="8172" max="8172" width="13.125" style="6" customWidth="1"/>
    <col min="8173" max="8173" width="15.375" style="6" customWidth="1"/>
    <col min="8174" max="8174" width="21.25" style="6" customWidth="1"/>
    <col min="8175" max="8423" width="9.125" style="6" customWidth="1"/>
    <col min="8424" max="8424" width="6.375" style="6" customWidth="1"/>
    <col min="8425" max="8425" width="34.25" style="6" customWidth="1"/>
    <col min="8426" max="8426" width="7.375" style="6" customWidth="1"/>
    <col min="8427" max="8427" width="6.375" style="6" customWidth="1"/>
    <col min="8428" max="8428" width="13.125" style="6" customWidth="1"/>
    <col min="8429" max="8429" width="15.375" style="6" customWidth="1"/>
    <col min="8430" max="8430" width="21.25" style="6" customWidth="1"/>
    <col min="8431" max="8679" width="9.125" style="6" customWidth="1"/>
    <col min="8680" max="8680" width="6.375" style="6" customWidth="1"/>
    <col min="8681" max="8681" width="34.25" style="6" customWidth="1"/>
    <col min="8682" max="8682" width="7.375" style="6" customWidth="1"/>
    <col min="8683" max="8683" width="6.375" style="6" customWidth="1"/>
    <col min="8684" max="8684" width="13.125" style="6" customWidth="1"/>
    <col min="8685" max="8685" width="15.375" style="6" customWidth="1"/>
    <col min="8686" max="8686" width="21.25" style="6" customWidth="1"/>
    <col min="8687" max="8935" width="9.125" style="6" customWidth="1"/>
    <col min="8936" max="8936" width="6.375" style="6" customWidth="1"/>
    <col min="8937" max="8937" width="34.25" style="6" customWidth="1"/>
    <col min="8938" max="8938" width="7.375" style="6" customWidth="1"/>
    <col min="8939" max="8939" width="6.375" style="6" customWidth="1"/>
    <col min="8940" max="8940" width="13.125" style="6" customWidth="1"/>
    <col min="8941" max="8941" width="15.375" style="6" customWidth="1"/>
    <col min="8942" max="8942" width="21.25" style="6" customWidth="1"/>
    <col min="8943" max="9191" width="9.125" style="6" customWidth="1"/>
    <col min="9192" max="9192" width="6.375" style="6" customWidth="1"/>
    <col min="9193" max="9193" width="34.25" style="6" customWidth="1"/>
    <col min="9194" max="9194" width="7.375" style="6" customWidth="1"/>
    <col min="9195" max="9195" width="6.375" style="6" customWidth="1"/>
    <col min="9196" max="9196" width="13.125" style="6" customWidth="1"/>
    <col min="9197" max="9197" width="15.375" style="6" customWidth="1"/>
    <col min="9198" max="9198" width="21.25" style="6" customWidth="1"/>
    <col min="9199" max="9447" width="9.125" style="6" customWidth="1"/>
    <col min="9448" max="9448" width="6.375" style="6" customWidth="1"/>
    <col min="9449" max="9449" width="34.25" style="6" customWidth="1"/>
    <col min="9450" max="9450" width="7.375" style="6" customWidth="1"/>
    <col min="9451" max="9451" width="6.375" style="6" customWidth="1"/>
    <col min="9452" max="9452" width="13.125" style="6" customWidth="1"/>
    <col min="9453" max="9453" width="15.375" style="6" customWidth="1"/>
    <col min="9454" max="9454" width="21.25" style="6" customWidth="1"/>
    <col min="9455" max="9703" width="9.125" style="6" customWidth="1"/>
    <col min="9704" max="9704" width="6.375" style="6" customWidth="1"/>
    <col min="9705" max="9705" width="34.25" style="6" customWidth="1"/>
    <col min="9706" max="9706" width="7.375" style="6" customWidth="1"/>
    <col min="9707" max="9707" width="6.375" style="6" customWidth="1"/>
    <col min="9708" max="9708" width="13.125" style="6" customWidth="1"/>
    <col min="9709" max="9709" width="15.375" style="6" customWidth="1"/>
    <col min="9710" max="9710" width="21.25" style="6" customWidth="1"/>
    <col min="9711" max="9959" width="9.125" style="6" customWidth="1"/>
    <col min="9960" max="9960" width="6.375" style="6" customWidth="1"/>
    <col min="9961" max="9961" width="34.25" style="6" customWidth="1"/>
    <col min="9962" max="9962" width="7.375" style="6" customWidth="1"/>
    <col min="9963" max="9963" width="6.375" style="6" customWidth="1"/>
    <col min="9964" max="9964" width="13.125" style="6" customWidth="1"/>
    <col min="9965" max="9965" width="15.375" style="6" customWidth="1"/>
    <col min="9966" max="9966" width="21.25" style="6" customWidth="1"/>
    <col min="9967" max="10215" width="9.125" style="6" customWidth="1"/>
    <col min="10216" max="10216" width="6.375" style="6" customWidth="1"/>
    <col min="10217" max="10217" width="34.25" style="6" customWidth="1"/>
    <col min="10218" max="10218" width="7.375" style="6" customWidth="1"/>
    <col min="10219" max="10219" width="6.375" style="6" customWidth="1"/>
    <col min="10220" max="10220" width="13.125" style="6" customWidth="1"/>
    <col min="10221" max="10221" width="15.375" style="6" customWidth="1"/>
    <col min="10222" max="10222" width="21.25" style="6" customWidth="1"/>
    <col min="10223" max="10471" width="9.125" style="6" customWidth="1"/>
    <col min="10472" max="10472" width="6.375" style="6" customWidth="1"/>
    <col min="10473" max="10473" width="34.25" style="6" customWidth="1"/>
    <col min="10474" max="10474" width="7.375" style="6" customWidth="1"/>
    <col min="10475" max="10475" width="6.375" style="6" customWidth="1"/>
    <col min="10476" max="10476" width="13.125" style="6" customWidth="1"/>
    <col min="10477" max="10477" width="15.375" style="6" customWidth="1"/>
    <col min="10478" max="10478" width="21.25" style="6" customWidth="1"/>
    <col min="10479" max="10727" width="9.125" style="6" customWidth="1"/>
    <col min="10728" max="10728" width="6.375" style="6" customWidth="1"/>
    <col min="10729" max="10729" width="34.25" style="6" customWidth="1"/>
    <col min="10730" max="10730" width="7.375" style="6" customWidth="1"/>
    <col min="10731" max="10731" width="6.375" style="6" customWidth="1"/>
    <col min="10732" max="10732" width="13.125" style="6" customWidth="1"/>
    <col min="10733" max="10733" width="15.375" style="6" customWidth="1"/>
    <col min="10734" max="10734" width="21.25" style="6" customWidth="1"/>
    <col min="10735" max="10983" width="9.125" style="6" customWidth="1"/>
    <col min="10984" max="10984" width="6.375" style="6" customWidth="1"/>
    <col min="10985" max="10985" width="34.25" style="6" customWidth="1"/>
    <col min="10986" max="10986" width="7.375" style="6" customWidth="1"/>
    <col min="10987" max="10987" width="6.375" style="6" customWidth="1"/>
    <col min="10988" max="10988" width="13.125" style="6" customWidth="1"/>
    <col min="10989" max="10989" width="15.375" style="6" customWidth="1"/>
    <col min="10990" max="10990" width="21.25" style="6" customWidth="1"/>
    <col min="10991" max="11239" width="9.125" style="6" customWidth="1"/>
    <col min="11240" max="11240" width="6.375" style="6" customWidth="1"/>
    <col min="11241" max="11241" width="34.25" style="6" customWidth="1"/>
    <col min="11242" max="11242" width="7.375" style="6" customWidth="1"/>
    <col min="11243" max="11243" width="6.375" style="6" customWidth="1"/>
    <col min="11244" max="11244" width="13.125" style="6" customWidth="1"/>
    <col min="11245" max="11245" width="15.375" style="6" customWidth="1"/>
    <col min="11246" max="11246" width="21.25" style="6" customWidth="1"/>
    <col min="11247" max="11495" width="9.125" style="6" customWidth="1"/>
    <col min="11496" max="11496" width="6.375" style="6" customWidth="1"/>
    <col min="11497" max="11497" width="34.25" style="6" customWidth="1"/>
    <col min="11498" max="11498" width="7.375" style="6" customWidth="1"/>
    <col min="11499" max="11499" width="6.375" style="6" customWidth="1"/>
    <col min="11500" max="11500" width="13.125" style="6" customWidth="1"/>
    <col min="11501" max="11501" width="15.375" style="6" customWidth="1"/>
    <col min="11502" max="11502" width="21.25" style="6" customWidth="1"/>
    <col min="11503" max="11751" width="9.125" style="6" customWidth="1"/>
    <col min="11752" max="11752" width="6.375" style="6" customWidth="1"/>
    <col min="11753" max="11753" width="34.25" style="6" customWidth="1"/>
    <col min="11754" max="11754" width="7.375" style="6" customWidth="1"/>
    <col min="11755" max="11755" width="6.375" style="6" customWidth="1"/>
    <col min="11756" max="11756" width="13.125" style="6" customWidth="1"/>
    <col min="11757" max="11757" width="15.375" style="6" customWidth="1"/>
    <col min="11758" max="11758" width="21.25" style="6" customWidth="1"/>
    <col min="11759" max="12007" width="9.125" style="6" customWidth="1"/>
    <col min="12008" max="12008" width="6.375" style="6" customWidth="1"/>
    <col min="12009" max="12009" width="34.25" style="6" customWidth="1"/>
    <col min="12010" max="12010" width="7.375" style="6" customWidth="1"/>
    <col min="12011" max="12011" width="6.375" style="6" customWidth="1"/>
    <col min="12012" max="12012" width="13.125" style="6" customWidth="1"/>
    <col min="12013" max="12013" width="15.375" style="6" customWidth="1"/>
    <col min="12014" max="12014" width="21.25" style="6" customWidth="1"/>
    <col min="12015" max="12263" width="9.125" style="6" customWidth="1"/>
    <col min="12264" max="12264" width="6.375" style="6" customWidth="1"/>
    <col min="12265" max="12265" width="34.25" style="6" customWidth="1"/>
    <col min="12266" max="12266" width="7.375" style="6" customWidth="1"/>
    <col min="12267" max="12267" width="6.375" style="6" customWidth="1"/>
    <col min="12268" max="12268" width="13.125" style="6" customWidth="1"/>
    <col min="12269" max="12269" width="15.375" style="6" customWidth="1"/>
    <col min="12270" max="12270" width="21.25" style="6" customWidth="1"/>
    <col min="12271" max="12519" width="9.125" style="6" customWidth="1"/>
    <col min="12520" max="12520" width="6.375" style="6" customWidth="1"/>
    <col min="12521" max="12521" width="34.25" style="6" customWidth="1"/>
    <col min="12522" max="12522" width="7.375" style="6" customWidth="1"/>
    <col min="12523" max="12523" width="6.375" style="6" customWidth="1"/>
    <col min="12524" max="12524" width="13.125" style="6" customWidth="1"/>
    <col min="12525" max="12525" width="15.375" style="6" customWidth="1"/>
    <col min="12526" max="12526" width="21.25" style="6" customWidth="1"/>
    <col min="12527" max="12775" width="9.125" style="6" customWidth="1"/>
    <col min="12776" max="12776" width="6.375" style="6" customWidth="1"/>
    <col min="12777" max="12777" width="34.25" style="6" customWidth="1"/>
    <col min="12778" max="12778" width="7.375" style="6" customWidth="1"/>
    <col min="12779" max="12779" width="6.375" style="6" customWidth="1"/>
    <col min="12780" max="12780" width="13.125" style="6" customWidth="1"/>
    <col min="12781" max="12781" width="15.375" style="6" customWidth="1"/>
    <col min="12782" max="12782" width="21.25" style="6" customWidth="1"/>
    <col min="12783" max="13031" width="9.125" style="6" customWidth="1"/>
    <col min="13032" max="13032" width="6.375" style="6" customWidth="1"/>
    <col min="13033" max="13033" width="34.25" style="6" customWidth="1"/>
    <col min="13034" max="13034" width="7.375" style="6" customWidth="1"/>
    <col min="13035" max="13035" width="6.375" style="6" customWidth="1"/>
    <col min="13036" max="13036" width="13.125" style="6" customWidth="1"/>
    <col min="13037" max="13037" width="15.375" style="6" customWidth="1"/>
    <col min="13038" max="13038" width="21.25" style="6" customWidth="1"/>
    <col min="13039" max="13287" width="9.125" style="6" customWidth="1"/>
    <col min="13288" max="13288" width="6.375" style="6" customWidth="1"/>
    <col min="13289" max="13289" width="34.25" style="6" customWidth="1"/>
    <col min="13290" max="13290" width="7.375" style="6" customWidth="1"/>
    <col min="13291" max="13291" width="6.375" style="6" customWidth="1"/>
    <col min="13292" max="13292" width="13.125" style="6" customWidth="1"/>
    <col min="13293" max="13293" width="15.375" style="6" customWidth="1"/>
    <col min="13294" max="13294" width="21.25" style="6" customWidth="1"/>
    <col min="13295" max="13543" width="9.125" style="6" customWidth="1"/>
    <col min="13544" max="13544" width="6.375" style="6" customWidth="1"/>
    <col min="13545" max="13545" width="34.25" style="6" customWidth="1"/>
    <col min="13546" max="13546" width="7.375" style="6" customWidth="1"/>
    <col min="13547" max="13547" width="6.375" style="6" customWidth="1"/>
    <col min="13548" max="13548" width="13.125" style="6" customWidth="1"/>
    <col min="13549" max="13549" width="15.375" style="6" customWidth="1"/>
    <col min="13550" max="13550" width="21.25" style="6" customWidth="1"/>
    <col min="13551" max="13799" width="9.125" style="6" customWidth="1"/>
    <col min="13800" max="13800" width="6.375" style="6" customWidth="1"/>
    <col min="13801" max="13801" width="34.25" style="6" customWidth="1"/>
    <col min="13802" max="13802" width="7.375" style="6" customWidth="1"/>
    <col min="13803" max="13803" width="6.375" style="6" customWidth="1"/>
    <col min="13804" max="13804" width="13.125" style="6" customWidth="1"/>
    <col min="13805" max="13805" width="15.375" style="6" customWidth="1"/>
    <col min="13806" max="13806" width="21.25" style="6" customWidth="1"/>
    <col min="13807" max="14055" width="9.125" style="6" customWidth="1"/>
    <col min="14056" max="14056" width="6.375" style="6" customWidth="1"/>
    <col min="14057" max="14057" width="34.25" style="6" customWidth="1"/>
    <col min="14058" max="14058" width="7.375" style="6" customWidth="1"/>
    <col min="14059" max="14059" width="6.375" style="6" customWidth="1"/>
    <col min="14060" max="14060" width="13.125" style="6" customWidth="1"/>
    <col min="14061" max="14061" width="15.375" style="6" customWidth="1"/>
    <col min="14062" max="14062" width="21.25" style="6" customWidth="1"/>
    <col min="14063" max="14311" width="9.125" style="6" customWidth="1"/>
    <col min="14312" max="14312" width="6.375" style="6" customWidth="1"/>
    <col min="14313" max="14313" width="34.25" style="6" customWidth="1"/>
    <col min="14314" max="14314" width="7.375" style="6" customWidth="1"/>
    <col min="14315" max="14315" width="6.375" style="6" customWidth="1"/>
    <col min="14316" max="14316" width="13.125" style="6" customWidth="1"/>
    <col min="14317" max="14317" width="15.375" style="6" customWidth="1"/>
    <col min="14318" max="14318" width="21.25" style="6" customWidth="1"/>
    <col min="14319" max="14567" width="9.125" style="6" customWidth="1"/>
    <col min="14568" max="14568" width="6.375" style="6" customWidth="1"/>
    <col min="14569" max="14569" width="34.25" style="6" customWidth="1"/>
    <col min="14570" max="14570" width="7.375" style="6" customWidth="1"/>
    <col min="14571" max="14571" width="6.375" style="6" customWidth="1"/>
    <col min="14572" max="14572" width="13.125" style="6" customWidth="1"/>
    <col min="14573" max="14573" width="15.375" style="6" customWidth="1"/>
    <col min="14574" max="14574" width="21.25" style="6" customWidth="1"/>
    <col min="14575" max="14823" width="9.125" style="6" customWidth="1"/>
    <col min="14824" max="14824" width="6.375" style="6" customWidth="1"/>
    <col min="14825" max="14825" width="34.25" style="6" customWidth="1"/>
    <col min="14826" max="14826" width="7.375" style="6" customWidth="1"/>
    <col min="14827" max="14827" width="6.375" style="6" customWidth="1"/>
    <col min="14828" max="14828" width="13.125" style="6" customWidth="1"/>
    <col min="14829" max="14829" width="15.375" style="6" customWidth="1"/>
    <col min="14830" max="14830" width="21.25" style="6" customWidth="1"/>
    <col min="14831" max="15079" width="9.125" style="6" customWidth="1"/>
    <col min="15080" max="15080" width="6.375" style="6" customWidth="1"/>
    <col min="15081" max="15081" width="34.25" style="6" customWidth="1"/>
    <col min="15082" max="15082" width="7.375" style="6" customWidth="1"/>
    <col min="15083" max="15083" width="6.375" style="6" customWidth="1"/>
    <col min="15084" max="15084" width="13.125" style="6" customWidth="1"/>
    <col min="15085" max="15085" width="15.375" style="6" customWidth="1"/>
    <col min="15086" max="15086" width="21.25" style="6" customWidth="1"/>
    <col min="15087" max="15335" width="9.125" style="6" customWidth="1"/>
    <col min="15336" max="15336" width="6.375" style="6" customWidth="1"/>
    <col min="15337" max="15337" width="34.25" style="6" customWidth="1"/>
    <col min="15338" max="15338" width="7.375" style="6" customWidth="1"/>
    <col min="15339" max="15339" width="6.375" style="6" customWidth="1"/>
    <col min="15340" max="15340" width="13.125" style="6" customWidth="1"/>
    <col min="15341" max="15341" width="15.375" style="6" customWidth="1"/>
    <col min="15342" max="15342" width="21.25" style="6" customWidth="1"/>
    <col min="15343" max="15591" width="9.125" style="6" customWidth="1"/>
    <col min="15592" max="15592" width="6.375" style="6" customWidth="1"/>
    <col min="15593" max="15593" width="34.25" style="6" customWidth="1"/>
    <col min="15594" max="15594" width="7.375" style="6" customWidth="1"/>
    <col min="15595" max="15595" width="6.375" style="6" customWidth="1"/>
    <col min="15596" max="15596" width="13.125" style="6" customWidth="1"/>
    <col min="15597" max="15597" width="15.375" style="6" customWidth="1"/>
    <col min="15598" max="15598" width="21.25" style="6" customWidth="1"/>
    <col min="15599" max="15847" width="9.125" style="6" customWidth="1"/>
    <col min="15848" max="15848" width="6.375" style="6" customWidth="1"/>
    <col min="15849" max="15849" width="34.25" style="6" customWidth="1"/>
    <col min="15850" max="15850" width="7.375" style="6" customWidth="1"/>
    <col min="15851" max="15851" width="6.375" style="6" customWidth="1"/>
    <col min="15852" max="15852" width="13.125" style="6" customWidth="1"/>
    <col min="15853" max="15853" width="15.375" style="6" customWidth="1"/>
    <col min="15854" max="15854" width="21.25" style="6" customWidth="1"/>
    <col min="15855" max="16103" width="9.125" style="6" customWidth="1"/>
    <col min="16104" max="16104" width="6.375" style="6" customWidth="1"/>
    <col min="16105" max="16105" width="34.25" style="6" customWidth="1"/>
    <col min="16106" max="16106" width="7.375" style="6" customWidth="1"/>
    <col min="16107" max="16107" width="6.375" style="6" customWidth="1"/>
    <col min="16108" max="16108" width="13.125" style="6" customWidth="1"/>
    <col min="16109" max="16109" width="15.375" style="6" customWidth="1"/>
    <col min="16110" max="16110" width="21.25" style="6" customWidth="1"/>
    <col min="16111" max="16384" width="9.125" style="6" customWidth="1"/>
  </cols>
  <sheetData>
    <row r="1" spans="1:13" ht="48" customHeight="1"/>
    <row r="2" spans="1:13" s="1" customFormat="1" ht="51" customHeight="1">
      <c r="A2" s="10" t="s">
        <v>507</v>
      </c>
      <c r="B2" s="11"/>
      <c r="C2" s="12"/>
      <c r="D2" s="11"/>
      <c r="E2" s="14"/>
      <c r="F2" s="86"/>
      <c r="G2" s="14"/>
      <c r="H2" s="14"/>
      <c r="I2" s="15"/>
      <c r="J2" s="15"/>
      <c r="K2" s="15"/>
      <c r="L2" s="15"/>
    </row>
    <row r="3" spans="1:13" ht="26.25" customHeight="1">
      <c r="A3" s="16"/>
      <c r="B3" s="17" t="s">
        <v>440</v>
      </c>
      <c r="C3" s="213"/>
      <c r="D3" s="217"/>
      <c r="E3" s="214"/>
      <c r="F3" s="218"/>
      <c r="G3" s="214"/>
      <c r="H3" s="214"/>
      <c r="I3" s="220"/>
      <c r="J3" s="220"/>
      <c r="K3" s="220"/>
      <c r="L3" s="220"/>
    </row>
    <row r="4" spans="1:13" ht="26.25" customHeight="1">
      <c r="A4" s="18"/>
      <c r="B4" s="5" t="s">
        <v>441</v>
      </c>
      <c r="C4" s="222"/>
      <c r="D4" s="217"/>
      <c r="E4" s="214"/>
      <c r="F4" s="218"/>
      <c r="G4" s="214"/>
      <c r="H4" s="214"/>
      <c r="I4" s="220"/>
      <c r="J4" s="220"/>
      <c r="K4" s="220"/>
      <c r="L4" s="220"/>
    </row>
    <row r="5" spans="1:13" ht="26.25" customHeight="1">
      <c r="A5" s="18"/>
      <c r="B5" s="5" t="s">
        <v>442</v>
      </c>
      <c r="C5" s="216"/>
      <c r="D5" s="217"/>
      <c r="E5" s="214"/>
      <c r="F5" s="218"/>
      <c r="G5" s="214"/>
      <c r="H5" s="214"/>
      <c r="I5" s="220"/>
      <c r="J5" s="220"/>
      <c r="K5" s="220"/>
      <c r="L5" s="220"/>
    </row>
    <row r="6" spans="1:13" ht="26.25" customHeight="1">
      <c r="A6" s="18"/>
      <c r="B6" s="5" t="s">
        <v>443</v>
      </c>
      <c r="C6" s="213" t="str">
        <f>INDEX(總表!$B$9:$B$47,MATCH('14A'!A9,總表!$A$9:$A$48,0))</f>
        <v>Nhà ăn
食堂</v>
      </c>
      <c r="D6" s="217"/>
      <c r="E6" s="214"/>
      <c r="F6" s="218"/>
      <c r="G6" s="214"/>
      <c r="H6" s="214"/>
      <c r="I6" s="220"/>
      <c r="J6" s="220"/>
      <c r="K6" s="220"/>
      <c r="L6" s="220"/>
    </row>
    <row r="7" spans="1:13" ht="26.25" customHeight="1">
      <c r="A7" s="18"/>
      <c r="B7" s="5" t="s">
        <v>444</v>
      </c>
      <c r="C7" s="223" t="s">
        <v>445</v>
      </c>
      <c r="D7" s="224"/>
      <c r="E7" s="224"/>
      <c r="F7" s="224"/>
      <c r="G7" s="224"/>
      <c r="H7" s="224"/>
      <c r="I7" s="224"/>
      <c r="J7" s="224"/>
      <c r="K7" s="224"/>
      <c r="L7" s="224"/>
    </row>
    <row r="8" spans="1:13" s="2" customFormat="1" ht="41.25" customHeight="1">
      <c r="A8" s="19" t="s">
        <v>446</v>
      </c>
      <c r="B8" s="19" t="s">
        <v>508</v>
      </c>
      <c r="C8" s="19" t="s">
        <v>509</v>
      </c>
      <c r="D8" s="19" t="s">
        <v>448</v>
      </c>
      <c r="E8" s="19" t="s">
        <v>449</v>
      </c>
      <c r="F8" s="84" t="s">
        <v>510</v>
      </c>
      <c r="G8" s="19" t="s">
        <v>511</v>
      </c>
      <c r="H8" s="19" t="s">
        <v>512</v>
      </c>
      <c r="I8" s="21" t="s">
        <v>450</v>
      </c>
      <c r="J8" s="21" t="s">
        <v>452</v>
      </c>
      <c r="K8" s="84" t="s">
        <v>513</v>
      </c>
      <c r="L8" s="21" t="s">
        <v>514</v>
      </c>
    </row>
    <row r="9" spans="1:13" s="3" customFormat="1" ht="25.5" customHeight="1">
      <c r="A9" s="22" t="s">
        <v>471</v>
      </c>
      <c r="B9" s="23" t="str">
        <f>C6</f>
        <v>Nhà ăn
食堂</v>
      </c>
      <c r="C9" s="23" t="s">
        <v>515</v>
      </c>
      <c r="D9" s="22"/>
      <c r="E9" s="25"/>
      <c r="F9" s="25"/>
      <c r="G9" s="25">
        <f>_xlfn.XLOOKUP(B9, Rate_Master!$A:$A, Rate_Master!$C:$C, "")</f>
        <v>0</v>
      </c>
      <c r="H9" s="25">
        <f>_xlfn.XLOOKUP(B9, Rate_Master!$A:$A, Rate_Master!$D:$D, "")</f>
        <v>0</v>
      </c>
      <c r="I9" s="26"/>
      <c r="J9" s="26">
        <f>SUBTOTAL(9,J10:J180)</f>
        <v>30179795221.327087</v>
      </c>
      <c r="K9" s="26">
        <f>SUBTOTAL(9,K10:K180)</f>
        <v>29821143288.72583</v>
      </c>
      <c r="L9" s="26"/>
      <c r="M9" s="103"/>
    </row>
    <row r="10" spans="1:13" s="3" customFormat="1" ht="25.5" customHeight="1">
      <c r="A10" s="22" t="str">
        <f>$A$9&amp;".C"</f>
        <v>14A.C</v>
      </c>
      <c r="B10" s="23" t="s">
        <v>1</v>
      </c>
      <c r="C10" s="23" t="s">
        <v>515</v>
      </c>
      <c r="D10" s="22"/>
      <c r="E10" s="25"/>
      <c r="F10" s="25"/>
      <c r="G10" s="25">
        <f>_xlfn.XLOOKUP(B10, Rate_Master!$A:$A, Rate_Master!$C:$C, "")</f>
        <v>0</v>
      </c>
      <c r="H10" s="25">
        <f>_xlfn.XLOOKUP(B10, Rate_Master!$A:$A, Rate_Master!$D:$D, "")</f>
        <v>0</v>
      </c>
      <c r="I10" s="26"/>
      <c r="J10" s="26"/>
      <c r="K10" s="26"/>
      <c r="L10" s="26"/>
    </row>
    <row r="11" spans="1:13" s="3" customFormat="1" ht="25.5" customHeight="1">
      <c r="A11" s="22" t="str">
        <f>$A$10&amp;1</f>
        <v>14A.C1</v>
      </c>
      <c r="B11" s="23" t="s">
        <v>2</v>
      </c>
      <c r="C11" s="23" t="s">
        <v>515</v>
      </c>
      <c r="D11" s="22"/>
      <c r="E11" s="25"/>
      <c r="F11" s="25"/>
      <c r="G11" s="25">
        <f>_xlfn.XLOOKUP(B11, Rate_Master!$A:$A, Rate_Master!$C:$C, "")</f>
        <v>0</v>
      </c>
      <c r="H11" s="25">
        <f>_xlfn.XLOOKUP(B11, Rate_Master!$A:$A, Rate_Master!$D:$D, "")</f>
        <v>0</v>
      </c>
      <c r="I11" s="26"/>
      <c r="J11" s="26">
        <f>SUBTOTAL(9,J12:J22)</f>
        <v>1657674399.9999998</v>
      </c>
      <c r="K11" s="26">
        <f>SUBTOTAL(9,K12:K22)</f>
        <v>1657674399.9999998</v>
      </c>
      <c r="L11" s="26"/>
    </row>
    <row r="12" spans="1:13" s="4" customFormat="1" ht="25.5" customHeight="1" outlineLevel="1">
      <c r="A12" s="27" t="str">
        <f t="shared" ref="A12:A22" si="0">$A$11&amp;"."&amp;ROW()-ROW($A$11)</f>
        <v>14A.C1.1</v>
      </c>
      <c r="B12" s="28" t="s">
        <v>3</v>
      </c>
      <c r="C12" s="28" t="s">
        <v>515</v>
      </c>
      <c r="D12" s="29" t="s">
        <v>516</v>
      </c>
      <c r="E12" s="31">
        <v>1</v>
      </c>
      <c r="F12" s="31">
        <v>1</v>
      </c>
      <c r="G12" s="31">
        <f>_xlfn.XLOOKUP(B12, Rate_Master!$A:$A, Rate_Master!$C:$C, "")</f>
        <v>0</v>
      </c>
      <c r="H12" s="31">
        <f>_xlfn.XLOOKUP(B12, Rate_Master!$A:$A, Rate_Master!$D:$D, "")</f>
        <v>114999999.99999999</v>
      </c>
      <c r="I12" s="66">
        <f t="shared" ref="I12:I22" si="1">+H12+G12</f>
        <v>114999999.99999999</v>
      </c>
      <c r="J12" s="32">
        <f t="shared" ref="J12:J22" si="2">I12*E12</f>
        <v>114999999.99999999</v>
      </c>
      <c r="K12" s="32">
        <f t="shared" ref="K12:K22" si="3">I12*F12</f>
        <v>114999999.99999999</v>
      </c>
      <c r="L12" s="32"/>
    </row>
    <row r="13" spans="1:13" s="4" customFormat="1" ht="25.5" customHeight="1" outlineLevel="1">
      <c r="A13" s="27" t="str">
        <f t="shared" si="0"/>
        <v>14A.C1.2</v>
      </c>
      <c r="B13" s="28" t="s">
        <v>4</v>
      </c>
      <c r="C13" s="28" t="s">
        <v>515</v>
      </c>
      <c r="D13" s="29" t="s">
        <v>517</v>
      </c>
      <c r="E13" s="31">
        <v>72</v>
      </c>
      <c r="F13" s="31">
        <v>72</v>
      </c>
      <c r="G13" s="31">
        <f>_xlfn.XLOOKUP(B13, Rate_Master!$A:$A, Rate_Master!$C:$C, "")</f>
        <v>425499.99999999994</v>
      </c>
      <c r="H13" s="31">
        <f>_xlfn.XLOOKUP(B13, Rate_Master!$A:$A, Rate_Master!$D:$D, "")</f>
        <v>0</v>
      </c>
      <c r="I13" s="66">
        <f t="shared" si="1"/>
        <v>425499.99999999994</v>
      </c>
      <c r="J13" s="32">
        <f t="shared" si="2"/>
        <v>30635999.999999996</v>
      </c>
      <c r="K13" s="32">
        <f t="shared" si="3"/>
        <v>30635999.999999996</v>
      </c>
      <c r="L13" s="32"/>
    </row>
    <row r="14" spans="1:13" s="4" customFormat="1" ht="25.5" customHeight="1" outlineLevel="1">
      <c r="A14" s="27" t="str">
        <f t="shared" si="0"/>
        <v>14A.C1.3</v>
      </c>
      <c r="B14" s="28" t="s">
        <v>5</v>
      </c>
      <c r="C14" s="28" t="s">
        <v>515</v>
      </c>
      <c r="D14" s="29" t="s">
        <v>517</v>
      </c>
      <c r="E14" s="31">
        <v>66</v>
      </c>
      <c r="F14" s="31">
        <v>66</v>
      </c>
      <c r="G14" s="31">
        <f>_xlfn.XLOOKUP(B14, Rate_Master!$A:$A, Rate_Master!$C:$C, "")</f>
        <v>0</v>
      </c>
      <c r="H14" s="31">
        <f>_xlfn.XLOOKUP(B14, Rate_Master!$A:$A, Rate_Master!$D:$D, "")</f>
        <v>69000</v>
      </c>
      <c r="I14" s="66">
        <f t="shared" si="1"/>
        <v>69000</v>
      </c>
      <c r="J14" s="32">
        <f t="shared" si="2"/>
        <v>4554000</v>
      </c>
      <c r="K14" s="32">
        <f t="shared" si="3"/>
        <v>4554000</v>
      </c>
      <c r="L14" s="32"/>
    </row>
    <row r="15" spans="1:13" s="4" customFormat="1" ht="25.5" customHeight="1" outlineLevel="1">
      <c r="A15" s="27" t="str">
        <f t="shared" si="0"/>
        <v>14A.C1.4</v>
      </c>
      <c r="B15" s="28" t="s">
        <v>6</v>
      </c>
      <c r="C15" s="28" t="s">
        <v>515</v>
      </c>
      <c r="D15" s="29" t="s">
        <v>517</v>
      </c>
      <c r="E15" s="31">
        <v>69</v>
      </c>
      <c r="F15" s="31">
        <v>69</v>
      </c>
      <c r="G15" s="31">
        <f>_xlfn.XLOOKUP(B15, Rate_Master!$A:$A, Rate_Master!$C:$C, "")</f>
        <v>0</v>
      </c>
      <c r="H15" s="31">
        <f>_xlfn.XLOOKUP(B15, Rate_Master!$A:$A, Rate_Master!$D:$D, "")</f>
        <v>57499.999999999993</v>
      </c>
      <c r="I15" s="66">
        <f t="shared" si="1"/>
        <v>57499.999999999993</v>
      </c>
      <c r="J15" s="32">
        <f t="shared" si="2"/>
        <v>3967499.9999999995</v>
      </c>
      <c r="K15" s="32">
        <f t="shared" si="3"/>
        <v>3967499.9999999995</v>
      </c>
      <c r="L15" s="32"/>
    </row>
    <row r="16" spans="1:13" s="4" customFormat="1" ht="102" customHeight="1" outlineLevel="1">
      <c r="A16" s="27" t="str">
        <f t="shared" si="0"/>
        <v>14A.C1.5</v>
      </c>
      <c r="B16" s="28" t="s">
        <v>7</v>
      </c>
      <c r="C16" s="28" t="s">
        <v>515</v>
      </c>
      <c r="D16" s="29" t="s">
        <v>518</v>
      </c>
      <c r="E16" s="31">
        <v>3</v>
      </c>
      <c r="F16" s="31">
        <v>3</v>
      </c>
      <c r="G16" s="31">
        <f>_xlfn.XLOOKUP(B16, Rate_Master!$A:$A, Rate_Master!$C:$C, "")</f>
        <v>0</v>
      </c>
      <c r="H16" s="31">
        <f>_xlfn.XLOOKUP(B16, Rate_Master!$A:$A, Rate_Master!$D:$D, "")</f>
        <v>13799999.999999998</v>
      </c>
      <c r="I16" s="66">
        <f t="shared" si="1"/>
        <v>13799999.999999998</v>
      </c>
      <c r="J16" s="32">
        <f t="shared" si="2"/>
        <v>41399999.999999993</v>
      </c>
      <c r="K16" s="32">
        <f t="shared" si="3"/>
        <v>41399999.999999993</v>
      </c>
      <c r="L16" s="32"/>
    </row>
    <row r="17" spans="1:12" s="4" customFormat="1" ht="25.5" customHeight="1" outlineLevel="1">
      <c r="A17" s="27" t="str">
        <f t="shared" si="0"/>
        <v>14A.C1.6</v>
      </c>
      <c r="B17" s="28" t="s">
        <v>8</v>
      </c>
      <c r="C17" s="28" t="s">
        <v>515</v>
      </c>
      <c r="D17" s="29" t="s">
        <v>518</v>
      </c>
      <c r="E17" s="31">
        <v>25</v>
      </c>
      <c r="F17" s="31">
        <v>25</v>
      </c>
      <c r="G17" s="31">
        <f>_xlfn.XLOOKUP(B17, Rate_Master!$A:$A, Rate_Master!$C:$C, "")</f>
        <v>0</v>
      </c>
      <c r="H17" s="31">
        <f>_xlfn.XLOOKUP(B17, Rate_Master!$A:$A, Rate_Master!$D:$D, "")</f>
        <v>252999.99999999997</v>
      </c>
      <c r="I17" s="66">
        <f t="shared" si="1"/>
        <v>252999.99999999997</v>
      </c>
      <c r="J17" s="32">
        <f t="shared" si="2"/>
        <v>6324999.9999999991</v>
      </c>
      <c r="K17" s="32">
        <f t="shared" si="3"/>
        <v>6324999.9999999991</v>
      </c>
      <c r="L17" s="32"/>
    </row>
    <row r="18" spans="1:12" s="4" customFormat="1" ht="25.5" customHeight="1" outlineLevel="1">
      <c r="A18" s="27" t="str">
        <f t="shared" si="0"/>
        <v>14A.C1.7</v>
      </c>
      <c r="B18" s="28" t="s">
        <v>9</v>
      </c>
      <c r="C18" s="28" t="s">
        <v>515</v>
      </c>
      <c r="D18" s="29" t="s">
        <v>517</v>
      </c>
      <c r="E18" s="31">
        <v>2596</v>
      </c>
      <c r="F18" s="31">
        <v>2596</v>
      </c>
      <c r="G18" s="31">
        <f>_xlfn.XLOOKUP(B18, Rate_Master!$A:$A, Rate_Master!$C:$C, "")</f>
        <v>402499.99999999994</v>
      </c>
      <c r="H18" s="31">
        <f>_xlfn.XLOOKUP(B18, Rate_Master!$A:$A, Rate_Master!$D:$D, "")</f>
        <v>0</v>
      </c>
      <c r="I18" s="66">
        <f t="shared" si="1"/>
        <v>402499.99999999994</v>
      </c>
      <c r="J18" s="32">
        <f t="shared" si="2"/>
        <v>1044889999.9999999</v>
      </c>
      <c r="K18" s="32">
        <f t="shared" si="3"/>
        <v>1044889999.9999999</v>
      </c>
      <c r="L18" s="32"/>
    </row>
    <row r="19" spans="1:12" s="4" customFormat="1" ht="25.5" customHeight="1" outlineLevel="1">
      <c r="A19" s="27" t="str">
        <f t="shared" si="0"/>
        <v>14A.C1.8</v>
      </c>
      <c r="B19" s="28" t="s">
        <v>10</v>
      </c>
      <c r="C19" s="28" t="s">
        <v>515</v>
      </c>
      <c r="D19" s="29" t="s">
        <v>518</v>
      </c>
      <c r="E19" s="31">
        <v>121</v>
      </c>
      <c r="F19" s="31">
        <v>121</v>
      </c>
      <c r="G19" s="31">
        <f>_xlfn.XLOOKUP(B19, Rate_Master!$A:$A, Rate_Master!$C:$C, "")</f>
        <v>80500</v>
      </c>
      <c r="H19" s="31">
        <f>_xlfn.XLOOKUP(B19, Rate_Master!$A:$A, Rate_Master!$D:$D, "")</f>
        <v>0</v>
      </c>
      <c r="I19" s="66">
        <f t="shared" si="1"/>
        <v>80500</v>
      </c>
      <c r="J19" s="32">
        <f t="shared" si="2"/>
        <v>9740500</v>
      </c>
      <c r="K19" s="32">
        <f t="shared" si="3"/>
        <v>9740500</v>
      </c>
      <c r="L19" s="32"/>
    </row>
    <row r="20" spans="1:12" s="4" customFormat="1" ht="25.5" customHeight="1" outlineLevel="1">
      <c r="A20" s="27" t="str">
        <f t="shared" si="0"/>
        <v>14A.C1.9</v>
      </c>
      <c r="B20" s="28" t="s">
        <v>11</v>
      </c>
      <c r="C20" s="28" t="s">
        <v>515</v>
      </c>
      <c r="D20" s="29" t="s">
        <v>517</v>
      </c>
      <c r="E20" s="31">
        <v>2501.6</v>
      </c>
      <c r="F20" s="31">
        <v>2501.6</v>
      </c>
      <c r="G20" s="31">
        <f>_xlfn.XLOOKUP(B20, Rate_Master!$A:$A, Rate_Master!$C:$C, "")</f>
        <v>0</v>
      </c>
      <c r="H20" s="31">
        <f>_xlfn.XLOOKUP(B20, Rate_Master!$A:$A, Rate_Master!$D:$D, "")</f>
        <v>69000</v>
      </c>
      <c r="I20" s="66">
        <f t="shared" si="1"/>
        <v>69000</v>
      </c>
      <c r="J20" s="32">
        <f t="shared" si="2"/>
        <v>172610400</v>
      </c>
      <c r="K20" s="32">
        <f t="shared" si="3"/>
        <v>172610400</v>
      </c>
      <c r="L20" s="32"/>
    </row>
    <row r="21" spans="1:12" s="4" customFormat="1" ht="25.5" customHeight="1" outlineLevel="1">
      <c r="A21" s="27" t="str">
        <f t="shared" si="0"/>
        <v>14A.C1.10</v>
      </c>
      <c r="B21" s="28" t="s">
        <v>12</v>
      </c>
      <c r="C21" s="28" t="s">
        <v>515</v>
      </c>
      <c r="D21" s="29" t="s">
        <v>517</v>
      </c>
      <c r="E21" s="31">
        <v>2619.6</v>
      </c>
      <c r="F21" s="31">
        <v>2619.6</v>
      </c>
      <c r="G21" s="31">
        <f>_xlfn.XLOOKUP(B21, Rate_Master!$A:$A, Rate_Master!$C:$C, "")</f>
        <v>0</v>
      </c>
      <c r="H21" s="31">
        <f>_xlfn.XLOOKUP(B21, Rate_Master!$A:$A, Rate_Master!$D:$D, "")</f>
        <v>57499.999999999993</v>
      </c>
      <c r="I21" s="66">
        <f t="shared" si="1"/>
        <v>57499.999999999993</v>
      </c>
      <c r="J21" s="32">
        <f t="shared" si="2"/>
        <v>150626999.99999997</v>
      </c>
      <c r="K21" s="32">
        <f t="shared" si="3"/>
        <v>150626999.99999997</v>
      </c>
      <c r="L21" s="32"/>
    </row>
    <row r="22" spans="1:12" s="4" customFormat="1" ht="63.75" customHeight="1" outlineLevel="1">
      <c r="A22" s="27" t="str">
        <f t="shared" si="0"/>
        <v>14A.C1.11</v>
      </c>
      <c r="B22" s="28" t="s">
        <v>13</v>
      </c>
      <c r="C22" s="28" t="s">
        <v>515</v>
      </c>
      <c r="D22" s="29" t="s">
        <v>518</v>
      </c>
      <c r="E22" s="31">
        <v>121</v>
      </c>
      <c r="F22" s="31">
        <v>121</v>
      </c>
      <c r="G22" s="31">
        <f>_xlfn.XLOOKUP(B22, Rate_Master!$A:$A, Rate_Master!$C:$C, "")</f>
        <v>482999.99999999994</v>
      </c>
      <c r="H22" s="31">
        <f>_xlfn.XLOOKUP(B22, Rate_Master!$A:$A, Rate_Master!$D:$D, "")</f>
        <v>161000</v>
      </c>
      <c r="I22" s="66">
        <f t="shared" si="1"/>
        <v>644000</v>
      </c>
      <c r="J22" s="32">
        <f t="shared" si="2"/>
        <v>77924000</v>
      </c>
      <c r="K22" s="32">
        <f t="shared" si="3"/>
        <v>77924000</v>
      </c>
      <c r="L22" s="32"/>
    </row>
    <row r="23" spans="1:12" s="3" customFormat="1" ht="25.5" customHeight="1">
      <c r="A23" s="22" t="str">
        <f>$A$10&amp;2</f>
        <v>14A.C2</v>
      </c>
      <c r="B23" s="23" t="s">
        <v>14</v>
      </c>
      <c r="C23" s="23" t="s">
        <v>515</v>
      </c>
      <c r="D23" s="22"/>
      <c r="E23" s="25"/>
      <c r="F23" s="25"/>
      <c r="G23" s="25">
        <f>_xlfn.XLOOKUP(B23, Rate_Master!$A:$A, Rate_Master!$C:$C, "")</f>
        <v>0</v>
      </c>
      <c r="H23" s="25">
        <f>_xlfn.XLOOKUP(B23, Rate_Master!$A:$A, Rate_Master!$D:$D, "")</f>
        <v>0</v>
      </c>
      <c r="I23" s="26"/>
      <c r="J23" s="26">
        <f>SUBTOTAL(9,J24:J31)</f>
        <v>430415431.19999999</v>
      </c>
      <c r="K23" s="26">
        <f>SUBTOTAL(9,K24:K31)</f>
        <v>430415431.19999999</v>
      </c>
      <c r="L23" s="26"/>
    </row>
    <row r="24" spans="1:12" s="4" customFormat="1" ht="25.5" customHeight="1" outlineLevel="1">
      <c r="A24" s="27" t="str">
        <f t="shared" ref="A24:A31" si="4">$A$23&amp;"."&amp;ROW()-ROW($A$23)</f>
        <v>14A.C2.1</v>
      </c>
      <c r="B24" s="28" t="s">
        <v>15</v>
      </c>
      <c r="C24" s="28" t="s">
        <v>515</v>
      </c>
      <c r="D24" s="29" t="s">
        <v>519</v>
      </c>
      <c r="E24" s="31">
        <v>388.79700000000003</v>
      </c>
      <c r="F24" s="31">
        <v>388.79700000000003</v>
      </c>
      <c r="G24" s="31">
        <f>_xlfn.XLOOKUP(B24, Rate_Master!$A:$A, Rate_Master!$C:$C, "")</f>
        <v>0</v>
      </c>
      <c r="H24" s="31">
        <f>_xlfn.XLOOKUP(B24, Rate_Master!$A:$A, Rate_Master!$D:$D, "")</f>
        <v>32199.999999999996</v>
      </c>
      <c r="I24" s="66">
        <f t="shared" ref="I24:I31" si="5">+H24+G24</f>
        <v>32199.999999999996</v>
      </c>
      <c r="J24" s="32">
        <f t="shared" ref="J24:J31" si="6">I24*E24</f>
        <v>12519263.399999999</v>
      </c>
      <c r="K24" s="32">
        <f t="shared" ref="K24:K31" si="7">I24*F24</f>
        <v>12519263.399999999</v>
      </c>
      <c r="L24" s="32"/>
    </row>
    <row r="25" spans="1:12" s="4" customFormat="1" ht="25.5" customHeight="1" outlineLevel="1">
      <c r="A25" s="27" t="str">
        <f t="shared" si="4"/>
        <v>14A.C2.2</v>
      </c>
      <c r="B25" s="28" t="s">
        <v>16</v>
      </c>
      <c r="C25" s="28" t="s">
        <v>515</v>
      </c>
      <c r="D25" s="29" t="s">
        <v>520</v>
      </c>
      <c r="E25" s="31">
        <v>564.13800000000003</v>
      </c>
      <c r="F25" s="31">
        <v>564.13800000000003</v>
      </c>
      <c r="G25" s="31">
        <f>_xlfn.XLOOKUP(B25, Rate_Master!$A:$A, Rate_Master!$C:$C, "")</f>
        <v>0</v>
      </c>
      <c r="H25" s="31">
        <f>_xlfn.XLOOKUP(B25, Rate_Master!$A:$A, Rate_Master!$D:$D, "")</f>
        <v>17250</v>
      </c>
      <c r="I25" s="66">
        <f t="shared" si="5"/>
        <v>17250</v>
      </c>
      <c r="J25" s="32">
        <f t="shared" si="6"/>
        <v>9731380.5</v>
      </c>
      <c r="K25" s="32">
        <f t="shared" si="7"/>
        <v>9731380.5</v>
      </c>
      <c r="L25" s="32"/>
    </row>
    <row r="26" spans="1:12" s="4" customFormat="1" ht="25.5" customHeight="1" outlineLevel="1">
      <c r="A26" s="27" t="str">
        <f t="shared" si="4"/>
        <v>14A.C2.3</v>
      </c>
      <c r="B26" s="28" t="s">
        <v>17</v>
      </c>
      <c r="C26" s="28" t="s">
        <v>515</v>
      </c>
      <c r="D26" s="29" t="s">
        <v>519</v>
      </c>
      <c r="E26" s="31">
        <v>253.589</v>
      </c>
      <c r="F26" s="31">
        <v>253.589</v>
      </c>
      <c r="G26" s="31">
        <f>_xlfn.XLOOKUP(B26, Rate_Master!$A:$A, Rate_Master!$C:$C, "")</f>
        <v>0</v>
      </c>
      <c r="H26" s="31">
        <f>_xlfn.XLOOKUP(B26, Rate_Master!$A:$A, Rate_Master!$D:$D, "")</f>
        <v>37950</v>
      </c>
      <c r="I26" s="66">
        <f t="shared" si="5"/>
        <v>37950</v>
      </c>
      <c r="J26" s="32">
        <f t="shared" si="6"/>
        <v>9623702.5500000007</v>
      </c>
      <c r="K26" s="32">
        <f t="shared" si="7"/>
        <v>9623702.5500000007</v>
      </c>
      <c r="L26" s="32"/>
    </row>
    <row r="27" spans="1:12" s="4" customFormat="1" ht="25.5" customHeight="1" outlineLevel="1">
      <c r="A27" s="27" t="str">
        <f t="shared" si="4"/>
        <v>14A.C2.4</v>
      </c>
      <c r="B27" s="34" t="s">
        <v>18</v>
      </c>
      <c r="C27" s="34" t="s">
        <v>521</v>
      </c>
      <c r="D27" s="29" t="s">
        <v>519</v>
      </c>
      <c r="E27" s="31">
        <v>135.20699999999999</v>
      </c>
      <c r="F27" s="31">
        <v>135.20699999999999</v>
      </c>
      <c r="G27" s="31">
        <f>_xlfn.XLOOKUP(B27, Rate_Master!$A:$A, Rate_Master!$C:$C, "")</f>
        <v>0</v>
      </c>
      <c r="H27" s="31">
        <f>_xlfn.XLOOKUP(B27, Rate_Master!$A:$A, Rate_Master!$D:$D, "")</f>
        <v>32199.999999999996</v>
      </c>
      <c r="I27" s="66">
        <f t="shared" si="5"/>
        <v>32199.999999999996</v>
      </c>
      <c r="J27" s="32">
        <f t="shared" si="6"/>
        <v>4353665.3999999994</v>
      </c>
      <c r="K27" s="32">
        <f t="shared" si="7"/>
        <v>4353665.3999999994</v>
      </c>
      <c r="L27" s="32"/>
    </row>
    <row r="28" spans="1:12" s="4" customFormat="1" ht="25.5" customHeight="1" outlineLevel="1">
      <c r="A28" s="27" t="str">
        <f t="shared" si="4"/>
        <v>14A.C2.5</v>
      </c>
      <c r="B28" s="28" t="s">
        <v>19</v>
      </c>
      <c r="C28" s="28" t="s">
        <v>515</v>
      </c>
      <c r="D28" s="29" t="s">
        <v>520</v>
      </c>
      <c r="E28" s="31">
        <v>564.13800000000003</v>
      </c>
      <c r="F28" s="31">
        <v>564.13800000000003</v>
      </c>
      <c r="G28" s="31">
        <f>_xlfn.XLOOKUP(B28, Rate_Master!$A:$A, Rate_Master!$C:$C, "")</f>
        <v>6899.9999999999991</v>
      </c>
      <c r="H28" s="31">
        <f>_xlfn.XLOOKUP(B28, Rate_Master!$A:$A, Rate_Master!$D:$D, "")</f>
        <v>1724.9999999999998</v>
      </c>
      <c r="I28" s="66">
        <f t="shared" si="5"/>
        <v>8624.9999999999982</v>
      </c>
      <c r="J28" s="32">
        <f t="shared" si="6"/>
        <v>4865690.2499999991</v>
      </c>
      <c r="K28" s="32">
        <f t="shared" si="7"/>
        <v>4865690.2499999991</v>
      </c>
      <c r="L28" s="32"/>
    </row>
    <row r="29" spans="1:12" s="4" customFormat="1" ht="38.25" customHeight="1" outlineLevel="1">
      <c r="A29" s="27" t="str">
        <f t="shared" si="4"/>
        <v>14A.C2.6</v>
      </c>
      <c r="B29" s="28" t="s">
        <v>20</v>
      </c>
      <c r="C29" s="28" t="s">
        <v>515</v>
      </c>
      <c r="D29" s="29" t="s">
        <v>520</v>
      </c>
      <c r="E29" s="31">
        <v>1385.3430000000001</v>
      </c>
      <c r="F29" s="31">
        <v>1385.3430000000001</v>
      </c>
      <c r="G29" s="31">
        <f>_xlfn.XLOOKUP(B29, Rate_Master!$A:$A, Rate_Master!$C:$C, "")</f>
        <v>34500</v>
      </c>
      <c r="H29" s="31">
        <f>_xlfn.XLOOKUP(B29, Rate_Master!$A:$A, Rate_Master!$D:$D, "")</f>
        <v>5750</v>
      </c>
      <c r="I29" s="66">
        <f t="shared" si="5"/>
        <v>40250</v>
      </c>
      <c r="J29" s="32">
        <f t="shared" si="6"/>
        <v>55760055.75</v>
      </c>
      <c r="K29" s="32">
        <f t="shared" si="7"/>
        <v>55760055.75</v>
      </c>
      <c r="L29" s="32"/>
    </row>
    <row r="30" spans="1:12" s="4" customFormat="1" ht="25.5" customHeight="1" outlineLevel="1">
      <c r="A30" s="27" t="str">
        <f t="shared" si="4"/>
        <v>14A.C2.7</v>
      </c>
      <c r="B30" s="34" t="s">
        <v>21</v>
      </c>
      <c r="C30" s="28" t="s">
        <v>515</v>
      </c>
      <c r="D30" s="29" t="s">
        <v>520</v>
      </c>
      <c r="E30" s="31">
        <v>1385.3430000000001</v>
      </c>
      <c r="F30" s="31">
        <v>1385.3430000000001</v>
      </c>
      <c r="G30" s="31">
        <f>_xlfn.XLOOKUP(B30, Rate_Master!$A:$A, Rate_Master!$C:$C, "")</f>
        <v>0</v>
      </c>
      <c r="H30" s="31">
        <f>_xlfn.XLOOKUP(B30, Rate_Master!$A:$A, Rate_Master!$D:$D, "")</f>
        <v>13799.999999999998</v>
      </c>
      <c r="I30" s="32">
        <f t="shared" si="5"/>
        <v>13799.999999999998</v>
      </c>
      <c r="J30" s="32">
        <f t="shared" si="6"/>
        <v>19117733.399999999</v>
      </c>
      <c r="K30" s="32">
        <f t="shared" si="7"/>
        <v>19117733.399999999</v>
      </c>
      <c r="L30" s="32"/>
    </row>
    <row r="31" spans="1:12" s="4" customFormat="1" ht="25.5" customHeight="1" outlineLevel="1">
      <c r="A31" s="27" t="str">
        <f t="shared" si="4"/>
        <v>14A.C2.8</v>
      </c>
      <c r="B31" s="28" t="s">
        <v>22</v>
      </c>
      <c r="C31" s="28" t="s">
        <v>515</v>
      </c>
      <c r="D31" s="29" t="s">
        <v>519</v>
      </c>
      <c r="E31" s="31">
        <v>510.60599999999999</v>
      </c>
      <c r="F31" s="31">
        <v>510.60599999999999</v>
      </c>
      <c r="G31" s="31">
        <f>_xlfn.XLOOKUP(B31, Rate_Master!$A:$A, Rate_Master!$C:$C, "")</f>
        <v>512325</v>
      </c>
      <c r="H31" s="31">
        <f>_xlfn.XLOOKUP(B31, Rate_Master!$A:$A, Rate_Master!$D:$D, "")</f>
        <v>103499.99999999999</v>
      </c>
      <c r="I31" s="66">
        <f t="shared" si="5"/>
        <v>615825</v>
      </c>
      <c r="J31" s="32">
        <f t="shared" si="6"/>
        <v>314443939.94999999</v>
      </c>
      <c r="K31" s="32">
        <f t="shared" si="7"/>
        <v>314443939.94999999</v>
      </c>
      <c r="L31" s="32"/>
    </row>
    <row r="32" spans="1:12" s="3" customFormat="1" ht="25.5" customHeight="1">
      <c r="A32" s="22" t="str">
        <f>$A$10&amp;3</f>
        <v>14A.C3</v>
      </c>
      <c r="B32" s="23" t="s">
        <v>23</v>
      </c>
      <c r="C32" s="23" t="s">
        <v>515</v>
      </c>
      <c r="D32" s="22"/>
      <c r="E32" s="25"/>
      <c r="F32" s="25"/>
      <c r="G32" s="25">
        <f>_xlfn.XLOOKUP(B32, Rate_Master!$A:$A, Rate_Master!$C:$C, "")</f>
        <v>0</v>
      </c>
      <c r="H32" s="25">
        <f>_xlfn.XLOOKUP(B32, Rate_Master!$A:$A, Rate_Master!$D:$D, "")</f>
        <v>0</v>
      </c>
      <c r="I32" s="26"/>
      <c r="J32" s="26">
        <f>SUBTOTAL(9,J33:J39)</f>
        <v>2481714229.8082409</v>
      </c>
      <c r="K32" s="26">
        <f>SUBTOTAL(9,K33:K39)</f>
        <v>2481714229.8082409</v>
      </c>
      <c r="L32" s="26"/>
    </row>
    <row r="33" spans="1:12" s="4" customFormat="1" ht="25.5" customHeight="1" outlineLevel="1">
      <c r="A33" s="27" t="str">
        <f t="shared" ref="A33:A39" si="8">$A$32&amp;"."&amp;ROW()-ROW($A$32)</f>
        <v>14A.C3.1</v>
      </c>
      <c r="B33" s="28" t="s">
        <v>24</v>
      </c>
      <c r="C33" s="28" t="s">
        <v>515</v>
      </c>
      <c r="D33" s="29" t="s">
        <v>519</v>
      </c>
      <c r="E33" s="31">
        <v>56.482999999999997</v>
      </c>
      <c r="F33" s="31">
        <v>56.482999999999997</v>
      </c>
      <c r="G33" s="30">
        <f>_xlfn.XLOOKUP(B33, Rate_Master!$A:$A, Rate_Master!$C:$C, "")</f>
        <v>1249762.5</v>
      </c>
      <c r="H33" s="30">
        <f>_xlfn.XLOOKUP(B33, Rate_Master!$A:$A, Rate_Master!$D:$D, "")</f>
        <v>206999.99999999997</v>
      </c>
      <c r="I33" s="66">
        <f t="shared" ref="I33:I39" si="9">+H33+G33</f>
        <v>1456762.5</v>
      </c>
      <c r="J33" s="32">
        <f t="shared" ref="J33:J39" si="10">I33*E33</f>
        <v>82282316.287499994</v>
      </c>
      <c r="K33" s="32">
        <f t="shared" ref="K33:K39" si="11">I33*F33</f>
        <v>82282316.287499994</v>
      </c>
      <c r="L33" s="32"/>
    </row>
    <row r="34" spans="1:12" s="4" customFormat="1" ht="51" customHeight="1" outlineLevel="1">
      <c r="A34" s="27" t="str">
        <f t="shared" si="8"/>
        <v>14A.C3.2</v>
      </c>
      <c r="B34" s="28" t="s">
        <v>25</v>
      </c>
      <c r="C34" s="28" t="s">
        <v>515</v>
      </c>
      <c r="D34" s="29" t="s">
        <v>519</v>
      </c>
      <c r="E34" s="31">
        <v>521.66</v>
      </c>
      <c r="F34" s="31">
        <v>521.66</v>
      </c>
      <c r="G34" s="30">
        <f>_xlfn.XLOOKUP(B34, Rate_Master!$A:$A, Rate_Master!$C:$C, "")</f>
        <v>1607444.4444444443</v>
      </c>
      <c r="H34" s="30">
        <f>_xlfn.XLOOKUP(B34, Rate_Master!$A:$A, Rate_Master!$D:$D, "")</f>
        <v>149500</v>
      </c>
      <c r="I34" s="66">
        <f t="shared" si="9"/>
        <v>1756944.4444444443</v>
      </c>
      <c r="J34" s="32">
        <f t="shared" si="10"/>
        <v>916527638.88888872</v>
      </c>
      <c r="K34" s="32">
        <f t="shared" si="11"/>
        <v>916527638.88888872</v>
      </c>
      <c r="L34" s="32"/>
    </row>
    <row r="35" spans="1:12" s="4" customFormat="1" ht="25.5" customHeight="1" outlineLevel="1">
      <c r="A35" s="27" t="str">
        <f t="shared" si="8"/>
        <v>14A.C3.3</v>
      </c>
      <c r="B35" s="28" t="s">
        <v>26</v>
      </c>
      <c r="C35" s="28" t="s">
        <v>515</v>
      </c>
      <c r="D35" s="29" t="s">
        <v>519</v>
      </c>
      <c r="E35" s="31">
        <v>22.411999999999999</v>
      </c>
      <c r="F35" s="31">
        <v>22.411999999999999</v>
      </c>
      <c r="G35" s="30">
        <f>_xlfn.XLOOKUP(B35, Rate_Master!$A:$A, Rate_Master!$C:$C, "")</f>
        <v>1520555.5555555553</v>
      </c>
      <c r="H35" s="30">
        <f>_xlfn.XLOOKUP(B35, Rate_Master!$A:$A, Rate_Master!$D:$D, "")</f>
        <v>252999.99999999997</v>
      </c>
      <c r="I35" s="66">
        <f t="shared" si="9"/>
        <v>1773555.5555555553</v>
      </c>
      <c r="J35" s="32">
        <f t="shared" si="10"/>
        <v>39748927.111111104</v>
      </c>
      <c r="K35" s="32">
        <f t="shared" si="11"/>
        <v>39748927.111111104</v>
      </c>
      <c r="L35" s="32"/>
    </row>
    <row r="36" spans="1:12" s="4" customFormat="1" ht="25.5" customHeight="1" outlineLevel="1">
      <c r="A36" s="27" t="str">
        <f t="shared" si="8"/>
        <v>14A.C3.4</v>
      </c>
      <c r="B36" s="28" t="s">
        <v>27</v>
      </c>
      <c r="C36" s="28" t="s">
        <v>515</v>
      </c>
      <c r="D36" s="29" t="s">
        <v>519</v>
      </c>
      <c r="E36" s="31">
        <v>561.49699999999996</v>
      </c>
      <c r="F36" s="31">
        <v>561.49699999999996</v>
      </c>
      <c r="G36" s="30">
        <f>_xlfn.XLOOKUP(B36, Rate_Master!$A:$A, Rate_Master!$C:$C, "")</f>
        <v>1520555.5555555553</v>
      </c>
      <c r="H36" s="30">
        <f>_xlfn.XLOOKUP(B36, Rate_Master!$A:$A, Rate_Master!$D:$D, "")</f>
        <v>149500</v>
      </c>
      <c r="I36" s="66">
        <f t="shared" si="9"/>
        <v>1670055.5555555553</v>
      </c>
      <c r="J36" s="32">
        <f t="shared" si="10"/>
        <v>937731184.27777755</v>
      </c>
      <c r="K36" s="32">
        <f t="shared" si="11"/>
        <v>937731184.27777755</v>
      </c>
      <c r="L36" s="32"/>
    </row>
    <row r="37" spans="1:12" s="4" customFormat="1" ht="25.5" customHeight="1" outlineLevel="1">
      <c r="A37" s="27" t="str">
        <f t="shared" si="8"/>
        <v>14A.C3.5</v>
      </c>
      <c r="B37" s="28" t="s">
        <v>28</v>
      </c>
      <c r="C37" s="28" t="s">
        <v>515</v>
      </c>
      <c r="D37" s="29" t="s">
        <v>519</v>
      </c>
      <c r="E37" s="31">
        <v>108.42384</v>
      </c>
      <c r="F37" s="31">
        <v>108.42384</v>
      </c>
      <c r="G37" s="30">
        <f>_xlfn.XLOOKUP(B37, Rate_Master!$A:$A, Rate_Master!$C:$C, "")</f>
        <v>1390222.2222222222</v>
      </c>
      <c r="H37" s="30">
        <f>_xlfn.XLOOKUP(B37, Rate_Master!$A:$A, Rate_Master!$D:$D, "")</f>
        <v>149500</v>
      </c>
      <c r="I37" s="66">
        <f t="shared" si="9"/>
        <v>1539722.2222222222</v>
      </c>
      <c r="J37" s="32">
        <f t="shared" si="10"/>
        <v>166942595.86666667</v>
      </c>
      <c r="K37" s="32">
        <f t="shared" si="11"/>
        <v>166942595.86666667</v>
      </c>
      <c r="L37" s="32"/>
    </row>
    <row r="38" spans="1:12" s="4" customFormat="1" ht="38.25" customHeight="1" outlineLevel="1">
      <c r="A38" s="27" t="str">
        <f t="shared" si="8"/>
        <v>14A.C3.6</v>
      </c>
      <c r="B38" s="28" t="s">
        <v>243</v>
      </c>
      <c r="C38" s="28" t="s">
        <v>515</v>
      </c>
      <c r="D38" s="29" t="s">
        <v>519</v>
      </c>
      <c r="E38" s="31">
        <v>110.08240000000001</v>
      </c>
      <c r="F38" s="31">
        <v>110.08240000000001</v>
      </c>
      <c r="G38" s="30">
        <f>_xlfn.XLOOKUP(B38, Rate_Master!$A:$A, Rate_Master!$C:$C, "")</f>
        <v>1403851.8518518517</v>
      </c>
      <c r="H38" s="30">
        <f>_xlfn.XLOOKUP(B38, Rate_Master!$A:$A, Rate_Master!$D:$D, "")</f>
        <v>149500</v>
      </c>
      <c r="I38" s="66">
        <f t="shared" si="9"/>
        <v>1553351.8518518517</v>
      </c>
      <c r="J38" s="32">
        <f t="shared" si="10"/>
        <v>170996699.89629629</v>
      </c>
      <c r="K38" s="32">
        <f t="shared" si="11"/>
        <v>170996699.89629629</v>
      </c>
      <c r="L38" s="32"/>
    </row>
    <row r="39" spans="1:12" s="4" customFormat="1" ht="38.25" customHeight="1" outlineLevel="1">
      <c r="A39" s="27" t="str">
        <f t="shared" si="8"/>
        <v>14A.C3.7</v>
      </c>
      <c r="B39" s="28" t="s">
        <v>30</v>
      </c>
      <c r="C39" s="28" t="s">
        <v>515</v>
      </c>
      <c r="D39" s="29" t="s">
        <v>519</v>
      </c>
      <c r="E39" s="31">
        <v>5.5041200000000003</v>
      </c>
      <c r="F39" s="31">
        <v>5.5041200000000003</v>
      </c>
      <c r="G39" s="30">
        <f>_xlfn.XLOOKUP(B39, Rate_Master!$A:$A, Rate_Master!$C:$C, "")</f>
        <v>22425000</v>
      </c>
      <c r="H39" s="30">
        <f>_xlfn.XLOOKUP(B39, Rate_Master!$A:$A, Rate_Master!$D:$D, "")</f>
        <v>8003999.9999999991</v>
      </c>
      <c r="I39" s="66">
        <f t="shared" si="9"/>
        <v>30429000</v>
      </c>
      <c r="J39" s="32">
        <f t="shared" si="10"/>
        <v>167484867.48000002</v>
      </c>
      <c r="K39" s="32">
        <f t="shared" si="11"/>
        <v>167484867.48000002</v>
      </c>
      <c r="L39" s="32"/>
    </row>
    <row r="40" spans="1:12" s="3" customFormat="1" ht="25.5" customHeight="1">
      <c r="A40" s="22" t="str">
        <f>$A$10&amp;4</f>
        <v>14A.C4</v>
      </c>
      <c r="B40" s="23" t="s">
        <v>31</v>
      </c>
      <c r="C40" s="23" t="s">
        <v>515</v>
      </c>
      <c r="D40" s="22"/>
      <c r="E40" s="25"/>
      <c r="F40" s="25"/>
      <c r="G40" s="25">
        <f>_xlfn.XLOOKUP(B40, Rate_Master!$A:$A, Rate_Master!$C:$C, "")</f>
        <v>0</v>
      </c>
      <c r="H40" s="25">
        <f>_xlfn.XLOOKUP(B40, Rate_Master!$A:$A, Rate_Master!$D:$D, "")</f>
        <v>0</v>
      </c>
      <c r="I40" s="26"/>
      <c r="J40" s="26">
        <f>SUBTOTAL(9,J41:J45)</f>
        <v>641452623.5</v>
      </c>
      <c r="K40" s="26">
        <f>SUBTOTAL(9,K41:K45)</f>
        <v>641452623.5</v>
      </c>
      <c r="L40" s="26"/>
    </row>
    <row r="41" spans="1:12" s="4" customFormat="1" ht="25.5" customHeight="1" outlineLevel="1">
      <c r="A41" s="27" t="str">
        <f>$A$40&amp;"."&amp;ROW()-ROW($A$40)</f>
        <v>14A.C4.1</v>
      </c>
      <c r="B41" s="28" t="s">
        <v>32</v>
      </c>
      <c r="C41" s="28" t="s">
        <v>515</v>
      </c>
      <c r="D41" s="29" t="s">
        <v>520</v>
      </c>
      <c r="E41" s="31">
        <v>191.59100000000001</v>
      </c>
      <c r="F41" s="31">
        <v>191.59100000000001</v>
      </c>
      <c r="G41" s="30">
        <f>_xlfn.XLOOKUP(B41, Rate_Master!$A:$A, Rate_Master!$C:$C, "")</f>
        <v>80500</v>
      </c>
      <c r="H41" s="30">
        <f>_xlfn.XLOOKUP(B41, Rate_Master!$A:$A, Rate_Master!$D:$D, "")</f>
        <v>92000</v>
      </c>
      <c r="I41" s="66">
        <f>+H41+G41</f>
        <v>172500</v>
      </c>
      <c r="J41" s="32">
        <f>I41*E41</f>
        <v>33049447.5</v>
      </c>
      <c r="K41" s="32">
        <f>I41*F41</f>
        <v>33049447.5</v>
      </c>
      <c r="L41" s="32"/>
    </row>
    <row r="42" spans="1:12" s="4" customFormat="1" ht="38.25" customHeight="1" outlineLevel="1">
      <c r="A42" s="27" t="str">
        <f>$A$40&amp;"."&amp;ROW()-ROW($A$40)</f>
        <v>14A.C4.2</v>
      </c>
      <c r="B42" s="28" t="s">
        <v>33</v>
      </c>
      <c r="C42" s="28" t="s">
        <v>515</v>
      </c>
      <c r="D42" s="29" t="s">
        <v>520</v>
      </c>
      <c r="E42" s="31">
        <v>998.09799999999996</v>
      </c>
      <c r="F42" s="31">
        <v>998.09799999999996</v>
      </c>
      <c r="G42" s="30">
        <f>_xlfn.XLOOKUP(B42, Rate_Master!$A:$A, Rate_Master!$C:$C, "")</f>
        <v>126499.99999999999</v>
      </c>
      <c r="H42" s="30">
        <f>_xlfn.XLOOKUP(B42, Rate_Master!$A:$A, Rate_Master!$D:$D, "")</f>
        <v>103499.99999999999</v>
      </c>
      <c r="I42" s="66">
        <f>+H42+G42</f>
        <v>229999.99999999997</v>
      </c>
      <c r="J42" s="32">
        <f>I42*E42</f>
        <v>229562539.99999997</v>
      </c>
      <c r="K42" s="32">
        <f>I42*F42</f>
        <v>229562539.99999997</v>
      </c>
      <c r="L42" s="32"/>
    </row>
    <row r="43" spans="1:12" s="4" customFormat="1" ht="25.5" customHeight="1" outlineLevel="1">
      <c r="A43" s="27" t="str">
        <f>$A$40&amp;"."&amp;ROW()-ROW($A$40)</f>
        <v>14A.C4.3</v>
      </c>
      <c r="B43" s="28" t="s">
        <v>34</v>
      </c>
      <c r="C43" s="28" t="s">
        <v>515</v>
      </c>
      <c r="D43" s="29" t="s">
        <v>520</v>
      </c>
      <c r="E43" s="31">
        <v>339.70499999999998</v>
      </c>
      <c r="F43" s="31">
        <v>339.70499999999998</v>
      </c>
      <c r="G43" s="30">
        <f>_xlfn.XLOOKUP(B43, Rate_Master!$A:$A, Rate_Master!$C:$C, "")</f>
        <v>126499.99999999999</v>
      </c>
      <c r="H43" s="30">
        <f>_xlfn.XLOOKUP(B43, Rate_Master!$A:$A, Rate_Master!$D:$D, "")</f>
        <v>149500</v>
      </c>
      <c r="I43" s="66">
        <f>+H43+G43</f>
        <v>276000</v>
      </c>
      <c r="J43" s="32">
        <f>I43*E43</f>
        <v>93758580</v>
      </c>
      <c r="K43" s="32">
        <f>I43*F43</f>
        <v>93758580</v>
      </c>
      <c r="L43" s="32"/>
    </row>
    <row r="44" spans="1:12" s="4" customFormat="1" ht="25.5" customHeight="1" outlineLevel="1">
      <c r="A44" s="27" t="str">
        <f>$A$40&amp;"."&amp;ROW()-ROW($A$40)</f>
        <v>14A.C4.4</v>
      </c>
      <c r="B44" s="28" t="s">
        <v>35</v>
      </c>
      <c r="C44" s="28" t="s">
        <v>515</v>
      </c>
      <c r="D44" s="29" t="s">
        <v>520</v>
      </c>
      <c r="E44" s="31">
        <v>1180.4639999999999</v>
      </c>
      <c r="F44" s="31">
        <v>1180.4639999999999</v>
      </c>
      <c r="G44" s="30">
        <f>_xlfn.XLOOKUP(B44, Rate_Master!$A:$A, Rate_Master!$C:$C, "")</f>
        <v>126499.99999999999</v>
      </c>
      <c r="H44" s="30">
        <f>_xlfn.XLOOKUP(B44, Rate_Master!$A:$A, Rate_Master!$D:$D, "")</f>
        <v>114999.99999999999</v>
      </c>
      <c r="I44" s="66">
        <f>+H44+G44</f>
        <v>241499.99999999997</v>
      </c>
      <c r="J44" s="32">
        <f>I44*E44</f>
        <v>285082055.99999994</v>
      </c>
      <c r="K44" s="32">
        <f>I44*F44</f>
        <v>285082055.99999994</v>
      </c>
      <c r="L44" s="32"/>
    </row>
    <row r="45" spans="1:12" s="4" customFormat="1" ht="25.5" customHeight="1" outlineLevel="1">
      <c r="A45" s="27" t="str">
        <f>$A$40&amp;"."&amp;ROW()-ROW($A$40)</f>
        <v>14A.C4.5</v>
      </c>
      <c r="B45" s="28" t="s">
        <v>36</v>
      </c>
      <c r="C45" s="28" t="s">
        <v>515</v>
      </c>
      <c r="D45" s="29" t="s">
        <v>520</v>
      </c>
      <c r="E45" s="31">
        <v>0</v>
      </c>
      <c r="F45" s="31">
        <v>0</v>
      </c>
      <c r="G45" s="30">
        <f>_xlfn.XLOOKUP(B45, Rate_Master!$A:$A, Rate_Master!$C:$C, "")</f>
        <v>126499.99999999999</v>
      </c>
      <c r="H45" s="30">
        <f>_xlfn.XLOOKUP(B45, Rate_Master!$A:$A, Rate_Master!$D:$D, "")</f>
        <v>97749.999999999985</v>
      </c>
      <c r="I45" s="32">
        <f>+H45+G45</f>
        <v>224249.99999999997</v>
      </c>
      <c r="J45" s="32">
        <f>I45*E45</f>
        <v>0</v>
      </c>
      <c r="K45" s="32">
        <f>I45*F45</f>
        <v>0</v>
      </c>
      <c r="L45" s="32"/>
    </row>
    <row r="46" spans="1:12" s="3" customFormat="1" ht="25.5" customHeight="1">
      <c r="A46" s="22" t="str">
        <f>$A$10&amp;5</f>
        <v>14A.C5</v>
      </c>
      <c r="B46" s="23" t="s">
        <v>37</v>
      </c>
      <c r="C46" s="23" t="s">
        <v>515</v>
      </c>
      <c r="D46" s="22"/>
      <c r="E46" s="25"/>
      <c r="F46" s="25"/>
      <c r="G46" s="25">
        <f>_xlfn.XLOOKUP(B46, Rate_Master!$A:$A, Rate_Master!$C:$C, "")</f>
        <v>0</v>
      </c>
      <c r="H46" s="25">
        <f>_xlfn.XLOOKUP(B46, Rate_Master!$A:$A, Rate_Master!$D:$D, "")</f>
        <v>0</v>
      </c>
      <c r="I46" s="26"/>
      <c r="J46" s="26">
        <f>SUBTOTAL(9,J47:J51)</f>
        <v>3789676084.9571104</v>
      </c>
      <c r="K46" s="26">
        <f>SUBTOTAL(9,K47:K51)</f>
        <v>3789676084.9571104</v>
      </c>
      <c r="L46" s="26"/>
    </row>
    <row r="47" spans="1:12" s="4" customFormat="1" ht="38.25" customHeight="1" outlineLevel="1">
      <c r="A47" s="27" t="str">
        <f>$A$46&amp;"."&amp;ROW()-ROW($A$46)</f>
        <v>14A.C5.1</v>
      </c>
      <c r="B47" s="28" t="s">
        <v>38</v>
      </c>
      <c r="C47" s="28" t="s">
        <v>522</v>
      </c>
      <c r="D47" s="29" t="s">
        <v>523</v>
      </c>
      <c r="E47" s="31">
        <v>125583.522</v>
      </c>
      <c r="F47" s="31">
        <v>125583.522</v>
      </c>
      <c r="G47" s="30">
        <f>_xlfn.XLOOKUP(B47, Rate_Master!$A:$A, Rate_Master!$C:$C, "")</f>
        <v>16770.564999999999</v>
      </c>
      <c r="H47" s="30">
        <f>_xlfn.XLOOKUP(B47, Rate_Master!$A:$A, Rate_Master!$D:$D, "")</f>
        <v>2875</v>
      </c>
      <c r="I47" s="66">
        <f>+H47+G47</f>
        <v>19645.564999999999</v>
      </c>
      <c r="J47" s="32">
        <f>I47*E47</f>
        <v>2467159244.3799295</v>
      </c>
      <c r="K47" s="32">
        <f>I47*F47</f>
        <v>2467159244.3799295</v>
      </c>
      <c r="L47" s="32"/>
    </row>
    <row r="48" spans="1:12" s="4" customFormat="1" ht="25.5" customHeight="1" outlineLevel="1">
      <c r="A48" s="27" t="str">
        <f>$A$46&amp;"."&amp;ROW()-ROW($A$46)</f>
        <v>14A.C5.2</v>
      </c>
      <c r="B48" s="28" t="s">
        <v>39</v>
      </c>
      <c r="C48" s="28" t="s">
        <v>522</v>
      </c>
      <c r="D48" s="29" t="s">
        <v>523</v>
      </c>
      <c r="E48" s="31">
        <v>8794.09</v>
      </c>
      <c r="F48" s="31">
        <v>8794.09</v>
      </c>
      <c r="G48" s="30">
        <f>_xlfn.XLOOKUP(B48, Rate_Master!$A:$A, Rate_Master!$C:$C, "")</f>
        <v>16770.564999999999</v>
      </c>
      <c r="H48" s="30">
        <f>_xlfn.XLOOKUP(B48, Rate_Master!$A:$A, Rate_Master!$D:$D, "")</f>
        <v>3679.9999999999995</v>
      </c>
      <c r="I48" s="66">
        <f>+H48+G48</f>
        <v>20450.564999999999</v>
      </c>
      <c r="J48" s="32">
        <f>I48*E48</f>
        <v>179844109.16084999</v>
      </c>
      <c r="K48" s="32">
        <f>I48*F48</f>
        <v>179844109.16084999</v>
      </c>
      <c r="L48" s="32"/>
    </row>
    <row r="49" spans="1:16" s="4" customFormat="1" ht="25.5" customHeight="1" outlineLevel="1">
      <c r="A49" s="27" t="str">
        <f>$A$46&amp;"."&amp;ROW()-ROW($A$46)</f>
        <v>14A.C5.3</v>
      </c>
      <c r="B49" s="28" t="s">
        <v>40</v>
      </c>
      <c r="C49" s="28" t="s">
        <v>522</v>
      </c>
      <c r="D49" s="29" t="s">
        <v>523</v>
      </c>
      <c r="E49" s="31">
        <v>20828.837</v>
      </c>
      <c r="F49" s="31">
        <v>20828.837</v>
      </c>
      <c r="G49" s="30">
        <f>_xlfn.XLOOKUP(B49, Rate_Master!$A:$A, Rate_Master!$C:$C, "")</f>
        <v>16770.564999999999</v>
      </c>
      <c r="H49" s="30">
        <f>_xlfn.XLOOKUP(B49, Rate_Master!$A:$A, Rate_Master!$D:$D, "")</f>
        <v>3449.9999999999995</v>
      </c>
      <c r="I49" s="66">
        <f>+H49+G49</f>
        <v>20220.564999999999</v>
      </c>
      <c r="J49" s="32">
        <f>I49*E49</f>
        <v>421170852.43290496</v>
      </c>
      <c r="K49" s="32">
        <f>I49*F49</f>
        <v>421170852.43290496</v>
      </c>
      <c r="L49" s="32"/>
    </row>
    <row r="50" spans="1:16" s="4" customFormat="1" ht="25.5" customHeight="1" outlineLevel="1">
      <c r="A50" s="27" t="str">
        <f>$A$46&amp;"."&amp;ROW()-ROW($A$46)</f>
        <v>14A.C5.4</v>
      </c>
      <c r="B50" s="28" t="s">
        <v>41</v>
      </c>
      <c r="C50" s="28" t="s">
        <v>522</v>
      </c>
      <c r="D50" s="29" t="s">
        <v>523</v>
      </c>
      <c r="E50" s="31">
        <v>3675.74</v>
      </c>
      <c r="F50" s="31">
        <v>3675.74</v>
      </c>
      <c r="G50" s="30">
        <f>_xlfn.XLOOKUP(B50, Rate_Master!$A:$A, Rate_Master!$C:$C, "")</f>
        <v>16770.564999999999</v>
      </c>
      <c r="H50" s="30">
        <f>_xlfn.XLOOKUP(B50, Rate_Master!$A:$A, Rate_Master!$D:$D, "")</f>
        <v>3679.9999999999995</v>
      </c>
      <c r="I50" s="66">
        <f>+H50+G50</f>
        <v>20450.564999999999</v>
      </c>
      <c r="J50" s="32">
        <f>I50*E50</f>
        <v>75170959.793099985</v>
      </c>
      <c r="K50" s="32">
        <f>I50*F50</f>
        <v>75170959.793099985</v>
      </c>
      <c r="L50" s="32"/>
    </row>
    <row r="51" spans="1:16" s="4" customFormat="1" ht="25.5" customHeight="1" outlineLevel="1">
      <c r="A51" s="27" t="str">
        <f>$A$46&amp;"."&amp;ROW()-ROW($A$46)</f>
        <v>14A.C5.5</v>
      </c>
      <c r="B51" s="28" t="s">
        <v>42</v>
      </c>
      <c r="C51" s="28" t="s">
        <v>524</v>
      </c>
      <c r="D51" s="29" t="s">
        <v>523</v>
      </c>
      <c r="E51" s="31">
        <v>30366.043863999999</v>
      </c>
      <c r="F51" s="31">
        <v>30366.043863999999</v>
      </c>
      <c r="G51" s="30">
        <f>_xlfn.XLOOKUP(B51, Rate_Master!$A:$A, Rate_Master!$C:$C, "")</f>
        <v>17834.66</v>
      </c>
      <c r="H51" s="30">
        <f>_xlfn.XLOOKUP(B51, Rate_Master!$A:$A, Rate_Master!$D:$D, "")</f>
        <v>3449.9999999999995</v>
      </c>
      <c r="I51" s="66">
        <f>+H51+G51</f>
        <v>21284.66</v>
      </c>
      <c r="J51" s="32">
        <f>I51*E51</f>
        <v>646330919.19032621</v>
      </c>
      <c r="K51" s="32">
        <f>I51*F51</f>
        <v>646330919.19032621</v>
      </c>
      <c r="L51" s="32"/>
    </row>
    <row r="52" spans="1:16" s="3" customFormat="1" ht="25.5" customHeight="1">
      <c r="A52" s="22" t="str">
        <f>$A$10&amp;6</f>
        <v>14A.C6</v>
      </c>
      <c r="B52" s="23" t="s">
        <v>43</v>
      </c>
      <c r="C52" s="23" t="s">
        <v>515</v>
      </c>
      <c r="D52" s="22"/>
      <c r="E52" s="25"/>
      <c r="F52" s="25"/>
      <c r="G52" s="25">
        <f>_xlfn.XLOOKUP(B52, Rate_Master!$A:$A, Rate_Master!$C:$C, "")</f>
        <v>0</v>
      </c>
      <c r="H52" s="25">
        <f>_xlfn.XLOOKUP(B52, Rate_Master!$A:$A, Rate_Master!$D:$D, "")</f>
        <v>0</v>
      </c>
      <c r="I52" s="26">
        <v>0</v>
      </c>
      <c r="J52" s="26">
        <f>SUBTOTAL(9,J53:J55)</f>
        <v>200617343.59999999</v>
      </c>
      <c r="K52" s="26">
        <f>SUBTOTAL(9,K53:K55)</f>
        <v>200617343.59999999</v>
      </c>
      <c r="L52" s="26"/>
    </row>
    <row r="53" spans="1:16" s="4" customFormat="1" ht="25.5" customHeight="1" outlineLevel="1">
      <c r="A53" s="27" t="str">
        <f>$A$52&amp;"."&amp;ROW()-ROW($A$52)</f>
        <v>14A.C6.1</v>
      </c>
      <c r="B53" s="28" t="s">
        <v>44</v>
      </c>
      <c r="C53" s="28" t="s">
        <v>515</v>
      </c>
      <c r="D53" s="29" t="s">
        <v>520</v>
      </c>
      <c r="E53" s="31">
        <v>6141.6379999999999</v>
      </c>
      <c r="F53" s="31">
        <v>6141.6379999999999</v>
      </c>
      <c r="G53" s="30">
        <f>_xlfn.XLOOKUP(B53, Rate_Master!$A:$A, Rate_Master!$C:$C, "")</f>
        <v>14949.999999999998</v>
      </c>
      <c r="H53" s="30">
        <f>_xlfn.XLOOKUP(B53, Rate_Master!$A:$A, Rate_Master!$D:$D, "")</f>
        <v>17250</v>
      </c>
      <c r="I53" s="32">
        <f>+H53+G53</f>
        <v>32200</v>
      </c>
      <c r="J53" s="32">
        <f>I53*E53</f>
        <v>197760743.59999999</v>
      </c>
      <c r="K53" s="32">
        <f>I53*F53</f>
        <v>197760743.59999999</v>
      </c>
      <c r="L53" s="32"/>
    </row>
    <row r="54" spans="1:16" s="4" customFormat="1" ht="51" customHeight="1" outlineLevel="1">
      <c r="A54" s="27" t="str">
        <f>$A$52&amp;"."&amp;ROW()-ROW($A$52)</f>
        <v>14A.C6.2</v>
      </c>
      <c r="B54" s="34" t="s">
        <v>45</v>
      </c>
      <c r="C54" s="28" t="s">
        <v>515</v>
      </c>
      <c r="D54" s="29" t="s">
        <v>517</v>
      </c>
      <c r="E54" s="31">
        <v>0</v>
      </c>
      <c r="F54" s="31">
        <v>0</v>
      </c>
      <c r="G54" s="30">
        <f>_xlfn.XLOOKUP(B54, Rate_Master!$A:$A, Rate_Master!$C:$C, "")</f>
        <v>5750</v>
      </c>
      <c r="H54" s="30">
        <f>_xlfn.XLOOKUP(B54, Rate_Master!$A:$A, Rate_Master!$D:$D, "")</f>
        <v>23000</v>
      </c>
      <c r="I54" s="32">
        <f>+H54+G54</f>
        <v>28750</v>
      </c>
      <c r="J54" s="32">
        <f>I54*E54</f>
        <v>0</v>
      </c>
      <c r="K54" s="32">
        <f>I54*F54</f>
        <v>0</v>
      </c>
      <c r="L54" s="32"/>
    </row>
    <row r="55" spans="1:16" s="4" customFormat="1" ht="38.25" customHeight="1" outlineLevel="1">
      <c r="A55" s="27" t="str">
        <f>$A$52&amp;"."&amp;ROW()-ROW($A$52)</f>
        <v>14A.C6.3</v>
      </c>
      <c r="B55" s="28" t="s">
        <v>46</v>
      </c>
      <c r="C55" s="28" t="s">
        <v>515</v>
      </c>
      <c r="D55" s="29" t="s">
        <v>517</v>
      </c>
      <c r="E55" s="31">
        <v>12.42</v>
      </c>
      <c r="F55" s="31">
        <v>12.42</v>
      </c>
      <c r="G55" s="30">
        <f>_xlfn.XLOOKUP(B55, Rate_Master!$A:$A, Rate_Master!$C:$C, "")</f>
        <v>172500</v>
      </c>
      <c r="H55" s="30">
        <f>_xlfn.XLOOKUP(B55, Rate_Master!$A:$A, Rate_Master!$D:$D, "")</f>
        <v>57499.999999999993</v>
      </c>
      <c r="I55" s="32">
        <f>+H55+G55</f>
        <v>230000</v>
      </c>
      <c r="J55" s="32">
        <f>I55*E55</f>
        <v>2856600</v>
      </c>
      <c r="K55" s="32">
        <f>I55*F55</f>
        <v>2856600</v>
      </c>
      <c r="L55" s="32"/>
    </row>
    <row r="56" spans="1:16" s="3" customFormat="1" ht="25.5" customHeight="1">
      <c r="A56" s="22" t="str">
        <f>$A$9&amp;".S"</f>
        <v>14A.S</v>
      </c>
      <c r="B56" s="23" t="s">
        <v>47</v>
      </c>
      <c r="C56" s="23" t="s">
        <v>515</v>
      </c>
      <c r="D56" s="22"/>
      <c r="E56" s="25"/>
      <c r="F56" s="25"/>
      <c r="G56" s="25">
        <f>_xlfn.XLOOKUP(B56, Rate_Master!$A:$A, Rate_Master!$C:$C, "")</f>
        <v>0</v>
      </c>
      <c r="H56" s="25">
        <f>_xlfn.XLOOKUP(B56, Rate_Master!$A:$A, Rate_Master!$D:$D, "")</f>
        <v>0</v>
      </c>
      <c r="I56" s="26"/>
      <c r="J56" s="26"/>
      <c r="K56" s="26"/>
      <c r="L56" s="26"/>
    </row>
    <row r="57" spans="1:16" s="3" customFormat="1" ht="25.5" customHeight="1">
      <c r="A57" s="22" t="str">
        <f>$A$56&amp;1</f>
        <v>14A.S1</v>
      </c>
      <c r="B57" s="23" t="s">
        <v>48</v>
      </c>
      <c r="C57" s="23" t="s">
        <v>515</v>
      </c>
      <c r="D57" s="22"/>
      <c r="E57" s="25"/>
      <c r="F57" s="87"/>
      <c r="G57" s="25">
        <f>_xlfn.XLOOKUP(B57, Rate_Master!$A:$A, Rate_Master!$C:$C, "")</f>
        <v>0</v>
      </c>
      <c r="H57" s="25">
        <f>_xlfn.XLOOKUP(B57, Rate_Master!$A:$A, Rate_Master!$D:$D, "")</f>
        <v>0</v>
      </c>
      <c r="I57" s="26"/>
      <c r="J57" s="26">
        <f>SUBTOTAL(9,J58:J72)</f>
        <v>11031742217.773994</v>
      </c>
      <c r="K57" s="26">
        <f>SUBTOTAL(9,K58:K72)</f>
        <v>10699386061.421967</v>
      </c>
      <c r="L57" s="26"/>
    </row>
    <row r="58" spans="1:16" s="4" customFormat="1" ht="51" customHeight="1" outlineLevel="1">
      <c r="A58" s="27" t="str">
        <f t="shared" ref="A58:A72" si="12">$A$57&amp;"."&amp;ROW()-ROW($A$57)</f>
        <v>14A.S1.1</v>
      </c>
      <c r="B58" s="28" t="s">
        <v>49</v>
      </c>
      <c r="C58" s="28" t="s">
        <v>525</v>
      </c>
      <c r="D58" s="29" t="s">
        <v>523</v>
      </c>
      <c r="E58" s="31">
        <v>443287.57589411503</v>
      </c>
      <c r="F58" s="36">
        <v>428439.1670126</v>
      </c>
      <c r="G58" s="93">
        <f>_xlfn.XLOOKUP(B58, Rate_Master!$A:$A, Rate_Master!$C:$C, "")</f>
        <v>20475</v>
      </c>
      <c r="H58" s="93">
        <f>_xlfn.XLOOKUP(B58, Rate_Master!$A:$A, Rate_Master!$D:$D, "")</f>
        <v>0</v>
      </c>
      <c r="I58" s="67">
        <f t="shared" ref="I58:I72" si="13">+SUM(G58:H58)</f>
        <v>20475</v>
      </c>
      <c r="J58" s="32">
        <f t="shared" ref="J58:J72" si="14">I58*E58</f>
        <v>9076313116.4320049</v>
      </c>
      <c r="K58" s="58">
        <f t="shared" ref="K58:K72" si="15">+F58*I58</f>
        <v>8772291944.5829849</v>
      </c>
      <c r="L58" s="32"/>
      <c r="N58" s="104"/>
      <c r="O58" s="104"/>
      <c r="P58" s="104"/>
    </row>
    <row r="59" spans="1:16" s="4" customFormat="1" ht="76.5" customHeight="1" outlineLevel="1">
      <c r="A59" s="27" t="str">
        <f t="shared" si="12"/>
        <v>14A.S1.2</v>
      </c>
      <c r="B59" s="28" t="s">
        <v>50</v>
      </c>
      <c r="C59" s="28" t="s">
        <v>526</v>
      </c>
      <c r="D59" s="29" t="s">
        <v>523</v>
      </c>
      <c r="E59" s="31">
        <v>0</v>
      </c>
      <c r="F59" s="36"/>
      <c r="G59" s="93">
        <f>_xlfn.XLOOKUP(B59, Rate_Master!$A:$A, Rate_Master!$C:$C, "")</f>
        <v>26775</v>
      </c>
      <c r="H59" s="93">
        <f>_xlfn.XLOOKUP(B59, Rate_Master!$A:$A, Rate_Master!$D:$D, "")</f>
        <v>0</v>
      </c>
      <c r="I59" s="67">
        <f t="shared" si="13"/>
        <v>26775</v>
      </c>
      <c r="J59" s="32">
        <f t="shared" si="14"/>
        <v>0</v>
      </c>
      <c r="K59" s="58">
        <f t="shared" si="15"/>
        <v>0</v>
      </c>
      <c r="L59" s="32"/>
      <c r="N59" s="104"/>
      <c r="O59" s="104"/>
      <c r="P59" s="104"/>
    </row>
    <row r="60" spans="1:16" s="4" customFormat="1" ht="76.5" customHeight="1" outlineLevel="1">
      <c r="A60" s="27" t="str">
        <f t="shared" si="12"/>
        <v>14A.S1.3</v>
      </c>
      <c r="B60" s="28" t="s">
        <v>51</v>
      </c>
      <c r="C60" s="28" t="s">
        <v>527</v>
      </c>
      <c r="D60" s="29" t="s">
        <v>523</v>
      </c>
      <c r="E60" s="31">
        <v>0</v>
      </c>
      <c r="F60" s="36"/>
      <c r="G60" s="93">
        <f>_xlfn.XLOOKUP(B60, Rate_Master!$A:$A, Rate_Master!$C:$C, "")</f>
        <v>36750</v>
      </c>
      <c r="H60" s="93">
        <f>_xlfn.XLOOKUP(B60, Rate_Master!$A:$A, Rate_Master!$D:$D, "")</f>
        <v>0</v>
      </c>
      <c r="I60" s="67">
        <f t="shared" si="13"/>
        <v>36750</v>
      </c>
      <c r="J60" s="32">
        <f t="shared" si="14"/>
        <v>0</v>
      </c>
      <c r="K60" s="58">
        <f t="shared" si="15"/>
        <v>0</v>
      </c>
      <c r="L60" s="32"/>
      <c r="N60" s="104"/>
      <c r="O60" s="104"/>
      <c r="P60" s="104"/>
    </row>
    <row r="61" spans="1:16" s="4" customFormat="1" ht="76.5" customHeight="1" outlineLevel="1">
      <c r="A61" s="27" t="str">
        <f t="shared" si="12"/>
        <v>14A.S1.4</v>
      </c>
      <c r="B61" s="28" t="s">
        <v>52</v>
      </c>
      <c r="C61" s="28" t="s">
        <v>527</v>
      </c>
      <c r="D61" s="29" t="s">
        <v>523</v>
      </c>
      <c r="E61" s="31">
        <v>0</v>
      </c>
      <c r="F61" s="36"/>
      <c r="G61" s="93">
        <f>_xlfn.XLOOKUP(B61, Rate_Master!$A:$A, Rate_Master!$C:$C, "")</f>
        <v>26775</v>
      </c>
      <c r="H61" s="93">
        <f>_xlfn.XLOOKUP(B61, Rate_Master!$A:$A, Rate_Master!$D:$D, "")</f>
        <v>0</v>
      </c>
      <c r="I61" s="67">
        <f t="shared" si="13"/>
        <v>26775</v>
      </c>
      <c r="J61" s="32">
        <f t="shared" si="14"/>
        <v>0</v>
      </c>
      <c r="K61" s="58">
        <f t="shared" si="15"/>
        <v>0</v>
      </c>
      <c r="L61" s="32"/>
      <c r="N61" s="104"/>
      <c r="O61" s="104"/>
      <c r="P61" s="104"/>
    </row>
    <row r="62" spans="1:16" s="4" customFormat="1" ht="25.5" customHeight="1" outlineLevel="1">
      <c r="A62" s="27" t="str">
        <f t="shared" si="12"/>
        <v>14A.S1.5</v>
      </c>
      <c r="B62" s="28" t="s">
        <v>53</v>
      </c>
      <c r="C62" s="28" t="s">
        <v>528</v>
      </c>
      <c r="D62" s="29" t="s">
        <v>523</v>
      </c>
      <c r="E62" s="31">
        <v>0</v>
      </c>
      <c r="F62" s="36"/>
      <c r="G62" s="93">
        <f>_xlfn.XLOOKUP(B62, Rate_Master!$A:$A, Rate_Master!$C:$C, "")</f>
        <v>22365</v>
      </c>
      <c r="H62" s="93">
        <f>_xlfn.XLOOKUP(B62, Rate_Master!$A:$A, Rate_Master!$D:$D, "")</f>
        <v>0</v>
      </c>
      <c r="I62" s="67">
        <f t="shared" si="13"/>
        <v>22365</v>
      </c>
      <c r="J62" s="32">
        <f t="shared" si="14"/>
        <v>0</v>
      </c>
      <c r="K62" s="58">
        <f t="shared" si="15"/>
        <v>0</v>
      </c>
      <c r="L62" s="32"/>
      <c r="N62" s="104"/>
      <c r="O62" s="104"/>
      <c r="P62" s="104"/>
    </row>
    <row r="63" spans="1:16" s="4" customFormat="1" ht="38.25" customHeight="1" outlineLevel="1">
      <c r="A63" s="27" t="str">
        <f t="shared" si="12"/>
        <v>14A.S1.6</v>
      </c>
      <c r="B63" s="28" t="s">
        <v>54</v>
      </c>
      <c r="C63" s="28" t="s">
        <v>529</v>
      </c>
      <c r="D63" s="29" t="s">
        <v>523</v>
      </c>
      <c r="E63" s="31">
        <v>0</v>
      </c>
      <c r="F63" s="36"/>
      <c r="G63" s="93">
        <f>_xlfn.XLOOKUP(B63, Rate_Master!$A:$A, Rate_Master!$C:$C, "")</f>
        <v>36750</v>
      </c>
      <c r="H63" s="93">
        <f>_xlfn.XLOOKUP(B63, Rate_Master!$A:$A, Rate_Master!$D:$D, "")</f>
        <v>0</v>
      </c>
      <c r="I63" s="67">
        <f t="shared" si="13"/>
        <v>36750</v>
      </c>
      <c r="J63" s="32">
        <f t="shared" si="14"/>
        <v>0</v>
      </c>
      <c r="K63" s="58">
        <f t="shared" si="15"/>
        <v>0</v>
      </c>
      <c r="L63" s="32"/>
      <c r="N63" s="104"/>
      <c r="O63" s="104"/>
      <c r="P63" s="104"/>
    </row>
    <row r="64" spans="1:16" s="4" customFormat="1" ht="25.5" customHeight="1" outlineLevel="1">
      <c r="A64" s="27" t="str">
        <f t="shared" si="12"/>
        <v>14A.S1.7</v>
      </c>
      <c r="B64" s="28" t="s">
        <v>55</v>
      </c>
      <c r="C64" s="28" t="s">
        <v>530</v>
      </c>
      <c r="D64" s="29" t="s">
        <v>523</v>
      </c>
      <c r="E64" s="31">
        <v>0</v>
      </c>
      <c r="F64" s="36"/>
      <c r="G64" s="93">
        <f>_xlfn.XLOOKUP(B64, Rate_Master!$A:$A, Rate_Master!$C:$C, "")</f>
        <v>27930</v>
      </c>
      <c r="H64" s="93">
        <f>_xlfn.XLOOKUP(B64, Rate_Master!$A:$A, Rate_Master!$D:$D, "")</f>
        <v>0</v>
      </c>
      <c r="I64" s="67">
        <f t="shared" si="13"/>
        <v>27930</v>
      </c>
      <c r="J64" s="32">
        <f t="shared" si="14"/>
        <v>0</v>
      </c>
      <c r="K64" s="58">
        <f t="shared" si="15"/>
        <v>0</v>
      </c>
      <c r="L64" s="32"/>
      <c r="N64" s="104"/>
      <c r="O64" s="104"/>
      <c r="P64" s="104"/>
    </row>
    <row r="65" spans="1:16" s="4" customFormat="1" ht="25.5" customHeight="1" outlineLevel="1">
      <c r="A65" s="27" t="str">
        <f t="shared" si="12"/>
        <v>14A.S1.8</v>
      </c>
      <c r="B65" s="28" t="s">
        <v>56</v>
      </c>
      <c r="C65" s="28" t="s">
        <v>531</v>
      </c>
      <c r="D65" s="29" t="s">
        <v>523</v>
      </c>
      <c r="E65" s="31">
        <v>883.28</v>
      </c>
      <c r="F65" s="36">
        <v>1006.3872</v>
      </c>
      <c r="G65" s="93">
        <f>_xlfn.XLOOKUP(B65, Rate_Master!$A:$A, Rate_Master!$C:$C, "")</f>
        <v>52500</v>
      </c>
      <c r="H65" s="93">
        <f>_xlfn.XLOOKUP(B65, Rate_Master!$A:$A, Rate_Master!$D:$D, "")</f>
        <v>0</v>
      </c>
      <c r="I65" s="67">
        <f t="shared" si="13"/>
        <v>52500</v>
      </c>
      <c r="J65" s="32">
        <f t="shared" si="14"/>
        <v>46372200</v>
      </c>
      <c r="K65" s="58">
        <f t="shared" si="15"/>
        <v>52835328</v>
      </c>
      <c r="L65" s="32"/>
      <c r="N65" s="104"/>
      <c r="O65" s="104"/>
      <c r="P65" s="104"/>
    </row>
    <row r="66" spans="1:16" s="4" customFormat="1" ht="25.5" customHeight="1" outlineLevel="1">
      <c r="A66" s="27" t="str">
        <f t="shared" si="12"/>
        <v>14A.S1.9</v>
      </c>
      <c r="B66" s="28" t="s">
        <v>57</v>
      </c>
      <c r="C66" s="28" t="s">
        <v>532</v>
      </c>
      <c r="D66" s="29" t="s">
        <v>523</v>
      </c>
      <c r="E66" s="31">
        <v>3780.21</v>
      </c>
      <c r="F66" s="36">
        <v>3786.5043999999998</v>
      </c>
      <c r="G66" s="93">
        <f>_xlfn.XLOOKUP(B66, Rate_Master!$A:$A, Rate_Master!$C:$C, "")</f>
        <v>60900</v>
      </c>
      <c r="H66" s="93">
        <f>_xlfn.XLOOKUP(B66, Rate_Master!$A:$A, Rate_Master!$D:$D, "")</f>
        <v>0</v>
      </c>
      <c r="I66" s="67">
        <f t="shared" si="13"/>
        <v>60900</v>
      </c>
      <c r="J66" s="32">
        <f t="shared" si="14"/>
        <v>230214789</v>
      </c>
      <c r="K66" s="58">
        <f t="shared" si="15"/>
        <v>230598117.95999998</v>
      </c>
      <c r="L66" s="32"/>
      <c r="N66" s="104"/>
      <c r="O66" s="104"/>
      <c r="P66" s="104"/>
    </row>
    <row r="67" spans="1:16" s="4" customFormat="1" ht="25.5" customHeight="1" outlineLevel="1">
      <c r="A67" s="27" t="str">
        <f t="shared" si="12"/>
        <v>14A.S1.10</v>
      </c>
      <c r="B67" s="28" t="s">
        <v>58</v>
      </c>
      <c r="C67" s="28" t="s">
        <v>533</v>
      </c>
      <c r="D67" s="29" t="s">
        <v>523</v>
      </c>
      <c r="E67" s="31">
        <v>0</v>
      </c>
      <c r="F67" s="36"/>
      <c r="G67" s="93">
        <f>_xlfn.XLOOKUP(B67, Rate_Master!$A:$A, Rate_Master!$C:$C, "")</f>
        <v>60900</v>
      </c>
      <c r="H67" s="93">
        <f>_xlfn.XLOOKUP(B67, Rate_Master!$A:$A, Rate_Master!$D:$D, "")</f>
        <v>0</v>
      </c>
      <c r="I67" s="67">
        <f t="shared" si="13"/>
        <v>60900</v>
      </c>
      <c r="J67" s="32">
        <f t="shared" si="14"/>
        <v>0</v>
      </c>
      <c r="K67" s="58">
        <f t="shared" si="15"/>
        <v>0</v>
      </c>
      <c r="L67" s="32"/>
      <c r="N67" s="104"/>
      <c r="O67" s="104"/>
      <c r="P67" s="104"/>
    </row>
    <row r="68" spans="1:16" s="4" customFormat="1" ht="25.5" customHeight="1" outlineLevel="1">
      <c r="A68" s="27" t="str">
        <f t="shared" si="12"/>
        <v>14A.S1.11</v>
      </c>
      <c r="B68" s="28" t="s">
        <v>59</v>
      </c>
      <c r="C68" s="28" t="s">
        <v>534</v>
      </c>
      <c r="D68" s="29" t="s">
        <v>518</v>
      </c>
      <c r="E68" s="31">
        <v>0</v>
      </c>
      <c r="F68" s="36"/>
      <c r="G68" s="93">
        <f>_xlfn.XLOOKUP(B68, Rate_Master!$A:$A, Rate_Master!$C:$C, "")</f>
        <v>21000</v>
      </c>
      <c r="H68" s="93">
        <f>_xlfn.XLOOKUP(B68, Rate_Master!$A:$A, Rate_Master!$D:$D, "")</f>
        <v>0</v>
      </c>
      <c r="I68" s="67">
        <f t="shared" si="13"/>
        <v>21000</v>
      </c>
      <c r="J68" s="32">
        <f t="shared" si="14"/>
        <v>0</v>
      </c>
      <c r="K68" s="58">
        <f t="shared" si="15"/>
        <v>0</v>
      </c>
      <c r="L68" s="32"/>
      <c r="N68" s="104"/>
      <c r="O68" s="104"/>
      <c r="P68" s="104"/>
    </row>
    <row r="69" spans="1:16" s="4" customFormat="1" ht="25.5" customHeight="1" outlineLevel="1">
      <c r="A69" s="27" t="str">
        <f t="shared" si="12"/>
        <v>14A.S1.12</v>
      </c>
      <c r="B69" s="28" t="s">
        <v>60</v>
      </c>
      <c r="C69" s="28" t="s">
        <v>515</v>
      </c>
      <c r="D69" s="29" t="s">
        <v>523</v>
      </c>
      <c r="E69" s="31">
        <v>883.28</v>
      </c>
      <c r="F69" s="36">
        <v>1006.3872</v>
      </c>
      <c r="G69" s="93">
        <f>_xlfn.XLOOKUP(B69, Rate_Master!$A:$A, Rate_Master!$C:$C, "")</f>
        <v>630</v>
      </c>
      <c r="H69" s="108">
        <f>_xlfn.XLOOKUP(B69, Rate_Master!$A:$A, Rate_Master!$D:$D, "")</f>
        <v>0</v>
      </c>
      <c r="I69" s="67">
        <f t="shared" si="13"/>
        <v>630</v>
      </c>
      <c r="J69" s="32">
        <f t="shared" si="14"/>
        <v>556466.4</v>
      </c>
      <c r="K69" s="58">
        <f t="shared" si="15"/>
        <v>634023.93599999999</v>
      </c>
      <c r="L69" s="32"/>
      <c r="N69" s="104"/>
      <c r="O69" s="104"/>
      <c r="P69" s="104"/>
    </row>
    <row r="70" spans="1:16" s="4" customFormat="1" ht="25.5" customHeight="1" outlineLevel="1">
      <c r="A70" s="27" t="str">
        <f t="shared" si="12"/>
        <v>14A.S1.13</v>
      </c>
      <c r="B70" s="28" t="s">
        <v>61</v>
      </c>
      <c r="C70" s="28" t="s">
        <v>515</v>
      </c>
      <c r="D70" s="29" t="s">
        <v>523</v>
      </c>
      <c r="E70" s="31">
        <v>443287.57589411503</v>
      </c>
      <c r="F70" s="36">
        <v>432225.67141259997</v>
      </c>
      <c r="G70" s="93">
        <f>_xlfn.XLOOKUP(B70, Rate_Master!$A:$A, Rate_Master!$C:$C, "")</f>
        <v>630</v>
      </c>
      <c r="H70" s="93">
        <f>_xlfn.XLOOKUP(B70, Rate_Master!$A:$A, Rate_Master!$D:$D, "")</f>
        <v>0</v>
      </c>
      <c r="I70" s="67">
        <f t="shared" si="13"/>
        <v>630</v>
      </c>
      <c r="J70" s="32">
        <f t="shared" si="14"/>
        <v>279271172.81329244</v>
      </c>
      <c r="K70" s="58">
        <f t="shared" si="15"/>
        <v>272302172.98993796</v>
      </c>
      <c r="L70" s="32"/>
      <c r="N70" s="104"/>
      <c r="O70" s="104"/>
      <c r="P70" s="104"/>
    </row>
    <row r="71" spans="1:16" s="4" customFormat="1" ht="25.5" customHeight="1" outlineLevel="1">
      <c r="A71" s="27" t="str">
        <f t="shared" si="12"/>
        <v>14A.S1.14</v>
      </c>
      <c r="B71" s="28" t="s">
        <v>62</v>
      </c>
      <c r="C71" s="28" t="s">
        <v>515</v>
      </c>
      <c r="D71" s="29" t="s">
        <v>518</v>
      </c>
      <c r="E71" s="31">
        <v>362</v>
      </c>
      <c r="F71" s="36">
        <v>378</v>
      </c>
      <c r="G71" s="93">
        <f>_xlfn.XLOOKUP(B71, Rate_Master!$A:$A, Rate_Master!$C:$C, "")</f>
        <v>0</v>
      </c>
      <c r="H71" s="93">
        <f>_xlfn.XLOOKUP(B71, Rate_Master!$A:$A, Rate_Master!$D:$D, "")</f>
        <v>264500</v>
      </c>
      <c r="I71" s="67">
        <f t="shared" si="13"/>
        <v>264500</v>
      </c>
      <c r="J71" s="32">
        <f t="shared" si="14"/>
        <v>95749000</v>
      </c>
      <c r="K71" s="58">
        <f t="shared" si="15"/>
        <v>99981000</v>
      </c>
      <c r="L71" s="32"/>
      <c r="N71" s="104"/>
      <c r="O71" s="104"/>
      <c r="P71" s="104"/>
    </row>
    <row r="72" spans="1:16" s="4" customFormat="1" ht="25.5" customHeight="1" outlineLevel="1">
      <c r="A72" s="27" t="str">
        <f t="shared" si="12"/>
        <v>14A.S1.15</v>
      </c>
      <c r="B72" s="28" t="s">
        <v>63</v>
      </c>
      <c r="C72" s="28" t="s">
        <v>515</v>
      </c>
      <c r="D72" s="29" t="s">
        <v>523</v>
      </c>
      <c r="E72" s="31">
        <v>443287.57589411503</v>
      </c>
      <c r="F72" s="36">
        <v>432225.67141259997</v>
      </c>
      <c r="G72" s="93">
        <f>_xlfn.XLOOKUP(B72, Rate_Master!$A:$A, Rate_Master!$C:$C, "")</f>
        <v>2940</v>
      </c>
      <c r="H72" s="93">
        <f>_xlfn.XLOOKUP(B72, Rate_Master!$A:$A, Rate_Master!$D:$D, "")</f>
        <v>0</v>
      </c>
      <c r="I72" s="67">
        <f t="shared" si="13"/>
        <v>2940</v>
      </c>
      <c r="J72" s="32">
        <f t="shared" si="14"/>
        <v>1303265473.1286981</v>
      </c>
      <c r="K72" s="58">
        <f t="shared" si="15"/>
        <v>1270743473.9530439</v>
      </c>
      <c r="L72" s="32"/>
      <c r="N72" s="104"/>
      <c r="O72" s="104"/>
      <c r="P72" s="104"/>
    </row>
    <row r="73" spans="1:16" s="3" customFormat="1" ht="25.5" customHeight="1">
      <c r="A73" s="22" t="str">
        <f>$A$56&amp;2</f>
        <v>14A.S2</v>
      </c>
      <c r="B73" s="23" t="s">
        <v>64</v>
      </c>
      <c r="C73" s="23" t="s">
        <v>515</v>
      </c>
      <c r="D73" s="22"/>
      <c r="E73" s="25"/>
      <c r="F73" s="87"/>
      <c r="G73" s="25">
        <f>_xlfn.XLOOKUP(B73, Rate_Master!$A:$A, Rate_Master!$C:$C, "")</f>
        <v>0</v>
      </c>
      <c r="H73" s="25">
        <f>_xlfn.XLOOKUP(B73, Rate_Master!$A:$A, Rate_Master!$D:$D, "")</f>
        <v>0</v>
      </c>
      <c r="I73" s="68"/>
      <c r="J73" s="26">
        <f>SUBTOTAL(9,J74:J78)</f>
        <v>0</v>
      </c>
      <c r="K73" s="26">
        <f>SUBTOTAL(9,K74:K78)</f>
        <v>0</v>
      </c>
      <c r="L73" s="26"/>
      <c r="N73" s="104"/>
      <c r="O73" s="104"/>
      <c r="P73" s="104"/>
    </row>
    <row r="74" spans="1:16" s="4" customFormat="1" ht="25.5" customHeight="1" outlineLevel="1">
      <c r="A74" s="27" t="str">
        <f>$A$73&amp;"."&amp;ROW()-ROW($A$73)</f>
        <v>14A.S2.1</v>
      </c>
      <c r="B74" s="28" t="s">
        <v>65</v>
      </c>
      <c r="C74" s="28" t="s">
        <v>535</v>
      </c>
      <c r="D74" s="29" t="s">
        <v>520</v>
      </c>
      <c r="E74" s="31">
        <v>5319.5284000000001</v>
      </c>
      <c r="F74" s="36">
        <v>5300.451215000001</v>
      </c>
      <c r="G74" s="93">
        <f>_xlfn.XLOOKUP(B74, Rate_Master!$A:$A, Rate_Master!$C:$C, "")</f>
        <v>0</v>
      </c>
      <c r="H74" s="93">
        <f>_xlfn.XLOOKUP(B74, Rate_Master!$A:$A, Rate_Master!$D:$D, "")</f>
        <v>0</v>
      </c>
      <c r="I74" s="67">
        <f>+SUM(G74:H74)</f>
        <v>0</v>
      </c>
      <c r="J74" s="32">
        <f>I74*E74</f>
        <v>0</v>
      </c>
      <c r="K74" s="58">
        <f>+F74*I74</f>
        <v>0</v>
      </c>
      <c r="L74" s="32"/>
      <c r="N74" s="104"/>
      <c r="O74" s="104"/>
      <c r="P74" s="104"/>
    </row>
    <row r="75" spans="1:16" s="4" customFormat="1" ht="25.5" customHeight="1" outlineLevel="1">
      <c r="A75" s="27" t="str">
        <f>$A$73&amp;"."&amp;ROW()-ROW($A$73)</f>
        <v>14A.S2.2</v>
      </c>
      <c r="B75" s="28" t="s">
        <v>66</v>
      </c>
      <c r="C75" s="28" t="s">
        <v>536</v>
      </c>
      <c r="D75" s="29" t="s">
        <v>518</v>
      </c>
      <c r="E75" s="31">
        <v>12659</v>
      </c>
      <c r="F75" s="36">
        <v>12699</v>
      </c>
      <c r="G75" s="93">
        <f>_xlfn.XLOOKUP(B75, Rate_Master!$A:$A, Rate_Master!$C:$C, "")</f>
        <v>0</v>
      </c>
      <c r="H75" s="93">
        <f>_xlfn.XLOOKUP(B75, Rate_Master!$A:$A, Rate_Master!$D:$D, "")</f>
        <v>0</v>
      </c>
      <c r="I75" s="67">
        <f>+SUM(G75:H75)</f>
        <v>0</v>
      </c>
      <c r="J75" s="32">
        <f>I75*E75</f>
        <v>0</v>
      </c>
      <c r="K75" s="58">
        <f>+F75*I75</f>
        <v>0</v>
      </c>
      <c r="L75" s="32"/>
      <c r="N75" s="104"/>
      <c r="O75" s="104"/>
      <c r="P75" s="104"/>
    </row>
    <row r="76" spans="1:16" s="4" customFormat="1" ht="25.5" customHeight="1" outlineLevel="1">
      <c r="A76" s="27" t="str">
        <f>$A$73&amp;"."&amp;ROW()-ROW($A$73)</f>
        <v>14A.S2.3</v>
      </c>
      <c r="B76" s="28" t="s">
        <v>67</v>
      </c>
      <c r="C76" s="28" t="s">
        <v>515</v>
      </c>
      <c r="D76" s="29" t="s">
        <v>520</v>
      </c>
      <c r="E76" s="31">
        <v>5319.5284000000001</v>
      </c>
      <c r="F76" s="36">
        <v>5300.451215000001</v>
      </c>
      <c r="G76" s="93">
        <f>_xlfn.XLOOKUP(B76, Rate_Master!$A:$A, Rate_Master!$C:$C, "")</f>
        <v>0</v>
      </c>
      <c r="H76" s="93">
        <f>_xlfn.XLOOKUP(B76, Rate_Master!$A:$A, Rate_Master!$D:$D, "")</f>
        <v>0</v>
      </c>
      <c r="I76" s="67">
        <f>+SUM(G76:H76)</f>
        <v>0</v>
      </c>
      <c r="J76" s="32">
        <f>I76*E76</f>
        <v>0</v>
      </c>
      <c r="K76" s="58">
        <f>+F76*I76</f>
        <v>0</v>
      </c>
      <c r="L76" s="32"/>
      <c r="N76" s="104"/>
      <c r="O76" s="104"/>
      <c r="P76" s="104"/>
    </row>
    <row r="77" spans="1:16" s="4" customFormat="1" ht="25.5" customHeight="1" outlineLevel="1">
      <c r="A77" s="27" t="str">
        <f>$A$73&amp;"."&amp;ROW()-ROW($A$73)</f>
        <v>14A.S2.4</v>
      </c>
      <c r="B77" s="28" t="s">
        <v>68</v>
      </c>
      <c r="C77" s="28" t="s">
        <v>515</v>
      </c>
      <c r="D77" s="29" t="s">
        <v>457</v>
      </c>
      <c r="E77" s="31">
        <v>1</v>
      </c>
      <c r="F77" s="36">
        <v>1</v>
      </c>
      <c r="G77" s="93">
        <f>_xlfn.XLOOKUP(B77, Rate_Master!$A:$A, Rate_Master!$C:$C, "")</f>
        <v>0</v>
      </c>
      <c r="H77" s="93">
        <f>_xlfn.XLOOKUP(B77, Rate_Master!$A:$A, Rate_Master!$D:$D, "")</f>
        <v>0</v>
      </c>
      <c r="I77" s="67">
        <f>+SUM(G77:H77)</f>
        <v>0</v>
      </c>
      <c r="J77" s="32">
        <f>I77*E77</f>
        <v>0</v>
      </c>
      <c r="K77" s="58">
        <f>+F77*I77</f>
        <v>0</v>
      </c>
      <c r="L77" s="32"/>
      <c r="N77" s="104"/>
      <c r="O77" s="104"/>
      <c r="P77" s="104"/>
    </row>
    <row r="78" spans="1:16" s="4" customFormat="1" ht="25.5" customHeight="1" outlineLevel="1">
      <c r="A78" s="27" t="str">
        <f>$A$73&amp;"."&amp;ROW()-ROW($A$73)</f>
        <v>14A.S2.5</v>
      </c>
      <c r="B78" s="28" t="s">
        <v>69</v>
      </c>
      <c r="C78" s="28" t="s">
        <v>515</v>
      </c>
      <c r="D78" s="29" t="s">
        <v>520</v>
      </c>
      <c r="E78" s="31">
        <v>5319.5284000000001</v>
      </c>
      <c r="F78" s="36">
        <v>5300.451215000001</v>
      </c>
      <c r="G78" s="93">
        <f>_xlfn.XLOOKUP(B78, Rate_Master!$A:$A, Rate_Master!$C:$C, "")</f>
        <v>0</v>
      </c>
      <c r="H78" s="93">
        <f>_xlfn.XLOOKUP(B78, Rate_Master!$A:$A, Rate_Master!$D:$D, "")</f>
        <v>0</v>
      </c>
      <c r="I78" s="67">
        <f>+SUM(G78:H78)</f>
        <v>0</v>
      </c>
      <c r="J78" s="32">
        <f>I78*E78</f>
        <v>0</v>
      </c>
      <c r="K78" s="58">
        <f>+F78*I78</f>
        <v>0</v>
      </c>
      <c r="L78" s="32"/>
      <c r="N78" s="104"/>
      <c r="O78" s="104"/>
      <c r="P78" s="104"/>
    </row>
    <row r="79" spans="1:16" s="3" customFormat="1" ht="25.5" customHeight="1">
      <c r="A79" s="22" t="str">
        <f>$A$56&amp;3</f>
        <v>14A.S3</v>
      </c>
      <c r="B79" s="23" t="s">
        <v>70</v>
      </c>
      <c r="C79" s="23" t="s">
        <v>515</v>
      </c>
      <c r="D79" s="22"/>
      <c r="E79" s="25"/>
      <c r="F79" s="87"/>
      <c r="G79" s="25">
        <f>_xlfn.XLOOKUP(B79, Rate_Master!$A:$A, Rate_Master!$C:$C, "")</f>
        <v>0</v>
      </c>
      <c r="H79" s="25">
        <f>_xlfn.XLOOKUP(B79, Rate_Master!$A:$A, Rate_Master!$D:$D, "")</f>
        <v>0</v>
      </c>
      <c r="I79" s="68"/>
      <c r="J79" s="26">
        <f>SUBTOTAL(9,J80:J93)</f>
        <v>169731595.10876715</v>
      </c>
      <c r="K79" s="26">
        <f>SUBTOTAL(9,K80:K93)</f>
        <v>172680310.10876715</v>
      </c>
      <c r="L79" s="26"/>
      <c r="N79" s="104"/>
      <c r="O79" s="104"/>
      <c r="P79" s="104"/>
    </row>
    <row r="80" spans="1:16" s="4" customFormat="1" ht="51" customHeight="1" outlineLevel="1">
      <c r="A80" s="27" t="str">
        <f t="shared" ref="A80:A93" si="16">$A$79&amp;"."&amp;ROW()-ROW($A$79)</f>
        <v>14A.S3.1</v>
      </c>
      <c r="B80" s="28" t="s">
        <v>71</v>
      </c>
      <c r="C80" s="28" t="str">
        <f>+'13A'!C80</f>
        <v xml:space="preserve">Tôn liên doanh Việt hàn, AZ170
</v>
      </c>
      <c r="D80" s="29" t="s">
        <v>520</v>
      </c>
      <c r="E80" s="31">
        <v>0</v>
      </c>
      <c r="F80" s="36"/>
      <c r="G80" s="93">
        <f>_xlfn.XLOOKUP(B80, Rate_Master!$A:$A, Rate_Master!$C:$C, "")</f>
        <v>248399.99999999997</v>
      </c>
      <c r="H80" s="93">
        <f>_xlfn.XLOOKUP(B80, Rate_Master!$A:$A, Rate_Master!$D:$D, "")</f>
        <v>34500</v>
      </c>
      <c r="I80" s="67">
        <f t="shared" ref="I80:I93" si="17">+SUM(G80:H80)</f>
        <v>282900</v>
      </c>
      <c r="J80" s="32">
        <f t="shared" ref="J80:J93" si="18">I80*E80</f>
        <v>0</v>
      </c>
      <c r="K80" s="58">
        <f t="shared" ref="K80:K93" si="19">+F80*I80</f>
        <v>0</v>
      </c>
      <c r="L80" s="32"/>
      <c r="N80" s="104"/>
      <c r="O80" s="104"/>
      <c r="P80" s="104"/>
    </row>
    <row r="81" spans="1:16" s="4" customFormat="1" ht="51" customHeight="1" outlineLevel="1">
      <c r="A81" s="27" t="str">
        <f t="shared" si="16"/>
        <v>14A.S3.2</v>
      </c>
      <c r="B81" s="28" t="s">
        <v>72</v>
      </c>
      <c r="C81" s="28" t="str">
        <f>+'13A'!C81</f>
        <v xml:space="preserve">Tôn liên doanh Việt hàn, AZ170
</v>
      </c>
      <c r="D81" s="29" t="s">
        <v>520</v>
      </c>
      <c r="E81" s="31">
        <v>0</v>
      </c>
      <c r="F81" s="36"/>
      <c r="G81" s="93">
        <f>_xlfn.XLOOKUP(B81, Rate_Master!$A:$A, Rate_Master!$C:$C, "")</f>
        <v>206999.99999999997</v>
      </c>
      <c r="H81" s="93">
        <f>_xlfn.XLOOKUP(B81, Rate_Master!$A:$A, Rate_Master!$D:$D, "")</f>
        <v>34500</v>
      </c>
      <c r="I81" s="67">
        <f t="shared" si="17"/>
        <v>241499.99999999997</v>
      </c>
      <c r="J81" s="32">
        <f t="shared" si="18"/>
        <v>0</v>
      </c>
      <c r="K81" s="58">
        <f t="shared" si="19"/>
        <v>0</v>
      </c>
      <c r="L81" s="32"/>
      <c r="N81" s="104"/>
      <c r="O81" s="104"/>
      <c r="P81" s="104"/>
    </row>
    <row r="82" spans="1:16" s="4" customFormat="1" ht="63.75" customHeight="1" outlineLevel="1">
      <c r="A82" s="27" t="str">
        <f t="shared" si="16"/>
        <v>14A.S3.3</v>
      </c>
      <c r="B82" s="28" t="s">
        <v>73</v>
      </c>
      <c r="C82" s="28" t="str">
        <f>+'13A'!C82</f>
        <v xml:space="preserve">Tôn liên doanh Việt hàn, AZ170
</v>
      </c>
      <c r="D82" s="29" t="s">
        <v>520</v>
      </c>
      <c r="E82" s="31">
        <v>0</v>
      </c>
      <c r="F82" s="36"/>
      <c r="G82" s="93">
        <f>_xlfn.XLOOKUP(B82, Rate_Master!$A:$A, Rate_Master!$C:$C, "")</f>
        <v>195499.99999999997</v>
      </c>
      <c r="H82" s="93">
        <f>_xlfn.XLOOKUP(B82, Rate_Master!$A:$A, Rate_Master!$D:$D, "")</f>
        <v>34500</v>
      </c>
      <c r="I82" s="67">
        <f t="shared" si="17"/>
        <v>229999.99999999997</v>
      </c>
      <c r="J82" s="32">
        <f t="shared" si="18"/>
        <v>0</v>
      </c>
      <c r="K82" s="58">
        <f t="shared" si="19"/>
        <v>0</v>
      </c>
      <c r="L82" s="32"/>
      <c r="N82" s="104"/>
      <c r="O82" s="104"/>
      <c r="P82" s="104"/>
    </row>
    <row r="83" spans="1:16" s="4" customFormat="1" ht="25.5" customHeight="1" outlineLevel="1">
      <c r="A83" s="27" t="str">
        <f t="shared" si="16"/>
        <v>14A.S3.4</v>
      </c>
      <c r="B83" s="28" t="s">
        <v>74</v>
      </c>
      <c r="C83" s="28" t="s">
        <v>515</v>
      </c>
      <c r="D83" s="29" t="s">
        <v>520</v>
      </c>
      <c r="E83" s="31">
        <v>0</v>
      </c>
      <c r="F83" s="36"/>
      <c r="G83" s="93">
        <f>_xlfn.XLOOKUP(B83, Rate_Master!$A:$A, Rate_Master!$C:$C, "")</f>
        <v>23000</v>
      </c>
      <c r="H83" s="93">
        <f>_xlfn.XLOOKUP(B83, Rate_Master!$A:$A, Rate_Master!$D:$D, "")</f>
        <v>11500</v>
      </c>
      <c r="I83" s="67">
        <f t="shared" si="17"/>
        <v>34500</v>
      </c>
      <c r="J83" s="32">
        <f t="shared" si="18"/>
        <v>0</v>
      </c>
      <c r="K83" s="58">
        <f t="shared" si="19"/>
        <v>0</v>
      </c>
      <c r="L83" s="32"/>
      <c r="N83" s="104"/>
      <c r="O83" s="104"/>
      <c r="P83" s="104"/>
    </row>
    <row r="84" spans="1:16" s="4" customFormat="1" ht="25.5" customHeight="1" outlineLevel="1">
      <c r="A84" s="27" t="str">
        <f t="shared" si="16"/>
        <v>14A.S3.5</v>
      </c>
      <c r="B84" s="28" t="s">
        <v>75</v>
      </c>
      <c r="C84" s="28" t="s">
        <v>538</v>
      </c>
      <c r="D84" s="29" t="s">
        <v>517</v>
      </c>
      <c r="E84" s="31">
        <v>0</v>
      </c>
      <c r="F84" s="36"/>
      <c r="G84" s="93">
        <f>_xlfn.XLOOKUP(B84, Rate_Master!$A:$A, Rate_Master!$C:$C, "")</f>
        <v>110399.99999999999</v>
      </c>
      <c r="H84" s="93">
        <f>_xlfn.XLOOKUP(B84, Rate_Master!$A:$A, Rate_Master!$D:$D, "")</f>
        <v>17250</v>
      </c>
      <c r="I84" s="67">
        <f t="shared" si="17"/>
        <v>127649.99999999999</v>
      </c>
      <c r="J84" s="32">
        <f t="shared" si="18"/>
        <v>0</v>
      </c>
      <c r="K84" s="58">
        <f t="shared" si="19"/>
        <v>0</v>
      </c>
      <c r="L84" s="32"/>
      <c r="N84" s="104"/>
      <c r="O84" s="104"/>
      <c r="P84" s="104"/>
    </row>
    <row r="85" spans="1:16" s="4" customFormat="1" ht="25.5" customHeight="1" outlineLevel="1">
      <c r="A85" s="27" t="str">
        <f t="shared" si="16"/>
        <v>14A.S3.6</v>
      </c>
      <c r="B85" s="28" t="s">
        <v>75</v>
      </c>
      <c r="C85" s="28" t="s">
        <v>539</v>
      </c>
      <c r="D85" s="29" t="s">
        <v>517</v>
      </c>
      <c r="E85" s="31">
        <v>0</v>
      </c>
      <c r="F85" s="36"/>
      <c r="G85" s="93">
        <f>_xlfn.XLOOKUP(B85, Rate_Master!$A:$A, Rate_Master!$C:$C, "")</f>
        <v>110399.99999999999</v>
      </c>
      <c r="H85" s="93">
        <f>_xlfn.XLOOKUP(B85, Rate_Master!$A:$A, Rate_Master!$D:$D, "")</f>
        <v>17250</v>
      </c>
      <c r="I85" s="67">
        <f t="shared" si="17"/>
        <v>127649.99999999999</v>
      </c>
      <c r="J85" s="32">
        <f t="shared" si="18"/>
        <v>0</v>
      </c>
      <c r="K85" s="58">
        <f t="shared" si="19"/>
        <v>0</v>
      </c>
      <c r="L85" s="32"/>
      <c r="N85" s="104"/>
      <c r="O85" s="104"/>
      <c r="P85" s="104"/>
    </row>
    <row r="86" spans="1:16" s="4" customFormat="1" ht="25.5" customHeight="1" outlineLevel="1">
      <c r="A86" s="27" t="str">
        <f t="shared" si="16"/>
        <v>14A.S3.7</v>
      </c>
      <c r="B86" s="28" t="s">
        <v>76</v>
      </c>
      <c r="C86" s="28" t="s">
        <v>540</v>
      </c>
      <c r="D86" s="29" t="s">
        <v>517</v>
      </c>
      <c r="E86" s="31">
        <v>0</v>
      </c>
      <c r="F86" s="36"/>
      <c r="G86" s="93">
        <f>_xlfn.XLOOKUP(B86, Rate_Master!$A:$A, Rate_Master!$C:$C, "")</f>
        <v>1976115.3983999996</v>
      </c>
      <c r="H86" s="93">
        <f>_xlfn.XLOOKUP(B86, Rate_Master!$A:$A, Rate_Master!$D:$D, "")</f>
        <v>28749.999999999996</v>
      </c>
      <c r="I86" s="67">
        <f t="shared" si="17"/>
        <v>2004865.3983999996</v>
      </c>
      <c r="J86" s="32">
        <f t="shared" si="18"/>
        <v>0</v>
      </c>
      <c r="K86" s="58">
        <f t="shared" si="19"/>
        <v>0</v>
      </c>
      <c r="L86" s="32"/>
      <c r="N86" s="104"/>
      <c r="O86" s="104"/>
      <c r="P86" s="104"/>
    </row>
    <row r="87" spans="1:16" s="4" customFormat="1" ht="25.5" customHeight="1" outlineLevel="1">
      <c r="A87" s="27" t="str">
        <f t="shared" si="16"/>
        <v>14A.S3.8</v>
      </c>
      <c r="B87" s="28" t="s">
        <v>77</v>
      </c>
      <c r="C87" s="28" t="s">
        <v>541</v>
      </c>
      <c r="D87" s="29" t="s">
        <v>517</v>
      </c>
      <c r="E87" s="31">
        <v>0</v>
      </c>
      <c r="F87" s="36"/>
      <c r="G87" s="93">
        <f>_xlfn.XLOOKUP(B87, Rate_Master!$A:$A, Rate_Master!$C:$C, "")</f>
        <v>1077881.1263999997</v>
      </c>
      <c r="H87" s="93">
        <f>_xlfn.XLOOKUP(B87, Rate_Master!$A:$A, Rate_Master!$D:$D, "")</f>
        <v>23000</v>
      </c>
      <c r="I87" s="67">
        <f t="shared" si="17"/>
        <v>1100881.1263999997</v>
      </c>
      <c r="J87" s="32">
        <f t="shared" si="18"/>
        <v>0</v>
      </c>
      <c r="K87" s="58">
        <f t="shared" si="19"/>
        <v>0</v>
      </c>
      <c r="L87" s="32"/>
      <c r="N87" s="104"/>
      <c r="O87" s="104"/>
      <c r="P87" s="104"/>
    </row>
    <row r="88" spans="1:16" s="4" customFormat="1" ht="25.5" customHeight="1" outlineLevel="1">
      <c r="A88" s="27" t="str">
        <f t="shared" si="16"/>
        <v>14A.S3.9</v>
      </c>
      <c r="B88" s="28" t="s">
        <v>205</v>
      </c>
      <c r="C88" s="28" t="s">
        <v>515</v>
      </c>
      <c r="D88" s="29" t="s">
        <v>518</v>
      </c>
      <c r="E88" s="31">
        <v>10</v>
      </c>
      <c r="F88" s="36">
        <v>13</v>
      </c>
      <c r="G88" s="93">
        <f>_xlfn.XLOOKUP(B88, Rate_Master!$A:$A, Rate_Master!$C:$C, "")</f>
        <v>112699.99999999999</v>
      </c>
      <c r="H88" s="93">
        <f>_xlfn.XLOOKUP(B88, Rate_Master!$A:$A, Rate_Master!$D:$D, "")</f>
        <v>0</v>
      </c>
      <c r="I88" s="67">
        <f t="shared" si="17"/>
        <v>112699.99999999999</v>
      </c>
      <c r="J88" s="32">
        <f t="shared" si="18"/>
        <v>1126999.9999999998</v>
      </c>
      <c r="K88" s="58">
        <f t="shared" si="19"/>
        <v>1465099.9999999998</v>
      </c>
      <c r="L88" s="32"/>
      <c r="N88" s="104"/>
      <c r="O88" s="104"/>
      <c r="P88" s="104"/>
    </row>
    <row r="89" spans="1:16" s="4" customFormat="1" ht="63.75" customHeight="1" outlineLevel="1">
      <c r="A89" s="27" t="str">
        <f t="shared" si="16"/>
        <v>14A.S3.10</v>
      </c>
      <c r="B89" s="28" t="s">
        <v>206</v>
      </c>
      <c r="C89" s="28" t="s">
        <v>542</v>
      </c>
      <c r="D89" s="29" t="s">
        <v>517</v>
      </c>
      <c r="E89" s="31">
        <v>122.4</v>
      </c>
      <c r="F89" s="36">
        <v>136.5</v>
      </c>
      <c r="G89" s="93">
        <f>_xlfn.XLOOKUP(B89, Rate_Master!$A:$A, Rate_Master!$C:$C, "")</f>
        <v>162150</v>
      </c>
      <c r="H89" s="93">
        <f>_xlfn.XLOOKUP(B89, Rate_Master!$A:$A, Rate_Master!$D:$D, "")</f>
        <v>0</v>
      </c>
      <c r="I89" s="67">
        <f t="shared" si="17"/>
        <v>162150</v>
      </c>
      <c r="J89" s="32">
        <f t="shared" si="18"/>
        <v>19847160</v>
      </c>
      <c r="K89" s="58">
        <f t="shared" si="19"/>
        <v>22133475</v>
      </c>
      <c r="L89" s="32"/>
      <c r="N89" s="104"/>
      <c r="O89" s="104"/>
      <c r="P89" s="104"/>
    </row>
    <row r="90" spans="1:16" s="4" customFormat="1" ht="25.5" customHeight="1" outlineLevel="1">
      <c r="A90" s="27" t="str">
        <f t="shared" si="16"/>
        <v>14A.S3.11</v>
      </c>
      <c r="B90" s="28" t="s">
        <v>80</v>
      </c>
      <c r="C90" s="28" t="s">
        <v>515</v>
      </c>
      <c r="D90" s="29" t="s">
        <v>457</v>
      </c>
      <c r="E90" s="31">
        <v>0</v>
      </c>
      <c r="F90" s="36"/>
      <c r="G90" s="93">
        <f>_xlfn.XLOOKUP(B90, Rate_Master!$A:$A, Rate_Master!$C:$C, "")</f>
        <v>0</v>
      </c>
      <c r="H90" s="93">
        <f>_xlfn.XLOOKUP(B90, Rate_Master!$A:$A, Rate_Master!$D:$D, "")</f>
        <v>57499999.999999993</v>
      </c>
      <c r="I90" s="67">
        <f t="shared" si="17"/>
        <v>57499999.999999993</v>
      </c>
      <c r="J90" s="32">
        <f t="shared" si="18"/>
        <v>0</v>
      </c>
      <c r="K90" s="58">
        <f t="shared" si="19"/>
        <v>0</v>
      </c>
      <c r="L90" s="32"/>
      <c r="N90" s="104"/>
      <c r="O90" s="104"/>
      <c r="P90" s="104"/>
    </row>
    <row r="91" spans="1:16" s="4" customFormat="1" ht="25.5" customHeight="1" outlineLevel="1">
      <c r="A91" s="27" t="str">
        <f t="shared" si="16"/>
        <v>14A.S3.12</v>
      </c>
      <c r="B91" s="28" t="s">
        <v>81</v>
      </c>
      <c r="C91" s="28" t="s">
        <v>515</v>
      </c>
      <c r="D91" s="29" t="s">
        <v>520</v>
      </c>
      <c r="E91" s="31">
        <v>0</v>
      </c>
      <c r="F91" s="36"/>
      <c r="G91" s="93">
        <f>_xlfn.XLOOKUP(B91, Rate_Master!$A:$A, Rate_Master!$C:$C, "")</f>
        <v>0</v>
      </c>
      <c r="H91" s="93">
        <f>_xlfn.XLOOKUP(B91, Rate_Master!$A:$A, Rate_Master!$D:$D, "")</f>
        <v>40250</v>
      </c>
      <c r="I91" s="67">
        <f t="shared" si="17"/>
        <v>40250</v>
      </c>
      <c r="J91" s="32">
        <f t="shared" si="18"/>
        <v>0</v>
      </c>
      <c r="K91" s="58">
        <f t="shared" si="19"/>
        <v>0</v>
      </c>
      <c r="L91" s="32"/>
      <c r="N91" s="104"/>
      <c r="O91" s="104"/>
      <c r="P91" s="104"/>
    </row>
    <row r="92" spans="1:16" s="4" customFormat="1" ht="38.25" customHeight="1" outlineLevel="1">
      <c r="A92" s="27" t="str">
        <f t="shared" si="16"/>
        <v>14A.S3.13</v>
      </c>
      <c r="B92" s="28" t="s">
        <v>82</v>
      </c>
      <c r="C92" s="28" t="s">
        <v>515</v>
      </c>
      <c r="D92" s="29" t="s">
        <v>517</v>
      </c>
      <c r="E92" s="31">
        <v>122.4</v>
      </c>
      <c r="F92" s="36">
        <v>136.5</v>
      </c>
      <c r="G92" s="93">
        <f>_xlfn.XLOOKUP(B92, Rate_Master!$A:$A, Rate_Master!$C:$C, "")</f>
        <v>0</v>
      </c>
      <c r="H92" s="93">
        <f>_xlfn.XLOOKUP(B92, Rate_Master!$A:$A, Rate_Master!$D:$D, "")</f>
        <v>23000</v>
      </c>
      <c r="I92" s="67">
        <f t="shared" si="17"/>
        <v>23000</v>
      </c>
      <c r="J92" s="32">
        <f t="shared" si="18"/>
        <v>2815200</v>
      </c>
      <c r="K92" s="58">
        <f t="shared" si="19"/>
        <v>3139500</v>
      </c>
      <c r="L92" s="32"/>
      <c r="N92" s="104"/>
      <c r="O92" s="104"/>
      <c r="P92" s="104"/>
    </row>
    <row r="93" spans="1:16" s="4" customFormat="1" ht="25.5" customHeight="1" outlineLevel="1">
      <c r="A93" s="27" t="str">
        <f t="shared" si="16"/>
        <v>14A.S3.14</v>
      </c>
      <c r="B93" s="28" t="s">
        <v>83</v>
      </c>
      <c r="C93" s="28" t="s">
        <v>543</v>
      </c>
      <c r="D93" s="29" t="s">
        <v>457</v>
      </c>
      <c r="E93" s="31">
        <v>1</v>
      </c>
      <c r="F93" s="36">
        <v>1</v>
      </c>
      <c r="G93" s="93">
        <f>_xlfn.XLOOKUP(B93, Rate_Master!$A:$A, Rate_Master!$C:$C, "")</f>
        <v>145942235.10876715</v>
      </c>
      <c r="H93" s="93">
        <f>_xlfn.XLOOKUP(B93, Rate_Master!$A:$A, Rate_Master!$D:$D, "")</f>
        <v>0</v>
      </c>
      <c r="I93" s="67">
        <f t="shared" si="17"/>
        <v>145942235.10876715</v>
      </c>
      <c r="J93" s="32">
        <f t="shared" si="18"/>
        <v>145942235.10876715</v>
      </c>
      <c r="K93" s="58">
        <f t="shared" si="19"/>
        <v>145942235.10876715</v>
      </c>
      <c r="L93" s="32"/>
      <c r="N93" s="104"/>
      <c r="O93" s="104"/>
      <c r="P93" s="104"/>
    </row>
    <row r="94" spans="1:16" s="3" customFormat="1" ht="25.5" customHeight="1">
      <c r="A94" s="22" t="str">
        <f>$A$56&amp;4</f>
        <v>14A.S4</v>
      </c>
      <c r="B94" s="23" t="s">
        <v>84</v>
      </c>
      <c r="C94" s="23" t="s">
        <v>515</v>
      </c>
      <c r="D94" s="22"/>
      <c r="E94" s="25"/>
      <c r="F94" s="87"/>
      <c r="G94" s="25">
        <f>_xlfn.XLOOKUP(B94, Rate_Master!$A:$A, Rate_Master!$C:$C, "")</f>
        <v>0</v>
      </c>
      <c r="H94" s="25">
        <f>_xlfn.XLOOKUP(B94, Rate_Master!$A:$A, Rate_Master!$D:$D, "")</f>
        <v>0</v>
      </c>
      <c r="I94" s="68"/>
      <c r="J94" s="26">
        <f>SUBTOTAL(9,J95:J103)</f>
        <v>668867480.36346161</v>
      </c>
      <c r="K94" s="26">
        <f>SUBTOTAL(9,K95:K103)</f>
        <v>639622989.11423993</v>
      </c>
      <c r="L94" s="26"/>
      <c r="N94" s="104"/>
      <c r="O94" s="104"/>
      <c r="P94" s="104"/>
    </row>
    <row r="95" spans="1:16" s="4" customFormat="1" ht="38.25" customHeight="1" outlineLevel="1">
      <c r="A95" s="27" t="str">
        <f t="shared" ref="A95:A103" si="20">$A$94&amp;"."&amp;ROW()-ROW($A$94)</f>
        <v>14A.S4.1</v>
      </c>
      <c r="B95" s="28" t="s">
        <v>85</v>
      </c>
      <c r="C95" s="28" t="s">
        <v>544</v>
      </c>
      <c r="D95" s="29" t="s">
        <v>517</v>
      </c>
      <c r="E95" s="31">
        <v>0</v>
      </c>
      <c r="F95" s="36"/>
      <c r="G95" s="93">
        <f>_xlfn.XLOOKUP(B95, Rate_Master!$A:$A, Rate_Master!$C:$C, "")</f>
        <v>5175000</v>
      </c>
      <c r="H95" s="93">
        <f>_xlfn.XLOOKUP(B95, Rate_Master!$A:$A, Rate_Master!$D:$D, "")</f>
        <v>0</v>
      </c>
      <c r="I95" s="67">
        <f t="shared" ref="I95:I103" si="21">+SUM(G95:H95)</f>
        <v>5175000</v>
      </c>
      <c r="J95" s="32">
        <f t="shared" ref="J95:J103" si="22">I95*E95</f>
        <v>0</v>
      </c>
      <c r="K95" s="58">
        <f t="shared" ref="K95:K103" si="23">+F95*I95</f>
        <v>0</v>
      </c>
      <c r="L95" s="32"/>
      <c r="N95" s="104"/>
      <c r="O95" s="104"/>
      <c r="P95" s="104"/>
    </row>
    <row r="96" spans="1:16" s="4" customFormat="1" ht="38.25" customHeight="1" outlineLevel="1">
      <c r="A96" s="27" t="str">
        <f t="shared" si="20"/>
        <v>14A.S4.2</v>
      </c>
      <c r="B96" s="28" t="s">
        <v>86</v>
      </c>
      <c r="C96" s="28" t="s">
        <v>545</v>
      </c>
      <c r="D96" s="29" t="s">
        <v>517</v>
      </c>
      <c r="E96" s="31">
        <v>3.4</v>
      </c>
      <c r="F96" s="36">
        <v>3.4</v>
      </c>
      <c r="G96" s="93">
        <f>_xlfn.XLOOKUP(B96, Rate_Master!$A:$A, Rate_Master!$C:$C, "")</f>
        <v>0</v>
      </c>
      <c r="H96" s="93">
        <f>_xlfn.XLOOKUP(B96, Rate_Master!$A:$A, Rate_Master!$D:$D, "")</f>
        <v>0</v>
      </c>
      <c r="I96" s="67">
        <f t="shared" si="21"/>
        <v>0</v>
      </c>
      <c r="J96" s="32">
        <f t="shared" si="22"/>
        <v>0</v>
      </c>
      <c r="K96" s="58">
        <f t="shared" si="23"/>
        <v>0</v>
      </c>
      <c r="L96" s="32"/>
      <c r="N96" s="104"/>
      <c r="O96" s="104"/>
      <c r="P96" s="104"/>
    </row>
    <row r="97" spans="1:16" s="4" customFormat="1" ht="102" customHeight="1" outlineLevel="1">
      <c r="A97" s="27" t="str">
        <f t="shared" si="20"/>
        <v>14A.S4.3</v>
      </c>
      <c r="B97" s="28" t="s">
        <v>219</v>
      </c>
      <c r="C97" s="28" t="s">
        <v>572</v>
      </c>
      <c r="D97" s="29" t="s">
        <v>523</v>
      </c>
      <c r="E97" s="31">
        <v>15095.70744</v>
      </c>
      <c r="F97" s="36">
        <v>21634.795982399999</v>
      </c>
      <c r="G97" s="93">
        <f>_xlfn.XLOOKUP(B97, Rate_Master!$A:$A, Rate_Master!$C:$C, "")</f>
        <v>20700</v>
      </c>
      <c r="H97" s="93">
        <f>_xlfn.XLOOKUP(B97, Rate_Master!$A:$A, Rate_Master!$D:$D, "")</f>
        <v>6899.9999999999991</v>
      </c>
      <c r="I97" s="67">
        <f t="shared" si="21"/>
        <v>27600</v>
      </c>
      <c r="J97" s="32">
        <f t="shared" si="22"/>
        <v>416641525.34399998</v>
      </c>
      <c r="K97" s="58">
        <f t="shared" si="23"/>
        <v>597120369.11423993</v>
      </c>
      <c r="L97" s="32"/>
      <c r="N97" s="104"/>
      <c r="O97" s="104"/>
      <c r="P97" s="104"/>
    </row>
    <row r="98" spans="1:16" s="4" customFormat="1" ht="38.25" customHeight="1" outlineLevel="1">
      <c r="A98" s="27" t="str">
        <f t="shared" si="20"/>
        <v>14A.S4.4</v>
      </c>
      <c r="B98" s="28" t="s">
        <v>87</v>
      </c>
      <c r="C98" s="28" t="s">
        <v>546</v>
      </c>
      <c r="D98" s="29" t="s">
        <v>517</v>
      </c>
      <c r="E98" s="31">
        <v>167.44</v>
      </c>
      <c r="F98" s="36">
        <v>188</v>
      </c>
      <c r="G98" s="93">
        <f>_xlfn.XLOOKUP(B98, Rate_Master!$A:$A, Rate_Master!$C:$C, "")</f>
        <v>0</v>
      </c>
      <c r="H98" s="93">
        <f>_xlfn.XLOOKUP(B98, Rate_Master!$A:$A, Rate_Master!$D:$D, "")</f>
        <v>0</v>
      </c>
      <c r="I98" s="67">
        <f t="shared" si="21"/>
        <v>0</v>
      </c>
      <c r="J98" s="32">
        <f t="shared" si="22"/>
        <v>0</v>
      </c>
      <c r="K98" s="58">
        <f t="shared" si="23"/>
        <v>0</v>
      </c>
      <c r="L98" s="32"/>
      <c r="N98" s="104"/>
      <c r="O98" s="104"/>
      <c r="P98" s="104"/>
    </row>
    <row r="99" spans="1:16" s="4" customFormat="1" ht="25.5" customHeight="1" outlineLevel="1">
      <c r="A99" s="27" t="str">
        <f t="shared" si="20"/>
        <v>14A.S4.5</v>
      </c>
      <c r="B99" s="28" t="s">
        <v>88</v>
      </c>
      <c r="C99" s="28" t="s">
        <v>546</v>
      </c>
      <c r="D99" s="29" t="s">
        <v>517</v>
      </c>
      <c r="E99" s="31">
        <v>0</v>
      </c>
      <c r="F99" s="36"/>
      <c r="G99" s="93">
        <f>_xlfn.XLOOKUP(B99, Rate_Master!$A:$A, Rate_Master!$C:$C, "")</f>
        <v>0</v>
      </c>
      <c r="H99" s="93">
        <f>_xlfn.XLOOKUP(B99, Rate_Master!$A:$A, Rate_Master!$D:$D, "")</f>
        <v>0</v>
      </c>
      <c r="I99" s="67">
        <f t="shared" si="21"/>
        <v>0</v>
      </c>
      <c r="J99" s="32">
        <f t="shared" si="22"/>
        <v>0</v>
      </c>
      <c r="K99" s="58">
        <f t="shared" si="23"/>
        <v>0</v>
      </c>
      <c r="L99" s="32"/>
      <c r="N99" s="104"/>
      <c r="O99" s="104"/>
      <c r="P99" s="104"/>
    </row>
    <row r="100" spans="1:16" s="4" customFormat="1" ht="51" customHeight="1" outlineLevel="1">
      <c r="A100" s="27" t="str">
        <f t="shared" si="20"/>
        <v>14A.S4.6</v>
      </c>
      <c r="B100" s="28" t="s">
        <v>89</v>
      </c>
      <c r="C100" s="28" t="s">
        <v>547</v>
      </c>
      <c r="D100" s="29" t="s">
        <v>520</v>
      </c>
      <c r="E100" s="31">
        <v>1825.71</v>
      </c>
      <c r="F100" s="36">
        <v>1847.94</v>
      </c>
      <c r="G100" s="93">
        <f>_xlfn.XLOOKUP(B100, Rate_Master!$A:$A, Rate_Master!$C:$C, "")</f>
        <v>17250</v>
      </c>
      <c r="H100" s="93">
        <f>_xlfn.XLOOKUP(B100, Rate_Master!$A:$A, Rate_Master!$D:$D, "")</f>
        <v>5750</v>
      </c>
      <c r="I100" s="67">
        <f t="shared" si="21"/>
        <v>23000</v>
      </c>
      <c r="J100" s="32">
        <f t="shared" si="22"/>
        <v>41991330</v>
      </c>
      <c r="K100" s="58">
        <f t="shared" si="23"/>
        <v>42502620</v>
      </c>
      <c r="L100" s="32"/>
      <c r="N100" s="104"/>
      <c r="O100" s="104"/>
      <c r="P100" s="104"/>
    </row>
    <row r="101" spans="1:16" s="4" customFormat="1" ht="38.25" customHeight="1" outlineLevel="1">
      <c r="A101" s="27" t="str">
        <f t="shared" si="20"/>
        <v>14A.S4.7</v>
      </c>
      <c r="B101" s="28" t="s">
        <v>90</v>
      </c>
      <c r="C101" s="28" t="s">
        <v>573</v>
      </c>
      <c r="D101" s="29" t="s">
        <v>520</v>
      </c>
      <c r="E101" s="31">
        <v>10753.689259307501</v>
      </c>
      <c r="F101" s="36"/>
      <c r="G101" s="93">
        <f>_xlfn.XLOOKUP(B101, Rate_Master!$A:$A, Rate_Master!$C:$C, "")</f>
        <v>0</v>
      </c>
      <c r="H101" s="93">
        <f>_xlfn.XLOOKUP(B101, Rate_Master!$A:$A, Rate_Master!$D:$D, "")</f>
        <v>0</v>
      </c>
      <c r="I101" s="67">
        <f t="shared" si="21"/>
        <v>0</v>
      </c>
      <c r="J101" s="32">
        <f t="shared" si="22"/>
        <v>0</v>
      </c>
      <c r="K101" s="58">
        <f t="shared" si="23"/>
        <v>0</v>
      </c>
      <c r="L101" s="32"/>
      <c r="N101" s="104"/>
      <c r="O101" s="104"/>
      <c r="P101" s="104"/>
    </row>
    <row r="102" spans="1:16" s="4" customFormat="1" ht="25.5" customHeight="1" outlineLevel="1">
      <c r="A102" s="27" t="str">
        <f t="shared" si="20"/>
        <v>14A.S4.8</v>
      </c>
      <c r="B102" s="28" t="s">
        <v>91</v>
      </c>
      <c r="C102" s="28" t="s">
        <v>515</v>
      </c>
      <c r="D102" s="29" t="s">
        <v>457</v>
      </c>
      <c r="E102" s="31">
        <v>1</v>
      </c>
      <c r="F102" s="36"/>
      <c r="G102" s="93">
        <f>_xlfn.XLOOKUP(B102, Rate_Master!$A:$A, Rate_Master!$C:$C, "")</f>
        <v>0</v>
      </c>
      <c r="H102" s="93">
        <f>_xlfn.XLOOKUP(B102, Rate_Master!$A:$A, Rate_Master!$D:$D, "")</f>
        <v>0</v>
      </c>
      <c r="I102" s="67">
        <f t="shared" si="21"/>
        <v>0</v>
      </c>
      <c r="J102" s="32">
        <f t="shared" si="22"/>
        <v>0</v>
      </c>
      <c r="K102" s="58">
        <f t="shared" si="23"/>
        <v>0</v>
      </c>
      <c r="L102" s="32"/>
      <c r="N102" s="104"/>
      <c r="O102" s="104"/>
      <c r="P102" s="104"/>
    </row>
    <row r="103" spans="1:16" s="4" customFormat="1" ht="51" customHeight="1" outlineLevel="1">
      <c r="A103" s="27" t="str">
        <f t="shared" si="20"/>
        <v>14A.S4.9</v>
      </c>
      <c r="B103" s="28" t="s">
        <v>92</v>
      </c>
      <c r="C103" s="28" t="s">
        <v>550</v>
      </c>
      <c r="D103" s="29" t="s">
        <v>520</v>
      </c>
      <c r="E103" s="31">
        <v>10753.689259307501</v>
      </c>
      <c r="F103" s="36"/>
      <c r="G103" s="93">
        <f>_xlfn.XLOOKUP(B103, Rate_Master!$A:$A, Rate_Master!$C:$C, "")</f>
        <v>16099.999999999998</v>
      </c>
      <c r="H103" s="93">
        <f>_xlfn.XLOOKUP(B103, Rate_Master!$A:$A, Rate_Master!$D:$D, "")</f>
        <v>3449.9999999999995</v>
      </c>
      <c r="I103" s="67">
        <f t="shared" si="21"/>
        <v>19549.999999999996</v>
      </c>
      <c r="J103" s="32">
        <f t="shared" si="22"/>
        <v>210234625.0194616</v>
      </c>
      <c r="K103" s="58">
        <f t="shared" si="23"/>
        <v>0</v>
      </c>
      <c r="L103" s="32"/>
      <c r="N103" s="104"/>
      <c r="O103" s="104"/>
      <c r="P103" s="104"/>
    </row>
    <row r="104" spans="1:16" s="3" customFormat="1" ht="25.5" customHeight="1">
      <c r="A104" s="22" t="str">
        <f>$A$9&amp;".F"</f>
        <v>14A.F</v>
      </c>
      <c r="B104" s="23" t="s">
        <v>93</v>
      </c>
      <c r="C104" s="23" t="s">
        <v>515</v>
      </c>
      <c r="D104" s="22"/>
      <c r="E104" s="25"/>
      <c r="F104" s="25"/>
      <c r="G104" s="25">
        <f>_xlfn.XLOOKUP(B104, Rate_Master!$A:$A, Rate_Master!$C:$C, "")</f>
        <v>0</v>
      </c>
      <c r="H104" s="25">
        <f>_xlfn.XLOOKUP(B104, Rate_Master!$A:$A, Rate_Master!$D:$D, "")</f>
        <v>0</v>
      </c>
      <c r="I104" s="26">
        <f>G104+H104</f>
        <v>0</v>
      </c>
      <c r="J104" s="26"/>
      <c r="K104" s="26"/>
      <c r="L104" s="26"/>
    </row>
    <row r="105" spans="1:16" s="3" customFormat="1" ht="25.5" customHeight="1">
      <c r="A105" s="22" t="str">
        <f>$A$104&amp;1</f>
        <v>14A.F1</v>
      </c>
      <c r="B105" s="23" t="s">
        <v>94</v>
      </c>
      <c r="C105" s="23" t="s">
        <v>515</v>
      </c>
      <c r="D105" s="22"/>
      <c r="E105" s="25"/>
      <c r="F105" s="25"/>
      <c r="G105" s="25">
        <f>_xlfn.XLOOKUP(B105, Rate_Master!$A:$A, Rate_Master!$C:$C, "")</f>
        <v>0</v>
      </c>
      <c r="H105" s="25">
        <f>_xlfn.XLOOKUP(B105, Rate_Master!$A:$A, Rate_Master!$D:$D, "")</f>
        <v>0</v>
      </c>
      <c r="I105" s="26">
        <f>G105+H105</f>
        <v>0</v>
      </c>
      <c r="J105" s="26">
        <f>SUBTOTAL(9,J106:J125)</f>
        <v>4018255205.7155037</v>
      </c>
      <c r="K105" s="26">
        <f>SUBTOTAL(9,K106:K125)</f>
        <v>4018255205.7155037</v>
      </c>
      <c r="L105" s="26"/>
    </row>
    <row r="106" spans="1:16" s="4" customFormat="1" ht="25.5" customHeight="1" outlineLevel="1">
      <c r="A106" s="27" t="str">
        <f t="shared" ref="A106:A125" si="24">$A$105&amp;"."&amp;ROW()-ROW($A$105)</f>
        <v>14A.F1.1</v>
      </c>
      <c r="B106" s="35" t="s">
        <v>95</v>
      </c>
      <c r="C106" s="34" t="s">
        <v>551</v>
      </c>
      <c r="D106" s="29" t="s">
        <v>519</v>
      </c>
      <c r="E106" s="31">
        <v>520.56700000000001</v>
      </c>
      <c r="F106" s="31">
        <v>520.56700000000001</v>
      </c>
      <c r="G106" s="30">
        <f>_xlfn.XLOOKUP(B106, Rate_Master!$A:$A, Rate_Master!$C:$C, "")</f>
        <v>1587600.0077618286</v>
      </c>
      <c r="H106" s="30">
        <f>_xlfn.XLOOKUP(B106, Rate_Master!$A:$A, Rate_Master!$D:$D, "")</f>
        <v>1086539.80861244</v>
      </c>
      <c r="I106" s="32">
        <f>+H106+G106</f>
        <v>2674139.8163742684</v>
      </c>
      <c r="J106" s="32">
        <f t="shared" ref="J106:J125" si="25">I106*E106</f>
        <v>1392068941.7905037</v>
      </c>
      <c r="K106" s="32">
        <f t="shared" ref="K106:K125" si="26">I106*F106</f>
        <v>1392068941.7905037</v>
      </c>
      <c r="L106" s="32"/>
    </row>
    <row r="107" spans="1:16" s="4" customFormat="1" ht="25.5" customHeight="1" outlineLevel="1">
      <c r="A107" s="27" t="str">
        <f t="shared" si="24"/>
        <v>14A.F1.2</v>
      </c>
      <c r="B107" s="35" t="s">
        <v>96</v>
      </c>
      <c r="C107" s="34" t="s">
        <v>551</v>
      </c>
      <c r="D107" s="29" t="s">
        <v>519</v>
      </c>
      <c r="E107" s="31">
        <v>44.256</v>
      </c>
      <c r="F107" s="31">
        <v>44.256</v>
      </c>
      <c r="G107" s="30">
        <f>_xlfn.XLOOKUP(B107, Rate_Master!$A:$A, Rate_Master!$C:$C, "")</f>
        <v>1368500</v>
      </c>
      <c r="H107" s="30">
        <f>_xlfn.XLOOKUP(B107, Rate_Master!$A:$A, Rate_Master!$D:$D, "")</f>
        <v>948749.99999999988</v>
      </c>
      <c r="I107" s="32">
        <f>+H107+G107</f>
        <v>2317250</v>
      </c>
      <c r="J107" s="32">
        <f t="shared" si="25"/>
        <v>102552216</v>
      </c>
      <c r="K107" s="32">
        <f t="shared" si="26"/>
        <v>102552216</v>
      </c>
      <c r="L107" s="32"/>
    </row>
    <row r="108" spans="1:16" s="4" customFormat="1" ht="63.75" customHeight="1" outlineLevel="1">
      <c r="A108" s="27" t="str">
        <f t="shared" si="24"/>
        <v>14A.F1.3</v>
      </c>
      <c r="B108" s="28" t="s">
        <v>97</v>
      </c>
      <c r="C108" s="34" t="s">
        <v>552</v>
      </c>
      <c r="D108" s="29" t="s">
        <v>520</v>
      </c>
      <c r="E108" s="53">
        <v>0</v>
      </c>
      <c r="F108" s="53">
        <v>0</v>
      </c>
      <c r="G108" s="31">
        <f>_xlfn.XLOOKUP(B108, Rate_Master!$A:$A, Rate_Master!$C:$C, "")</f>
        <v>229999.99999999997</v>
      </c>
      <c r="H108" s="31">
        <f>_xlfn.XLOOKUP(B108, Rate_Master!$A:$A, Rate_Master!$D:$D, "")</f>
        <v>46000</v>
      </c>
      <c r="I108" s="32">
        <v>0</v>
      </c>
      <c r="J108" s="32">
        <f t="shared" si="25"/>
        <v>0</v>
      </c>
      <c r="K108" s="32">
        <f t="shared" si="26"/>
        <v>0</v>
      </c>
      <c r="L108" s="32"/>
    </row>
    <row r="109" spans="1:16" s="4" customFormat="1" ht="51" customHeight="1" outlineLevel="1">
      <c r="A109" s="27" t="str">
        <f t="shared" si="24"/>
        <v>14A.F1.4</v>
      </c>
      <c r="B109" s="28" t="s">
        <v>98</v>
      </c>
      <c r="C109" s="34" t="s">
        <v>553</v>
      </c>
      <c r="D109" s="29" t="s">
        <v>520</v>
      </c>
      <c r="E109" s="31">
        <v>0</v>
      </c>
      <c r="F109" s="31">
        <v>0</v>
      </c>
      <c r="G109" s="31">
        <f>_xlfn.XLOOKUP(B109, Rate_Master!$A:$A, Rate_Master!$C:$C, "")</f>
        <v>0</v>
      </c>
      <c r="H109" s="31">
        <f>_xlfn.XLOOKUP(B109, Rate_Master!$A:$A, Rate_Master!$D:$D, "")</f>
        <v>0</v>
      </c>
      <c r="I109" s="32">
        <v>0</v>
      </c>
      <c r="J109" s="32">
        <f t="shared" si="25"/>
        <v>0</v>
      </c>
      <c r="K109" s="32">
        <f t="shared" si="26"/>
        <v>0</v>
      </c>
      <c r="L109" s="32"/>
    </row>
    <row r="110" spans="1:16" s="4" customFormat="1" ht="51" customHeight="1" outlineLevel="1">
      <c r="A110" s="27" t="str">
        <f t="shared" si="24"/>
        <v>14A.F1.5</v>
      </c>
      <c r="B110" s="28" t="s">
        <v>99</v>
      </c>
      <c r="C110" s="34" t="s">
        <v>553</v>
      </c>
      <c r="D110" s="29" t="s">
        <v>520</v>
      </c>
      <c r="E110" s="31">
        <v>0</v>
      </c>
      <c r="F110" s="31">
        <v>0</v>
      </c>
      <c r="G110" s="31">
        <f>_xlfn.XLOOKUP(B110, Rate_Master!$A:$A, Rate_Master!$C:$C, "")</f>
        <v>931499.99999999988</v>
      </c>
      <c r="H110" s="31">
        <f>_xlfn.XLOOKUP(B110, Rate_Master!$A:$A, Rate_Master!$D:$D, "")</f>
        <v>114999.99999999999</v>
      </c>
      <c r="I110" s="32">
        <v>0</v>
      </c>
      <c r="J110" s="32">
        <f t="shared" si="25"/>
        <v>0</v>
      </c>
      <c r="K110" s="32">
        <f t="shared" si="26"/>
        <v>0</v>
      </c>
      <c r="L110" s="32"/>
    </row>
    <row r="111" spans="1:16" s="4" customFormat="1" ht="25.5" customHeight="1" outlineLevel="1">
      <c r="A111" s="27" t="str">
        <f t="shared" si="24"/>
        <v>14A.F1.6</v>
      </c>
      <c r="B111" s="28" t="s">
        <v>100</v>
      </c>
      <c r="C111" s="34" t="s">
        <v>554</v>
      </c>
      <c r="D111" s="29" t="s">
        <v>520</v>
      </c>
      <c r="E111" s="31">
        <v>0</v>
      </c>
      <c r="F111" s="31">
        <v>0</v>
      </c>
      <c r="G111" s="31">
        <f>_xlfn.XLOOKUP(B111, Rate_Master!$A:$A, Rate_Master!$C:$C, "")</f>
        <v>1586790</v>
      </c>
      <c r="H111" s="31">
        <f>_xlfn.XLOOKUP(B111, Rate_Master!$A:$A, Rate_Master!$D:$D, "")</f>
        <v>372210</v>
      </c>
      <c r="I111" s="32">
        <v>0</v>
      </c>
      <c r="J111" s="32">
        <f t="shared" si="25"/>
        <v>0</v>
      </c>
      <c r="K111" s="32">
        <f t="shared" si="26"/>
        <v>0</v>
      </c>
      <c r="L111" s="32"/>
    </row>
    <row r="112" spans="1:16" s="4" customFormat="1" ht="51" customHeight="1" outlineLevel="1">
      <c r="A112" s="27" t="str">
        <f t="shared" si="24"/>
        <v>14A.F1.7</v>
      </c>
      <c r="B112" s="28" t="s">
        <v>101</v>
      </c>
      <c r="C112" s="28" t="s">
        <v>515</v>
      </c>
      <c r="D112" s="29" t="s">
        <v>520</v>
      </c>
      <c r="E112" s="31">
        <v>206.828</v>
      </c>
      <c r="F112" s="31">
        <v>206.828</v>
      </c>
      <c r="G112" s="31">
        <f>_xlfn.XLOOKUP(B112, Rate_Master!$A:$A, Rate_Master!$C:$C, "")</f>
        <v>1121250</v>
      </c>
      <c r="H112" s="31">
        <f>_xlfn.XLOOKUP(B112, Rate_Master!$A:$A, Rate_Master!$D:$D, "")</f>
        <v>114999.99999999999</v>
      </c>
      <c r="I112" s="32">
        <f t="shared" ref="I112:I123" si="27">+H112+G112</f>
        <v>1236250</v>
      </c>
      <c r="J112" s="32">
        <f t="shared" si="25"/>
        <v>255691115</v>
      </c>
      <c r="K112" s="32">
        <f t="shared" si="26"/>
        <v>255691115</v>
      </c>
      <c r="L112" s="32"/>
    </row>
    <row r="113" spans="1:12" s="4" customFormat="1" ht="51" customHeight="1" outlineLevel="1">
      <c r="A113" s="27" t="str">
        <f t="shared" si="24"/>
        <v>14A.F1.8</v>
      </c>
      <c r="B113" s="28" t="s">
        <v>102</v>
      </c>
      <c r="C113" s="34" t="s">
        <v>555</v>
      </c>
      <c r="D113" s="29" t="s">
        <v>520</v>
      </c>
      <c r="E113" s="31">
        <v>635.02499999999998</v>
      </c>
      <c r="F113" s="31">
        <v>635.02499999999998</v>
      </c>
      <c r="G113" s="31">
        <f>_xlfn.XLOOKUP(B113, Rate_Master!$A:$A, Rate_Master!$C:$C, "")</f>
        <v>0</v>
      </c>
      <c r="H113" s="31">
        <f>_xlfn.XLOOKUP(B113, Rate_Master!$A:$A, Rate_Master!$D:$D, "")</f>
        <v>0</v>
      </c>
      <c r="I113" s="32">
        <f t="shared" si="27"/>
        <v>0</v>
      </c>
      <c r="J113" s="32">
        <f t="shared" si="25"/>
        <v>0</v>
      </c>
      <c r="K113" s="32">
        <f t="shared" si="26"/>
        <v>0</v>
      </c>
      <c r="L113" s="32"/>
    </row>
    <row r="114" spans="1:12" s="4" customFormat="1" ht="51" customHeight="1" outlineLevel="1">
      <c r="A114" s="27" t="str">
        <f t="shared" si="24"/>
        <v>14A.F1.9</v>
      </c>
      <c r="B114" s="28" t="s">
        <v>103</v>
      </c>
      <c r="C114" s="34" t="s">
        <v>555</v>
      </c>
      <c r="D114" s="29" t="s">
        <v>520</v>
      </c>
      <c r="E114" s="31">
        <v>69.656999999999996</v>
      </c>
      <c r="F114" s="31">
        <v>69.656999999999996</v>
      </c>
      <c r="G114" s="31">
        <f>_xlfn.XLOOKUP(B114, Rate_Master!$A:$A, Rate_Master!$C:$C, "")</f>
        <v>0</v>
      </c>
      <c r="H114" s="31">
        <f>_xlfn.XLOOKUP(B114, Rate_Master!$A:$A, Rate_Master!$D:$D, "")</f>
        <v>0</v>
      </c>
      <c r="I114" s="32">
        <f t="shared" si="27"/>
        <v>0</v>
      </c>
      <c r="J114" s="32">
        <f t="shared" si="25"/>
        <v>0</v>
      </c>
      <c r="K114" s="32">
        <f t="shared" si="26"/>
        <v>0</v>
      </c>
      <c r="L114" s="32"/>
    </row>
    <row r="115" spans="1:12" s="4" customFormat="1" ht="38.25" customHeight="1" outlineLevel="1">
      <c r="A115" s="27" t="str">
        <f t="shared" si="24"/>
        <v>14A.F1.10</v>
      </c>
      <c r="B115" s="28" t="s">
        <v>244</v>
      </c>
      <c r="C115" s="34"/>
      <c r="D115" s="29" t="s">
        <v>520</v>
      </c>
      <c r="E115" s="31">
        <v>57.631</v>
      </c>
      <c r="F115" s="31">
        <v>57.631</v>
      </c>
      <c r="G115" s="31">
        <f>_xlfn.XLOOKUP(B115, Rate_Master!$A:$A, Rate_Master!$C:$C, "")</f>
        <v>1980299.9999999998</v>
      </c>
      <c r="H115" s="31">
        <f>_xlfn.XLOOKUP(B115, Rate_Master!$A:$A, Rate_Master!$D:$D, "")</f>
        <v>770499.99999999988</v>
      </c>
      <c r="I115" s="32">
        <f t="shared" si="27"/>
        <v>2750799.9999999995</v>
      </c>
      <c r="J115" s="32">
        <f t="shared" si="25"/>
        <v>158531354.79999998</v>
      </c>
      <c r="K115" s="32">
        <f t="shared" si="26"/>
        <v>158531354.79999998</v>
      </c>
      <c r="L115" s="32"/>
    </row>
    <row r="116" spans="1:12" s="4" customFormat="1" ht="63.75" customHeight="1" outlineLevel="1">
      <c r="A116" s="27" t="str">
        <f t="shared" si="24"/>
        <v>14A.F1.11</v>
      </c>
      <c r="B116" s="28" t="s">
        <v>245</v>
      </c>
      <c r="C116" s="34"/>
      <c r="D116" s="29" t="s">
        <v>517</v>
      </c>
      <c r="E116" s="31">
        <v>26.26</v>
      </c>
      <c r="F116" s="31">
        <v>26.26</v>
      </c>
      <c r="G116" s="31">
        <f>_xlfn.XLOOKUP(B116, Rate_Master!$A:$A, Rate_Master!$C:$C, "")</f>
        <v>1799749.9999999998</v>
      </c>
      <c r="H116" s="31">
        <f>_xlfn.XLOOKUP(B116, Rate_Master!$A:$A, Rate_Master!$D:$D, "")</f>
        <v>700350</v>
      </c>
      <c r="I116" s="32">
        <f t="shared" si="27"/>
        <v>2500100</v>
      </c>
      <c r="J116" s="32">
        <f t="shared" si="25"/>
        <v>65652626.000000007</v>
      </c>
      <c r="K116" s="32">
        <f t="shared" si="26"/>
        <v>65652626.000000007</v>
      </c>
      <c r="L116" s="32"/>
    </row>
    <row r="117" spans="1:12" s="4" customFormat="1" ht="25.5" customHeight="1" outlineLevel="1">
      <c r="A117" s="27" t="str">
        <f t="shared" si="24"/>
        <v>14A.F1.12</v>
      </c>
      <c r="B117" s="28" t="s">
        <v>104</v>
      </c>
      <c r="C117" s="28" t="s">
        <v>515</v>
      </c>
      <c r="D117" s="29" t="s">
        <v>520</v>
      </c>
      <c r="E117" s="31">
        <v>2165.904</v>
      </c>
      <c r="F117" s="31">
        <v>2165.904</v>
      </c>
      <c r="G117" s="30">
        <f>_xlfn.XLOOKUP(B117, Rate_Master!$A:$A, Rate_Master!$C:$C, "")</f>
        <v>46000</v>
      </c>
      <c r="H117" s="30">
        <f>_xlfn.XLOOKUP(B117, Rate_Master!$A:$A, Rate_Master!$D:$D, "")</f>
        <v>34500</v>
      </c>
      <c r="I117" s="32">
        <f t="shared" si="27"/>
        <v>80500</v>
      </c>
      <c r="J117" s="32">
        <f t="shared" si="25"/>
        <v>174355272</v>
      </c>
      <c r="K117" s="32">
        <f t="shared" si="26"/>
        <v>174355272</v>
      </c>
      <c r="L117" s="32"/>
    </row>
    <row r="118" spans="1:12" s="4" customFormat="1" ht="25.5" customHeight="1" outlineLevel="1">
      <c r="A118" s="27" t="str">
        <f t="shared" si="24"/>
        <v>14A.F1.13</v>
      </c>
      <c r="B118" s="28" t="s">
        <v>105</v>
      </c>
      <c r="C118" s="34" t="s">
        <v>556</v>
      </c>
      <c r="D118" s="29" t="s">
        <v>520</v>
      </c>
      <c r="E118" s="31">
        <v>2086.3270000000002</v>
      </c>
      <c r="F118" s="31">
        <v>2086.3270000000002</v>
      </c>
      <c r="G118" s="30">
        <f>_xlfn.XLOOKUP(B118, Rate_Master!$A:$A, Rate_Master!$C:$C, "")</f>
        <v>26565.000000000004</v>
      </c>
      <c r="H118" s="30">
        <f>_xlfn.XLOOKUP(B118, Rate_Master!$A:$A, Rate_Master!$D:$D, "")</f>
        <v>132250</v>
      </c>
      <c r="I118" s="32">
        <f t="shared" si="27"/>
        <v>158815</v>
      </c>
      <c r="J118" s="32">
        <f t="shared" si="25"/>
        <v>331340022.50500005</v>
      </c>
      <c r="K118" s="32">
        <f t="shared" si="26"/>
        <v>331340022.50500005</v>
      </c>
      <c r="L118" s="32"/>
    </row>
    <row r="119" spans="1:12" s="4" customFormat="1" ht="25.5" customHeight="1" outlineLevel="1">
      <c r="A119" s="27" t="str">
        <f t="shared" si="24"/>
        <v>14A.F1.14</v>
      </c>
      <c r="B119" s="28" t="s">
        <v>106</v>
      </c>
      <c r="C119" s="34" t="s">
        <v>556</v>
      </c>
      <c r="D119" s="29" t="s">
        <v>520</v>
      </c>
      <c r="E119" s="31">
        <v>4423.348</v>
      </c>
      <c r="F119" s="31">
        <v>4423.348</v>
      </c>
      <c r="G119" s="30">
        <f>_xlfn.XLOOKUP(B119, Rate_Master!$A:$A, Rate_Master!$C:$C, "")</f>
        <v>26565.000000000004</v>
      </c>
      <c r="H119" s="30">
        <f>_xlfn.XLOOKUP(B119, Rate_Master!$A:$A, Rate_Master!$D:$D, "")</f>
        <v>117299.99999999999</v>
      </c>
      <c r="I119" s="32">
        <f t="shared" si="27"/>
        <v>143865</v>
      </c>
      <c r="J119" s="32">
        <f t="shared" si="25"/>
        <v>636364960.01999998</v>
      </c>
      <c r="K119" s="32">
        <f t="shared" si="26"/>
        <v>636364960.01999998</v>
      </c>
      <c r="L119" s="32"/>
    </row>
    <row r="120" spans="1:12" s="4" customFormat="1" ht="38.25" customHeight="1" outlineLevel="1">
      <c r="A120" s="27" t="str">
        <f t="shared" si="24"/>
        <v>14A.F1.15</v>
      </c>
      <c r="B120" s="28" t="s">
        <v>107</v>
      </c>
      <c r="C120" s="28" t="s">
        <v>515</v>
      </c>
      <c r="D120" s="29" t="s">
        <v>520</v>
      </c>
      <c r="E120" s="31">
        <v>1477.153</v>
      </c>
      <c r="F120" s="31">
        <v>1477.153</v>
      </c>
      <c r="G120" s="31">
        <f>_xlfn.XLOOKUP(B120, Rate_Master!$A:$A, Rate_Master!$C:$C, "")</f>
        <v>218499.99999999997</v>
      </c>
      <c r="H120" s="31">
        <f>_xlfn.XLOOKUP(B120, Rate_Master!$A:$A, Rate_Master!$D:$D, "")</f>
        <v>138000</v>
      </c>
      <c r="I120" s="32">
        <f t="shared" si="27"/>
        <v>356500</v>
      </c>
      <c r="J120" s="32">
        <f t="shared" si="25"/>
        <v>526605044.5</v>
      </c>
      <c r="K120" s="32">
        <f t="shared" si="26"/>
        <v>526605044.5</v>
      </c>
      <c r="L120" s="32"/>
    </row>
    <row r="121" spans="1:12" s="4" customFormat="1" ht="25.5" customHeight="1" outlineLevel="1">
      <c r="A121" s="27" t="str">
        <f t="shared" si="24"/>
        <v>14A.F1.16</v>
      </c>
      <c r="B121" s="34" t="s">
        <v>108</v>
      </c>
      <c r="C121" s="28" t="s">
        <v>515</v>
      </c>
      <c r="D121" s="29" t="s">
        <v>520</v>
      </c>
      <c r="E121" s="31">
        <v>2086.3270000000002</v>
      </c>
      <c r="F121" s="31">
        <v>2086.3270000000002</v>
      </c>
      <c r="G121" s="30">
        <f>_xlfn.XLOOKUP(B121, Rate_Master!$A:$A, Rate_Master!$C:$C, "")</f>
        <v>51749.999999999993</v>
      </c>
      <c r="H121" s="30">
        <f>_xlfn.XLOOKUP(B121, Rate_Master!$A:$A, Rate_Master!$D:$D, "")</f>
        <v>34500</v>
      </c>
      <c r="I121" s="32">
        <f t="shared" si="27"/>
        <v>86250</v>
      </c>
      <c r="J121" s="32">
        <f t="shared" si="25"/>
        <v>179945703.75000003</v>
      </c>
      <c r="K121" s="32">
        <f t="shared" si="26"/>
        <v>179945703.75000003</v>
      </c>
      <c r="L121" s="32"/>
    </row>
    <row r="122" spans="1:12" s="4" customFormat="1" ht="25.5" customHeight="1" outlineLevel="1">
      <c r="A122" s="27" t="str">
        <f t="shared" si="24"/>
        <v>14A.F1.17</v>
      </c>
      <c r="B122" s="34" t="s">
        <v>109</v>
      </c>
      <c r="C122" s="28" t="s">
        <v>515</v>
      </c>
      <c r="D122" s="29" t="s">
        <v>520</v>
      </c>
      <c r="E122" s="31">
        <v>2359.277</v>
      </c>
      <c r="F122" s="31">
        <v>2359.277</v>
      </c>
      <c r="G122" s="31">
        <f>_xlfn.XLOOKUP(B122, Rate_Master!$A:$A, Rate_Master!$C:$C, "")</f>
        <v>46000</v>
      </c>
      <c r="H122" s="31">
        <f>_xlfn.XLOOKUP(B122, Rate_Master!$A:$A, Rate_Master!$D:$D, "")</f>
        <v>19550</v>
      </c>
      <c r="I122" s="32">
        <f t="shared" si="27"/>
        <v>65550</v>
      </c>
      <c r="J122" s="32">
        <f t="shared" si="25"/>
        <v>154650607.34999999</v>
      </c>
      <c r="K122" s="32">
        <f t="shared" si="26"/>
        <v>154650607.34999999</v>
      </c>
      <c r="L122" s="32"/>
    </row>
    <row r="123" spans="1:12" s="4" customFormat="1" ht="38.25" customHeight="1" outlineLevel="1">
      <c r="A123" s="27" t="str">
        <f t="shared" si="24"/>
        <v>14A.F1.18</v>
      </c>
      <c r="B123" s="34" t="s">
        <v>110</v>
      </c>
      <c r="C123" s="28" t="s">
        <v>515</v>
      </c>
      <c r="D123" s="29" t="s">
        <v>520</v>
      </c>
      <c r="E123" s="31">
        <v>586.91800000000001</v>
      </c>
      <c r="F123" s="31">
        <v>586.91800000000001</v>
      </c>
      <c r="G123" s="31">
        <f>_xlfn.XLOOKUP(B123, Rate_Master!$A:$A, Rate_Master!$C:$C, "")</f>
        <v>51749.999999999993</v>
      </c>
      <c r="H123" s="31">
        <f>_xlfn.XLOOKUP(B123, Rate_Master!$A:$A, Rate_Master!$D:$D, "")</f>
        <v>17250</v>
      </c>
      <c r="I123" s="32">
        <f t="shared" si="27"/>
        <v>69000</v>
      </c>
      <c r="J123" s="32">
        <f t="shared" si="25"/>
        <v>40497342</v>
      </c>
      <c r="K123" s="32">
        <f t="shared" si="26"/>
        <v>40497342</v>
      </c>
      <c r="L123" s="32"/>
    </row>
    <row r="124" spans="1:12" s="4" customFormat="1" ht="25.5" customHeight="1" outlineLevel="1">
      <c r="A124" s="27" t="str">
        <f t="shared" si="24"/>
        <v>14A.F1.19</v>
      </c>
      <c r="B124" s="34" t="s">
        <v>111</v>
      </c>
      <c r="C124" s="28" t="s">
        <v>515</v>
      </c>
      <c r="D124" s="29" t="s">
        <v>520</v>
      </c>
      <c r="E124" s="31">
        <v>0</v>
      </c>
      <c r="F124" s="31">
        <v>0</v>
      </c>
      <c r="G124" s="31">
        <f>_xlfn.XLOOKUP(B124, Rate_Master!$A:$A, Rate_Master!$C:$C, "")</f>
        <v>172500</v>
      </c>
      <c r="H124" s="31">
        <f>_xlfn.XLOOKUP(B124, Rate_Master!$A:$A, Rate_Master!$D:$D, "")</f>
        <v>28749.999999999996</v>
      </c>
      <c r="I124" s="32"/>
      <c r="J124" s="32">
        <f t="shared" si="25"/>
        <v>0</v>
      </c>
      <c r="K124" s="32">
        <f t="shared" si="26"/>
        <v>0</v>
      </c>
      <c r="L124" s="32"/>
    </row>
    <row r="125" spans="1:12" s="4" customFormat="1" ht="38.25" customHeight="1" outlineLevel="1">
      <c r="A125" s="27" t="str">
        <f t="shared" si="24"/>
        <v>14A.F1.20</v>
      </c>
      <c r="B125" s="34" t="s">
        <v>112</v>
      </c>
      <c r="C125" s="34" t="s">
        <v>557</v>
      </c>
      <c r="D125" s="29" t="s">
        <v>517</v>
      </c>
      <c r="E125" s="31">
        <v>0</v>
      </c>
      <c r="F125" s="31">
        <v>0</v>
      </c>
      <c r="G125" s="31">
        <f>_xlfn.XLOOKUP(B125, Rate_Master!$A:$A, Rate_Master!$C:$C, "")</f>
        <v>163300</v>
      </c>
      <c r="H125" s="31">
        <f>_xlfn.XLOOKUP(B125, Rate_Master!$A:$A, Rate_Master!$D:$D, "")</f>
        <v>51749.999999999993</v>
      </c>
      <c r="I125" s="32"/>
      <c r="J125" s="32">
        <f t="shared" si="25"/>
        <v>0</v>
      </c>
      <c r="K125" s="32">
        <f t="shared" si="26"/>
        <v>0</v>
      </c>
      <c r="L125" s="32"/>
    </row>
    <row r="126" spans="1:12" s="3" customFormat="1" ht="25.5" customHeight="1">
      <c r="A126" s="22" t="str">
        <f>$A$104&amp;2</f>
        <v>14A.F2</v>
      </c>
      <c r="B126" s="23" t="s">
        <v>113</v>
      </c>
      <c r="C126" s="23" t="s">
        <v>515</v>
      </c>
      <c r="D126" s="22"/>
      <c r="E126" s="25"/>
      <c r="F126" s="25"/>
      <c r="G126" s="25">
        <f>_xlfn.XLOOKUP(B126, Rate_Master!$A:$A, Rate_Master!$C:$C, "")</f>
        <v>0</v>
      </c>
      <c r="H126" s="25">
        <f>_xlfn.XLOOKUP(B126, Rate_Master!$A:$A, Rate_Master!$D:$D, "")</f>
        <v>0</v>
      </c>
      <c r="I126" s="26">
        <v>0</v>
      </c>
      <c r="J126" s="26">
        <f>SUBTOTAL(9,J127:J131)</f>
        <v>424435067.79999989</v>
      </c>
      <c r="K126" s="26">
        <f>SUBTOTAL(9,K127:K131)</f>
        <v>424435067.79999989</v>
      </c>
      <c r="L126" s="26"/>
    </row>
    <row r="127" spans="1:12" s="4" customFormat="1" ht="51" customHeight="1" outlineLevel="1">
      <c r="A127" s="27" t="str">
        <f>$A$126&amp;"."&amp;ROW()-ROW($A$126)</f>
        <v>14A.F2.1</v>
      </c>
      <c r="B127" s="34" t="s">
        <v>114</v>
      </c>
      <c r="C127" s="28" t="s">
        <v>515</v>
      </c>
      <c r="D127" s="29" t="s">
        <v>520</v>
      </c>
      <c r="E127" s="31">
        <v>256.286</v>
      </c>
      <c r="F127" s="31">
        <v>256.286</v>
      </c>
      <c r="G127" s="30">
        <f>_xlfn.XLOOKUP(B127, Rate_Master!$A:$A, Rate_Master!$C:$C, "")</f>
        <v>206999.99999999997</v>
      </c>
      <c r="H127" s="30">
        <f>_xlfn.XLOOKUP(B127, Rate_Master!$A:$A, Rate_Master!$D:$D, "")</f>
        <v>126499.99999999999</v>
      </c>
      <c r="I127" s="32">
        <f>+H127+G127</f>
        <v>333499.99999999994</v>
      </c>
      <c r="J127" s="32">
        <f>I127*E127</f>
        <v>85471380.999999985</v>
      </c>
      <c r="K127" s="32">
        <f>I127*F127</f>
        <v>85471380.999999985</v>
      </c>
      <c r="L127" s="32"/>
    </row>
    <row r="128" spans="1:12" s="4" customFormat="1" ht="51" customHeight="1" outlineLevel="1">
      <c r="A128" s="27" t="str">
        <f>$A$126&amp;"."&amp;ROW()-ROW($A$126)</f>
        <v>14A.F2.2</v>
      </c>
      <c r="B128" s="28" t="s">
        <v>115</v>
      </c>
      <c r="C128" s="28" t="s">
        <v>515</v>
      </c>
      <c r="D128" s="29" t="s">
        <v>520</v>
      </c>
      <c r="E128" s="31">
        <v>4334.5739999999996</v>
      </c>
      <c r="F128" s="31">
        <v>4334.5739999999996</v>
      </c>
      <c r="G128" s="30">
        <f>_xlfn.XLOOKUP(B128, Rate_Master!$A:$A, Rate_Master!$C:$C, "")</f>
        <v>28749.999999999996</v>
      </c>
      <c r="H128" s="30">
        <f>_xlfn.XLOOKUP(B128, Rate_Master!$A:$A, Rate_Master!$D:$D, "")</f>
        <v>49449.999999999993</v>
      </c>
      <c r="I128" s="32">
        <f>+H128+G128</f>
        <v>78199.999999999985</v>
      </c>
      <c r="J128" s="32">
        <f>I128*E128</f>
        <v>338963686.79999989</v>
      </c>
      <c r="K128" s="32">
        <f>I128*F128</f>
        <v>338963686.79999989</v>
      </c>
      <c r="L128" s="32"/>
    </row>
    <row r="129" spans="1:12" s="4" customFormat="1" ht="51" customHeight="1" outlineLevel="1">
      <c r="A129" s="27" t="str">
        <f>$A$126&amp;"."&amp;ROW()-ROW($A$126)</f>
        <v>14A.F2.3</v>
      </c>
      <c r="B129" s="34" t="s">
        <v>116</v>
      </c>
      <c r="C129" s="28" t="s">
        <v>515</v>
      </c>
      <c r="D129" s="29" t="s">
        <v>520</v>
      </c>
      <c r="E129" s="31">
        <v>550.41200000000003</v>
      </c>
      <c r="F129" s="31">
        <v>550.41200000000003</v>
      </c>
      <c r="G129" s="31">
        <f>_xlfn.XLOOKUP(B129, Rate_Master!$A:$A, Rate_Master!$C:$C, "")</f>
        <v>0</v>
      </c>
      <c r="H129" s="31">
        <f>_xlfn.XLOOKUP(B129, Rate_Master!$A:$A, Rate_Master!$D:$D, "")</f>
        <v>0</v>
      </c>
      <c r="I129" s="32">
        <f>+H129+G129</f>
        <v>0</v>
      </c>
      <c r="J129" s="32">
        <f>I129*E129</f>
        <v>0</v>
      </c>
      <c r="K129" s="32">
        <f>I129*F129</f>
        <v>0</v>
      </c>
      <c r="L129" s="32"/>
    </row>
    <row r="130" spans="1:12" s="4" customFormat="1" ht="51" customHeight="1" outlineLevel="1">
      <c r="A130" s="27" t="str">
        <f>$A$126&amp;"."&amp;ROW()-ROW($A$126)</f>
        <v>14A.F2.4</v>
      </c>
      <c r="B130" s="34" t="s">
        <v>117</v>
      </c>
      <c r="C130" s="28" t="s">
        <v>515</v>
      </c>
      <c r="D130" s="29" t="s">
        <v>520</v>
      </c>
      <c r="E130" s="31">
        <v>0</v>
      </c>
      <c r="F130" s="31">
        <v>0</v>
      </c>
      <c r="G130" s="31">
        <f>_xlfn.XLOOKUP(B130, Rate_Master!$A:$A, Rate_Master!$C:$C, "")</f>
        <v>0</v>
      </c>
      <c r="H130" s="31">
        <f>_xlfn.XLOOKUP(B130, Rate_Master!$A:$A, Rate_Master!$D:$D, "")</f>
        <v>0</v>
      </c>
      <c r="I130" s="32">
        <v>0</v>
      </c>
      <c r="J130" s="32">
        <f>I130*E130</f>
        <v>0</v>
      </c>
      <c r="K130" s="32">
        <f>I130*F130</f>
        <v>0</v>
      </c>
      <c r="L130" s="32"/>
    </row>
    <row r="131" spans="1:12" s="4" customFormat="1" ht="38.25" customHeight="1" outlineLevel="1">
      <c r="A131" s="27" t="str">
        <f>$A$126&amp;"."&amp;ROW()-ROW($A$126)</f>
        <v>14A.F2.5</v>
      </c>
      <c r="B131" s="34" t="s">
        <v>118</v>
      </c>
      <c r="C131" s="28" t="s">
        <v>515</v>
      </c>
      <c r="D131" s="29" t="s">
        <v>520</v>
      </c>
      <c r="E131" s="31">
        <v>0</v>
      </c>
      <c r="F131" s="31">
        <v>0</v>
      </c>
      <c r="G131" s="31">
        <f>_xlfn.XLOOKUP(B131, Rate_Master!$A:$A, Rate_Master!$C:$C, "")</f>
        <v>0</v>
      </c>
      <c r="H131" s="31">
        <f>_xlfn.XLOOKUP(B131, Rate_Master!$A:$A, Rate_Master!$D:$D, "")</f>
        <v>0</v>
      </c>
      <c r="I131" s="32">
        <v>0</v>
      </c>
      <c r="J131" s="32">
        <f>I131*E131</f>
        <v>0</v>
      </c>
      <c r="K131" s="32">
        <f>I131*F131</f>
        <v>0</v>
      </c>
      <c r="L131" s="32"/>
    </row>
    <row r="132" spans="1:12" s="3" customFormat="1" ht="25.5" customHeight="1">
      <c r="A132" s="22" t="str">
        <f>$A$104&amp;3</f>
        <v>14A.F3</v>
      </c>
      <c r="B132" s="23" t="s">
        <v>119</v>
      </c>
      <c r="C132" s="23" t="s">
        <v>515</v>
      </c>
      <c r="D132" s="22"/>
      <c r="E132" s="25"/>
      <c r="F132" s="25"/>
      <c r="G132" s="25">
        <f>_xlfn.XLOOKUP(B132, Rate_Master!$A:$A, Rate_Master!$C:$C, "")</f>
        <v>0</v>
      </c>
      <c r="H132" s="25">
        <f>_xlfn.XLOOKUP(B132, Rate_Master!$A:$A, Rate_Master!$D:$D, "")</f>
        <v>0</v>
      </c>
      <c r="I132" s="26">
        <v>0</v>
      </c>
      <c r="J132" s="26">
        <f>SUBTOTAL(9,J133:J140)</f>
        <v>0</v>
      </c>
      <c r="K132" s="26">
        <f>SUBTOTAL(9,K133:K140)</f>
        <v>0</v>
      </c>
      <c r="L132" s="26"/>
    </row>
    <row r="133" spans="1:12" s="4" customFormat="1" ht="25.5" customHeight="1" outlineLevel="1">
      <c r="A133" s="27" t="str">
        <f t="shared" ref="A133:A140" si="28">$A$132&amp;"."&amp;ROW()-ROW($A$132)</f>
        <v>14A.F3.1</v>
      </c>
      <c r="B133" s="34" t="s">
        <v>120</v>
      </c>
      <c r="C133" s="28" t="s">
        <v>515</v>
      </c>
      <c r="D133" s="29" t="s">
        <v>520</v>
      </c>
      <c r="E133" s="31">
        <v>0</v>
      </c>
      <c r="F133" s="31">
        <v>0</v>
      </c>
      <c r="G133" s="31">
        <f>_xlfn.XLOOKUP(B133, Rate_Master!$A:$A, Rate_Master!$C:$C, "")</f>
        <v>28749.999999999996</v>
      </c>
      <c r="H133" s="31">
        <f>_xlfn.XLOOKUP(B133, Rate_Master!$A:$A, Rate_Master!$D:$D, "")</f>
        <v>0</v>
      </c>
      <c r="I133" s="32">
        <v>0</v>
      </c>
      <c r="J133" s="32">
        <f t="shared" ref="J133:J140" si="29">I133*E133</f>
        <v>0</v>
      </c>
      <c r="K133" s="32">
        <f t="shared" ref="K133:K140" si="30">I133*F133</f>
        <v>0</v>
      </c>
      <c r="L133" s="32"/>
    </row>
    <row r="134" spans="1:12" s="4" customFormat="1" ht="25.5" customHeight="1" outlineLevel="1">
      <c r="A134" s="27" t="str">
        <f t="shared" si="28"/>
        <v>14A.F3.2</v>
      </c>
      <c r="B134" s="34" t="s">
        <v>121</v>
      </c>
      <c r="C134" s="28" t="s">
        <v>515</v>
      </c>
      <c r="D134" s="29" t="s">
        <v>520</v>
      </c>
      <c r="E134" s="31">
        <v>0</v>
      </c>
      <c r="F134" s="31">
        <v>0</v>
      </c>
      <c r="G134" s="31">
        <f>_xlfn.XLOOKUP(B134, Rate_Master!$A:$A, Rate_Master!$C:$C, "")</f>
        <v>0</v>
      </c>
      <c r="H134" s="31">
        <f>_xlfn.XLOOKUP(B134, Rate_Master!$A:$A, Rate_Master!$D:$D, "")</f>
        <v>0</v>
      </c>
      <c r="I134" s="32">
        <v>0</v>
      </c>
      <c r="J134" s="32">
        <f t="shared" si="29"/>
        <v>0</v>
      </c>
      <c r="K134" s="32">
        <f t="shared" si="30"/>
        <v>0</v>
      </c>
      <c r="L134" s="32"/>
    </row>
    <row r="135" spans="1:12" s="4" customFormat="1" ht="38.25" customHeight="1" outlineLevel="1">
      <c r="A135" s="27" t="str">
        <f t="shared" si="28"/>
        <v>14A.F3.3</v>
      </c>
      <c r="B135" s="34" t="s">
        <v>122</v>
      </c>
      <c r="C135" s="28" t="s">
        <v>515</v>
      </c>
      <c r="D135" s="29" t="s">
        <v>520</v>
      </c>
      <c r="E135" s="31">
        <v>0</v>
      </c>
      <c r="F135" s="31">
        <v>0</v>
      </c>
      <c r="G135" s="31">
        <f>_xlfn.XLOOKUP(B135, Rate_Master!$A:$A, Rate_Master!$C:$C, "")</f>
        <v>51749.999999999993</v>
      </c>
      <c r="H135" s="31">
        <f>_xlfn.XLOOKUP(B135, Rate_Master!$A:$A, Rate_Master!$D:$D, "")</f>
        <v>23000</v>
      </c>
      <c r="I135" s="32">
        <v>0</v>
      </c>
      <c r="J135" s="32">
        <f t="shared" si="29"/>
        <v>0</v>
      </c>
      <c r="K135" s="32">
        <f t="shared" si="30"/>
        <v>0</v>
      </c>
      <c r="L135" s="32"/>
    </row>
    <row r="136" spans="1:12" s="4" customFormat="1" ht="25.5" customHeight="1" outlineLevel="1">
      <c r="A136" s="27" t="str">
        <f t="shared" si="28"/>
        <v>14A.F3.4</v>
      </c>
      <c r="B136" s="34" t="s">
        <v>123</v>
      </c>
      <c r="C136" s="28" t="s">
        <v>515</v>
      </c>
      <c r="D136" s="29" t="s">
        <v>520</v>
      </c>
      <c r="E136" s="31">
        <v>0</v>
      </c>
      <c r="F136" s="31">
        <v>0</v>
      </c>
      <c r="G136" s="31">
        <f>_xlfn.XLOOKUP(B136, Rate_Master!$A:$A, Rate_Master!$C:$C, "")</f>
        <v>172500</v>
      </c>
      <c r="H136" s="31">
        <f>_xlfn.XLOOKUP(B136, Rate_Master!$A:$A, Rate_Master!$D:$D, "")</f>
        <v>34500</v>
      </c>
      <c r="I136" s="32">
        <v>0</v>
      </c>
      <c r="J136" s="32">
        <f t="shared" si="29"/>
        <v>0</v>
      </c>
      <c r="K136" s="32">
        <f t="shared" si="30"/>
        <v>0</v>
      </c>
      <c r="L136" s="32"/>
    </row>
    <row r="137" spans="1:12" s="4" customFormat="1" ht="51" customHeight="1" outlineLevel="1">
      <c r="A137" s="27" t="str">
        <f t="shared" si="28"/>
        <v>14A.F3.5</v>
      </c>
      <c r="B137" s="28" t="s">
        <v>124</v>
      </c>
      <c r="C137" s="34" t="s">
        <v>553</v>
      </c>
      <c r="D137" s="29" t="s">
        <v>520</v>
      </c>
      <c r="E137" s="31">
        <v>0</v>
      </c>
      <c r="F137" s="31">
        <v>0</v>
      </c>
      <c r="G137" s="30">
        <f>_xlfn.XLOOKUP(B137, Rate_Master!$A:$A, Rate_Master!$C:$C, "")</f>
        <v>1069500</v>
      </c>
      <c r="H137" s="30">
        <f>_xlfn.XLOOKUP(B137, Rate_Master!$A:$A, Rate_Master!$D:$D, "")</f>
        <v>172500</v>
      </c>
      <c r="I137" s="32">
        <v>0</v>
      </c>
      <c r="J137" s="32">
        <f t="shared" si="29"/>
        <v>0</v>
      </c>
      <c r="K137" s="32">
        <f t="shared" si="30"/>
        <v>0</v>
      </c>
      <c r="L137" s="32"/>
    </row>
    <row r="138" spans="1:12" s="4" customFormat="1" ht="51" customHeight="1" outlineLevel="1">
      <c r="A138" s="27" t="str">
        <f t="shared" si="28"/>
        <v>14A.F3.6</v>
      </c>
      <c r="B138" s="34" t="s">
        <v>125</v>
      </c>
      <c r="C138" s="28" t="s">
        <v>515</v>
      </c>
      <c r="D138" s="29" t="s">
        <v>520</v>
      </c>
      <c r="E138" s="31">
        <v>0</v>
      </c>
      <c r="F138" s="31">
        <v>0</v>
      </c>
      <c r="G138" s="30">
        <f>_xlfn.XLOOKUP(B138, Rate_Master!$A:$A, Rate_Master!$C:$C, "")</f>
        <v>965999.99999999988</v>
      </c>
      <c r="H138" s="30">
        <f>_xlfn.XLOOKUP(B138, Rate_Master!$A:$A, Rate_Master!$D:$D, "")</f>
        <v>138000</v>
      </c>
      <c r="I138" s="32">
        <v>0</v>
      </c>
      <c r="J138" s="32">
        <f t="shared" si="29"/>
        <v>0</v>
      </c>
      <c r="K138" s="32">
        <f t="shared" si="30"/>
        <v>0</v>
      </c>
      <c r="L138" s="32"/>
    </row>
    <row r="139" spans="1:12" s="4" customFormat="1" ht="25.5" customHeight="1" outlineLevel="1">
      <c r="A139" s="27" t="str">
        <f t="shared" si="28"/>
        <v>14A.F3.7</v>
      </c>
      <c r="B139" s="28" t="s">
        <v>126</v>
      </c>
      <c r="C139" s="28" t="s">
        <v>515</v>
      </c>
      <c r="D139" s="29" t="s">
        <v>520</v>
      </c>
      <c r="E139" s="31">
        <v>0</v>
      </c>
      <c r="F139" s="31">
        <v>0</v>
      </c>
      <c r="G139" s="30">
        <f>_xlfn.XLOOKUP(B139, Rate_Master!$A:$A, Rate_Master!$C:$C, "")</f>
        <v>0</v>
      </c>
      <c r="H139" s="30">
        <f>_xlfn.XLOOKUP(B139, Rate_Master!$A:$A, Rate_Master!$D:$D, "")</f>
        <v>0</v>
      </c>
      <c r="I139" s="32">
        <v>0</v>
      </c>
      <c r="J139" s="32">
        <f t="shared" si="29"/>
        <v>0</v>
      </c>
      <c r="K139" s="32">
        <f t="shared" si="30"/>
        <v>0</v>
      </c>
      <c r="L139" s="32"/>
    </row>
    <row r="140" spans="1:12" s="4" customFormat="1" ht="25.5" customHeight="1" outlineLevel="1">
      <c r="A140" s="27" t="str">
        <f t="shared" si="28"/>
        <v>14A.F3.8</v>
      </c>
      <c r="B140" s="34" t="s">
        <v>127</v>
      </c>
      <c r="C140" s="28" t="s">
        <v>515</v>
      </c>
      <c r="D140" s="29" t="s">
        <v>520</v>
      </c>
      <c r="E140" s="31">
        <v>4891.3789999999999</v>
      </c>
      <c r="F140" s="31">
        <v>4891.3789999999999</v>
      </c>
      <c r="G140" s="30">
        <f>_xlfn.XLOOKUP(B140, Rate_Master!$A:$A, Rate_Master!$C:$C, "")</f>
        <v>0</v>
      </c>
      <c r="H140" s="30">
        <f>_xlfn.XLOOKUP(B140, Rate_Master!$A:$A, Rate_Master!$D:$D, "")</f>
        <v>0</v>
      </c>
      <c r="I140" s="32">
        <f>+H140+G140</f>
        <v>0</v>
      </c>
      <c r="J140" s="32">
        <f t="shared" si="29"/>
        <v>0</v>
      </c>
      <c r="K140" s="32">
        <f t="shared" si="30"/>
        <v>0</v>
      </c>
      <c r="L140" s="32"/>
    </row>
    <row r="141" spans="1:12" s="3" customFormat="1" ht="25.5" customHeight="1">
      <c r="A141" s="22" t="str">
        <f>$A$104&amp;4</f>
        <v>14A.F4</v>
      </c>
      <c r="B141" s="23" t="s">
        <v>128</v>
      </c>
      <c r="C141" s="23" t="s">
        <v>515</v>
      </c>
      <c r="D141" s="22"/>
      <c r="E141" s="25"/>
      <c r="F141" s="25"/>
      <c r="G141" s="25">
        <f>_xlfn.XLOOKUP(B141, Rate_Master!$A:$A, Rate_Master!$C:$C, "")</f>
        <v>0</v>
      </c>
      <c r="H141" s="25">
        <f>_xlfn.XLOOKUP(B141, Rate_Master!$A:$A, Rate_Master!$D:$D, "")</f>
        <v>0</v>
      </c>
      <c r="I141" s="26">
        <v>0</v>
      </c>
      <c r="J141" s="26">
        <f>SUBTOTAL(9,J142:J160)</f>
        <v>1486472750</v>
      </c>
      <c r="K141" s="26">
        <f>SUBTOTAL(9,K142:K160)</f>
        <v>1486472750</v>
      </c>
      <c r="L141" s="26"/>
    </row>
    <row r="142" spans="1:12" s="4" customFormat="1" ht="63.75" customHeight="1" outlineLevel="1">
      <c r="A142" s="27" t="str">
        <f t="shared" ref="A142:A160" si="31">$A$141&amp;"."&amp;ROW()-ROW($A$141)</f>
        <v>14A.F4.1</v>
      </c>
      <c r="B142" s="28" t="s">
        <v>246</v>
      </c>
      <c r="C142" s="28"/>
      <c r="D142" s="29" t="s">
        <v>516</v>
      </c>
      <c r="E142" s="31">
        <v>15</v>
      </c>
      <c r="F142" s="31">
        <v>15</v>
      </c>
      <c r="G142" s="31">
        <f>_xlfn.XLOOKUP(B142, Rate_Master!$A:$A, Rate_Master!$C:$C, "")</f>
        <v>3881249.9999999995</v>
      </c>
      <c r="H142" s="31">
        <f>_xlfn.XLOOKUP(B142, Rate_Master!$A:$A, Rate_Master!$D:$D, "")</f>
        <v>258749.99999999997</v>
      </c>
      <c r="I142" s="32">
        <f t="shared" ref="I142:I160" si="32">+H142+G142</f>
        <v>4139999.9999999995</v>
      </c>
      <c r="J142" s="32">
        <f t="shared" ref="J142:J160" si="33">I142*E142</f>
        <v>62099999.999999993</v>
      </c>
      <c r="K142" s="32">
        <f t="shared" ref="K142:K160" si="34">I142*F142</f>
        <v>62099999.999999993</v>
      </c>
      <c r="L142" s="32"/>
    </row>
    <row r="143" spans="1:12" s="4" customFormat="1" ht="76.5" customHeight="1" outlineLevel="1">
      <c r="A143" s="27" t="str">
        <f t="shared" si="31"/>
        <v>14A.F4.2</v>
      </c>
      <c r="B143" s="28" t="s">
        <v>247</v>
      </c>
      <c r="C143" s="28"/>
      <c r="D143" s="29" t="s">
        <v>516</v>
      </c>
      <c r="E143" s="31">
        <v>12</v>
      </c>
      <c r="F143" s="31">
        <v>12</v>
      </c>
      <c r="G143" s="31">
        <f>_xlfn.XLOOKUP(B143, Rate_Master!$A:$A, Rate_Master!$C:$C, "")</f>
        <v>1987199.9999999998</v>
      </c>
      <c r="H143" s="31">
        <f>_xlfn.XLOOKUP(B143, Rate_Master!$A:$A, Rate_Master!$D:$D, "")</f>
        <v>124199.99999999999</v>
      </c>
      <c r="I143" s="32">
        <f t="shared" si="32"/>
        <v>2111399.9999999995</v>
      </c>
      <c r="J143" s="32">
        <f t="shared" si="33"/>
        <v>25336799.999999993</v>
      </c>
      <c r="K143" s="32">
        <f t="shared" si="34"/>
        <v>25336799.999999993</v>
      </c>
      <c r="L143" s="32"/>
    </row>
    <row r="144" spans="1:12" s="4" customFormat="1" ht="76.5" customHeight="1" outlineLevel="1">
      <c r="A144" s="27" t="str">
        <f t="shared" si="31"/>
        <v>14A.F4.3</v>
      </c>
      <c r="B144" s="28" t="s">
        <v>248</v>
      </c>
      <c r="C144" s="28"/>
      <c r="D144" s="29" t="s">
        <v>516</v>
      </c>
      <c r="E144" s="31">
        <v>9</v>
      </c>
      <c r="F144" s="31">
        <v>9</v>
      </c>
      <c r="G144" s="31">
        <f>_xlfn.XLOOKUP(B144, Rate_Master!$A:$A, Rate_Master!$C:$C, "")</f>
        <v>7120799.9999999991</v>
      </c>
      <c r="H144" s="31">
        <f>_xlfn.XLOOKUP(B144, Rate_Master!$A:$A, Rate_Master!$D:$D, "")</f>
        <v>445049.99999999994</v>
      </c>
      <c r="I144" s="32">
        <f t="shared" si="32"/>
        <v>7565849.9999999991</v>
      </c>
      <c r="J144" s="32">
        <f t="shared" si="33"/>
        <v>68092649.999999985</v>
      </c>
      <c r="K144" s="32">
        <f t="shared" si="34"/>
        <v>68092649.999999985</v>
      </c>
      <c r="L144" s="32"/>
    </row>
    <row r="145" spans="1:12" s="4" customFormat="1" ht="76.5" customHeight="1" outlineLevel="1">
      <c r="A145" s="27" t="str">
        <f t="shared" si="31"/>
        <v>14A.F4.4</v>
      </c>
      <c r="B145" s="28" t="s">
        <v>249</v>
      </c>
      <c r="C145" s="28"/>
      <c r="D145" s="29" t="s">
        <v>516</v>
      </c>
      <c r="E145" s="31">
        <v>68</v>
      </c>
      <c r="F145" s="31">
        <v>68</v>
      </c>
      <c r="G145" s="31">
        <f>_xlfn.XLOOKUP(B145, Rate_Master!$A:$A, Rate_Master!$C:$C, "")</f>
        <v>9936000</v>
      </c>
      <c r="H145" s="31">
        <f>_xlfn.XLOOKUP(B145, Rate_Master!$A:$A, Rate_Master!$D:$D, "")</f>
        <v>621000</v>
      </c>
      <c r="I145" s="32">
        <f t="shared" si="32"/>
        <v>10557000</v>
      </c>
      <c r="J145" s="32">
        <f t="shared" si="33"/>
        <v>717876000</v>
      </c>
      <c r="K145" s="32">
        <f t="shared" si="34"/>
        <v>717876000</v>
      </c>
      <c r="L145" s="32"/>
    </row>
    <row r="146" spans="1:12" s="4" customFormat="1" ht="76.5" customHeight="1" outlineLevel="1">
      <c r="A146" s="27" t="str">
        <f t="shared" si="31"/>
        <v>14A.F4.5</v>
      </c>
      <c r="B146" s="28" t="s">
        <v>250</v>
      </c>
      <c r="C146" s="28"/>
      <c r="D146" s="29" t="s">
        <v>516</v>
      </c>
      <c r="E146" s="31">
        <v>2</v>
      </c>
      <c r="F146" s="31">
        <v>2</v>
      </c>
      <c r="G146" s="31">
        <f>_xlfn.XLOOKUP(B146, Rate_Master!$A:$A, Rate_Master!$C:$C, "")</f>
        <v>31671000</v>
      </c>
      <c r="H146" s="31">
        <f>_xlfn.XLOOKUP(B146, Rate_Master!$A:$A, Rate_Master!$D:$D, "")</f>
        <v>1979437.5</v>
      </c>
      <c r="I146" s="32">
        <f t="shared" si="32"/>
        <v>33650437.5</v>
      </c>
      <c r="J146" s="32">
        <f t="shared" si="33"/>
        <v>67300875</v>
      </c>
      <c r="K146" s="32">
        <f t="shared" si="34"/>
        <v>67300875</v>
      </c>
      <c r="L146" s="32"/>
    </row>
    <row r="147" spans="1:12" s="4" customFormat="1" ht="76.5" customHeight="1" outlineLevel="1">
      <c r="A147" s="27" t="str">
        <f t="shared" si="31"/>
        <v>14A.F4.6</v>
      </c>
      <c r="B147" s="28" t="s">
        <v>251</v>
      </c>
      <c r="C147" s="28"/>
      <c r="D147" s="29" t="s">
        <v>516</v>
      </c>
      <c r="E147" s="31">
        <v>2</v>
      </c>
      <c r="F147" s="31">
        <v>2</v>
      </c>
      <c r="G147" s="31">
        <f>_xlfn.XLOOKUP(B147, Rate_Master!$A:$A, Rate_Master!$C:$C, "")</f>
        <v>31753799.999999993</v>
      </c>
      <c r="H147" s="31">
        <f>_xlfn.XLOOKUP(B147, Rate_Master!$A:$A, Rate_Master!$D:$D, "")</f>
        <v>1984612.4999999995</v>
      </c>
      <c r="I147" s="32">
        <f t="shared" si="32"/>
        <v>33738412.499999993</v>
      </c>
      <c r="J147" s="32">
        <f t="shared" si="33"/>
        <v>67476824.999999985</v>
      </c>
      <c r="K147" s="32">
        <f t="shared" si="34"/>
        <v>67476824.999999985</v>
      </c>
      <c r="L147" s="32"/>
    </row>
    <row r="148" spans="1:12" s="4" customFormat="1" ht="76.5" customHeight="1" outlineLevel="1">
      <c r="A148" s="27" t="str">
        <f t="shared" si="31"/>
        <v>14A.F4.7</v>
      </c>
      <c r="B148" s="28" t="s">
        <v>226</v>
      </c>
      <c r="C148" s="28" t="s">
        <v>558</v>
      </c>
      <c r="D148" s="29" t="s">
        <v>516</v>
      </c>
      <c r="E148" s="31">
        <v>6</v>
      </c>
      <c r="F148" s="31">
        <v>6</v>
      </c>
      <c r="G148" s="31">
        <f>_xlfn.XLOOKUP(B148, Rate_Master!$A:$A, Rate_Master!$C:$C, "")</f>
        <v>3175149.9999999995</v>
      </c>
      <c r="H148" s="31">
        <f>_xlfn.XLOOKUP(B148, Rate_Master!$A:$A, Rate_Master!$D:$D, "")</f>
        <v>1235100</v>
      </c>
      <c r="I148" s="32">
        <f t="shared" si="32"/>
        <v>4410250</v>
      </c>
      <c r="J148" s="32">
        <f t="shared" si="33"/>
        <v>26461500</v>
      </c>
      <c r="K148" s="32">
        <f t="shared" si="34"/>
        <v>26461500</v>
      </c>
      <c r="L148" s="71" t="s">
        <v>559</v>
      </c>
    </row>
    <row r="149" spans="1:12" s="4" customFormat="1" ht="76.5" customHeight="1" outlineLevel="1">
      <c r="A149" s="27" t="str">
        <f t="shared" si="31"/>
        <v>14A.F4.8</v>
      </c>
      <c r="B149" s="28" t="s">
        <v>227</v>
      </c>
      <c r="C149" s="28" t="s">
        <v>558</v>
      </c>
      <c r="D149" s="29" t="s">
        <v>516</v>
      </c>
      <c r="E149" s="31">
        <v>2</v>
      </c>
      <c r="F149" s="31">
        <v>2</v>
      </c>
      <c r="G149" s="31">
        <f>_xlfn.XLOOKUP(B149, Rate_Master!$A:$A, Rate_Master!$C:$C, "")</f>
        <v>5544150</v>
      </c>
      <c r="H149" s="31">
        <f>_xlfn.XLOOKUP(B149, Rate_Master!$A:$A, Rate_Master!$D:$D, "")</f>
        <v>2156250</v>
      </c>
      <c r="I149" s="32">
        <f t="shared" si="32"/>
        <v>7700400</v>
      </c>
      <c r="J149" s="32">
        <f t="shared" si="33"/>
        <v>15400800</v>
      </c>
      <c r="K149" s="32">
        <f t="shared" si="34"/>
        <v>15400800</v>
      </c>
      <c r="L149" s="71" t="s">
        <v>559</v>
      </c>
    </row>
    <row r="150" spans="1:12" s="4" customFormat="1" ht="76.5" customHeight="1" outlineLevel="1">
      <c r="A150" s="27" t="str">
        <f t="shared" si="31"/>
        <v>14A.F4.9</v>
      </c>
      <c r="B150" s="28" t="s">
        <v>252</v>
      </c>
      <c r="C150" s="28" t="s">
        <v>558</v>
      </c>
      <c r="D150" s="29" t="s">
        <v>516</v>
      </c>
      <c r="E150" s="31">
        <v>12</v>
      </c>
      <c r="F150" s="31">
        <v>12</v>
      </c>
      <c r="G150" s="31">
        <f>_xlfn.XLOOKUP(B150, Rate_Master!$A:$A, Rate_Master!$C:$C, "")</f>
        <v>9424250</v>
      </c>
      <c r="H150" s="31">
        <f>_xlfn.XLOOKUP(B150, Rate_Master!$A:$A, Rate_Master!$D:$D, "")</f>
        <v>3665049.9999999995</v>
      </c>
      <c r="I150" s="32">
        <f t="shared" si="32"/>
        <v>13089300</v>
      </c>
      <c r="J150" s="32">
        <f t="shared" si="33"/>
        <v>157071600</v>
      </c>
      <c r="K150" s="32">
        <f t="shared" si="34"/>
        <v>157071600</v>
      </c>
      <c r="L150" s="71" t="s">
        <v>559</v>
      </c>
    </row>
    <row r="151" spans="1:12" s="4" customFormat="1" ht="38.25" customHeight="1" outlineLevel="1">
      <c r="A151" s="27" t="str">
        <f t="shared" si="31"/>
        <v>14A.F4.10</v>
      </c>
      <c r="B151" s="28" t="s">
        <v>180</v>
      </c>
      <c r="C151" s="28" t="s">
        <v>515</v>
      </c>
      <c r="D151" s="29" t="s">
        <v>516</v>
      </c>
      <c r="E151" s="31">
        <v>4</v>
      </c>
      <c r="F151" s="31">
        <v>4</v>
      </c>
      <c r="G151" s="31">
        <f>_xlfn.XLOOKUP(B151, Rate_Master!$A:$A, Rate_Master!$C:$C, "")</f>
        <v>2613950</v>
      </c>
      <c r="H151" s="31">
        <f>_xlfn.XLOOKUP(B151, Rate_Master!$A:$A, Rate_Master!$D:$D, "")</f>
        <v>1016599.9999999999</v>
      </c>
      <c r="I151" s="32">
        <f t="shared" si="32"/>
        <v>3630550</v>
      </c>
      <c r="J151" s="32">
        <f t="shared" si="33"/>
        <v>14522200</v>
      </c>
      <c r="K151" s="32">
        <f t="shared" si="34"/>
        <v>14522200</v>
      </c>
      <c r="L151" s="71" t="s">
        <v>559</v>
      </c>
    </row>
    <row r="152" spans="1:12" s="4" customFormat="1" ht="38.25" customHeight="1" outlineLevel="1">
      <c r="A152" s="27" t="str">
        <f t="shared" si="31"/>
        <v>14A.F4.11</v>
      </c>
      <c r="B152" s="28" t="s">
        <v>253</v>
      </c>
      <c r="C152" s="28" t="s">
        <v>515</v>
      </c>
      <c r="D152" s="29" t="s">
        <v>516</v>
      </c>
      <c r="E152" s="31">
        <v>2</v>
      </c>
      <c r="F152" s="31">
        <v>2</v>
      </c>
      <c r="G152" s="31">
        <f>_xlfn.XLOOKUP(B152, Rate_Master!$A:$A, Rate_Master!$C:$C, "")</f>
        <v>3398249.9999999995</v>
      </c>
      <c r="H152" s="31">
        <f>_xlfn.XLOOKUP(B152, Rate_Master!$A:$A, Rate_Master!$D:$D, "")</f>
        <v>1321350</v>
      </c>
      <c r="I152" s="32">
        <f t="shared" si="32"/>
        <v>4719600</v>
      </c>
      <c r="J152" s="32">
        <f t="shared" si="33"/>
        <v>9439200</v>
      </c>
      <c r="K152" s="32">
        <f t="shared" si="34"/>
        <v>9439200</v>
      </c>
      <c r="L152" s="71" t="s">
        <v>559</v>
      </c>
    </row>
    <row r="153" spans="1:12" s="4" customFormat="1" ht="51" customHeight="1" outlineLevel="1">
      <c r="A153" s="27" t="str">
        <f t="shared" si="31"/>
        <v>14A.F4.12</v>
      </c>
      <c r="B153" s="28" t="s">
        <v>254</v>
      </c>
      <c r="C153" s="28"/>
      <c r="D153" s="29" t="s">
        <v>516</v>
      </c>
      <c r="E153" s="31">
        <v>2</v>
      </c>
      <c r="F153" s="31">
        <v>2</v>
      </c>
      <c r="G153" s="31">
        <f>_xlfn.XLOOKUP(B153, Rate_Master!$A:$A, Rate_Master!$C:$C, "")</f>
        <v>5544150</v>
      </c>
      <c r="H153" s="31">
        <f>_xlfn.XLOOKUP(B153, Rate_Master!$A:$A, Rate_Master!$D:$D, "")</f>
        <v>2156250</v>
      </c>
      <c r="I153" s="32">
        <f t="shared" si="32"/>
        <v>7700400</v>
      </c>
      <c r="J153" s="32">
        <f t="shared" si="33"/>
        <v>15400800</v>
      </c>
      <c r="K153" s="32">
        <f t="shared" si="34"/>
        <v>15400800</v>
      </c>
      <c r="L153" s="32"/>
    </row>
    <row r="154" spans="1:12" s="4" customFormat="1" ht="51" customHeight="1" outlineLevel="1">
      <c r="A154" s="27" t="str">
        <f t="shared" si="31"/>
        <v>14A.F4.13</v>
      </c>
      <c r="B154" s="28" t="s">
        <v>255</v>
      </c>
      <c r="C154" s="28"/>
      <c r="D154" s="29" t="s">
        <v>516</v>
      </c>
      <c r="E154" s="31">
        <v>3</v>
      </c>
      <c r="F154" s="31">
        <v>3</v>
      </c>
      <c r="G154" s="31">
        <f>_xlfn.XLOOKUP(B154, Rate_Master!$A:$A, Rate_Master!$C:$C, "")</f>
        <v>10282150</v>
      </c>
      <c r="H154" s="31">
        <f>_xlfn.XLOOKUP(B154, Rate_Master!$A:$A, Rate_Master!$D:$D, "")</f>
        <v>3998549.9999999995</v>
      </c>
      <c r="I154" s="32">
        <f t="shared" si="32"/>
        <v>14280700</v>
      </c>
      <c r="J154" s="32">
        <f t="shared" si="33"/>
        <v>42842100</v>
      </c>
      <c r="K154" s="32">
        <f t="shared" si="34"/>
        <v>42842100</v>
      </c>
      <c r="L154" s="32"/>
    </row>
    <row r="155" spans="1:12" s="4" customFormat="1" ht="38.25" customHeight="1" outlineLevel="1">
      <c r="A155" s="27" t="str">
        <f t="shared" si="31"/>
        <v>14A.F4.14</v>
      </c>
      <c r="B155" s="28" t="s">
        <v>256</v>
      </c>
      <c r="C155" s="28" t="s">
        <v>515</v>
      </c>
      <c r="D155" s="29" t="s">
        <v>516</v>
      </c>
      <c r="E155" s="31">
        <v>5</v>
      </c>
      <c r="F155" s="31">
        <v>5</v>
      </c>
      <c r="G155" s="31">
        <f>_xlfn.XLOOKUP(B155, Rate_Master!$A:$A, Rate_Master!$C:$C, "")</f>
        <v>4443600</v>
      </c>
      <c r="H155" s="31">
        <f>_xlfn.XLOOKUP(B155, Rate_Master!$A:$A, Rate_Master!$D:$D, "")</f>
        <v>1728449.9999999998</v>
      </c>
      <c r="I155" s="32">
        <f t="shared" si="32"/>
        <v>6172050</v>
      </c>
      <c r="J155" s="32">
        <f t="shared" si="33"/>
        <v>30860250</v>
      </c>
      <c r="K155" s="32">
        <f t="shared" si="34"/>
        <v>30860250</v>
      </c>
      <c r="L155" s="71" t="s">
        <v>559</v>
      </c>
    </row>
    <row r="156" spans="1:12" s="4" customFormat="1" ht="38.25" customHeight="1" outlineLevel="1">
      <c r="A156" s="27" t="str">
        <f t="shared" si="31"/>
        <v>14A.F4.15</v>
      </c>
      <c r="B156" s="28" t="s">
        <v>257</v>
      </c>
      <c r="C156" s="28" t="s">
        <v>515</v>
      </c>
      <c r="D156" s="29" t="s">
        <v>516</v>
      </c>
      <c r="E156" s="31">
        <v>1</v>
      </c>
      <c r="F156" s="31">
        <v>1</v>
      </c>
      <c r="G156" s="31">
        <f>_xlfn.XLOOKUP(B156, Rate_Master!$A:$A, Rate_Master!$C:$C, "")</f>
        <v>4443600</v>
      </c>
      <c r="H156" s="31">
        <f>_xlfn.XLOOKUP(B156, Rate_Master!$A:$A, Rate_Master!$D:$D, "")</f>
        <v>1728449.9999999998</v>
      </c>
      <c r="I156" s="32">
        <f t="shared" si="32"/>
        <v>6172050</v>
      </c>
      <c r="J156" s="32">
        <f t="shared" si="33"/>
        <v>6172050</v>
      </c>
      <c r="K156" s="32">
        <f t="shared" si="34"/>
        <v>6172050</v>
      </c>
      <c r="L156" s="71" t="s">
        <v>559</v>
      </c>
    </row>
    <row r="157" spans="1:12" s="4" customFormat="1" ht="38.25" customHeight="1" outlineLevel="1">
      <c r="A157" s="27" t="str">
        <f t="shared" si="31"/>
        <v>14A.F4.16</v>
      </c>
      <c r="B157" s="28" t="s">
        <v>258</v>
      </c>
      <c r="C157" s="28" t="s">
        <v>515</v>
      </c>
      <c r="D157" s="29" t="s">
        <v>516</v>
      </c>
      <c r="E157" s="31">
        <v>2</v>
      </c>
      <c r="F157" s="31">
        <v>2</v>
      </c>
      <c r="G157" s="31">
        <f>_xlfn.XLOOKUP(B157, Rate_Master!$A:$A, Rate_Master!$C:$C, "")</f>
        <v>4965700</v>
      </c>
      <c r="H157" s="31">
        <f>_xlfn.XLOOKUP(B157, Rate_Master!$A:$A, Rate_Master!$D:$D, "")</f>
        <v>1930849.9999999998</v>
      </c>
      <c r="I157" s="32">
        <f t="shared" si="32"/>
        <v>6896550</v>
      </c>
      <c r="J157" s="32">
        <f t="shared" si="33"/>
        <v>13793100</v>
      </c>
      <c r="K157" s="32">
        <f t="shared" si="34"/>
        <v>13793100</v>
      </c>
      <c r="L157" s="71" t="s">
        <v>559</v>
      </c>
    </row>
    <row r="158" spans="1:12" s="4" customFormat="1" ht="51" customHeight="1" outlineLevel="1">
      <c r="A158" s="27" t="str">
        <f t="shared" si="31"/>
        <v>14A.F4.17</v>
      </c>
      <c r="B158" s="28" t="s">
        <v>259</v>
      </c>
      <c r="C158" s="28"/>
      <c r="D158" s="29" t="s">
        <v>516</v>
      </c>
      <c r="E158" s="31">
        <v>6</v>
      </c>
      <c r="F158" s="31">
        <v>6</v>
      </c>
      <c r="G158" s="31">
        <f>_xlfn.XLOOKUP(B158, Rate_Master!$A:$A, Rate_Master!$C:$C, "")</f>
        <v>3484499.9999999995</v>
      </c>
      <c r="H158" s="31">
        <f>_xlfn.XLOOKUP(B158, Rate_Master!$A:$A, Rate_Master!$D:$D, "")</f>
        <v>1354700</v>
      </c>
      <c r="I158" s="32">
        <f t="shared" si="32"/>
        <v>4839200</v>
      </c>
      <c r="J158" s="32">
        <f t="shared" si="33"/>
        <v>29035200</v>
      </c>
      <c r="K158" s="32">
        <f t="shared" si="34"/>
        <v>29035200</v>
      </c>
      <c r="L158" s="32"/>
    </row>
    <row r="159" spans="1:12" s="4" customFormat="1" ht="76.5" customHeight="1" outlineLevel="1">
      <c r="A159" s="27" t="str">
        <f t="shared" si="31"/>
        <v>14A.F4.18</v>
      </c>
      <c r="B159" s="28" t="s">
        <v>260</v>
      </c>
      <c r="C159" s="28"/>
      <c r="D159" s="29" t="s">
        <v>516</v>
      </c>
      <c r="E159" s="31">
        <v>1</v>
      </c>
      <c r="F159" s="31">
        <v>1</v>
      </c>
      <c r="G159" s="31">
        <f>_xlfn.XLOOKUP(B159, Rate_Master!$A:$A, Rate_Master!$C:$C, "")</f>
        <v>54161549.999999993</v>
      </c>
      <c r="H159" s="31">
        <f>_xlfn.XLOOKUP(B159, Rate_Master!$A:$A, Rate_Master!$D:$D, "")</f>
        <v>4406800</v>
      </c>
      <c r="I159" s="32">
        <f t="shared" si="32"/>
        <v>58568349.999999993</v>
      </c>
      <c r="J159" s="32">
        <f t="shared" si="33"/>
        <v>58568349.999999993</v>
      </c>
      <c r="K159" s="32">
        <f t="shared" si="34"/>
        <v>58568349.999999993</v>
      </c>
      <c r="L159" s="32"/>
    </row>
    <row r="160" spans="1:12" s="4" customFormat="1" ht="76.5" customHeight="1" outlineLevel="1">
      <c r="A160" s="27" t="str">
        <f t="shared" si="31"/>
        <v>14A.F4.19</v>
      </c>
      <c r="B160" s="28" t="s">
        <v>261</v>
      </c>
      <c r="C160" s="28"/>
      <c r="D160" s="29" t="s">
        <v>516</v>
      </c>
      <c r="E160" s="31">
        <v>1</v>
      </c>
      <c r="F160" s="31">
        <v>1</v>
      </c>
      <c r="G160" s="31">
        <f>_xlfn.XLOOKUP(B160, Rate_Master!$A:$A, Rate_Master!$C:$C, "")</f>
        <v>54304149.999999993</v>
      </c>
      <c r="H160" s="31">
        <f>_xlfn.XLOOKUP(B160, Rate_Master!$A:$A, Rate_Master!$D:$D, "")</f>
        <v>4418300</v>
      </c>
      <c r="I160" s="32">
        <f t="shared" si="32"/>
        <v>58722449.999999993</v>
      </c>
      <c r="J160" s="32">
        <f t="shared" si="33"/>
        <v>58722449.999999993</v>
      </c>
      <c r="K160" s="32">
        <f t="shared" si="34"/>
        <v>58722449.999999993</v>
      </c>
      <c r="L160" s="32"/>
    </row>
    <row r="161" spans="1:12" s="3" customFormat="1" ht="25.5" customHeight="1">
      <c r="A161" s="22" t="str">
        <f>$A$104&amp;5</f>
        <v>14A.F5</v>
      </c>
      <c r="B161" s="23" t="s">
        <v>143</v>
      </c>
      <c r="C161" s="23" t="s">
        <v>515</v>
      </c>
      <c r="D161" s="22"/>
      <c r="E161" s="25"/>
      <c r="F161" s="25"/>
      <c r="G161" s="25">
        <f>_xlfn.XLOOKUP(B161, Rate_Master!$A:$A, Rate_Master!$C:$C, "")</f>
        <v>0</v>
      </c>
      <c r="H161" s="25">
        <f>_xlfn.XLOOKUP(B161, Rate_Master!$A:$A, Rate_Master!$D:$D, "")</f>
        <v>0</v>
      </c>
      <c r="I161" s="26">
        <v>0</v>
      </c>
      <c r="J161" s="26">
        <f>SUBTOTAL(9,J162:J164)</f>
        <v>0</v>
      </c>
      <c r="K161" s="26">
        <f>SUBTOTAL(9,K162:K164)</f>
        <v>0</v>
      </c>
      <c r="L161" s="26"/>
    </row>
    <row r="162" spans="1:12" s="4" customFormat="1" ht="51" customHeight="1" outlineLevel="1">
      <c r="A162" s="37" t="str">
        <f>$A$161&amp;"."&amp;ROW()-ROW($A$161)</f>
        <v>14A.F5.1</v>
      </c>
      <c r="B162" s="43" t="s">
        <v>144</v>
      </c>
      <c r="C162" s="38" t="s">
        <v>515</v>
      </c>
      <c r="D162" s="39" t="s">
        <v>517</v>
      </c>
      <c r="E162" s="40">
        <v>0</v>
      </c>
      <c r="F162" s="40">
        <v>0</v>
      </c>
      <c r="G162" s="40">
        <f>_xlfn.XLOOKUP(B162, Rate_Master!$A:$A, Rate_Master!$C:$C, "")</f>
        <v>161000</v>
      </c>
      <c r="H162" s="40">
        <f>_xlfn.XLOOKUP(B162, Rate_Master!$A:$A, Rate_Master!$D:$D, "")</f>
        <v>34500</v>
      </c>
      <c r="I162" s="41">
        <v>0</v>
      </c>
      <c r="J162" s="41">
        <f>I162*E162</f>
        <v>0</v>
      </c>
      <c r="K162" s="41">
        <f>I162*F162</f>
        <v>0</v>
      </c>
      <c r="L162" s="41"/>
    </row>
    <row r="163" spans="1:12" s="4" customFormat="1" ht="38.25" customHeight="1" outlineLevel="1">
      <c r="A163" s="37" t="str">
        <f>$A$161&amp;"."&amp;ROW()-ROW($A$161)</f>
        <v>14A.F5.2</v>
      </c>
      <c r="B163" s="43" t="s">
        <v>145</v>
      </c>
      <c r="C163" s="38" t="s">
        <v>515</v>
      </c>
      <c r="D163" s="39" t="s">
        <v>517</v>
      </c>
      <c r="E163" s="40">
        <v>0</v>
      </c>
      <c r="F163" s="40">
        <v>0</v>
      </c>
      <c r="G163" s="40">
        <f>_xlfn.XLOOKUP(B163, Rate_Master!$A:$A, Rate_Master!$C:$C, "")</f>
        <v>517499.99999999994</v>
      </c>
      <c r="H163" s="40">
        <f>_xlfn.XLOOKUP(B163, Rate_Master!$A:$A, Rate_Master!$D:$D, "")</f>
        <v>57499.999999999993</v>
      </c>
      <c r="I163" s="41">
        <v>0</v>
      </c>
      <c r="J163" s="41">
        <f>I163*E163</f>
        <v>0</v>
      </c>
      <c r="K163" s="41">
        <f>I163*F163</f>
        <v>0</v>
      </c>
      <c r="L163" s="41"/>
    </row>
    <row r="164" spans="1:12" s="4" customFormat="1" ht="38.25" customHeight="1" outlineLevel="1">
      <c r="A164" s="37" t="str">
        <f>$A$161&amp;"."&amp;ROW()-ROW($A$161)</f>
        <v>14A.F5.3</v>
      </c>
      <c r="B164" s="43" t="s">
        <v>146</v>
      </c>
      <c r="C164" s="38" t="s">
        <v>515</v>
      </c>
      <c r="D164" s="39" t="s">
        <v>517</v>
      </c>
      <c r="E164" s="40">
        <v>0</v>
      </c>
      <c r="F164" s="40">
        <v>0</v>
      </c>
      <c r="G164" s="40">
        <f>_xlfn.XLOOKUP(B164, Rate_Master!$A:$A, Rate_Master!$C:$C, "")</f>
        <v>632500</v>
      </c>
      <c r="H164" s="40">
        <f>_xlfn.XLOOKUP(B164, Rate_Master!$A:$A, Rate_Master!$D:$D, "")</f>
        <v>57499.999999999993</v>
      </c>
      <c r="I164" s="41">
        <v>0</v>
      </c>
      <c r="J164" s="41">
        <f>I164*E164</f>
        <v>0</v>
      </c>
      <c r="K164" s="41">
        <f>I164*F164</f>
        <v>0</v>
      </c>
      <c r="L164" s="41"/>
    </row>
    <row r="165" spans="1:12" s="3" customFormat="1" ht="25.5" customHeight="1">
      <c r="A165" s="22" t="str">
        <f>$A$104&amp;6</f>
        <v>14A.F6</v>
      </c>
      <c r="B165" s="23" t="s">
        <v>147</v>
      </c>
      <c r="C165" s="23" t="s">
        <v>515</v>
      </c>
      <c r="D165" s="22"/>
      <c r="E165" s="25"/>
      <c r="F165" s="25"/>
      <c r="G165" s="25">
        <f>_xlfn.XLOOKUP(B165, Rate_Master!$A:$A, Rate_Master!$C:$C, "")</f>
        <v>0</v>
      </c>
      <c r="H165" s="25">
        <f>_xlfn.XLOOKUP(B165, Rate_Master!$A:$A, Rate_Master!$D:$D, "")</f>
        <v>0</v>
      </c>
      <c r="I165" s="26">
        <v>0</v>
      </c>
      <c r="J165" s="26">
        <f>SUBTOTAL(9,J166:J170)</f>
        <v>1891786544</v>
      </c>
      <c r="K165" s="26">
        <f>SUBTOTAL(9,K166:K170)</f>
        <v>1891786544</v>
      </c>
      <c r="L165" s="26"/>
    </row>
    <row r="166" spans="1:12" s="4" customFormat="1" ht="51" customHeight="1" outlineLevel="1">
      <c r="A166" s="27" t="str">
        <f>$A$165&amp;"."&amp;ROW()-ROW($A$165)</f>
        <v>14A.F6.1</v>
      </c>
      <c r="B166" s="34" t="s">
        <v>148</v>
      </c>
      <c r="C166" s="34" t="s">
        <v>515</v>
      </c>
      <c r="D166" s="29" t="s">
        <v>520</v>
      </c>
      <c r="E166" s="31">
        <v>1582.3150000000001</v>
      </c>
      <c r="F166" s="31">
        <v>1582.3150000000001</v>
      </c>
      <c r="G166" s="31">
        <f>_xlfn.XLOOKUP(B166, Rate_Master!$A:$A, Rate_Master!$C:$C, "")</f>
        <v>155000</v>
      </c>
      <c r="H166" s="31">
        <f>_xlfn.XLOOKUP(B166, Rate_Master!$A:$A, Rate_Master!$D:$D, "")</f>
        <v>45000</v>
      </c>
      <c r="I166" s="32">
        <f>+H166+G166</f>
        <v>200000</v>
      </c>
      <c r="J166" s="32">
        <f>I166*E166</f>
        <v>316463000</v>
      </c>
      <c r="K166" s="32">
        <f>I166*F166</f>
        <v>316463000</v>
      </c>
      <c r="L166" s="32"/>
    </row>
    <row r="167" spans="1:12" s="4" customFormat="1" ht="25.5" customHeight="1" outlineLevel="1">
      <c r="A167" s="27" t="str">
        <f>$A$165&amp;"."&amp;ROW()-ROW($A$165)</f>
        <v>14A.F6.2</v>
      </c>
      <c r="B167" s="34" t="s">
        <v>149</v>
      </c>
      <c r="C167" s="34" t="s">
        <v>515</v>
      </c>
      <c r="D167" s="29" t="s">
        <v>520</v>
      </c>
      <c r="E167" s="31">
        <v>1807.0640000000001</v>
      </c>
      <c r="F167" s="31">
        <v>1807.0640000000001</v>
      </c>
      <c r="G167" s="31">
        <f>_xlfn.XLOOKUP(B167, Rate_Master!$A:$A, Rate_Master!$C:$C, "")</f>
        <v>310500</v>
      </c>
      <c r="H167" s="31">
        <f>_xlfn.XLOOKUP(B167, Rate_Master!$A:$A, Rate_Master!$D:$D, "")</f>
        <v>34500</v>
      </c>
      <c r="I167" s="32">
        <f>+H167+G167</f>
        <v>345000</v>
      </c>
      <c r="J167" s="32">
        <f>I167*E167</f>
        <v>623437080</v>
      </c>
      <c r="K167" s="32">
        <f>I167*F167</f>
        <v>623437080</v>
      </c>
      <c r="L167" s="32"/>
    </row>
    <row r="168" spans="1:12" s="4" customFormat="1" ht="51" customHeight="1" outlineLevel="1">
      <c r="A168" s="27" t="str">
        <f>$A$165&amp;"."&amp;ROW()-ROW($A$165)</f>
        <v>14A.F6.3</v>
      </c>
      <c r="B168" s="34" t="s">
        <v>150</v>
      </c>
      <c r="C168" s="34" t="s">
        <v>515</v>
      </c>
      <c r="D168" s="29" t="s">
        <v>520</v>
      </c>
      <c r="E168" s="31">
        <v>1807.0640000000001</v>
      </c>
      <c r="F168" s="31">
        <v>1807.0640000000001</v>
      </c>
      <c r="G168" s="31">
        <f>_xlfn.XLOOKUP(B168, Rate_Master!$A:$A, Rate_Master!$C:$C, "")</f>
        <v>287500</v>
      </c>
      <c r="H168" s="31">
        <f>_xlfn.XLOOKUP(B168, Rate_Master!$A:$A, Rate_Master!$D:$D, "")</f>
        <v>69000</v>
      </c>
      <c r="I168" s="32">
        <f>+H168+G168</f>
        <v>356500</v>
      </c>
      <c r="J168" s="32">
        <f>I168*E168</f>
        <v>644218316</v>
      </c>
      <c r="K168" s="32">
        <f>I168*F168</f>
        <v>644218316</v>
      </c>
      <c r="L168" s="32"/>
    </row>
    <row r="169" spans="1:12" s="4" customFormat="1" ht="51" customHeight="1" outlineLevel="1">
      <c r="A169" s="27" t="str">
        <f>$A$165&amp;"."&amp;ROW()-ROW($A$165)</f>
        <v>14A.F6.4</v>
      </c>
      <c r="B169" s="34" t="s">
        <v>151</v>
      </c>
      <c r="C169" s="34" t="s">
        <v>565</v>
      </c>
      <c r="D169" s="29" t="s">
        <v>520</v>
      </c>
      <c r="E169" s="31">
        <v>1807.0640000000001</v>
      </c>
      <c r="F169" s="31">
        <v>1807.0640000000001</v>
      </c>
      <c r="G169" s="31">
        <f>_xlfn.XLOOKUP(B169, Rate_Master!$A:$A, Rate_Master!$C:$C, "")</f>
        <v>23000</v>
      </c>
      <c r="H169" s="31">
        <f>_xlfn.XLOOKUP(B169, Rate_Master!$A:$A, Rate_Master!$D:$D, "")</f>
        <v>126499.99999999999</v>
      </c>
      <c r="I169" s="32">
        <f>+H169+G169</f>
        <v>149500</v>
      </c>
      <c r="J169" s="32">
        <f>I169*E169</f>
        <v>270156068</v>
      </c>
      <c r="K169" s="32">
        <f>I169*F169</f>
        <v>270156068</v>
      </c>
      <c r="L169" s="32"/>
    </row>
    <row r="170" spans="1:12" s="4" customFormat="1" ht="63.75" customHeight="1" outlineLevel="1">
      <c r="A170" s="27" t="str">
        <f>$A$165&amp;"."&amp;ROW()-ROW($A$165)</f>
        <v>14A.F6.5</v>
      </c>
      <c r="B170" s="34" t="s">
        <v>152</v>
      </c>
      <c r="C170" s="34" t="s">
        <v>560</v>
      </c>
      <c r="D170" s="29" t="s">
        <v>517</v>
      </c>
      <c r="E170" s="31">
        <v>176.32</v>
      </c>
      <c r="F170" s="31">
        <v>176.32</v>
      </c>
      <c r="G170" s="31">
        <f>_xlfn.XLOOKUP(B170, Rate_Master!$A:$A, Rate_Master!$C:$C, "")</f>
        <v>155250</v>
      </c>
      <c r="H170" s="31">
        <f>_xlfn.XLOOKUP(B170, Rate_Master!$A:$A, Rate_Master!$D:$D, "")</f>
        <v>57499.999999999993</v>
      </c>
      <c r="I170" s="32">
        <f>+H170+G170</f>
        <v>212750</v>
      </c>
      <c r="J170" s="32">
        <f>I170*E170</f>
        <v>37512080</v>
      </c>
      <c r="K170" s="32">
        <f>I170*F170</f>
        <v>37512080</v>
      </c>
      <c r="L170" s="32"/>
    </row>
    <row r="171" spans="1:12" s="3" customFormat="1" ht="25.5" customHeight="1">
      <c r="A171" s="22" t="str">
        <f>$A$104&amp;7</f>
        <v>14A.F7</v>
      </c>
      <c r="B171" s="23" t="s">
        <v>84</v>
      </c>
      <c r="C171" s="23" t="s">
        <v>515</v>
      </c>
      <c r="D171" s="22"/>
      <c r="E171" s="25"/>
      <c r="F171" s="25"/>
      <c r="G171" s="25">
        <f>_xlfn.XLOOKUP(B171, Rate_Master!$A:$A, Rate_Master!$C:$C, "")</f>
        <v>0</v>
      </c>
      <c r="H171" s="25">
        <f>_xlfn.XLOOKUP(B171, Rate_Master!$A:$A, Rate_Master!$D:$D, "")</f>
        <v>0</v>
      </c>
      <c r="I171" s="26">
        <v>0</v>
      </c>
      <c r="J171" s="26">
        <f>SUBTOTAL(9,J172:J179)</f>
        <v>1286954247.5</v>
      </c>
      <c r="K171" s="26">
        <f>SUBTOTAL(9,K172:K179)</f>
        <v>1286954247.5</v>
      </c>
      <c r="L171" s="26"/>
    </row>
    <row r="172" spans="1:12" s="4" customFormat="1" ht="38.25" customHeight="1" outlineLevel="1">
      <c r="A172" s="27" t="str">
        <f t="shared" ref="A172:A179" si="35">$A$171&amp;"."&amp;ROW()-ROW($A$171)</f>
        <v>14A.F7.1</v>
      </c>
      <c r="B172" s="48" t="s">
        <v>153</v>
      </c>
      <c r="C172" s="34" t="s">
        <v>561</v>
      </c>
      <c r="D172" s="29" t="s">
        <v>517</v>
      </c>
      <c r="E172" s="31">
        <v>42.491</v>
      </c>
      <c r="F172" s="31">
        <v>42.491</v>
      </c>
      <c r="G172" s="31">
        <f>_xlfn.XLOOKUP(B172, Rate_Master!$A:$A, Rate_Master!$C:$C, "")</f>
        <v>4024999.9999999995</v>
      </c>
      <c r="H172" s="31">
        <f>_xlfn.XLOOKUP(B172, Rate_Master!$A:$A, Rate_Master!$D:$D, "")</f>
        <v>1380000</v>
      </c>
      <c r="I172" s="32">
        <f t="shared" ref="I172:I179" si="36">+H172+G172</f>
        <v>5405000</v>
      </c>
      <c r="J172" s="32">
        <f t="shared" ref="J172:J179" si="37">I172*E172</f>
        <v>229663855</v>
      </c>
      <c r="K172" s="32">
        <f t="shared" ref="K172:K179" si="38">I172*F172</f>
        <v>229663855</v>
      </c>
      <c r="L172" s="32"/>
    </row>
    <row r="173" spans="1:12" s="4" customFormat="1" ht="38.25" customHeight="1" outlineLevel="1">
      <c r="A173" s="27" t="str">
        <f t="shared" si="35"/>
        <v>14A.F7.2</v>
      </c>
      <c r="B173" s="48" t="s">
        <v>154</v>
      </c>
      <c r="C173" s="28" t="s">
        <v>515</v>
      </c>
      <c r="D173" s="50" t="s">
        <v>517</v>
      </c>
      <c r="E173" s="31">
        <v>9.51</v>
      </c>
      <c r="F173" s="31">
        <v>9.51</v>
      </c>
      <c r="G173" s="31">
        <f>_xlfn.XLOOKUP(B173, Rate_Master!$A:$A, Rate_Master!$C:$C, "")</f>
        <v>359375</v>
      </c>
      <c r="H173" s="31">
        <f>_xlfn.XLOOKUP(B173, Rate_Master!$A:$A, Rate_Master!$D:$D, "")</f>
        <v>71875</v>
      </c>
      <c r="I173" s="32">
        <f t="shared" si="36"/>
        <v>431250</v>
      </c>
      <c r="J173" s="32">
        <f t="shared" si="37"/>
        <v>4101187.5</v>
      </c>
      <c r="K173" s="32">
        <f t="shared" si="38"/>
        <v>4101187.5</v>
      </c>
      <c r="L173" s="32"/>
    </row>
    <row r="174" spans="1:12" s="4" customFormat="1" ht="25.5" customHeight="1" outlineLevel="1">
      <c r="A174" s="27" t="str">
        <f t="shared" si="35"/>
        <v>14A.F7.3</v>
      </c>
      <c r="B174" s="51" t="s">
        <v>155</v>
      </c>
      <c r="C174" s="28" t="s">
        <v>515</v>
      </c>
      <c r="D174" s="50" t="s">
        <v>517</v>
      </c>
      <c r="E174" s="31">
        <v>42.491</v>
      </c>
      <c r="F174" s="31">
        <v>42.491</v>
      </c>
      <c r="G174" s="31">
        <f>_xlfn.XLOOKUP(B174, Rate_Master!$A:$A, Rate_Master!$C:$C, "")</f>
        <v>1954999.9999999998</v>
      </c>
      <c r="H174" s="31">
        <f>_xlfn.XLOOKUP(B174, Rate_Master!$A:$A, Rate_Master!$D:$D, "")</f>
        <v>114999.99999999999</v>
      </c>
      <c r="I174" s="32">
        <f t="shared" si="36"/>
        <v>2069999.9999999998</v>
      </c>
      <c r="J174" s="32">
        <f t="shared" si="37"/>
        <v>87956369.999999985</v>
      </c>
      <c r="K174" s="32">
        <f t="shared" si="38"/>
        <v>87956369.999999985</v>
      </c>
      <c r="L174" s="32"/>
    </row>
    <row r="175" spans="1:12" s="4" customFormat="1" ht="51" customHeight="1" outlineLevel="1">
      <c r="A175" s="27" t="str">
        <f t="shared" si="35"/>
        <v>14A.F7.4</v>
      </c>
      <c r="B175" s="51" t="s">
        <v>262</v>
      </c>
      <c r="C175" s="28"/>
      <c r="D175" s="50" t="s">
        <v>517</v>
      </c>
      <c r="E175" s="31">
        <v>86</v>
      </c>
      <c r="F175" s="31">
        <v>86</v>
      </c>
      <c r="G175" s="31">
        <f>_xlfn.XLOOKUP(B175, Rate_Master!$A:$A, Rate_Master!$C:$C, "")</f>
        <v>1105150</v>
      </c>
      <c r="H175" s="31">
        <f>_xlfn.XLOOKUP(B175, Rate_Master!$A:$A, Rate_Master!$D:$D, "")</f>
        <v>430099.99999999994</v>
      </c>
      <c r="I175" s="32">
        <f t="shared" si="36"/>
        <v>1535250</v>
      </c>
      <c r="J175" s="32">
        <f t="shared" si="37"/>
        <v>132031500</v>
      </c>
      <c r="K175" s="32">
        <f t="shared" si="38"/>
        <v>132031500</v>
      </c>
      <c r="L175" s="32"/>
    </row>
    <row r="176" spans="1:12" s="4" customFormat="1" ht="25.5" customHeight="1" outlineLevel="1">
      <c r="A176" s="27" t="str">
        <f t="shared" si="35"/>
        <v>14A.F7.5</v>
      </c>
      <c r="B176" s="51" t="s">
        <v>263</v>
      </c>
      <c r="C176" s="28" t="s">
        <v>576</v>
      </c>
      <c r="D176" s="50" t="s">
        <v>516</v>
      </c>
      <c r="E176" s="31">
        <v>2</v>
      </c>
      <c r="F176" s="31">
        <v>2</v>
      </c>
      <c r="G176" s="31">
        <f>_xlfn.XLOOKUP(B176, Rate_Master!$A:$A, Rate_Master!$C:$C, "")</f>
        <v>2519650</v>
      </c>
      <c r="H176" s="31">
        <f>_xlfn.XLOOKUP(B176, Rate_Master!$A:$A, Rate_Master!$D:$D, "")</f>
        <v>979799.99999999988</v>
      </c>
      <c r="I176" s="32">
        <f t="shared" si="36"/>
        <v>3499450</v>
      </c>
      <c r="J176" s="32">
        <f t="shared" si="37"/>
        <v>6998900</v>
      </c>
      <c r="K176" s="32">
        <f t="shared" si="38"/>
        <v>6998900</v>
      </c>
      <c r="L176" s="32"/>
    </row>
    <row r="177" spans="1:12" s="4" customFormat="1" ht="51" customHeight="1" outlineLevel="1">
      <c r="A177" s="27" t="str">
        <f t="shared" si="35"/>
        <v>14A.F7.6</v>
      </c>
      <c r="B177" s="51" t="s">
        <v>264</v>
      </c>
      <c r="C177" s="28"/>
      <c r="D177" s="50" t="s">
        <v>517</v>
      </c>
      <c r="E177" s="31">
        <v>26.396000000000001</v>
      </c>
      <c r="F177" s="31">
        <v>26.396000000000001</v>
      </c>
      <c r="G177" s="31">
        <f>_xlfn.XLOOKUP(B177, Rate_Master!$A:$A, Rate_Master!$C:$C, "")</f>
        <v>1055700</v>
      </c>
      <c r="H177" s="31">
        <f>_xlfn.XLOOKUP(B177, Rate_Master!$A:$A, Rate_Master!$D:$D, "")</f>
        <v>410549.99999999994</v>
      </c>
      <c r="I177" s="32">
        <f t="shared" si="36"/>
        <v>1466250</v>
      </c>
      <c r="J177" s="32">
        <f t="shared" si="37"/>
        <v>38703135</v>
      </c>
      <c r="K177" s="32">
        <f t="shared" si="38"/>
        <v>38703135</v>
      </c>
      <c r="L177" s="32"/>
    </row>
    <row r="178" spans="1:12" s="4" customFormat="1" ht="38.25" customHeight="1" outlineLevel="1">
      <c r="A178" s="27" t="str">
        <f t="shared" si="35"/>
        <v>14A.F7.7</v>
      </c>
      <c r="B178" s="51" t="s">
        <v>265</v>
      </c>
      <c r="C178" s="28"/>
      <c r="D178" s="50" t="s">
        <v>518</v>
      </c>
      <c r="E178" s="31">
        <v>1</v>
      </c>
      <c r="F178" s="31">
        <v>1</v>
      </c>
      <c r="G178" s="31">
        <f>_xlfn.XLOOKUP(B178, Rate_Master!$A:$A, Rate_Master!$C:$C, "")</f>
        <v>1799749.9999999998</v>
      </c>
      <c r="H178" s="31">
        <f>_xlfn.XLOOKUP(B178, Rate_Master!$A:$A, Rate_Master!$D:$D, "")</f>
        <v>700350</v>
      </c>
      <c r="I178" s="32">
        <f t="shared" si="36"/>
        <v>2500100</v>
      </c>
      <c r="J178" s="32">
        <f t="shared" si="37"/>
        <v>2500100</v>
      </c>
      <c r="K178" s="32">
        <f t="shared" si="38"/>
        <v>2500100</v>
      </c>
      <c r="L178" s="32"/>
    </row>
    <row r="179" spans="1:12" s="52" customFormat="1" ht="102" customHeight="1" outlineLevel="1">
      <c r="A179" s="55" t="str">
        <f t="shared" si="35"/>
        <v>14A.F7.8</v>
      </c>
      <c r="B179" s="73" t="s">
        <v>266</v>
      </c>
      <c r="C179" s="56" t="s">
        <v>577</v>
      </c>
      <c r="D179" s="74" t="s">
        <v>516</v>
      </c>
      <c r="E179" s="36">
        <v>1</v>
      </c>
      <c r="F179" s="36">
        <v>1</v>
      </c>
      <c r="G179" s="36">
        <f>_xlfn.XLOOKUP(B179, Rate_Master!$A:$A, Rate_Master!$C:$C, "")</f>
        <v>565199700</v>
      </c>
      <c r="H179" s="36">
        <f>_xlfn.XLOOKUP(B179, Rate_Master!$A:$A, Rate_Master!$D:$D, "")</f>
        <v>219799499.99999997</v>
      </c>
      <c r="I179" s="58">
        <f t="shared" si="36"/>
        <v>784999200</v>
      </c>
      <c r="J179" s="32">
        <f t="shared" si="37"/>
        <v>784999200</v>
      </c>
      <c r="K179" s="32">
        <f t="shared" si="38"/>
        <v>784999200</v>
      </c>
      <c r="L179" s="58"/>
    </row>
    <row r="180" spans="1:12">
      <c r="F180" s="8"/>
    </row>
  </sheetData>
  <mergeCells count="5">
    <mergeCell ref="C5:L5"/>
    <mergeCell ref="C4:L4"/>
    <mergeCell ref="C3:L3"/>
    <mergeCell ref="C7:L7"/>
    <mergeCell ref="C6:L6"/>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pageSetUpPr fitToPage="1"/>
  </sheetPr>
  <dimension ref="A1:M162"/>
  <sheetViews>
    <sheetView topLeftCell="A8" zoomScale="85" zoomScaleNormal="85" workbookViewId="0">
      <pane ySplit="1" topLeftCell="A57" activePane="bottomLeft" state="frozen"/>
      <selection activeCell="A8" sqref="A8"/>
      <selection pane="bottomLeft" activeCell="F12" sqref="F12"/>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6" width="14" style="85" customWidth="1"/>
    <col min="7" max="8" width="14" style="8" customWidth="1" outlineLevel="1"/>
    <col min="9" max="12" width="14" style="9" customWidth="1"/>
    <col min="13" max="13" width="11.75" style="6" bestFit="1" customWidth="1"/>
    <col min="14" max="228" width="9.125" style="6" customWidth="1"/>
    <col min="229" max="229" width="6.375" style="6" customWidth="1"/>
    <col min="230" max="230" width="34.25" style="6" customWidth="1"/>
    <col min="231" max="231" width="7.375" style="6" customWidth="1"/>
    <col min="232" max="232" width="6.375" style="6" customWidth="1"/>
    <col min="233" max="233" width="13.125" style="6" customWidth="1"/>
    <col min="234" max="234" width="15.375" style="6" customWidth="1"/>
    <col min="235" max="235" width="21.25" style="6" customWidth="1"/>
    <col min="236" max="484" width="9.125" style="6" customWidth="1"/>
    <col min="485" max="485" width="6.375" style="6" customWidth="1"/>
    <col min="486" max="486" width="34.25" style="6" customWidth="1"/>
    <col min="487" max="487" width="7.375" style="6" customWidth="1"/>
    <col min="488" max="488" width="6.375" style="6" customWidth="1"/>
    <col min="489" max="489" width="13.125" style="6" customWidth="1"/>
    <col min="490" max="490" width="15.375" style="6" customWidth="1"/>
    <col min="491" max="491" width="21.25" style="6" customWidth="1"/>
    <col min="492" max="740" width="9.125" style="6" customWidth="1"/>
    <col min="741" max="741" width="6.375" style="6" customWidth="1"/>
    <col min="742" max="742" width="34.25" style="6" customWidth="1"/>
    <col min="743" max="743" width="7.375" style="6" customWidth="1"/>
    <col min="744" max="744" width="6.375" style="6" customWidth="1"/>
    <col min="745" max="745" width="13.125" style="6" customWidth="1"/>
    <col min="746" max="746" width="15.375" style="6" customWidth="1"/>
    <col min="747" max="747" width="21.25" style="6" customWidth="1"/>
    <col min="748" max="996" width="9.125" style="6" customWidth="1"/>
    <col min="997" max="997" width="6.375" style="6" customWidth="1"/>
    <col min="998" max="998" width="34.25" style="6" customWidth="1"/>
    <col min="999" max="999" width="7.375" style="6" customWidth="1"/>
    <col min="1000" max="1000" width="6.375" style="6" customWidth="1"/>
    <col min="1001" max="1001" width="13.125" style="6" customWidth="1"/>
    <col min="1002" max="1002" width="15.375" style="6" customWidth="1"/>
    <col min="1003" max="1003" width="21.25" style="6" customWidth="1"/>
    <col min="1004" max="1252" width="9.125" style="6" customWidth="1"/>
    <col min="1253" max="1253" width="6.375" style="6" customWidth="1"/>
    <col min="1254" max="1254" width="34.25" style="6" customWidth="1"/>
    <col min="1255" max="1255" width="7.375" style="6" customWidth="1"/>
    <col min="1256" max="1256" width="6.375" style="6" customWidth="1"/>
    <col min="1257" max="1257" width="13.125" style="6" customWidth="1"/>
    <col min="1258" max="1258" width="15.375" style="6" customWidth="1"/>
    <col min="1259" max="1259" width="21.25" style="6" customWidth="1"/>
    <col min="1260" max="1508" width="9.125" style="6" customWidth="1"/>
    <col min="1509" max="1509" width="6.375" style="6" customWidth="1"/>
    <col min="1510" max="1510" width="34.25" style="6" customWidth="1"/>
    <col min="1511" max="1511" width="7.375" style="6" customWidth="1"/>
    <col min="1512" max="1512" width="6.375" style="6" customWidth="1"/>
    <col min="1513" max="1513" width="13.125" style="6" customWidth="1"/>
    <col min="1514" max="1514" width="15.375" style="6" customWidth="1"/>
    <col min="1515" max="1515" width="21.25" style="6" customWidth="1"/>
    <col min="1516" max="1764" width="9.125" style="6" customWidth="1"/>
    <col min="1765" max="1765" width="6.375" style="6" customWidth="1"/>
    <col min="1766" max="1766" width="34.25" style="6" customWidth="1"/>
    <col min="1767" max="1767" width="7.375" style="6" customWidth="1"/>
    <col min="1768" max="1768" width="6.375" style="6" customWidth="1"/>
    <col min="1769" max="1769" width="13.125" style="6" customWidth="1"/>
    <col min="1770" max="1770" width="15.375" style="6" customWidth="1"/>
    <col min="1771" max="1771" width="21.25" style="6" customWidth="1"/>
    <col min="1772" max="2020" width="9.125" style="6" customWidth="1"/>
    <col min="2021" max="2021" width="6.375" style="6" customWidth="1"/>
    <col min="2022" max="2022" width="34.25" style="6" customWidth="1"/>
    <col min="2023" max="2023" width="7.375" style="6" customWidth="1"/>
    <col min="2024" max="2024" width="6.375" style="6" customWidth="1"/>
    <col min="2025" max="2025" width="13.125" style="6" customWidth="1"/>
    <col min="2026" max="2026" width="15.375" style="6" customWidth="1"/>
    <col min="2027" max="2027" width="21.25" style="6" customWidth="1"/>
    <col min="2028" max="2276" width="9.125" style="6" customWidth="1"/>
    <col min="2277" max="2277" width="6.375" style="6" customWidth="1"/>
    <col min="2278" max="2278" width="34.25" style="6" customWidth="1"/>
    <col min="2279" max="2279" width="7.375" style="6" customWidth="1"/>
    <col min="2280" max="2280" width="6.375" style="6" customWidth="1"/>
    <col min="2281" max="2281" width="13.125" style="6" customWidth="1"/>
    <col min="2282" max="2282" width="15.375" style="6" customWidth="1"/>
    <col min="2283" max="2283" width="21.25" style="6" customWidth="1"/>
    <col min="2284" max="2532" width="9.125" style="6" customWidth="1"/>
    <col min="2533" max="2533" width="6.375" style="6" customWidth="1"/>
    <col min="2534" max="2534" width="34.25" style="6" customWidth="1"/>
    <col min="2535" max="2535" width="7.375" style="6" customWidth="1"/>
    <col min="2536" max="2536" width="6.375" style="6" customWidth="1"/>
    <col min="2537" max="2537" width="13.125" style="6" customWidth="1"/>
    <col min="2538" max="2538" width="15.375" style="6" customWidth="1"/>
    <col min="2539" max="2539" width="21.25" style="6" customWidth="1"/>
    <col min="2540" max="2788" width="9.125" style="6" customWidth="1"/>
    <col min="2789" max="2789" width="6.375" style="6" customWidth="1"/>
    <col min="2790" max="2790" width="34.25" style="6" customWidth="1"/>
    <col min="2791" max="2791" width="7.375" style="6" customWidth="1"/>
    <col min="2792" max="2792" width="6.375" style="6" customWidth="1"/>
    <col min="2793" max="2793" width="13.125" style="6" customWidth="1"/>
    <col min="2794" max="2794" width="15.375" style="6" customWidth="1"/>
    <col min="2795" max="2795" width="21.25" style="6" customWidth="1"/>
    <col min="2796" max="3044" width="9.125" style="6" customWidth="1"/>
    <col min="3045" max="3045" width="6.375" style="6" customWidth="1"/>
    <col min="3046" max="3046" width="34.25" style="6" customWidth="1"/>
    <col min="3047" max="3047" width="7.375" style="6" customWidth="1"/>
    <col min="3048" max="3048" width="6.375" style="6" customWidth="1"/>
    <col min="3049" max="3049" width="13.125" style="6" customWidth="1"/>
    <col min="3050" max="3050" width="15.375" style="6" customWidth="1"/>
    <col min="3051" max="3051" width="21.25" style="6" customWidth="1"/>
    <col min="3052" max="3300" width="9.125" style="6" customWidth="1"/>
    <col min="3301" max="3301" width="6.375" style="6" customWidth="1"/>
    <col min="3302" max="3302" width="34.25" style="6" customWidth="1"/>
    <col min="3303" max="3303" width="7.375" style="6" customWidth="1"/>
    <col min="3304" max="3304" width="6.375" style="6" customWidth="1"/>
    <col min="3305" max="3305" width="13.125" style="6" customWidth="1"/>
    <col min="3306" max="3306" width="15.375" style="6" customWidth="1"/>
    <col min="3307" max="3307" width="21.25" style="6" customWidth="1"/>
    <col min="3308" max="3556" width="9.125" style="6" customWidth="1"/>
    <col min="3557" max="3557" width="6.375" style="6" customWidth="1"/>
    <col min="3558" max="3558" width="34.25" style="6" customWidth="1"/>
    <col min="3559" max="3559" width="7.375" style="6" customWidth="1"/>
    <col min="3560" max="3560" width="6.375" style="6" customWidth="1"/>
    <col min="3561" max="3561" width="13.125" style="6" customWidth="1"/>
    <col min="3562" max="3562" width="15.375" style="6" customWidth="1"/>
    <col min="3563" max="3563" width="21.25" style="6" customWidth="1"/>
    <col min="3564" max="3812" width="9.125" style="6" customWidth="1"/>
    <col min="3813" max="3813" width="6.375" style="6" customWidth="1"/>
    <col min="3814" max="3814" width="34.25" style="6" customWidth="1"/>
    <col min="3815" max="3815" width="7.375" style="6" customWidth="1"/>
    <col min="3816" max="3816" width="6.375" style="6" customWidth="1"/>
    <col min="3817" max="3817" width="13.125" style="6" customWidth="1"/>
    <col min="3818" max="3818" width="15.375" style="6" customWidth="1"/>
    <col min="3819" max="3819" width="21.25" style="6" customWidth="1"/>
    <col min="3820" max="4068" width="9.125" style="6" customWidth="1"/>
    <col min="4069" max="4069" width="6.375" style="6" customWidth="1"/>
    <col min="4070" max="4070" width="34.25" style="6" customWidth="1"/>
    <col min="4071" max="4071" width="7.375" style="6" customWidth="1"/>
    <col min="4072" max="4072" width="6.375" style="6" customWidth="1"/>
    <col min="4073" max="4073" width="13.125" style="6" customWidth="1"/>
    <col min="4074" max="4074" width="15.375" style="6" customWidth="1"/>
    <col min="4075" max="4075" width="21.25" style="6" customWidth="1"/>
    <col min="4076" max="4324" width="9.125" style="6" customWidth="1"/>
    <col min="4325" max="4325" width="6.375" style="6" customWidth="1"/>
    <col min="4326" max="4326" width="34.25" style="6" customWidth="1"/>
    <col min="4327" max="4327" width="7.375" style="6" customWidth="1"/>
    <col min="4328" max="4328" width="6.375" style="6" customWidth="1"/>
    <col min="4329" max="4329" width="13.125" style="6" customWidth="1"/>
    <col min="4330" max="4330" width="15.375" style="6" customWidth="1"/>
    <col min="4331" max="4331" width="21.25" style="6" customWidth="1"/>
    <col min="4332" max="4580" width="9.125" style="6" customWidth="1"/>
    <col min="4581" max="4581" width="6.375" style="6" customWidth="1"/>
    <col min="4582" max="4582" width="34.25" style="6" customWidth="1"/>
    <col min="4583" max="4583" width="7.375" style="6" customWidth="1"/>
    <col min="4584" max="4584" width="6.375" style="6" customWidth="1"/>
    <col min="4585" max="4585" width="13.125" style="6" customWidth="1"/>
    <col min="4586" max="4586" width="15.375" style="6" customWidth="1"/>
    <col min="4587" max="4587" width="21.25" style="6" customWidth="1"/>
    <col min="4588" max="4836" width="9.125" style="6" customWidth="1"/>
    <col min="4837" max="4837" width="6.375" style="6" customWidth="1"/>
    <col min="4838" max="4838" width="34.25" style="6" customWidth="1"/>
    <col min="4839" max="4839" width="7.375" style="6" customWidth="1"/>
    <col min="4840" max="4840" width="6.375" style="6" customWidth="1"/>
    <col min="4841" max="4841" width="13.125" style="6" customWidth="1"/>
    <col min="4842" max="4842" width="15.375" style="6" customWidth="1"/>
    <col min="4843" max="4843" width="21.25" style="6" customWidth="1"/>
    <col min="4844" max="5092" width="9.125" style="6" customWidth="1"/>
    <col min="5093" max="5093" width="6.375" style="6" customWidth="1"/>
    <col min="5094" max="5094" width="34.25" style="6" customWidth="1"/>
    <col min="5095" max="5095" width="7.375" style="6" customWidth="1"/>
    <col min="5096" max="5096" width="6.375" style="6" customWidth="1"/>
    <col min="5097" max="5097" width="13.125" style="6" customWidth="1"/>
    <col min="5098" max="5098" width="15.375" style="6" customWidth="1"/>
    <col min="5099" max="5099" width="21.25" style="6" customWidth="1"/>
    <col min="5100" max="5348" width="9.125" style="6" customWidth="1"/>
    <col min="5349" max="5349" width="6.375" style="6" customWidth="1"/>
    <col min="5350" max="5350" width="34.25" style="6" customWidth="1"/>
    <col min="5351" max="5351" width="7.375" style="6" customWidth="1"/>
    <col min="5352" max="5352" width="6.375" style="6" customWidth="1"/>
    <col min="5353" max="5353" width="13.125" style="6" customWidth="1"/>
    <col min="5354" max="5354" width="15.375" style="6" customWidth="1"/>
    <col min="5355" max="5355" width="21.25" style="6" customWidth="1"/>
    <col min="5356" max="5604" width="9.125" style="6" customWidth="1"/>
    <col min="5605" max="5605" width="6.375" style="6" customWidth="1"/>
    <col min="5606" max="5606" width="34.25" style="6" customWidth="1"/>
    <col min="5607" max="5607" width="7.375" style="6" customWidth="1"/>
    <col min="5608" max="5608" width="6.375" style="6" customWidth="1"/>
    <col min="5609" max="5609" width="13.125" style="6" customWidth="1"/>
    <col min="5610" max="5610" width="15.375" style="6" customWidth="1"/>
    <col min="5611" max="5611" width="21.25" style="6" customWidth="1"/>
    <col min="5612" max="5860" width="9.125" style="6" customWidth="1"/>
    <col min="5861" max="5861" width="6.375" style="6" customWidth="1"/>
    <col min="5862" max="5862" width="34.25" style="6" customWidth="1"/>
    <col min="5863" max="5863" width="7.375" style="6" customWidth="1"/>
    <col min="5864" max="5864" width="6.375" style="6" customWidth="1"/>
    <col min="5865" max="5865" width="13.125" style="6" customWidth="1"/>
    <col min="5866" max="5866" width="15.375" style="6" customWidth="1"/>
    <col min="5867" max="5867" width="21.25" style="6" customWidth="1"/>
    <col min="5868" max="6116" width="9.125" style="6" customWidth="1"/>
    <col min="6117" max="6117" width="6.375" style="6" customWidth="1"/>
    <col min="6118" max="6118" width="34.25" style="6" customWidth="1"/>
    <col min="6119" max="6119" width="7.375" style="6" customWidth="1"/>
    <col min="6120" max="6120" width="6.375" style="6" customWidth="1"/>
    <col min="6121" max="6121" width="13.125" style="6" customWidth="1"/>
    <col min="6122" max="6122" width="15.375" style="6" customWidth="1"/>
    <col min="6123" max="6123" width="21.25" style="6" customWidth="1"/>
    <col min="6124" max="6372" width="9.125" style="6" customWidth="1"/>
    <col min="6373" max="6373" width="6.375" style="6" customWidth="1"/>
    <col min="6374" max="6374" width="34.25" style="6" customWidth="1"/>
    <col min="6375" max="6375" width="7.375" style="6" customWidth="1"/>
    <col min="6376" max="6376" width="6.375" style="6" customWidth="1"/>
    <col min="6377" max="6377" width="13.125" style="6" customWidth="1"/>
    <col min="6378" max="6378" width="15.375" style="6" customWidth="1"/>
    <col min="6379" max="6379" width="21.25" style="6" customWidth="1"/>
    <col min="6380" max="6628" width="9.125" style="6" customWidth="1"/>
    <col min="6629" max="6629" width="6.375" style="6" customWidth="1"/>
    <col min="6630" max="6630" width="34.25" style="6" customWidth="1"/>
    <col min="6631" max="6631" width="7.375" style="6" customWidth="1"/>
    <col min="6632" max="6632" width="6.375" style="6" customWidth="1"/>
    <col min="6633" max="6633" width="13.125" style="6" customWidth="1"/>
    <col min="6634" max="6634" width="15.375" style="6" customWidth="1"/>
    <col min="6635" max="6635" width="21.25" style="6" customWidth="1"/>
    <col min="6636" max="6884" width="9.125" style="6" customWidth="1"/>
    <col min="6885" max="6885" width="6.375" style="6" customWidth="1"/>
    <col min="6886" max="6886" width="34.25" style="6" customWidth="1"/>
    <col min="6887" max="6887" width="7.375" style="6" customWidth="1"/>
    <col min="6888" max="6888" width="6.375" style="6" customWidth="1"/>
    <col min="6889" max="6889" width="13.125" style="6" customWidth="1"/>
    <col min="6890" max="6890" width="15.375" style="6" customWidth="1"/>
    <col min="6891" max="6891" width="21.25" style="6" customWidth="1"/>
    <col min="6892" max="7140" width="9.125" style="6" customWidth="1"/>
    <col min="7141" max="7141" width="6.375" style="6" customWidth="1"/>
    <col min="7142" max="7142" width="34.25" style="6" customWidth="1"/>
    <col min="7143" max="7143" width="7.375" style="6" customWidth="1"/>
    <col min="7144" max="7144" width="6.375" style="6" customWidth="1"/>
    <col min="7145" max="7145" width="13.125" style="6" customWidth="1"/>
    <col min="7146" max="7146" width="15.375" style="6" customWidth="1"/>
    <col min="7147" max="7147" width="21.25" style="6" customWidth="1"/>
    <col min="7148" max="7396" width="9.125" style="6" customWidth="1"/>
    <col min="7397" max="7397" width="6.375" style="6" customWidth="1"/>
    <col min="7398" max="7398" width="34.25" style="6" customWidth="1"/>
    <col min="7399" max="7399" width="7.375" style="6" customWidth="1"/>
    <col min="7400" max="7400" width="6.375" style="6" customWidth="1"/>
    <col min="7401" max="7401" width="13.125" style="6" customWidth="1"/>
    <col min="7402" max="7402" width="15.375" style="6" customWidth="1"/>
    <col min="7403" max="7403" width="21.25" style="6" customWidth="1"/>
    <col min="7404" max="7652" width="9.125" style="6" customWidth="1"/>
    <col min="7653" max="7653" width="6.375" style="6" customWidth="1"/>
    <col min="7654" max="7654" width="34.25" style="6" customWidth="1"/>
    <col min="7655" max="7655" width="7.375" style="6" customWidth="1"/>
    <col min="7656" max="7656" width="6.375" style="6" customWidth="1"/>
    <col min="7657" max="7657" width="13.125" style="6" customWidth="1"/>
    <col min="7658" max="7658" width="15.375" style="6" customWidth="1"/>
    <col min="7659" max="7659" width="21.25" style="6" customWidth="1"/>
    <col min="7660" max="7908" width="9.125" style="6" customWidth="1"/>
    <col min="7909" max="7909" width="6.375" style="6" customWidth="1"/>
    <col min="7910" max="7910" width="34.25" style="6" customWidth="1"/>
    <col min="7911" max="7911" width="7.375" style="6" customWidth="1"/>
    <col min="7912" max="7912" width="6.375" style="6" customWidth="1"/>
    <col min="7913" max="7913" width="13.125" style="6" customWidth="1"/>
    <col min="7914" max="7914" width="15.375" style="6" customWidth="1"/>
    <col min="7915" max="7915" width="21.25" style="6" customWidth="1"/>
    <col min="7916" max="8164" width="9.125" style="6" customWidth="1"/>
    <col min="8165" max="8165" width="6.375" style="6" customWidth="1"/>
    <col min="8166" max="8166" width="34.25" style="6" customWidth="1"/>
    <col min="8167" max="8167" width="7.375" style="6" customWidth="1"/>
    <col min="8168" max="8168" width="6.375" style="6" customWidth="1"/>
    <col min="8169" max="8169" width="13.125" style="6" customWidth="1"/>
    <col min="8170" max="8170" width="15.375" style="6" customWidth="1"/>
    <col min="8171" max="8171" width="21.25" style="6" customWidth="1"/>
    <col min="8172" max="8420" width="9.125" style="6" customWidth="1"/>
    <col min="8421" max="8421" width="6.375" style="6" customWidth="1"/>
    <col min="8422" max="8422" width="34.25" style="6" customWidth="1"/>
    <col min="8423" max="8423" width="7.375" style="6" customWidth="1"/>
    <col min="8424" max="8424" width="6.375" style="6" customWidth="1"/>
    <col min="8425" max="8425" width="13.125" style="6" customWidth="1"/>
    <col min="8426" max="8426" width="15.375" style="6" customWidth="1"/>
    <col min="8427" max="8427" width="21.25" style="6" customWidth="1"/>
    <col min="8428" max="8676" width="9.125" style="6" customWidth="1"/>
    <col min="8677" max="8677" width="6.375" style="6" customWidth="1"/>
    <col min="8678" max="8678" width="34.25" style="6" customWidth="1"/>
    <col min="8679" max="8679" width="7.375" style="6" customWidth="1"/>
    <col min="8680" max="8680" width="6.375" style="6" customWidth="1"/>
    <col min="8681" max="8681" width="13.125" style="6" customWidth="1"/>
    <col min="8682" max="8682" width="15.375" style="6" customWidth="1"/>
    <col min="8683" max="8683" width="21.25" style="6" customWidth="1"/>
    <col min="8684" max="8932" width="9.125" style="6" customWidth="1"/>
    <col min="8933" max="8933" width="6.375" style="6" customWidth="1"/>
    <col min="8934" max="8934" width="34.25" style="6" customWidth="1"/>
    <col min="8935" max="8935" width="7.375" style="6" customWidth="1"/>
    <col min="8936" max="8936" width="6.375" style="6" customWidth="1"/>
    <col min="8937" max="8937" width="13.125" style="6" customWidth="1"/>
    <col min="8938" max="8938" width="15.375" style="6" customWidth="1"/>
    <col min="8939" max="8939" width="21.25" style="6" customWidth="1"/>
    <col min="8940" max="9188" width="9.125" style="6" customWidth="1"/>
    <col min="9189" max="9189" width="6.375" style="6" customWidth="1"/>
    <col min="9190" max="9190" width="34.25" style="6" customWidth="1"/>
    <col min="9191" max="9191" width="7.375" style="6" customWidth="1"/>
    <col min="9192" max="9192" width="6.375" style="6" customWidth="1"/>
    <col min="9193" max="9193" width="13.125" style="6" customWidth="1"/>
    <col min="9194" max="9194" width="15.375" style="6" customWidth="1"/>
    <col min="9195" max="9195" width="21.25" style="6" customWidth="1"/>
    <col min="9196" max="9444" width="9.125" style="6" customWidth="1"/>
    <col min="9445" max="9445" width="6.375" style="6" customWidth="1"/>
    <col min="9446" max="9446" width="34.25" style="6" customWidth="1"/>
    <col min="9447" max="9447" width="7.375" style="6" customWidth="1"/>
    <col min="9448" max="9448" width="6.375" style="6" customWidth="1"/>
    <col min="9449" max="9449" width="13.125" style="6" customWidth="1"/>
    <col min="9450" max="9450" width="15.375" style="6" customWidth="1"/>
    <col min="9451" max="9451" width="21.25" style="6" customWidth="1"/>
    <col min="9452" max="9700" width="9.125" style="6" customWidth="1"/>
    <col min="9701" max="9701" width="6.375" style="6" customWidth="1"/>
    <col min="9702" max="9702" width="34.25" style="6" customWidth="1"/>
    <col min="9703" max="9703" width="7.375" style="6" customWidth="1"/>
    <col min="9704" max="9704" width="6.375" style="6" customWidth="1"/>
    <col min="9705" max="9705" width="13.125" style="6" customWidth="1"/>
    <col min="9706" max="9706" width="15.375" style="6" customWidth="1"/>
    <col min="9707" max="9707" width="21.25" style="6" customWidth="1"/>
    <col min="9708" max="9956" width="9.125" style="6" customWidth="1"/>
    <col min="9957" max="9957" width="6.375" style="6" customWidth="1"/>
    <col min="9958" max="9958" width="34.25" style="6" customWidth="1"/>
    <col min="9959" max="9959" width="7.375" style="6" customWidth="1"/>
    <col min="9960" max="9960" width="6.375" style="6" customWidth="1"/>
    <col min="9961" max="9961" width="13.125" style="6" customWidth="1"/>
    <col min="9962" max="9962" width="15.375" style="6" customWidth="1"/>
    <col min="9963" max="9963" width="21.25" style="6" customWidth="1"/>
    <col min="9964" max="10212" width="9.125" style="6" customWidth="1"/>
    <col min="10213" max="10213" width="6.375" style="6" customWidth="1"/>
    <col min="10214" max="10214" width="34.25" style="6" customWidth="1"/>
    <col min="10215" max="10215" width="7.375" style="6" customWidth="1"/>
    <col min="10216" max="10216" width="6.375" style="6" customWidth="1"/>
    <col min="10217" max="10217" width="13.125" style="6" customWidth="1"/>
    <col min="10218" max="10218" width="15.375" style="6" customWidth="1"/>
    <col min="10219" max="10219" width="21.25" style="6" customWidth="1"/>
    <col min="10220" max="10468" width="9.125" style="6" customWidth="1"/>
    <col min="10469" max="10469" width="6.375" style="6" customWidth="1"/>
    <col min="10470" max="10470" width="34.25" style="6" customWidth="1"/>
    <col min="10471" max="10471" width="7.375" style="6" customWidth="1"/>
    <col min="10472" max="10472" width="6.375" style="6" customWidth="1"/>
    <col min="10473" max="10473" width="13.125" style="6" customWidth="1"/>
    <col min="10474" max="10474" width="15.375" style="6" customWidth="1"/>
    <col min="10475" max="10475" width="21.25" style="6" customWidth="1"/>
    <col min="10476" max="10724" width="9.125" style="6" customWidth="1"/>
    <col min="10725" max="10725" width="6.375" style="6" customWidth="1"/>
    <col min="10726" max="10726" width="34.25" style="6" customWidth="1"/>
    <col min="10727" max="10727" width="7.375" style="6" customWidth="1"/>
    <col min="10728" max="10728" width="6.375" style="6" customWidth="1"/>
    <col min="10729" max="10729" width="13.125" style="6" customWidth="1"/>
    <col min="10730" max="10730" width="15.375" style="6" customWidth="1"/>
    <col min="10731" max="10731" width="21.25" style="6" customWidth="1"/>
    <col min="10732" max="10980" width="9.125" style="6" customWidth="1"/>
    <col min="10981" max="10981" width="6.375" style="6" customWidth="1"/>
    <col min="10982" max="10982" width="34.25" style="6" customWidth="1"/>
    <col min="10983" max="10983" width="7.375" style="6" customWidth="1"/>
    <col min="10984" max="10984" width="6.375" style="6" customWidth="1"/>
    <col min="10985" max="10985" width="13.125" style="6" customWidth="1"/>
    <col min="10986" max="10986" width="15.375" style="6" customWidth="1"/>
    <col min="10987" max="10987" width="21.25" style="6" customWidth="1"/>
    <col min="10988" max="11236" width="9.125" style="6" customWidth="1"/>
    <col min="11237" max="11237" width="6.375" style="6" customWidth="1"/>
    <col min="11238" max="11238" width="34.25" style="6" customWidth="1"/>
    <col min="11239" max="11239" width="7.375" style="6" customWidth="1"/>
    <col min="11240" max="11240" width="6.375" style="6" customWidth="1"/>
    <col min="11241" max="11241" width="13.125" style="6" customWidth="1"/>
    <col min="11242" max="11242" width="15.375" style="6" customWidth="1"/>
    <col min="11243" max="11243" width="21.25" style="6" customWidth="1"/>
    <col min="11244" max="11492" width="9.125" style="6" customWidth="1"/>
    <col min="11493" max="11493" width="6.375" style="6" customWidth="1"/>
    <col min="11494" max="11494" width="34.25" style="6" customWidth="1"/>
    <col min="11495" max="11495" width="7.375" style="6" customWidth="1"/>
    <col min="11496" max="11496" width="6.375" style="6" customWidth="1"/>
    <col min="11497" max="11497" width="13.125" style="6" customWidth="1"/>
    <col min="11498" max="11498" width="15.375" style="6" customWidth="1"/>
    <col min="11499" max="11499" width="21.25" style="6" customWidth="1"/>
    <col min="11500" max="11748" width="9.125" style="6" customWidth="1"/>
    <col min="11749" max="11749" width="6.375" style="6" customWidth="1"/>
    <col min="11750" max="11750" width="34.25" style="6" customWidth="1"/>
    <col min="11751" max="11751" width="7.375" style="6" customWidth="1"/>
    <col min="11752" max="11752" width="6.375" style="6" customWidth="1"/>
    <col min="11753" max="11753" width="13.125" style="6" customWidth="1"/>
    <col min="11754" max="11754" width="15.375" style="6" customWidth="1"/>
    <col min="11755" max="11755" width="21.25" style="6" customWidth="1"/>
    <col min="11756" max="12004" width="9.125" style="6" customWidth="1"/>
    <col min="12005" max="12005" width="6.375" style="6" customWidth="1"/>
    <col min="12006" max="12006" width="34.25" style="6" customWidth="1"/>
    <col min="12007" max="12007" width="7.375" style="6" customWidth="1"/>
    <col min="12008" max="12008" width="6.375" style="6" customWidth="1"/>
    <col min="12009" max="12009" width="13.125" style="6" customWidth="1"/>
    <col min="12010" max="12010" width="15.375" style="6" customWidth="1"/>
    <col min="12011" max="12011" width="21.25" style="6" customWidth="1"/>
    <col min="12012" max="12260" width="9.125" style="6" customWidth="1"/>
    <col min="12261" max="12261" width="6.375" style="6" customWidth="1"/>
    <col min="12262" max="12262" width="34.25" style="6" customWidth="1"/>
    <col min="12263" max="12263" width="7.375" style="6" customWidth="1"/>
    <col min="12264" max="12264" width="6.375" style="6" customWidth="1"/>
    <col min="12265" max="12265" width="13.125" style="6" customWidth="1"/>
    <col min="12266" max="12266" width="15.375" style="6" customWidth="1"/>
    <col min="12267" max="12267" width="21.25" style="6" customWidth="1"/>
    <col min="12268" max="12516" width="9.125" style="6" customWidth="1"/>
    <col min="12517" max="12517" width="6.375" style="6" customWidth="1"/>
    <col min="12518" max="12518" width="34.25" style="6" customWidth="1"/>
    <col min="12519" max="12519" width="7.375" style="6" customWidth="1"/>
    <col min="12520" max="12520" width="6.375" style="6" customWidth="1"/>
    <col min="12521" max="12521" width="13.125" style="6" customWidth="1"/>
    <col min="12522" max="12522" width="15.375" style="6" customWidth="1"/>
    <col min="12523" max="12523" width="21.25" style="6" customWidth="1"/>
    <col min="12524" max="12772" width="9.125" style="6" customWidth="1"/>
    <col min="12773" max="12773" width="6.375" style="6" customWidth="1"/>
    <col min="12774" max="12774" width="34.25" style="6" customWidth="1"/>
    <col min="12775" max="12775" width="7.375" style="6" customWidth="1"/>
    <col min="12776" max="12776" width="6.375" style="6" customWidth="1"/>
    <col min="12777" max="12777" width="13.125" style="6" customWidth="1"/>
    <col min="12778" max="12778" width="15.375" style="6" customWidth="1"/>
    <col min="12779" max="12779" width="21.25" style="6" customWidth="1"/>
    <col min="12780" max="13028" width="9.125" style="6" customWidth="1"/>
    <col min="13029" max="13029" width="6.375" style="6" customWidth="1"/>
    <col min="13030" max="13030" width="34.25" style="6" customWidth="1"/>
    <col min="13031" max="13031" width="7.375" style="6" customWidth="1"/>
    <col min="13032" max="13032" width="6.375" style="6" customWidth="1"/>
    <col min="13033" max="13033" width="13.125" style="6" customWidth="1"/>
    <col min="13034" max="13034" width="15.375" style="6" customWidth="1"/>
    <col min="13035" max="13035" width="21.25" style="6" customWidth="1"/>
    <col min="13036" max="13284" width="9.125" style="6" customWidth="1"/>
    <col min="13285" max="13285" width="6.375" style="6" customWidth="1"/>
    <col min="13286" max="13286" width="34.25" style="6" customWidth="1"/>
    <col min="13287" max="13287" width="7.375" style="6" customWidth="1"/>
    <col min="13288" max="13288" width="6.375" style="6" customWidth="1"/>
    <col min="13289" max="13289" width="13.125" style="6" customWidth="1"/>
    <col min="13290" max="13290" width="15.375" style="6" customWidth="1"/>
    <col min="13291" max="13291" width="21.25" style="6" customWidth="1"/>
    <col min="13292" max="13540" width="9.125" style="6" customWidth="1"/>
    <col min="13541" max="13541" width="6.375" style="6" customWidth="1"/>
    <col min="13542" max="13542" width="34.25" style="6" customWidth="1"/>
    <col min="13543" max="13543" width="7.375" style="6" customWidth="1"/>
    <col min="13544" max="13544" width="6.375" style="6" customWidth="1"/>
    <col min="13545" max="13545" width="13.125" style="6" customWidth="1"/>
    <col min="13546" max="13546" width="15.375" style="6" customWidth="1"/>
    <col min="13547" max="13547" width="21.25" style="6" customWidth="1"/>
    <col min="13548" max="13796" width="9.125" style="6" customWidth="1"/>
    <col min="13797" max="13797" width="6.375" style="6" customWidth="1"/>
    <col min="13798" max="13798" width="34.25" style="6" customWidth="1"/>
    <col min="13799" max="13799" width="7.375" style="6" customWidth="1"/>
    <col min="13800" max="13800" width="6.375" style="6" customWidth="1"/>
    <col min="13801" max="13801" width="13.125" style="6" customWidth="1"/>
    <col min="13802" max="13802" width="15.375" style="6" customWidth="1"/>
    <col min="13803" max="13803" width="21.25" style="6" customWidth="1"/>
    <col min="13804" max="14052" width="9.125" style="6" customWidth="1"/>
    <col min="14053" max="14053" width="6.375" style="6" customWidth="1"/>
    <col min="14054" max="14054" width="34.25" style="6" customWidth="1"/>
    <col min="14055" max="14055" width="7.375" style="6" customWidth="1"/>
    <col min="14056" max="14056" width="6.375" style="6" customWidth="1"/>
    <col min="14057" max="14057" width="13.125" style="6" customWidth="1"/>
    <col min="14058" max="14058" width="15.375" style="6" customWidth="1"/>
    <col min="14059" max="14059" width="21.25" style="6" customWidth="1"/>
    <col min="14060" max="14308" width="9.125" style="6" customWidth="1"/>
    <col min="14309" max="14309" width="6.375" style="6" customWidth="1"/>
    <col min="14310" max="14310" width="34.25" style="6" customWidth="1"/>
    <col min="14311" max="14311" width="7.375" style="6" customWidth="1"/>
    <col min="14312" max="14312" width="6.375" style="6" customWidth="1"/>
    <col min="14313" max="14313" width="13.125" style="6" customWidth="1"/>
    <col min="14314" max="14314" width="15.375" style="6" customWidth="1"/>
    <col min="14315" max="14315" width="21.25" style="6" customWidth="1"/>
    <col min="14316" max="14564" width="9.125" style="6" customWidth="1"/>
    <col min="14565" max="14565" width="6.375" style="6" customWidth="1"/>
    <col min="14566" max="14566" width="34.25" style="6" customWidth="1"/>
    <col min="14567" max="14567" width="7.375" style="6" customWidth="1"/>
    <col min="14568" max="14568" width="6.375" style="6" customWidth="1"/>
    <col min="14569" max="14569" width="13.125" style="6" customWidth="1"/>
    <col min="14570" max="14570" width="15.375" style="6" customWidth="1"/>
    <col min="14571" max="14571" width="21.25" style="6" customWidth="1"/>
    <col min="14572" max="14820" width="9.125" style="6" customWidth="1"/>
    <col min="14821" max="14821" width="6.375" style="6" customWidth="1"/>
    <col min="14822" max="14822" width="34.25" style="6" customWidth="1"/>
    <col min="14823" max="14823" width="7.375" style="6" customWidth="1"/>
    <col min="14824" max="14824" width="6.375" style="6" customWidth="1"/>
    <col min="14825" max="14825" width="13.125" style="6" customWidth="1"/>
    <col min="14826" max="14826" width="15.375" style="6" customWidth="1"/>
    <col min="14827" max="14827" width="21.25" style="6" customWidth="1"/>
    <col min="14828" max="15076" width="9.125" style="6" customWidth="1"/>
    <col min="15077" max="15077" width="6.375" style="6" customWidth="1"/>
    <col min="15078" max="15078" width="34.25" style="6" customWidth="1"/>
    <col min="15079" max="15079" width="7.375" style="6" customWidth="1"/>
    <col min="15080" max="15080" width="6.375" style="6" customWidth="1"/>
    <col min="15081" max="15081" width="13.125" style="6" customWidth="1"/>
    <col min="15082" max="15082" width="15.375" style="6" customWidth="1"/>
    <col min="15083" max="15083" width="21.25" style="6" customWidth="1"/>
    <col min="15084" max="15332" width="9.125" style="6" customWidth="1"/>
    <col min="15333" max="15333" width="6.375" style="6" customWidth="1"/>
    <col min="15334" max="15334" width="34.25" style="6" customWidth="1"/>
    <col min="15335" max="15335" width="7.375" style="6" customWidth="1"/>
    <col min="15336" max="15336" width="6.375" style="6" customWidth="1"/>
    <col min="15337" max="15337" width="13.125" style="6" customWidth="1"/>
    <col min="15338" max="15338" width="15.375" style="6" customWidth="1"/>
    <col min="15339" max="15339" width="21.25" style="6" customWidth="1"/>
    <col min="15340" max="15588" width="9.125" style="6" customWidth="1"/>
    <col min="15589" max="15589" width="6.375" style="6" customWidth="1"/>
    <col min="15590" max="15590" width="34.25" style="6" customWidth="1"/>
    <col min="15591" max="15591" width="7.375" style="6" customWidth="1"/>
    <col min="15592" max="15592" width="6.375" style="6" customWidth="1"/>
    <col min="15593" max="15593" width="13.125" style="6" customWidth="1"/>
    <col min="15594" max="15594" width="15.375" style="6" customWidth="1"/>
    <col min="15595" max="15595" width="21.25" style="6" customWidth="1"/>
    <col min="15596" max="15844" width="9.125" style="6" customWidth="1"/>
    <col min="15845" max="15845" width="6.375" style="6" customWidth="1"/>
    <col min="15846" max="15846" width="34.25" style="6" customWidth="1"/>
    <col min="15847" max="15847" width="7.375" style="6" customWidth="1"/>
    <col min="15848" max="15848" width="6.375" style="6" customWidth="1"/>
    <col min="15849" max="15849" width="13.125" style="6" customWidth="1"/>
    <col min="15850" max="15850" width="15.375" style="6" customWidth="1"/>
    <col min="15851" max="15851" width="21.25" style="6" customWidth="1"/>
    <col min="15852" max="16100" width="9.125" style="6" customWidth="1"/>
    <col min="16101" max="16101" width="6.375" style="6" customWidth="1"/>
    <col min="16102" max="16102" width="34.25" style="6" customWidth="1"/>
    <col min="16103" max="16103" width="7.375" style="6" customWidth="1"/>
    <col min="16104" max="16104" width="6.375" style="6" customWidth="1"/>
    <col min="16105" max="16105" width="13.125" style="6" customWidth="1"/>
    <col min="16106" max="16106" width="15.375" style="6" customWidth="1"/>
    <col min="16107" max="16107" width="21.25" style="6" customWidth="1"/>
    <col min="16108" max="16384" width="9.125" style="6" customWidth="1"/>
  </cols>
  <sheetData>
    <row r="1" spans="1:13" ht="48" customHeight="1"/>
    <row r="2" spans="1:13" s="1" customFormat="1" ht="51" customHeight="1">
      <c r="A2" s="10" t="s">
        <v>507</v>
      </c>
      <c r="B2" s="11"/>
      <c r="C2" s="12"/>
      <c r="D2" s="11"/>
      <c r="E2" s="14"/>
      <c r="F2" s="86"/>
      <c r="G2" s="14"/>
      <c r="H2" s="14"/>
      <c r="I2" s="15"/>
      <c r="J2" s="15"/>
      <c r="K2" s="15"/>
      <c r="L2" s="15"/>
    </row>
    <row r="3" spans="1:13" ht="26.25" customHeight="1">
      <c r="A3" s="16"/>
      <c r="B3" s="17" t="s">
        <v>440</v>
      </c>
      <c r="C3" s="213"/>
      <c r="D3" s="217"/>
      <c r="E3" s="214"/>
      <c r="F3" s="218"/>
      <c r="G3" s="214"/>
      <c r="H3" s="214"/>
      <c r="I3" s="220"/>
      <c r="J3" s="220"/>
      <c r="K3" s="220"/>
      <c r="L3" s="220"/>
    </row>
    <row r="4" spans="1:13" ht="26.25" customHeight="1">
      <c r="A4" s="18"/>
      <c r="B4" s="5" t="s">
        <v>441</v>
      </c>
      <c r="C4" s="222"/>
      <c r="D4" s="217"/>
      <c r="E4" s="214"/>
      <c r="F4" s="218"/>
      <c r="G4" s="214"/>
      <c r="H4" s="214"/>
      <c r="I4" s="220"/>
      <c r="J4" s="220"/>
      <c r="K4" s="220"/>
      <c r="L4" s="220"/>
    </row>
    <row r="5" spans="1:13" ht="26.25" customHeight="1">
      <c r="A5" s="18"/>
      <c r="B5" s="5" t="s">
        <v>442</v>
      </c>
      <c r="C5" s="216"/>
      <c r="D5" s="217"/>
      <c r="E5" s="214"/>
      <c r="F5" s="218"/>
      <c r="G5" s="214"/>
      <c r="H5" s="214"/>
      <c r="I5" s="220"/>
      <c r="J5" s="220"/>
      <c r="K5" s="220"/>
      <c r="L5" s="220"/>
    </row>
    <row r="6" spans="1:13" ht="26.25" customHeight="1">
      <c r="A6" s="18"/>
      <c r="B6" s="5" t="s">
        <v>443</v>
      </c>
      <c r="C6" s="213" t="str">
        <f>INDEX(總表!$B$9:$B$47,MATCH('15A'!A9,總表!$A$9:$A$48,0))</f>
        <v>Nhà xe
停車場</v>
      </c>
      <c r="D6" s="217"/>
      <c r="E6" s="214"/>
      <c r="F6" s="218"/>
      <c r="G6" s="214"/>
      <c r="H6" s="214"/>
      <c r="I6" s="220"/>
      <c r="J6" s="220"/>
      <c r="K6" s="220"/>
      <c r="L6" s="220"/>
    </row>
    <row r="7" spans="1:13" ht="26.25" customHeight="1">
      <c r="A7" s="18"/>
      <c r="B7" s="5" t="s">
        <v>444</v>
      </c>
      <c r="C7" s="223" t="s">
        <v>445</v>
      </c>
      <c r="D7" s="224"/>
      <c r="E7" s="224"/>
      <c r="F7" s="224"/>
      <c r="G7" s="224"/>
      <c r="H7" s="224"/>
      <c r="I7" s="224"/>
      <c r="J7" s="224"/>
      <c r="K7" s="224"/>
      <c r="L7" s="224"/>
    </row>
    <row r="8" spans="1:13" s="2" customFormat="1" ht="41.25" customHeight="1">
      <c r="A8" s="19" t="s">
        <v>446</v>
      </c>
      <c r="B8" s="19" t="s">
        <v>508</v>
      </c>
      <c r="C8" s="19" t="s">
        <v>509</v>
      </c>
      <c r="D8" s="19" t="s">
        <v>448</v>
      </c>
      <c r="E8" s="19" t="s">
        <v>449</v>
      </c>
      <c r="F8" s="84" t="s">
        <v>510</v>
      </c>
      <c r="G8" s="19" t="s">
        <v>511</v>
      </c>
      <c r="H8" s="19" t="s">
        <v>512</v>
      </c>
      <c r="I8" s="21" t="s">
        <v>450</v>
      </c>
      <c r="J8" s="21" t="s">
        <v>452</v>
      </c>
      <c r="K8" s="84" t="s">
        <v>513</v>
      </c>
      <c r="L8" s="21" t="s">
        <v>514</v>
      </c>
    </row>
    <row r="9" spans="1:13" s="3" customFormat="1" ht="25.5" customHeight="1">
      <c r="A9" s="22" t="s">
        <v>472</v>
      </c>
      <c r="B9" s="23" t="str">
        <f>C6</f>
        <v>Nhà xe
停車場</v>
      </c>
      <c r="C9" s="23" t="s">
        <v>515</v>
      </c>
      <c r="D9" s="22"/>
      <c r="E9" s="25"/>
      <c r="F9" s="25"/>
      <c r="G9" s="25">
        <f>_xlfn.XLOOKUP(B9, Rate_Master!$A:$A, Rate_Master!$C:$C, "")</f>
        <v>0</v>
      </c>
      <c r="H9" s="25">
        <f>_xlfn.XLOOKUP(B9, Rate_Master!$A:$A, Rate_Master!$D:$D, "")</f>
        <v>0</v>
      </c>
      <c r="I9" s="26"/>
      <c r="J9" s="26">
        <f>SUBTOTAL(9,J10:J162)</f>
        <v>15242508528.299976</v>
      </c>
      <c r="K9" s="26">
        <f>SUBTOTAL(9,K10:K162)</f>
        <v>15248528568.61574</v>
      </c>
      <c r="L9" s="26"/>
      <c r="M9" s="103"/>
    </row>
    <row r="10" spans="1:13" s="3" customFormat="1" ht="25.5" customHeight="1">
      <c r="A10" s="22" t="str">
        <f>$A$9&amp;".C"</f>
        <v>15A.C</v>
      </c>
      <c r="B10" s="23" t="s">
        <v>1</v>
      </c>
      <c r="C10" s="23" t="s">
        <v>515</v>
      </c>
      <c r="D10" s="22"/>
      <c r="E10" s="25"/>
      <c r="F10" s="25"/>
      <c r="G10" s="25">
        <f>_xlfn.XLOOKUP(B10, Rate_Master!$A:$A, Rate_Master!$C:$C, "")</f>
        <v>0</v>
      </c>
      <c r="H10" s="25">
        <f>_xlfn.XLOOKUP(B10, Rate_Master!$A:$A, Rate_Master!$D:$D, "")</f>
        <v>0</v>
      </c>
      <c r="I10" s="26"/>
      <c r="J10" s="26"/>
      <c r="K10" s="26"/>
      <c r="L10" s="26"/>
    </row>
    <row r="11" spans="1:13" s="3" customFormat="1" ht="25.5" customHeight="1">
      <c r="A11" s="22" t="str">
        <f>$A$10&amp;1</f>
        <v>15A.C1</v>
      </c>
      <c r="B11" s="23" t="s">
        <v>2</v>
      </c>
      <c r="C11" s="23" t="s">
        <v>515</v>
      </c>
      <c r="D11" s="22"/>
      <c r="E11" s="25"/>
      <c r="F11" s="25"/>
      <c r="G11" s="25">
        <f>_xlfn.XLOOKUP(B11, Rate_Master!$A:$A, Rate_Master!$C:$C, "")</f>
        <v>0</v>
      </c>
      <c r="H11" s="25">
        <f>_xlfn.XLOOKUP(B11, Rate_Master!$A:$A, Rate_Master!$D:$D, "")</f>
        <v>0</v>
      </c>
      <c r="I11" s="26"/>
      <c r="J11" s="26">
        <f>SUBTOTAL(9,J12:J22)</f>
        <v>1426358800</v>
      </c>
      <c r="K11" s="26">
        <f>SUBTOTAL(9,K12:K22)</f>
        <v>1426358800</v>
      </c>
      <c r="L11" s="26"/>
    </row>
    <row r="12" spans="1:13" s="4" customFormat="1" ht="25.5" customHeight="1" outlineLevel="1">
      <c r="A12" s="27" t="str">
        <f t="shared" ref="A12:A22" si="0">$A$11&amp;"."&amp;ROW()-ROW($A$11)</f>
        <v>15A.C1.1</v>
      </c>
      <c r="B12" s="28" t="s">
        <v>3</v>
      </c>
      <c r="C12" s="28" t="s">
        <v>515</v>
      </c>
      <c r="D12" s="29" t="s">
        <v>516</v>
      </c>
      <c r="E12" s="31">
        <v>1</v>
      </c>
      <c r="F12" s="31">
        <v>1</v>
      </c>
      <c r="G12" s="31">
        <f>_xlfn.XLOOKUP(B12, Rate_Master!$A:$A, Rate_Master!$C:$C, "")</f>
        <v>0</v>
      </c>
      <c r="H12" s="31">
        <f>_xlfn.XLOOKUP(B12, Rate_Master!$A:$A, Rate_Master!$D:$D, "")</f>
        <v>114999999.99999999</v>
      </c>
      <c r="I12" s="66">
        <f t="shared" ref="I12:I22" si="1">+H12+G12</f>
        <v>114999999.99999999</v>
      </c>
      <c r="J12" s="32">
        <f t="shared" ref="J12:J22" si="2">I12*E12</f>
        <v>114999999.99999999</v>
      </c>
      <c r="K12" s="32">
        <f t="shared" ref="K12:K22" si="3">I12*F12</f>
        <v>114999999.99999999</v>
      </c>
      <c r="L12" s="32"/>
    </row>
    <row r="13" spans="1:13" s="4" customFormat="1" ht="25.5" customHeight="1" outlineLevel="1">
      <c r="A13" s="27" t="str">
        <f t="shared" si="0"/>
        <v>15A.C1.2</v>
      </c>
      <c r="B13" s="28" t="s">
        <v>4</v>
      </c>
      <c r="C13" s="28" t="s">
        <v>515</v>
      </c>
      <c r="D13" s="29" t="s">
        <v>517</v>
      </c>
      <c r="E13" s="31">
        <v>0</v>
      </c>
      <c r="F13" s="31">
        <v>0</v>
      </c>
      <c r="G13" s="31">
        <f>_xlfn.XLOOKUP(B13, Rate_Master!$A:$A, Rate_Master!$C:$C, "")</f>
        <v>425499.99999999994</v>
      </c>
      <c r="H13" s="31">
        <f>_xlfn.XLOOKUP(B13, Rate_Master!$A:$A, Rate_Master!$D:$D, "")</f>
        <v>0</v>
      </c>
      <c r="I13" s="32">
        <f t="shared" si="1"/>
        <v>425499.99999999994</v>
      </c>
      <c r="J13" s="32">
        <f t="shared" si="2"/>
        <v>0</v>
      </c>
      <c r="K13" s="32">
        <f t="shared" si="3"/>
        <v>0</v>
      </c>
      <c r="L13" s="32"/>
    </row>
    <row r="14" spans="1:13" s="4" customFormat="1" ht="25.5" customHeight="1" outlineLevel="1">
      <c r="A14" s="27" t="str">
        <f t="shared" si="0"/>
        <v>15A.C1.3</v>
      </c>
      <c r="B14" s="28" t="s">
        <v>5</v>
      </c>
      <c r="C14" s="28" t="s">
        <v>515</v>
      </c>
      <c r="D14" s="29" t="s">
        <v>517</v>
      </c>
      <c r="E14" s="31">
        <v>0</v>
      </c>
      <c r="F14" s="31">
        <v>0</v>
      </c>
      <c r="G14" s="31">
        <f>_xlfn.XLOOKUP(B14, Rate_Master!$A:$A, Rate_Master!$C:$C, "")</f>
        <v>0</v>
      </c>
      <c r="H14" s="31">
        <f>_xlfn.XLOOKUP(B14, Rate_Master!$A:$A, Rate_Master!$D:$D, "")</f>
        <v>69000</v>
      </c>
      <c r="I14" s="32">
        <f t="shared" si="1"/>
        <v>69000</v>
      </c>
      <c r="J14" s="32">
        <f t="shared" si="2"/>
        <v>0</v>
      </c>
      <c r="K14" s="32">
        <f t="shared" si="3"/>
        <v>0</v>
      </c>
      <c r="L14" s="32"/>
    </row>
    <row r="15" spans="1:13" s="4" customFormat="1" ht="25.5" customHeight="1" outlineLevel="1">
      <c r="A15" s="27" t="str">
        <f t="shared" si="0"/>
        <v>15A.C1.4</v>
      </c>
      <c r="B15" s="28" t="s">
        <v>6</v>
      </c>
      <c r="C15" s="28" t="s">
        <v>515</v>
      </c>
      <c r="D15" s="29" t="s">
        <v>517</v>
      </c>
      <c r="E15" s="31">
        <v>0</v>
      </c>
      <c r="F15" s="31">
        <v>0</v>
      </c>
      <c r="G15" s="31">
        <f>_xlfn.XLOOKUP(B15, Rate_Master!$A:$A, Rate_Master!$C:$C, "")</f>
        <v>0</v>
      </c>
      <c r="H15" s="31">
        <f>_xlfn.XLOOKUP(B15, Rate_Master!$A:$A, Rate_Master!$D:$D, "")</f>
        <v>57499.999999999993</v>
      </c>
      <c r="I15" s="32">
        <f t="shared" si="1"/>
        <v>57499.999999999993</v>
      </c>
      <c r="J15" s="32">
        <f t="shared" si="2"/>
        <v>0</v>
      </c>
      <c r="K15" s="32">
        <f t="shared" si="3"/>
        <v>0</v>
      </c>
      <c r="L15" s="32"/>
    </row>
    <row r="16" spans="1:13" s="4" customFormat="1" ht="102" customHeight="1" outlineLevel="1">
      <c r="A16" s="27" t="str">
        <f t="shared" si="0"/>
        <v>15A.C1.5</v>
      </c>
      <c r="B16" s="28" t="s">
        <v>7</v>
      </c>
      <c r="C16" s="28" t="s">
        <v>515</v>
      </c>
      <c r="D16" s="29" t="s">
        <v>518</v>
      </c>
      <c r="E16" s="31">
        <v>0</v>
      </c>
      <c r="F16" s="31">
        <v>0</v>
      </c>
      <c r="G16" s="31">
        <f>_xlfn.XLOOKUP(B16, Rate_Master!$A:$A, Rate_Master!$C:$C, "")</f>
        <v>0</v>
      </c>
      <c r="H16" s="31">
        <f>_xlfn.XLOOKUP(B16, Rate_Master!$A:$A, Rate_Master!$D:$D, "")</f>
        <v>13799999.999999998</v>
      </c>
      <c r="I16" s="32">
        <f t="shared" si="1"/>
        <v>13799999.999999998</v>
      </c>
      <c r="J16" s="32">
        <f t="shared" si="2"/>
        <v>0</v>
      </c>
      <c r="K16" s="32">
        <f t="shared" si="3"/>
        <v>0</v>
      </c>
      <c r="L16" s="32"/>
    </row>
    <row r="17" spans="1:12" s="4" customFormat="1" ht="25.5" customHeight="1" outlineLevel="1">
      <c r="A17" s="27" t="str">
        <f t="shared" si="0"/>
        <v>15A.C1.6</v>
      </c>
      <c r="B17" s="28" t="s">
        <v>8</v>
      </c>
      <c r="C17" s="28" t="s">
        <v>515</v>
      </c>
      <c r="D17" s="29" t="s">
        <v>518</v>
      </c>
      <c r="E17" s="31">
        <v>22</v>
      </c>
      <c r="F17" s="31">
        <v>22</v>
      </c>
      <c r="G17" s="31">
        <f>_xlfn.XLOOKUP(B17, Rate_Master!$A:$A, Rate_Master!$C:$C, "")</f>
        <v>0</v>
      </c>
      <c r="H17" s="31">
        <f>_xlfn.XLOOKUP(B17, Rate_Master!$A:$A, Rate_Master!$D:$D, "")</f>
        <v>252999.99999999997</v>
      </c>
      <c r="I17" s="66">
        <f t="shared" si="1"/>
        <v>252999.99999999997</v>
      </c>
      <c r="J17" s="32">
        <f t="shared" si="2"/>
        <v>5565999.9999999991</v>
      </c>
      <c r="K17" s="32">
        <f t="shared" si="3"/>
        <v>5565999.9999999991</v>
      </c>
      <c r="L17" s="32"/>
    </row>
    <row r="18" spans="1:12" s="4" customFormat="1" ht="25.5" customHeight="1" outlineLevel="1">
      <c r="A18" s="27" t="str">
        <f t="shared" si="0"/>
        <v>15A.C1.7</v>
      </c>
      <c r="B18" s="28" t="s">
        <v>9</v>
      </c>
      <c r="C18" s="28" t="s">
        <v>515</v>
      </c>
      <c r="D18" s="29" t="s">
        <v>517</v>
      </c>
      <c r="E18" s="31">
        <v>2332</v>
      </c>
      <c r="F18" s="31">
        <v>2332</v>
      </c>
      <c r="G18" s="31">
        <f>_xlfn.XLOOKUP(B18, Rate_Master!$A:$A, Rate_Master!$C:$C, "")</f>
        <v>402499.99999999994</v>
      </c>
      <c r="H18" s="31">
        <f>_xlfn.XLOOKUP(B18, Rate_Master!$A:$A, Rate_Master!$D:$D, "")</f>
        <v>0</v>
      </c>
      <c r="I18" s="66">
        <f t="shared" si="1"/>
        <v>402499.99999999994</v>
      </c>
      <c r="J18" s="32">
        <f t="shared" si="2"/>
        <v>938629999.99999988</v>
      </c>
      <c r="K18" s="32">
        <f t="shared" si="3"/>
        <v>938629999.99999988</v>
      </c>
      <c r="L18" s="32"/>
    </row>
    <row r="19" spans="1:12" s="4" customFormat="1" ht="25.5" customHeight="1" outlineLevel="1">
      <c r="A19" s="27" t="str">
        <f t="shared" si="0"/>
        <v>15A.C1.8</v>
      </c>
      <c r="B19" s="28" t="s">
        <v>10</v>
      </c>
      <c r="C19" s="28" t="s">
        <v>515</v>
      </c>
      <c r="D19" s="29" t="s">
        <v>518</v>
      </c>
      <c r="E19" s="31">
        <v>106</v>
      </c>
      <c r="F19" s="31">
        <v>106</v>
      </c>
      <c r="G19" s="31">
        <f>_xlfn.XLOOKUP(B19, Rate_Master!$A:$A, Rate_Master!$C:$C, "")</f>
        <v>80500</v>
      </c>
      <c r="H19" s="31">
        <f>_xlfn.XLOOKUP(B19, Rate_Master!$A:$A, Rate_Master!$D:$D, "")</f>
        <v>0</v>
      </c>
      <c r="I19" s="66">
        <f t="shared" si="1"/>
        <v>80500</v>
      </c>
      <c r="J19" s="32">
        <f t="shared" si="2"/>
        <v>8533000</v>
      </c>
      <c r="K19" s="32">
        <f t="shared" si="3"/>
        <v>8533000</v>
      </c>
      <c r="L19" s="32"/>
    </row>
    <row r="20" spans="1:12" s="4" customFormat="1" ht="25.5" customHeight="1" outlineLevel="1">
      <c r="A20" s="27" t="str">
        <f t="shared" si="0"/>
        <v>15A.C1.9</v>
      </c>
      <c r="B20" s="28" t="s">
        <v>11</v>
      </c>
      <c r="C20" s="28" t="s">
        <v>515</v>
      </c>
      <c r="D20" s="29" t="s">
        <v>517</v>
      </c>
      <c r="E20" s="31">
        <v>2247.1999999999998</v>
      </c>
      <c r="F20" s="31">
        <v>2247.1999999999998</v>
      </c>
      <c r="G20" s="31">
        <f>_xlfn.XLOOKUP(B20, Rate_Master!$A:$A, Rate_Master!$C:$C, "")</f>
        <v>0</v>
      </c>
      <c r="H20" s="31">
        <f>_xlfn.XLOOKUP(B20, Rate_Master!$A:$A, Rate_Master!$D:$D, "")</f>
        <v>69000</v>
      </c>
      <c r="I20" s="66">
        <f t="shared" si="1"/>
        <v>69000</v>
      </c>
      <c r="J20" s="32">
        <f t="shared" si="2"/>
        <v>155056800</v>
      </c>
      <c r="K20" s="32">
        <f t="shared" si="3"/>
        <v>155056800</v>
      </c>
      <c r="L20" s="32"/>
    </row>
    <row r="21" spans="1:12" s="4" customFormat="1" ht="25.5" customHeight="1" outlineLevel="1">
      <c r="A21" s="27" t="str">
        <f t="shared" si="0"/>
        <v>15A.C1.10</v>
      </c>
      <c r="B21" s="28" t="s">
        <v>12</v>
      </c>
      <c r="C21" s="28" t="s">
        <v>515</v>
      </c>
      <c r="D21" s="29" t="s">
        <v>517</v>
      </c>
      <c r="E21" s="31">
        <v>2353.1999999999998</v>
      </c>
      <c r="F21" s="31">
        <v>2353.1999999999998</v>
      </c>
      <c r="G21" s="31">
        <f>_xlfn.XLOOKUP(B21, Rate_Master!$A:$A, Rate_Master!$C:$C, "")</f>
        <v>0</v>
      </c>
      <c r="H21" s="31">
        <f>_xlfn.XLOOKUP(B21, Rate_Master!$A:$A, Rate_Master!$D:$D, "")</f>
        <v>57499.999999999993</v>
      </c>
      <c r="I21" s="66">
        <f t="shared" si="1"/>
        <v>57499.999999999993</v>
      </c>
      <c r="J21" s="32">
        <f t="shared" si="2"/>
        <v>135308999.99999997</v>
      </c>
      <c r="K21" s="32">
        <f t="shared" si="3"/>
        <v>135308999.99999997</v>
      </c>
      <c r="L21" s="32"/>
    </row>
    <row r="22" spans="1:12" s="4" customFormat="1" ht="63.75" customHeight="1" outlineLevel="1">
      <c r="A22" s="27" t="str">
        <f t="shared" si="0"/>
        <v>15A.C1.11</v>
      </c>
      <c r="B22" s="28" t="s">
        <v>13</v>
      </c>
      <c r="C22" s="28" t="s">
        <v>515</v>
      </c>
      <c r="D22" s="29" t="s">
        <v>518</v>
      </c>
      <c r="E22" s="31">
        <v>106</v>
      </c>
      <c r="F22" s="31">
        <v>106</v>
      </c>
      <c r="G22" s="31">
        <f>_xlfn.XLOOKUP(B22, Rate_Master!$A:$A, Rate_Master!$C:$C, "")</f>
        <v>482999.99999999994</v>
      </c>
      <c r="H22" s="31">
        <f>_xlfn.XLOOKUP(B22, Rate_Master!$A:$A, Rate_Master!$D:$D, "")</f>
        <v>161000</v>
      </c>
      <c r="I22" s="66">
        <f t="shared" si="1"/>
        <v>644000</v>
      </c>
      <c r="J22" s="32">
        <f t="shared" si="2"/>
        <v>68264000</v>
      </c>
      <c r="K22" s="32">
        <f t="shared" si="3"/>
        <v>68264000</v>
      </c>
      <c r="L22" s="32"/>
    </row>
    <row r="23" spans="1:12" s="3" customFormat="1" ht="25.5" customHeight="1">
      <c r="A23" s="22" t="str">
        <f>$A$10&amp;2</f>
        <v>15A.C2</v>
      </c>
      <c r="B23" s="23" t="s">
        <v>14</v>
      </c>
      <c r="C23" s="23" t="s">
        <v>515</v>
      </c>
      <c r="D23" s="22"/>
      <c r="E23" s="25"/>
      <c r="F23" s="25"/>
      <c r="G23" s="25">
        <f>_xlfn.XLOOKUP(B23, Rate_Master!$A:$A, Rate_Master!$C:$C, "")</f>
        <v>0</v>
      </c>
      <c r="H23" s="25">
        <f>_xlfn.XLOOKUP(B23, Rate_Master!$A:$A, Rate_Master!$D:$D, "")</f>
        <v>0</v>
      </c>
      <c r="I23" s="26"/>
      <c r="J23" s="26">
        <f>SUBTOTAL(9,J24:J31)</f>
        <v>435707358.0250001</v>
      </c>
      <c r="K23" s="26">
        <f>SUBTOTAL(9,K24:K31)</f>
        <v>435707358.0250001</v>
      </c>
      <c r="L23" s="26"/>
    </row>
    <row r="24" spans="1:12" s="4" customFormat="1" ht="25.5" customHeight="1" outlineLevel="1">
      <c r="A24" s="27" t="str">
        <f t="shared" ref="A24:A31" si="4">$A$23&amp;"."&amp;ROW()-ROW($A$23)</f>
        <v>15A.C2.1</v>
      </c>
      <c r="B24" s="28" t="s">
        <v>15</v>
      </c>
      <c r="C24" s="28" t="s">
        <v>515</v>
      </c>
      <c r="D24" s="29" t="s">
        <v>519</v>
      </c>
      <c r="E24" s="31">
        <v>90.822999999999993</v>
      </c>
      <c r="F24" s="31">
        <v>90.822999999999993</v>
      </c>
      <c r="G24" s="31">
        <f>_xlfn.XLOOKUP(B24, Rate_Master!$A:$A, Rate_Master!$C:$C, "")</f>
        <v>0</v>
      </c>
      <c r="H24" s="31">
        <f>_xlfn.XLOOKUP(B24, Rate_Master!$A:$A, Rate_Master!$D:$D, "")</f>
        <v>32199.999999999996</v>
      </c>
      <c r="I24" s="66">
        <f t="shared" ref="I24:I31" si="5">+H24+G24</f>
        <v>32199.999999999996</v>
      </c>
      <c r="J24" s="32">
        <f t="shared" ref="J24:J31" si="6">I24*E24</f>
        <v>2924500.5999999996</v>
      </c>
      <c r="K24" s="32">
        <f t="shared" ref="K24:K31" si="7">I24*F24</f>
        <v>2924500.5999999996</v>
      </c>
      <c r="L24" s="32"/>
    </row>
    <row r="25" spans="1:12" s="4" customFormat="1" ht="25.5" customHeight="1" outlineLevel="1">
      <c r="A25" s="27" t="str">
        <f t="shared" si="4"/>
        <v>15A.C2.2</v>
      </c>
      <c r="B25" s="28" t="s">
        <v>16</v>
      </c>
      <c r="C25" s="28" t="s">
        <v>515</v>
      </c>
      <c r="D25" s="29" t="s">
        <v>520</v>
      </c>
      <c r="E25" s="31">
        <v>317.02100000000002</v>
      </c>
      <c r="F25" s="31">
        <v>317.02100000000002</v>
      </c>
      <c r="G25" s="31">
        <f>_xlfn.XLOOKUP(B25, Rate_Master!$A:$A, Rate_Master!$C:$C, "")</f>
        <v>0</v>
      </c>
      <c r="H25" s="31">
        <f>_xlfn.XLOOKUP(B25, Rate_Master!$A:$A, Rate_Master!$D:$D, "")</f>
        <v>17250</v>
      </c>
      <c r="I25" s="66">
        <f t="shared" si="5"/>
        <v>17250</v>
      </c>
      <c r="J25" s="32">
        <f t="shared" si="6"/>
        <v>5468612.25</v>
      </c>
      <c r="K25" s="32">
        <f t="shared" si="7"/>
        <v>5468612.25</v>
      </c>
      <c r="L25" s="32"/>
    </row>
    <row r="26" spans="1:12" s="4" customFormat="1" ht="25.5" customHeight="1" outlineLevel="1">
      <c r="A26" s="27" t="str">
        <f t="shared" si="4"/>
        <v>15A.C2.3</v>
      </c>
      <c r="B26" s="28" t="s">
        <v>17</v>
      </c>
      <c r="C26" s="28" t="s">
        <v>515</v>
      </c>
      <c r="D26" s="29" t="s">
        <v>519</v>
      </c>
      <c r="E26" s="31">
        <v>57.009</v>
      </c>
      <c r="F26" s="31">
        <v>57.009</v>
      </c>
      <c r="G26" s="31">
        <f>_xlfn.XLOOKUP(B26, Rate_Master!$A:$A, Rate_Master!$C:$C, "")</f>
        <v>0</v>
      </c>
      <c r="H26" s="31">
        <f>_xlfn.XLOOKUP(B26, Rate_Master!$A:$A, Rate_Master!$D:$D, "")</f>
        <v>37950</v>
      </c>
      <c r="I26" s="66">
        <f t="shared" si="5"/>
        <v>37950</v>
      </c>
      <c r="J26" s="32">
        <f t="shared" si="6"/>
        <v>2163491.5499999998</v>
      </c>
      <c r="K26" s="32">
        <f t="shared" si="7"/>
        <v>2163491.5499999998</v>
      </c>
      <c r="L26" s="32"/>
    </row>
    <row r="27" spans="1:12" s="4" customFormat="1" ht="25.5" customHeight="1" outlineLevel="1">
      <c r="A27" s="27" t="str">
        <f t="shared" si="4"/>
        <v>15A.C2.4</v>
      </c>
      <c r="B27" s="34" t="s">
        <v>18</v>
      </c>
      <c r="C27" s="34" t="s">
        <v>521</v>
      </c>
      <c r="D27" s="29" t="s">
        <v>519</v>
      </c>
      <c r="E27" s="31">
        <v>33.814</v>
      </c>
      <c r="F27" s="31">
        <v>33.814</v>
      </c>
      <c r="G27" s="31">
        <f>_xlfn.XLOOKUP(B27, Rate_Master!$A:$A, Rate_Master!$C:$C, "")</f>
        <v>0</v>
      </c>
      <c r="H27" s="31">
        <f>_xlfn.XLOOKUP(B27, Rate_Master!$A:$A, Rate_Master!$D:$D, "")</f>
        <v>32199.999999999996</v>
      </c>
      <c r="I27" s="66">
        <f t="shared" si="5"/>
        <v>32199.999999999996</v>
      </c>
      <c r="J27" s="32">
        <f t="shared" si="6"/>
        <v>1088810.7999999998</v>
      </c>
      <c r="K27" s="32">
        <f t="shared" si="7"/>
        <v>1088810.7999999998</v>
      </c>
      <c r="L27" s="32"/>
    </row>
    <row r="28" spans="1:12" s="4" customFormat="1" ht="25.5" customHeight="1" outlineLevel="1">
      <c r="A28" s="27" t="str">
        <f t="shared" si="4"/>
        <v>15A.C2.5</v>
      </c>
      <c r="B28" s="28" t="s">
        <v>19</v>
      </c>
      <c r="C28" s="28" t="s">
        <v>515</v>
      </c>
      <c r="D28" s="29" t="s">
        <v>520</v>
      </c>
      <c r="E28" s="31">
        <v>317.02100000000002</v>
      </c>
      <c r="F28" s="31">
        <v>317.02100000000002</v>
      </c>
      <c r="G28" s="31">
        <f>_xlfn.XLOOKUP(B28, Rate_Master!$A:$A, Rate_Master!$C:$C, "")</f>
        <v>6899.9999999999991</v>
      </c>
      <c r="H28" s="31">
        <f>_xlfn.XLOOKUP(B28, Rate_Master!$A:$A, Rate_Master!$D:$D, "")</f>
        <v>1724.9999999999998</v>
      </c>
      <c r="I28" s="66">
        <f t="shared" si="5"/>
        <v>8624.9999999999982</v>
      </c>
      <c r="J28" s="32">
        <f t="shared" si="6"/>
        <v>2734306.1249999995</v>
      </c>
      <c r="K28" s="32">
        <f t="shared" si="7"/>
        <v>2734306.1249999995</v>
      </c>
      <c r="L28" s="32"/>
    </row>
    <row r="29" spans="1:12" s="4" customFormat="1" ht="38.25" customHeight="1" outlineLevel="1">
      <c r="A29" s="27" t="str">
        <f t="shared" si="4"/>
        <v>15A.C2.6</v>
      </c>
      <c r="B29" s="28" t="s">
        <v>20</v>
      </c>
      <c r="C29" s="28" t="s">
        <v>515</v>
      </c>
      <c r="D29" s="29" t="s">
        <v>520</v>
      </c>
      <c r="E29" s="31">
        <v>1527.8589999999999</v>
      </c>
      <c r="F29" s="31">
        <v>1527.8589999999999</v>
      </c>
      <c r="G29" s="31">
        <f>_xlfn.XLOOKUP(B29, Rate_Master!$A:$A, Rate_Master!$C:$C, "")</f>
        <v>34500</v>
      </c>
      <c r="H29" s="31">
        <f>_xlfn.XLOOKUP(B29, Rate_Master!$A:$A, Rate_Master!$D:$D, "")</f>
        <v>5750</v>
      </c>
      <c r="I29" s="66">
        <f t="shared" si="5"/>
        <v>40250</v>
      </c>
      <c r="J29" s="32">
        <f t="shared" si="6"/>
        <v>61496324.75</v>
      </c>
      <c r="K29" s="32">
        <f t="shared" si="7"/>
        <v>61496324.75</v>
      </c>
      <c r="L29" s="32"/>
    </row>
    <row r="30" spans="1:12" s="4" customFormat="1" ht="25.5" customHeight="1" outlineLevel="1">
      <c r="A30" s="27" t="str">
        <f t="shared" si="4"/>
        <v>15A.C2.7</v>
      </c>
      <c r="B30" s="34" t="s">
        <v>21</v>
      </c>
      <c r="C30" s="28" t="s">
        <v>515</v>
      </c>
      <c r="D30" s="29" t="s">
        <v>520</v>
      </c>
      <c r="E30" s="31">
        <v>1527.8589999999999</v>
      </c>
      <c r="F30" s="31">
        <v>1527.8589999999999</v>
      </c>
      <c r="G30" s="31">
        <f>_xlfn.XLOOKUP(B30, Rate_Master!$A:$A, Rate_Master!$C:$C, "")</f>
        <v>0</v>
      </c>
      <c r="H30" s="31">
        <f>_xlfn.XLOOKUP(B30, Rate_Master!$A:$A, Rate_Master!$D:$D, "")</f>
        <v>13799.999999999998</v>
      </c>
      <c r="I30" s="32">
        <f t="shared" si="5"/>
        <v>13799.999999999998</v>
      </c>
      <c r="J30" s="32">
        <f t="shared" si="6"/>
        <v>21084454.199999996</v>
      </c>
      <c r="K30" s="32">
        <f t="shared" si="7"/>
        <v>21084454.199999996</v>
      </c>
      <c r="L30" s="32"/>
    </row>
    <row r="31" spans="1:12" s="4" customFormat="1" ht="25.5" customHeight="1" outlineLevel="1">
      <c r="A31" s="27" t="str">
        <f t="shared" si="4"/>
        <v>15A.C2.8</v>
      </c>
      <c r="B31" s="28" t="s">
        <v>22</v>
      </c>
      <c r="C31" s="28" t="s">
        <v>515</v>
      </c>
      <c r="D31" s="29" t="s">
        <v>519</v>
      </c>
      <c r="E31" s="31">
        <v>550.07000000000005</v>
      </c>
      <c r="F31" s="31">
        <v>550.07000000000005</v>
      </c>
      <c r="G31" s="31">
        <f>_xlfn.XLOOKUP(B31, Rate_Master!$A:$A, Rate_Master!$C:$C, "")</f>
        <v>512325</v>
      </c>
      <c r="H31" s="31">
        <f>_xlfn.XLOOKUP(B31, Rate_Master!$A:$A, Rate_Master!$D:$D, "")</f>
        <v>103499.99999999999</v>
      </c>
      <c r="I31" s="66">
        <f t="shared" si="5"/>
        <v>615825</v>
      </c>
      <c r="J31" s="32">
        <f t="shared" si="6"/>
        <v>338746857.75000006</v>
      </c>
      <c r="K31" s="32">
        <f t="shared" si="7"/>
        <v>338746857.75000006</v>
      </c>
      <c r="L31" s="32"/>
    </row>
    <row r="32" spans="1:12" s="3" customFormat="1" ht="25.5" customHeight="1">
      <c r="A32" s="22" t="str">
        <f>$A$10&amp;3</f>
        <v>15A.C3</v>
      </c>
      <c r="B32" s="23" t="s">
        <v>23</v>
      </c>
      <c r="C32" s="23" t="s">
        <v>515</v>
      </c>
      <c r="D32" s="22"/>
      <c r="E32" s="25"/>
      <c r="F32" s="25"/>
      <c r="G32" s="25">
        <f>_xlfn.XLOOKUP(B32, Rate_Master!$A:$A, Rate_Master!$C:$C, "")</f>
        <v>0</v>
      </c>
      <c r="H32" s="25">
        <f>_xlfn.XLOOKUP(B32, Rate_Master!$A:$A, Rate_Master!$D:$D, "")</f>
        <v>0</v>
      </c>
      <c r="I32" s="26"/>
      <c r="J32" s="26">
        <f>SUBTOTAL(9,J33:J39)</f>
        <v>764966506.25138879</v>
      </c>
      <c r="K32" s="26">
        <f>SUBTOTAL(9,K33:K39)</f>
        <v>764966506.25138879</v>
      </c>
      <c r="L32" s="26"/>
    </row>
    <row r="33" spans="1:12" s="4" customFormat="1" ht="25.5" customHeight="1" outlineLevel="1">
      <c r="A33" s="27" t="str">
        <f t="shared" ref="A33:A39" si="8">$A$32&amp;"."&amp;ROW()-ROW($A$32)</f>
        <v>15A.C3.1</v>
      </c>
      <c r="B33" s="28" t="s">
        <v>24</v>
      </c>
      <c r="C33" s="28" t="s">
        <v>515</v>
      </c>
      <c r="D33" s="29" t="s">
        <v>519</v>
      </c>
      <c r="E33" s="31">
        <v>31.728999999999999</v>
      </c>
      <c r="F33" s="31">
        <v>31.728999999999999</v>
      </c>
      <c r="G33" s="30">
        <f>_xlfn.XLOOKUP(B33, Rate_Master!$A:$A, Rate_Master!$C:$C, "")</f>
        <v>1249762.5</v>
      </c>
      <c r="H33" s="30">
        <f>_xlfn.XLOOKUP(B33, Rate_Master!$A:$A, Rate_Master!$D:$D, "")</f>
        <v>206999.99999999997</v>
      </c>
      <c r="I33" s="66">
        <f t="shared" ref="I33:I39" si="9">+H33+G33</f>
        <v>1456762.5</v>
      </c>
      <c r="J33" s="32">
        <f t="shared" ref="J33:J39" si="10">I33*E33</f>
        <v>46221617.362499997</v>
      </c>
      <c r="K33" s="32">
        <f t="shared" ref="K33:K39" si="11">I33*F33</f>
        <v>46221617.362499997</v>
      </c>
      <c r="L33" s="32"/>
    </row>
    <row r="34" spans="1:12" s="4" customFormat="1" ht="51" customHeight="1" outlineLevel="1">
      <c r="A34" s="27" t="str">
        <f t="shared" si="8"/>
        <v>15A.C3.2</v>
      </c>
      <c r="B34" s="28" t="s">
        <v>25</v>
      </c>
      <c r="C34" s="28" t="s">
        <v>515</v>
      </c>
      <c r="D34" s="29" t="s">
        <v>519</v>
      </c>
      <c r="E34" s="31">
        <v>409.08800000000002</v>
      </c>
      <c r="F34" s="31">
        <v>409.08800000000002</v>
      </c>
      <c r="G34" s="30">
        <f>_xlfn.XLOOKUP(B34, Rate_Master!$A:$A, Rate_Master!$C:$C, "")</f>
        <v>1607444.4444444443</v>
      </c>
      <c r="H34" s="30">
        <f>_xlfn.XLOOKUP(B34, Rate_Master!$A:$A, Rate_Master!$D:$D, "")</f>
        <v>149500</v>
      </c>
      <c r="I34" s="66">
        <f t="shared" si="9"/>
        <v>1756944.4444444443</v>
      </c>
      <c r="J34" s="32">
        <f t="shared" si="10"/>
        <v>718744888.88888884</v>
      </c>
      <c r="K34" s="32">
        <f t="shared" si="11"/>
        <v>718744888.88888884</v>
      </c>
      <c r="L34" s="32"/>
    </row>
    <row r="35" spans="1:12" s="4" customFormat="1" ht="25.5" customHeight="1" outlineLevel="1">
      <c r="A35" s="27" t="str">
        <f t="shared" si="8"/>
        <v>15A.C3.3</v>
      </c>
      <c r="B35" s="28" t="s">
        <v>26</v>
      </c>
      <c r="C35" s="28" t="s">
        <v>515</v>
      </c>
      <c r="D35" s="29" t="s">
        <v>519</v>
      </c>
      <c r="E35" s="31">
        <v>0</v>
      </c>
      <c r="F35" s="31">
        <v>0</v>
      </c>
      <c r="G35" s="30">
        <f>_xlfn.XLOOKUP(B35, Rate_Master!$A:$A, Rate_Master!$C:$C, "")</f>
        <v>1520555.5555555553</v>
      </c>
      <c r="H35" s="30">
        <f>_xlfn.XLOOKUP(B35, Rate_Master!$A:$A, Rate_Master!$D:$D, "")</f>
        <v>252999.99999999997</v>
      </c>
      <c r="I35" s="32">
        <f t="shared" si="9"/>
        <v>1773555.5555555553</v>
      </c>
      <c r="J35" s="32">
        <f t="shared" si="10"/>
        <v>0</v>
      </c>
      <c r="K35" s="32">
        <f t="shared" si="11"/>
        <v>0</v>
      </c>
      <c r="L35" s="32"/>
    </row>
    <row r="36" spans="1:12" s="4" customFormat="1" ht="25.5" customHeight="1" outlineLevel="1">
      <c r="A36" s="27" t="str">
        <f t="shared" si="8"/>
        <v>15A.C3.4</v>
      </c>
      <c r="B36" s="28" t="s">
        <v>27</v>
      </c>
      <c r="C36" s="28" t="s">
        <v>515</v>
      </c>
      <c r="D36" s="29" t="s">
        <v>519</v>
      </c>
      <c r="E36" s="31">
        <v>0</v>
      </c>
      <c r="F36" s="31">
        <v>0</v>
      </c>
      <c r="G36" s="30">
        <f>_xlfn.XLOOKUP(B36, Rate_Master!$A:$A, Rate_Master!$C:$C, "")</f>
        <v>1520555.5555555553</v>
      </c>
      <c r="H36" s="30">
        <f>_xlfn.XLOOKUP(B36, Rate_Master!$A:$A, Rate_Master!$D:$D, "")</f>
        <v>149500</v>
      </c>
      <c r="I36" s="32">
        <f t="shared" si="9"/>
        <v>1670055.5555555553</v>
      </c>
      <c r="J36" s="32">
        <f t="shared" si="10"/>
        <v>0</v>
      </c>
      <c r="K36" s="32">
        <f t="shared" si="11"/>
        <v>0</v>
      </c>
      <c r="L36" s="32"/>
    </row>
    <row r="37" spans="1:12" s="4" customFormat="1" ht="25.5" customHeight="1" outlineLevel="1">
      <c r="A37" s="27" t="str">
        <f t="shared" si="8"/>
        <v>15A.C3.5</v>
      </c>
      <c r="B37" s="28" t="s">
        <v>28</v>
      </c>
      <c r="C37" s="28" t="s">
        <v>515</v>
      </c>
      <c r="D37" s="29" t="s">
        <v>519</v>
      </c>
      <c r="E37" s="31">
        <v>0</v>
      </c>
      <c r="F37" s="31">
        <v>0</v>
      </c>
      <c r="G37" s="30">
        <f>_xlfn.XLOOKUP(B37, Rate_Master!$A:$A, Rate_Master!$C:$C, "")</f>
        <v>1390222.2222222222</v>
      </c>
      <c r="H37" s="30">
        <f>_xlfn.XLOOKUP(B37, Rate_Master!$A:$A, Rate_Master!$D:$D, "")</f>
        <v>149500</v>
      </c>
      <c r="I37" s="32">
        <f t="shared" si="9"/>
        <v>1539722.2222222222</v>
      </c>
      <c r="J37" s="32">
        <f t="shared" si="10"/>
        <v>0</v>
      </c>
      <c r="K37" s="32">
        <f t="shared" si="11"/>
        <v>0</v>
      </c>
      <c r="L37" s="32"/>
    </row>
    <row r="38" spans="1:12" s="4" customFormat="1" ht="25.5" customHeight="1" outlineLevel="1">
      <c r="A38" s="27" t="str">
        <f t="shared" si="8"/>
        <v>15A.C3.6</v>
      </c>
      <c r="B38" s="28" t="s">
        <v>29</v>
      </c>
      <c r="C38" s="28" t="s">
        <v>515</v>
      </c>
      <c r="D38" s="29" t="s">
        <v>519</v>
      </c>
      <c r="E38" s="31">
        <v>0</v>
      </c>
      <c r="F38" s="31">
        <v>0</v>
      </c>
      <c r="G38" s="30">
        <f>_xlfn.XLOOKUP(B38, Rate_Master!$A:$A, Rate_Master!$C:$C, "")</f>
        <v>1390222.2222222222</v>
      </c>
      <c r="H38" s="30">
        <f>_xlfn.XLOOKUP(B38, Rate_Master!$A:$A, Rate_Master!$D:$D, "")</f>
        <v>149500</v>
      </c>
      <c r="I38" s="32">
        <f t="shared" si="9"/>
        <v>1539722.2222222222</v>
      </c>
      <c r="J38" s="32">
        <f t="shared" si="10"/>
        <v>0</v>
      </c>
      <c r="K38" s="32">
        <f t="shared" si="11"/>
        <v>0</v>
      </c>
      <c r="L38" s="32"/>
    </row>
    <row r="39" spans="1:12" s="4" customFormat="1" ht="38.25" customHeight="1" outlineLevel="1">
      <c r="A39" s="27" t="str">
        <f t="shared" si="8"/>
        <v>15A.C3.7</v>
      </c>
      <c r="B39" s="28" t="s">
        <v>30</v>
      </c>
      <c r="C39" s="28" t="s">
        <v>515</v>
      </c>
      <c r="D39" s="29" t="s">
        <v>519</v>
      </c>
      <c r="E39" s="31">
        <v>0</v>
      </c>
      <c r="F39" s="31">
        <v>0</v>
      </c>
      <c r="G39" s="30">
        <f>_xlfn.XLOOKUP(B39, Rate_Master!$A:$A, Rate_Master!$C:$C, "")</f>
        <v>22425000</v>
      </c>
      <c r="H39" s="30">
        <f>_xlfn.XLOOKUP(B39, Rate_Master!$A:$A, Rate_Master!$D:$D, "")</f>
        <v>8003999.9999999991</v>
      </c>
      <c r="I39" s="32">
        <f t="shared" si="9"/>
        <v>30429000</v>
      </c>
      <c r="J39" s="32">
        <f t="shared" si="10"/>
        <v>0</v>
      </c>
      <c r="K39" s="32">
        <f t="shared" si="11"/>
        <v>0</v>
      </c>
      <c r="L39" s="32"/>
    </row>
    <row r="40" spans="1:12" s="3" customFormat="1" ht="25.5" customHeight="1">
      <c r="A40" s="22" t="str">
        <f>$A$10&amp;4</f>
        <v>15A.C4</v>
      </c>
      <c r="B40" s="23" t="s">
        <v>31</v>
      </c>
      <c r="C40" s="23" t="s">
        <v>515</v>
      </c>
      <c r="D40" s="22"/>
      <c r="E40" s="25"/>
      <c r="F40" s="25"/>
      <c r="G40" s="25">
        <f>_xlfn.XLOOKUP(B40, Rate_Master!$A:$A, Rate_Master!$C:$C, "")</f>
        <v>0</v>
      </c>
      <c r="H40" s="25">
        <f>_xlfn.XLOOKUP(B40, Rate_Master!$A:$A, Rate_Master!$D:$D, "")</f>
        <v>0</v>
      </c>
      <c r="I40" s="26"/>
      <c r="J40" s="26">
        <f>SUBTOTAL(9,J41:J45)</f>
        <v>147012377.49999997</v>
      </c>
      <c r="K40" s="26">
        <f>SUBTOTAL(9,K41:K45)</f>
        <v>147012377.49999997</v>
      </c>
      <c r="L40" s="26"/>
    </row>
    <row r="41" spans="1:12" s="4" customFormat="1" ht="25.5" customHeight="1" outlineLevel="1">
      <c r="A41" s="27" t="str">
        <f>$A$40&amp;"."&amp;ROW()-ROW($A$40)</f>
        <v>15A.C4.1</v>
      </c>
      <c r="B41" s="28" t="s">
        <v>32</v>
      </c>
      <c r="C41" s="28" t="s">
        <v>515</v>
      </c>
      <c r="D41" s="29" t="s">
        <v>520</v>
      </c>
      <c r="E41" s="31">
        <v>115.63500000000001</v>
      </c>
      <c r="F41" s="31">
        <v>115.63500000000001</v>
      </c>
      <c r="G41" s="30">
        <f>_xlfn.XLOOKUP(B41, Rate_Master!$A:$A, Rate_Master!$C:$C, "")</f>
        <v>80500</v>
      </c>
      <c r="H41" s="30">
        <f>_xlfn.XLOOKUP(B41, Rate_Master!$A:$A, Rate_Master!$D:$D, "")</f>
        <v>92000</v>
      </c>
      <c r="I41" s="66">
        <f>+H41+G41</f>
        <v>172500</v>
      </c>
      <c r="J41" s="32">
        <f>I41*E41</f>
        <v>19947037.5</v>
      </c>
      <c r="K41" s="32">
        <f>I41*F41</f>
        <v>19947037.5</v>
      </c>
      <c r="L41" s="32"/>
    </row>
    <row r="42" spans="1:12" s="4" customFormat="1" ht="38.25" customHeight="1" outlineLevel="1">
      <c r="A42" s="27" t="str">
        <f>$A$40&amp;"."&amp;ROW()-ROW($A$40)</f>
        <v>15A.C4.2</v>
      </c>
      <c r="B42" s="28" t="s">
        <v>33</v>
      </c>
      <c r="C42" s="28" t="s">
        <v>515</v>
      </c>
      <c r="D42" s="29" t="s">
        <v>520</v>
      </c>
      <c r="E42" s="31">
        <v>552.45799999999997</v>
      </c>
      <c r="F42" s="31">
        <v>552.45799999999997</v>
      </c>
      <c r="G42" s="30">
        <f>_xlfn.XLOOKUP(B42, Rate_Master!$A:$A, Rate_Master!$C:$C, "")</f>
        <v>126499.99999999999</v>
      </c>
      <c r="H42" s="30">
        <f>_xlfn.XLOOKUP(B42, Rate_Master!$A:$A, Rate_Master!$D:$D, "")</f>
        <v>103499.99999999999</v>
      </c>
      <c r="I42" s="66">
        <f>+H42+G42</f>
        <v>229999.99999999997</v>
      </c>
      <c r="J42" s="32">
        <f>I42*E42</f>
        <v>127065339.99999997</v>
      </c>
      <c r="K42" s="32">
        <f>I42*F42</f>
        <v>127065339.99999997</v>
      </c>
      <c r="L42" s="32"/>
    </row>
    <row r="43" spans="1:12" s="4" customFormat="1" ht="25.5" customHeight="1" outlineLevel="1">
      <c r="A43" s="27" t="str">
        <f>$A$40&amp;"."&amp;ROW()-ROW($A$40)</f>
        <v>15A.C4.3</v>
      </c>
      <c r="B43" s="28" t="s">
        <v>34</v>
      </c>
      <c r="C43" s="28" t="s">
        <v>515</v>
      </c>
      <c r="D43" s="29" t="s">
        <v>520</v>
      </c>
      <c r="E43" s="31">
        <v>0</v>
      </c>
      <c r="F43" s="31">
        <v>0</v>
      </c>
      <c r="G43" s="30">
        <f>_xlfn.XLOOKUP(B43, Rate_Master!$A:$A, Rate_Master!$C:$C, "")</f>
        <v>126499.99999999999</v>
      </c>
      <c r="H43" s="30">
        <f>_xlfn.XLOOKUP(B43, Rate_Master!$A:$A, Rate_Master!$D:$D, "")</f>
        <v>149500</v>
      </c>
      <c r="I43" s="32">
        <f>+H43+G43</f>
        <v>276000</v>
      </c>
      <c r="J43" s="32">
        <f>I43*E43</f>
        <v>0</v>
      </c>
      <c r="K43" s="32">
        <f>I43*F43</f>
        <v>0</v>
      </c>
      <c r="L43" s="32"/>
    </row>
    <row r="44" spans="1:12" s="4" customFormat="1" ht="25.5" customHeight="1" outlineLevel="1">
      <c r="A44" s="27" t="str">
        <f>$A$40&amp;"."&amp;ROW()-ROW($A$40)</f>
        <v>15A.C4.4</v>
      </c>
      <c r="B44" s="28" t="s">
        <v>35</v>
      </c>
      <c r="C44" s="28" t="s">
        <v>515</v>
      </c>
      <c r="D44" s="29" t="s">
        <v>520</v>
      </c>
      <c r="E44" s="31">
        <v>0</v>
      </c>
      <c r="F44" s="31">
        <v>0</v>
      </c>
      <c r="G44" s="30">
        <f>_xlfn.XLOOKUP(B44, Rate_Master!$A:$A, Rate_Master!$C:$C, "")</f>
        <v>126499.99999999999</v>
      </c>
      <c r="H44" s="30">
        <f>_xlfn.XLOOKUP(B44, Rate_Master!$A:$A, Rate_Master!$D:$D, "")</f>
        <v>114999.99999999999</v>
      </c>
      <c r="I44" s="32">
        <f>+H44+G44</f>
        <v>241499.99999999997</v>
      </c>
      <c r="J44" s="32">
        <f>I44*E44</f>
        <v>0</v>
      </c>
      <c r="K44" s="32">
        <f>I44*F44</f>
        <v>0</v>
      </c>
      <c r="L44" s="32"/>
    </row>
    <row r="45" spans="1:12" s="4" customFormat="1" ht="25.5" customHeight="1" outlineLevel="1">
      <c r="A45" s="27" t="str">
        <f>$A$40&amp;"."&amp;ROW()-ROW($A$40)</f>
        <v>15A.C4.5</v>
      </c>
      <c r="B45" s="28" t="s">
        <v>36</v>
      </c>
      <c r="C45" s="28" t="s">
        <v>515</v>
      </c>
      <c r="D45" s="29" t="s">
        <v>520</v>
      </c>
      <c r="E45" s="31">
        <v>0</v>
      </c>
      <c r="F45" s="31">
        <v>0</v>
      </c>
      <c r="G45" s="30">
        <f>_xlfn.XLOOKUP(B45, Rate_Master!$A:$A, Rate_Master!$C:$C, "")</f>
        <v>126499.99999999999</v>
      </c>
      <c r="H45" s="30">
        <f>_xlfn.XLOOKUP(B45, Rate_Master!$A:$A, Rate_Master!$D:$D, "")</f>
        <v>97749.999999999985</v>
      </c>
      <c r="I45" s="32">
        <f>+H45+G45</f>
        <v>224249.99999999997</v>
      </c>
      <c r="J45" s="32">
        <f>I45*E45</f>
        <v>0</v>
      </c>
      <c r="K45" s="32">
        <f>I45*F45</f>
        <v>0</v>
      </c>
      <c r="L45" s="32"/>
    </row>
    <row r="46" spans="1:12" s="3" customFormat="1" ht="25.5" customHeight="1">
      <c r="A46" s="22" t="str">
        <f>$A$10&amp;5</f>
        <v>15A.C5</v>
      </c>
      <c r="B46" s="23" t="s">
        <v>37</v>
      </c>
      <c r="C46" s="23" t="s">
        <v>515</v>
      </c>
      <c r="D46" s="22"/>
      <c r="E46" s="25"/>
      <c r="F46" s="25"/>
      <c r="G46" s="25">
        <f>_xlfn.XLOOKUP(B46, Rate_Master!$A:$A, Rate_Master!$C:$C, "")</f>
        <v>0</v>
      </c>
      <c r="H46" s="25">
        <f>_xlfn.XLOOKUP(B46, Rate_Master!$A:$A, Rate_Master!$D:$D, "")</f>
        <v>0</v>
      </c>
      <c r="I46" s="26"/>
      <c r="J46" s="26">
        <f>SUBTOTAL(9,J47:J51)</f>
        <v>1298298709.0988381</v>
      </c>
      <c r="K46" s="26">
        <f>SUBTOTAL(9,K47:K51)</f>
        <v>1298298709.0988381</v>
      </c>
      <c r="L46" s="26"/>
    </row>
    <row r="47" spans="1:12" s="4" customFormat="1" ht="38.25" customHeight="1" outlineLevel="1">
      <c r="A47" s="27" t="str">
        <f>$A$46&amp;"."&amp;ROW()-ROW($A$46)</f>
        <v>15A.C5.1</v>
      </c>
      <c r="B47" s="28" t="s">
        <v>38</v>
      </c>
      <c r="C47" s="28" t="s">
        <v>522</v>
      </c>
      <c r="D47" s="29" t="s">
        <v>523</v>
      </c>
      <c r="E47" s="31">
        <v>46999.055320987703</v>
      </c>
      <c r="F47" s="31">
        <v>46999.055320987703</v>
      </c>
      <c r="G47" s="30">
        <f>_xlfn.XLOOKUP(B47, Rate_Master!$A:$A, Rate_Master!$C:$C, "")</f>
        <v>16770.564999999999</v>
      </c>
      <c r="H47" s="30">
        <f>_xlfn.XLOOKUP(B47, Rate_Master!$A:$A, Rate_Master!$D:$D, "")</f>
        <v>2875</v>
      </c>
      <c r="I47" s="66">
        <f>+H47+G47</f>
        <v>19645.564999999999</v>
      </c>
      <c r="J47" s="32">
        <f>I47*E47</f>
        <v>923322996.2470597</v>
      </c>
      <c r="K47" s="32">
        <f>I47*F47</f>
        <v>923322996.2470597</v>
      </c>
      <c r="L47" s="32"/>
    </row>
    <row r="48" spans="1:12" s="4" customFormat="1" ht="25.5" customHeight="1" outlineLevel="1">
      <c r="A48" s="27" t="str">
        <f>$A$46&amp;"."&amp;ROW()-ROW($A$46)</f>
        <v>15A.C5.2</v>
      </c>
      <c r="B48" s="28" t="s">
        <v>39</v>
      </c>
      <c r="C48" s="28" t="s">
        <v>522</v>
      </c>
      <c r="D48" s="29" t="s">
        <v>523</v>
      </c>
      <c r="E48" s="31">
        <v>0</v>
      </c>
      <c r="F48" s="31">
        <v>0</v>
      </c>
      <c r="G48" s="30">
        <f>_xlfn.XLOOKUP(B48, Rate_Master!$A:$A, Rate_Master!$C:$C, "")</f>
        <v>16770.564999999999</v>
      </c>
      <c r="H48" s="30">
        <f>_xlfn.XLOOKUP(B48, Rate_Master!$A:$A, Rate_Master!$D:$D, "")</f>
        <v>3679.9999999999995</v>
      </c>
      <c r="I48" s="32">
        <f>+H48+G48</f>
        <v>20450.564999999999</v>
      </c>
      <c r="J48" s="32">
        <f>I48*E48</f>
        <v>0</v>
      </c>
      <c r="K48" s="32">
        <f>I48*F48</f>
        <v>0</v>
      </c>
      <c r="L48" s="32"/>
    </row>
    <row r="49" spans="1:12" s="4" customFormat="1" ht="25.5" customHeight="1" outlineLevel="1">
      <c r="A49" s="27" t="str">
        <f>$A$46&amp;"."&amp;ROW()-ROW($A$46)</f>
        <v>15A.C5.3</v>
      </c>
      <c r="B49" s="28" t="s">
        <v>40</v>
      </c>
      <c r="C49" s="28" t="s">
        <v>522</v>
      </c>
      <c r="D49" s="29" t="s">
        <v>523</v>
      </c>
      <c r="E49" s="31">
        <v>0</v>
      </c>
      <c r="F49" s="31">
        <v>0</v>
      </c>
      <c r="G49" s="30">
        <f>_xlfn.XLOOKUP(B49, Rate_Master!$A:$A, Rate_Master!$C:$C, "")</f>
        <v>16770.564999999999</v>
      </c>
      <c r="H49" s="30">
        <f>_xlfn.XLOOKUP(B49, Rate_Master!$A:$A, Rate_Master!$D:$D, "")</f>
        <v>3449.9999999999995</v>
      </c>
      <c r="I49" s="32">
        <f>+H49+G49</f>
        <v>20220.564999999999</v>
      </c>
      <c r="J49" s="32">
        <f>I49*E49</f>
        <v>0</v>
      </c>
      <c r="K49" s="32">
        <f>I49*F49</f>
        <v>0</v>
      </c>
      <c r="L49" s="32"/>
    </row>
    <row r="50" spans="1:12" s="4" customFormat="1" ht="25.5" customHeight="1" outlineLevel="1">
      <c r="A50" s="27" t="str">
        <f>$A$46&amp;"."&amp;ROW()-ROW($A$46)</f>
        <v>15A.C5.4</v>
      </c>
      <c r="B50" s="28" t="s">
        <v>41</v>
      </c>
      <c r="C50" s="28" t="s">
        <v>522</v>
      </c>
      <c r="D50" s="29" t="s">
        <v>523</v>
      </c>
      <c r="E50" s="31">
        <v>0</v>
      </c>
      <c r="F50" s="31">
        <v>0</v>
      </c>
      <c r="G50" s="30">
        <f>_xlfn.XLOOKUP(B50, Rate_Master!$A:$A, Rate_Master!$C:$C, "")</f>
        <v>16770.564999999999</v>
      </c>
      <c r="H50" s="30">
        <f>_xlfn.XLOOKUP(B50, Rate_Master!$A:$A, Rate_Master!$D:$D, "")</f>
        <v>3679.9999999999995</v>
      </c>
      <c r="I50" s="32">
        <f>+H50+G50</f>
        <v>20450.564999999999</v>
      </c>
      <c r="J50" s="32">
        <f>I50*E50</f>
        <v>0</v>
      </c>
      <c r="K50" s="32">
        <f>I50*F50</f>
        <v>0</v>
      </c>
      <c r="L50" s="32"/>
    </row>
    <row r="51" spans="1:12" s="4" customFormat="1" ht="25.5" customHeight="1" outlineLevel="1">
      <c r="A51" s="27" t="str">
        <f>$A$46&amp;"."&amp;ROW()-ROW($A$46)</f>
        <v>15A.C5.5</v>
      </c>
      <c r="B51" s="28" t="s">
        <v>42</v>
      </c>
      <c r="C51" s="28" t="s">
        <v>524</v>
      </c>
      <c r="D51" s="29" t="s">
        <v>523</v>
      </c>
      <c r="E51" s="31">
        <v>17617.181240000002</v>
      </c>
      <c r="F51" s="31">
        <v>17617.181240000002</v>
      </c>
      <c r="G51" s="30">
        <f>_xlfn.XLOOKUP(B51, Rate_Master!$A:$A, Rate_Master!$C:$C, "")</f>
        <v>17834.66</v>
      </c>
      <c r="H51" s="30">
        <f>_xlfn.XLOOKUP(B51, Rate_Master!$A:$A, Rate_Master!$D:$D, "")</f>
        <v>3449.9999999999995</v>
      </c>
      <c r="I51" s="66">
        <f>+H51+G51</f>
        <v>21284.66</v>
      </c>
      <c r="J51" s="32">
        <f>I51*E51</f>
        <v>374975712.85177845</v>
      </c>
      <c r="K51" s="32">
        <f>I51*F51</f>
        <v>374975712.85177845</v>
      </c>
      <c r="L51" s="32"/>
    </row>
    <row r="52" spans="1:12" s="3" customFormat="1" ht="25.5" customHeight="1">
      <c r="A52" s="22" t="str">
        <f>$A$10&amp;6</f>
        <v>15A.C6</v>
      </c>
      <c r="B52" s="23" t="s">
        <v>43</v>
      </c>
      <c r="C52" s="23" t="s">
        <v>515</v>
      </c>
      <c r="D52" s="22"/>
      <c r="E52" s="25"/>
      <c r="F52" s="25"/>
      <c r="G52" s="25">
        <f>_xlfn.XLOOKUP(B52, Rate_Master!$A:$A, Rate_Master!$C:$C, "")</f>
        <v>0</v>
      </c>
      <c r="H52" s="25">
        <f>_xlfn.XLOOKUP(B52, Rate_Master!$A:$A, Rate_Master!$D:$D, "")</f>
        <v>0</v>
      </c>
      <c r="I52" s="26"/>
      <c r="J52" s="26">
        <f>SUBTOTAL(9,J53:J55)</f>
        <v>219671242.79999998</v>
      </c>
      <c r="K52" s="26">
        <f>SUBTOTAL(9,K53:K55)</f>
        <v>219671242.79999998</v>
      </c>
      <c r="L52" s="26"/>
    </row>
    <row r="53" spans="1:12" s="4" customFormat="1" ht="25.5" customHeight="1" outlineLevel="1">
      <c r="A53" s="27" t="str">
        <f>$A$52&amp;"."&amp;ROW()-ROW($A$52)</f>
        <v>15A.C6.1</v>
      </c>
      <c r="B53" s="28" t="s">
        <v>44</v>
      </c>
      <c r="C53" s="28" t="s">
        <v>515</v>
      </c>
      <c r="D53" s="29" t="s">
        <v>520</v>
      </c>
      <c r="E53" s="31">
        <v>5011.3739999999998</v>
      </c>
      <c r="F53" s="31">
        <v>5011.3739999999998</v>
      </c>
      <c r="G53" s="30">
        <f>_xlfn.XLOOKUP(B53, Rate_Master!$A:$A, Rate_Master!$C:$C, "")</f>
        <v>14949.999999999998</v>
      </c>
      <c r="H53" s="30">
        <f>_xlfn.XLOOKUP(B53, Rate_Master!$A:$A, Rate_Master!$D:$D, "")</f>
        <v>17250</v>
      </c>
      <c r="I53" s="32">
        <f>+H53+G53</f>
        <v>32200</v>
      </c>
      <c r="J53" s="32">
        <f>I53*E53</f>
        <v>161366242.79999998</v>
      </c>
      <c r="K53" s="32">
        <f>I53*F53</f>
        <v>161366242.79999998</v>
      </c>
      <c r="L53" s="32"/>
    </row>
    <row r="54" spans="1:12" s="4" customFormat="1" ht="51" customHeight="1" outlineLevel="1">
      <c r="A54" s="27" t="str">
        <f>$A$52&amp;"."&amp;ROW()-ROW($A$52)</f>
        <v>15A.C6.2</v>
      </c>
      <c r="B54" s="34" t="s">
        <v>45</v>
      </c>
      <c r="C54" s="28" t="s">
        <v>515</v>
      </c>
      <c r="D54" s="29" t="s">
        <v>517</v>
      </c>
      <c r="E54" s="31">
        <v>2028</v>
      </c>
      <c r="F54" s="31">
        <v>2028</v>
      </c>
      <c r="G54" s="30">
        <f>_xlfn.XLOOKUP(B54, Rate_Master!$A:$A, Rate_Master!$C:$C, "")</f>
        <v>5750</v>
      </c>
      <c r="H54" s="30">
        <f>_xlfn.XLOOKUP(B54, Rate_Master!$A:$A, Rate_Master!$D:$D, "")</f>
        <v>23000</v>
      </c>
      <c r="I54" s="32">
        <f>+H54+G54</f>
        <v>28750</v>
      </c>
      <c r="J54" s="32">
        <f>I54*E54</f>
        <v>58305000</v>
      </c>
      <c r="K54" s="32">
        <f>I54*F54</f>
        <v>58305000</v>
      </c>
      <c r="L54" s="32"/>
    </row>
    <row r="55" spans="1:12" s="4" customFormat="1" ht="38.25" customHeight="1" outlineLevel="1">
      <c r="A55" s="27" t="str">
        <f>$A$52&amp;"."&amp;ROW()-ROW($A$52)</f>
        <v>15A.C6.3</v>
      </c>
      <c r="B55" s="28" t="s">
        <v>46</v>
      </c>
      <c r="C55" s="28" t="s">
        <v>515</v>
      </c>
      <c r="D55" s="29" t="s">
        <v>517</v>
      </c>
      <c r="E55" s="31">
        <v>0</v>
      </c>
      <c r="F55" s="31">
        <v>0</v>
      </c>
      <c r="G55" s="30">
        <f>_xlfn.XLOOKUP(B55, Rate_Master!$A:$A, Rate_Master!$C:$C, "")</f>
        <v>172500</v>
      </c>
      <c r="H55" s="30">
        <f>_xlfn.XLOOKUP(B55, Rate_Master!$A:$A, Rate_Master!$D:$D, "")</f>
        <v>57499.999999999993</v>
      </c>
      <c r="I55" s="32">
        <f>+H55+G55</f>
        <v>230000</v>
      </c>
      <c r="J55" s="32">
        <f>I55*E55</f>
        <v>0</v>
      </c>
      <c r="K55" s="32">
        <f>I55*F55</f>
        <v>0</v>
      </c>
      <c r="L55" s="32"/>
    </row>
    <row r="56" spans="1:12" s="3" customFormat="1" ht="25.5" customHeight="1">
      <c r="A56" s="22" t="str">
        <f>$A$9&amp;".S"</f>
        <v>15A.S</v>
      </c>
      <c r="B56" s="23" t="s">
        <v>47</v>
      </c>
      <c r="C56" s="23" t="s">
        <v>515</v>
      </c>
      <c r="D56" s="22"/>
      <c r="E56" s="25"/>
      <c r="F56" s="25"/>
      <c r="G56" s="25">
        <f>_xlfn.XLOOKUP(B56, Rate_Master!$A:$A, Rate_Master!$C:$C, "")</f>
        <v>0</v>
      </c>
      <c r="H56" s="25">
        <f>_xlfn.XLOOKUP(B56, Rate_Master!$A:$A, Rate_Master!$D:$D, "")</f>
        <v>0</v>
      </c>
      <c r="I56" s="26"/>
      <c r="J56" s="26"/>
      <c r="K56" s="26"/>
      <c r="L56" s="26"/>
    </row>
    <row r="57" spans="1:12" s="3" customFormat="1" ht="25.5" customHeight="1">
      <c r="A57" s="22" t="str">
        <f>$A$56&amp;1</f>
        <v>15A.S1</v>
      </c>
      <c r="B57" s="23" t="s">
        <v>48</v>
      </c>
      <c r="C57" s="23" t="s">
        <v>515</v>
      </c>
      <c r="D57" s="22"/>
      <c r="E57" s="25"/>
      <c r="F57" s="87"/>
      <c r="G57" s="25">
        <f>_xlfn.XLOOKUP(B57, Rate_Master!$A:$A, Rate_Master!$C:$C, "")</f>
        <v>0</v>
      </c>
      <c r="H57" s="25">
        <f>_xlfn.XLOOKUP(B57, Rate_Master!$A:$A, Rate_Master!$D:$D, "")</f>
        <v>0</v>
      </c>
      <c r="I57" s="26"/>
      <c r="J57" s="26">
        <f>SUBTOTAL(9,J58:J72)</f>
        <v>5184144687.7943439</v>
      </c>
      <c r="K57" s="26">
        <f>SUBTOTAL(9,K58:K72)</f>
        <v>5076249830.6118259</v>
      </c>
      <c r="L57" s="26"/>
    </row>
    <row r="58" spans="1:12" s="4" customFormat="1" ht="51" customHeight="1" outlineLevel="1">
      <c r="A58" s="27" t="str">
        <f t="shared" ref="A58:A72" si="12">$A$57&amp;"."&amp;ROW()-ROW($A$57)</f>
        <v>15A.S1.1</v>
      </c>
      <c r="B58" s="28" t="s">
        <v>49</v>
      </c>
      <c r="C58" s="28" t="s">
        <v>525</v>
      </c>
      <c r="D58" s="29" t="s">
        <v>523</v>
      </c>
      <c r="E58" s="31">
        <v>174955.74117739999</v>
      </c>
      <c r="F58" s="36">
        <v>168777.53777940001</v>
      </c>
      <c r="G58" s="93">
        <f>_xlfn.XLOOKUP(B58, Rate_Master!$A:$A, Rate_Master!$C:$C, "")</f>
        <v>20475</v>
      </c>
      <c r="H58" s="93">
        <f>_xlfn.XLOOKUP(B58, Rate_Master!$A:$A, Rate_Master!$D:$D, "")</f>
        <v>0</v>
      </c>
      <c r="I58" s="67">
        <f t="shared" ref="I58:I72" si="13">+SUM(G58:H58)</f>
        <v>20475</v>
      </c>
      <c r="J58" s="32">
        <f t="shared" ref="J58:J72" si="14">I58*E58</f>
        <v>3582218800.607265</v>
      </c>
      <c r="K58" s="58">
        <f t="shared" ref="K58:K72" si="15">+F58*I58</f>
        <v>3455720086.033215</v>
      </c>
      <c r="L58" s="32"/>
    </row>
    <row r="59" spans="1:12" s="4" customFormat="1" ht="76.5" customHeight="1" outlineLevel="1">
      <c r="A59" s="27" t="str">
        <f t="shared" si="12"/>
        <v>15A.S1.2</v>
      </c>
      <c r="B59" s="28" t="s">
        <v>50</v>
      </c>
      <c r="C59" s="28" t="s">
        <v>526</v>
      </c>
      <c r="D59" s="29" t="s">
        <v>523</v>
      </c>
      <c r="E59" s="31">
        <v>12123.089026448</v>
      </c>
      <c r="F59" s="36">
        <v>12368.6543172682</v>
      </c>
      <c r="G59" s="93">
        <f>_xlfn.XLOOKUP(B59, Rate_Master!$A:$A, Rate_Master!$C:$C, "")</f>
        <v>26775</v>
      </c>
      <c r="H59" s="93">
        <f>_xlfn.XLOOKUP(B59, Rate_Master!$A:$A, Rate_Master!$D:$D, "")</f>
        <v>0</v>
      </c>
      <c r="I59" s="67">
        <f t="shared" si="13"/>
        <v>26775</v>
      </c>
      <c r="J59" s="32">
        <f t="shared" si="14"/>
        <v>324595708.68314523</v>
      </c>
      <c r="K59" s="58">
        <f t="shared" si="15"/>
        <v>331170719.34485602</v>
      </c>
      <c r="L59" s="32"/>
    </row>
    <row r="60" spans="1:12" s="4" customFormat="1" ht="76.5" customHeight="1" outlineLevel="1">
      <c r="A60" s="27" t="str">
        <f t="shared" si="12"/>
        <v>15A.S1.3</v>
      </c>
      <c r="B60" s="28" t="s">
        <v>51</v>
      </c>
      <c r="C60" s="28" t="s">
        <v>527</v>
      </c>
      <c r="D60" s="29" t="s">
        <v>523</v>
      </c>
      <c r="E60" s="31">
        <v>686.96970097058602</v>
      </c>
      <c r="F60" s="36">
        <v>696.27600000000007</v>
      </c>
      <c r="G60" s="93">
        <f>_xlfn.XLOOKUP(B60, Rate_Master!$A:$A, Rate_Master!$C:$C, "")</f>
        <v>36750</v>
      </c>
      <c r="H60" s="93">
        <f>_xlfn.XLOOKUP(B60, Rate_Master!$A:$A, Rate_Master!$D:$D, "")</f>
        <v>0</v>
      </c>
      <c r="I60" s="67">
        <f t="shared" si="13"/>
        <v>36750</v>
      </c>
      <c r="J60" s="32">
        <f t="shared" si="14"/>
        <v>25246136.510669038</v>
      </c>
      <c r="K60" s="58">
        <f t="shared" si="15"/>
        <v>25588143.000000004</v>
      </c>
      <c r="L60" s="32"/>
    </row>
    <row r="61" spans="1:12" s="4" customFormat="1" ht="76.5" customHeight="1" outlineLevel="1">
      <c r="A61" s="27" t="str">
        <f t="shared" si="12"/>
        <v>15A.S1.4</v>
      </c>
      <c r="B61" s="28" t="s">
        <v>52</v>
      </c>
      <c r="C61" s="28" t="s">
        <v>527</v>
      </c>
      <c r="D61" s="29" t="s">
        <v>523</v>
      </c>
      <c r="E61" s="31">
        <v>0</v>
      </c>
      <c r="F61" s="36"/>
      <c r="G61" s="93">
        <f>_xlfn.XLOOKUP(B61, Rate_Master!$A:$A, Rate_Master!$C:$C, "")</f>
        <v>26775</v>
      </c>
      <c r="H61" s="93">
        <f>_xlfn.XLOOKUP(B61, Rate_Master!$A:$A, Rate_Master!$D:$D, "")</f>
        <v>0</v>
      </c>
      <c r="I61" s="67">
        <f t="shared" si="13"/>
        <v>26775</v>
      </c>
      <c r="J61" s="32">
        <f t="shared" si="14"/>
        <v>0</v>
      </c>
      <c r="K61" s="58">
        <f t="shared" si="15"/>
        <v>0</v>
      </c>
      <c r="L61" s="32"/>
    </row>
    <row r="62" spans="1:12" s="4" customFormat="1" ht="25.5" customHeight="1" outlineLevel="1">
      <c r="A62" s="27" t="str">
        <f t="shared" si="12"/>
        <v>15A.S1.5</v>
      </c>
      <c r="B62" s="28" t="s">
        <v>53</v>
      </c>
      <c r="C62" s="28" t="s">
        <v>528</v>
      </c>
      <c r="D62" s="29" t="s">
        <v>523</v>
      </c>
      <c r="E62" s="31">
        <v>11953.818289999999</v>
      </c>
      <c r="F62" s="36">
        <v>10230.287990000001</v>
      </c>
      <c r="G62" s="93">
        <f>_xlfn.XLOOKUP(B62, Rate_Master!$A:$A, Rate_Master!$C:$C, "")</f>
        <v>22365</v>
      </c>
      <c r="H62" s="93">
        <f>_xlfn.XLOOKUP(B62, Rate_Master!$A:$A, Rate_Master!$D:$D, "")</f>
        <v>0</v>
      </c>
      <c r="I62" s="67">
        <f t="shared" si="13"/>
        <v>22365</v>
      </c>
      <c r="J62" s="32">
        <f t="shared" si="14"/>
        <v>267347146.05584997</v>
      </c>
      <c r="K62" s="58">
        <f t="shared" si="15"/>
        <v>228800390.89635003</v>
      </c>
      <c r="L62" s="32"/>
    </row>
    <row r="63" spans="1:12" s="4" customFormat="1" ht="38.25" customHeight="1" outlineLevel="1">
      <c r="A63" s="27" t="str">
        <f t="shared" si="12"/>
        <v>15A.S1.6</v>
      </c>
      <c r="B63" s="28" t="s">
        <v>54</v>
      </c>
      <c r="C63" s="28" t="s">
        <v>529</v>
      </c>
      <c r="D63" s="29" t="s">
        <v>523</v>
      </c>
      <c r="E63" s="31">
        <v>1040.5996523291501</v>
      </c>
      <c r="F63" s="36">
        <v>938.66666666666697</v>
      </c>
      <c r="G63" s="93">
        <f>_xlfn.XLOOKUP(B63, Rate_Master!$A:$A, Rate_Master!$C:$C, "")</f>
        <v>36750</v>
      </c>
      <c r="H63" s="93">
        <f>_xlfn.XLOOKUP(B63, Rate_Master!$A:$A, Rate_Master!$D:$D, "")</f>
        <v>0</v>
      </c>
      <c r="I63" s="67">
        <f t="shared" si="13"/>
        <v>36750</v>
      </c>
      <c r="J63" s="32">
        <f t="shared" si="14"/>
        <v>38242037.223096266</v>
      </c>
      <c r="K63" s="58">
        <f t="shared" si="15"/>
        <v>34496000.000000007</v>
      </c>
      <c r="L63" s="32"/>
    </row>
    <row r="64" spans="1:12" s="4" customFormat="1" ht="25.5" customHeight="1" outlineLevel="1">
      <c r="A64" s="27" t="str">
        <f t="shared" si="12"/>
        <v>15A.S1.7</v>
      </c>
      <c r="B64" s="28" t="s">
        <v>55</v>
      </c>
      <c r="C64" s="28" t="s">
        <v>530</v>
      </c>
      <c r="D64" s="29" t="s">
        <v>523</v>
      </c>
      <c r="E64" s="31">
        <v>0</v>
      </c>
      <c r="F64" s="36"/>
      <c r="G64" s="93">
        <f>_xlfn.XLOOKUP(B64, Rate_Master!$A:$A, Rate_Master!$C:$C, "")</f>
        <v>27930</v>
      </c>
      <c r="H64" s="93">
        <f>_xlfn.XLOOKUP(B64, Rate_Master!$A:$A, Rate_Master!$D:$D, "")</f>
        <v>0</v>
      </c>
      <c r="I64" s="67">
        <f t="shared" si="13"/>
        <v>27930</v>
      </c>
      <c r="J64" s="32">
        <f t="shared" si="14"/>
        <v>0</v>
      </c>
      <c r="K64" s="58">
        <f t="shared" si="15"/>
        <v>0</v>
      </c>
      <c r="L64" s="32"/>
    </row>
    <row r="65" spans="1:12" s="4" customFormat="1" ht="25.5" customHeight="1" outlineLevel="1">
      <c r="A65" s="27" t="str">
        <f t="shared" si="12"/>
        <v>15A.S1.8</v>
      </c>
      <c r="B65" s="28" t="s">
        <v>56</v>
      </c>
      <c r="C65" s="28" t="s">
        <v>531</v>
      </c>
      <c r="D65" s="29" t="s">
        <v>523</v>
      </c>
      <c r="E65" s="31">
        <v>878.4</v>
      </c>
      <c r="F65" s="36">
        <v>1790.3616</v>
      </c>
      <c r="G65" s="93">
        <f>_xlfn.XLOOKUP(B65, Rate_Master!$A:$A, Rate_Master!$C:$C, "")</f>
        <v>52500</v>
      </c>
      <c r="H65" s="93">
        <f>_xlfn.XLOOKUP(B65, Rate_Master!$A:$A, Rate_Master!$D:$D, "")</f>
        <v>0</v>
      </c>
      <c r="I65" s="67">
        <f t="shared" si="13"/>
        <v>52500</v>
      </c>
      <c r="J65" s="32">
        <f t="shared" si="14"/>
        <v>46116000</v>
      </c>
      <c r="K65" s="58">
        <f t="shared" si="15"/>
        <v>93993984</v>
      </c>
      <c r="L65" s="32"/>
    </row>
    <row r="66" spans="1:12" s="4" customFormat="1" ht="25.5" customHeight="1" outlineLevel="1">
      <c r="A66" s="27" t="str">
        <f t="shared" si="12"/>
        <v>15A.S1.9</v>
      </c>
      <c r="B66" s="28" t="s">
        <v>57</v>
      </c>
      <c r="C66" s="28" t="s">
        <v>532</v>
      </c>
      <c r="D66" s="29" t="s">
        <v>523</v>
      </c>
      <c r="E66" s="31">
        <v>1443.21</v>
      </c>
      <c r="F66" s="36">
        <v>1443.49</v>
      </c>
      <c r="G66" s="93">
        <f>_xlfn.XLOOKUP(B66, Rate_Master!$A:$A, Rate_Master!$C:$C, "")</f>
        <v>60900</v>
      </c>
      <c r="H66" s="93">
        <f>_xlfn.XLOOKUP(B66, Rate_Master!$A:$A, Rate_Master!$D:$D, "")</f>
        <v>0</v>
      </c>
      <c r="I66" s="67">
        <f t="shared" si="13"/>
        <v>60900</v>
      </c>
      <c r="J66" s="32">
        <f t="shared" si="14"/>
        <v>87891489</v>
      </c>
      <c r="K66" s="58">
        <f t="shared" si="15"/>
        <v>87908541</v>
      </c>
      <c r="L66" s="32"/>
    </row>
    <row r="67" spans="1:12" s="4" customFormat="1" ht="25.5" customHeight="1" outlineLevel="1">
      <c r="A67" s="27" t="str">
        <f t="shared" si="12"/>
        <v>15A.S1.10</v>
      </c>
      <c r="B67" s="28" t="s">
        <v>58</v>
      </c>
      <c r="C67" s="28" t="s">
        <v>533</v>
      </c>
      <c r="D67" s="29" t="s">
        <v>523</v>
      </c>
      <c r="E67" s="31">
        <v>0</v>
      </c>
      <c r="F67" s="36"/>
      <c r="G67" s="93">
        <f>_xlfn.XLOOKUP(B67, Rate_Master!$A:$A, Rate_Master!$C:$C, "")</f>
        <v>60900</v>
      </c>
      <c r="H67" s="93">
        <f>_xlfn.XLOOKUP(B67, Rate_Master!$A:$A, Rate_Master!$D:$D, "")</f>
        <v>0</v>
      </c>
      <c r="I67" s="67">
        <f t="shared" si="13"/>
        <v>60900</v>
      </c>
      <c r="J67" s="32">
        <f t="shared" si="14"/>
        <v>0</v>
      </c>
      <c r="K67" s="58">
        <f t="shared" si="15"/>
        <v>0</v>
      </c>
      <c r="L67" s="32"/>
    </row>
    <row r="68" spans="1:12" s="4" customFormat="1" ht="25.5" customHeight="1" outlineLevel="1">
      <c r="A68" s="27" t="str">
        <f t="shared" si="12"/>
        <v>15A.S1.11</v>
      </c>
      <c r="B68" s="28" t="s">
        <v>59</v>
      </c>
      <c r="C68" s="28" t="s">
        <v>534</v>
      </c>
      <c r="D68" s="29" t="s">
        <v>518</v>
      </c>
      <c r="E68" s="31">
        <v>0</v>
      </c>
      <c r="F68" s="36">
        <v>1032</v>
      </c>
      <c r="G68" s="93">
        <f>_xlfn.XLOOKUP(B68, Rate_Master!$A:$A, Rate_Master!$C:$C, "")</f>
        <v>21000</v>
      </c>
      <c r="H68" s="93">
        <f>_xlfn.XLOOKUP(B68, Rate_Master!$A:$A, Rate_Master!$D:$D, "")</f>
        <v>0</v>
      </c>
      <c r="I68" s="67">
        <f t="shared" si="13"/>
        <v>21000</v>
      </c>
      <c r="J68" s="32">
        <f t="shared" si="14"/>
        <v>0</v>
      </c>
      <c r="K68" s="58">
        <f t="shared" si="15"/>
        <v>21672000</v>
      </c>
      <c r="L68" s="32"/>
    </row>
    <row r="69" spans="1:12" s="4" customFormat="1" ht="25.5" customHeight="1" outlineLevel="1">
      <c r="A69" s="27" t="str">
        <f t="shared" si="12"/>
        <v>15A.S1.12</v>
      </c>
      <c r="B69" s="28" t="s">
        <v>60</v>
      </c>
      <c r="C69" s="28" t="s">
        <v>515</v>
      </c>
      <c r="D69" s="29" t="s">
        <v>523</v>
      </c>
      <c r="E69" s="31">
        <v>878.4</v>
      </c>
      <c r="F69" s="36">
        <v>1790.3616</v>
      </c>
      <c r="G69" s="93">
        <f>_xlfn.XLOOKUP(B69, Rate_Master!$A:$A, Rate_Master!$C:$C, "")</f>
        <v>630</v>
      </c>
      <c r="H69" s="93">
        <f>_xlfn.XLOOKUP(B69, Rate_Master!$A:$A, Rate_Master!$D:$D, "")</f>
        <v>0</v>
      </c>
      <c r="I69" s="67">
        <f t="shared" si="13"/>
        <v>630</v>
      </c>
      <c r="J69" s="32">
        <f t="shared" si="14"/>
        <v>553392</v>
      </c>
      <c r="K69" s="58">
        <f t="shared" si="15"/>
        <v>1127927.808</v>
      </c>
      <c r="L69" s="32"/>
    </row>
    <row r="70" spans="1:12" s="4" customFormat="1" ht="25.5" customHeight="1" outlineLevel="1">
      <c r="A70" s="27" t="str">
        <f t="shared" si="12"/>
        <v>15A.S1.13</v>
      </c>
      <c r="B70" s="28" t="s">
        <v>61</v>
      </c>
      <c r="C70" s="28" t="s">
        <v>515</v>
      </c>
      <c r="D70" s="29" t="s">
        <v>523</v>
      </c>
      <c r="E70" s="31">
        <v>200760.21784714799</v>
      </c>
      <c r="F70" s="36">
        <v>194454.91275333491</v>
      </c>
      <c r="G70" s="93">
        <f>_xlfn.XLOOKUP(B70, Rate_Master!$A:$A, Rate_Master!$C:$C, "")</f>
        <v>630</v>
      </c>
      <c r="H70" s="93">
        <f>_xlfn.XLOOKUP(B70, Rate_Master!$A:$A, Rate_Master!$D:$D, "")</f>
        <v>0</v>
      </c>
      <c r="I70" s="67">
        <f t="shared" si="13"/>
        <v>630</v>
      </c>
      <c r="J70" s="32">
        <f t="shared" si="14"/>
        <v>126478937.24370323</v>
      </c>
      <c r="K70" s="58">
        <f t="shared" si="15"/>
        <v>122506595.03460099</v>
      </c>
      <c r="L70" s="32"/>
    </row>
    <row r="71" spans="1:12" s="4" customFormat="1" ht="25.5" customHeight="1" outlineLevel="1">
      <c r="A71" s="27" t="str">
        <f t="shared" si="12"/>
        <v>15A.S1.14</v>
      </c>
      <c r="B71" s="28" t="s">
        <v>62</v>
      </c>
      <c r="C71" s="28" t="s">
        <v>515</v>
      </c>
      <c r="D71" s="29" t="s">
        <v>518</v>
      </c>
      <c r="E71" s="31">
        <v>360</v>
      </c>
      <c r="F71" s="36">
        <v>384</v>
      </c>
      <c r="G71" s="93">
        <f>_xlfn.XLOOKUP(B71, Rate_Master!$A:$A, Rate_Master!$C:$C, "")</f>
        <v>0</v>
      </c>
      <c r="H71" s="93">
        <f>_xlfn.XLOOKUP(B71, Rate_Master!$A:$A, Rate_Master!$D:$D, "")</f>
        <v>264500</v>
      </c>
      <c r="I71" s="67">
        <f t="shared" si="13"/>
        <v>264500</v>
      </c>
      <c r="J71" s="32">
        <f t="shared" si="14"/>
        <v>95220000</v>
      </c>
      <c r="K71" s="58">
        <f t="shared" si="15"/>
        <v>101568000</v>
      </c>
      <c r="L71" s="32"/>
    </row>
    <row r="72" spans="1:12" s="4" customFormat="1" ht="25.5" customHeight="1" outlineLevel="1">
      <c r="A72" s="27" t="str">
        <f t="shared" si="12"/>
        <v>15A.S1.15</v>
      </c>
      <c r="B72" s="28" t="s">
        <v>63</v>
      </c>
      <c r="C72" s="28" t="s">
        <v>515</v>
      </c>
      <c r="D72" s="29" t="s">
        <v>523</v>
      </c>
      <c r="E72" s="31">
        <v>200760.21784714799</v>
      </c>
      <c r="F72" s="36">
        <v>194454.91275333491</v>
      </c>
      <c r="G72" s="93">
        <f>_xlfn.XLOOKUP(B72, Rate_Master!$A:$A, Rate_Master!$C:$C, "")</f>
        <v>2940</v>
      </c>
      <c r="H72" s="93">
        <f>_xlfn.XLOOKUP(B72, Rate_Master!$A:$A, Rate_Master!$D:$D, "")</f>
        <v>0</v>
      </c>
      <c r="I72" s="67">
        <f t="shared" si="13"/>
        <v>2940</v>
      </c>
      <c r="J72" s="32">
        <f t="shared" si="14"/>
        <v>590235040.47061503</v>
      </c>
      <c r="K72" s="58">
        <f t="shared" si="15"/>
        <v>571697443.49480462</v>
      </c>
      <c r="L72" s="32"/>
    </row>
    <row r="73" spans="1:12" s="3" customFormat="1" ht="25.5" customHeight="1">
      <c r="A73" s="22" t="str">
        <f>$A$56&amp;2</f>
        <v>15A.S2</v>
      </c>
      <c r="B73" s="23" t="s">
        <v>64</v>
      </c>
      <c r="C73" s="23" t="s">
        <v>515</v>
      </c>
      <c r="D73" s="22"/>
      <c r="E73" s="25"/>
      <c r="F73" s="87"/>
      <c r="G73" s="25">
        <f>_xlfn.XLOOKUP(B73, Rate_Master!$A:$A, Rate_Master!$C:$C, "")</f>
        <v>0</v>
      </c>
      <c r="H73" s="25">
        <f>_xlfn.XLOOKUP(B73, Rate_Master!$A:$A, Rate_Master!$D:$D, "")</f>
        <v>0</v>
      </c>
      <c r="I73" s="68"/>
      <c r="J73" s="26">
        <f>SUBTOTAL(9,J74:J78)</f>
        <v>0</v>
      </c>
      <c r="K73" s="26">
        <f>SUBTOTAL(9,K74:K78)</f>
        <v>0</v>
      </c>
      <c r="L73" s="26"/>
    </row>
    <row r="74" spans="1:12" s="4" customFormat="1" ht="25.5" customHeight="1" outlineLevel="1">
      <c r="A74" s="27" t="str">
        <f>$A$73&amp;"."&amp;ROW()-ROW($A$73)</f>
        <v>15A.S2.1</v>
      </c>
      <c r="B74" s="28" t="s">
        <v>65</v>
      </c>
      <c r="C74" s="28" t="s">
        <v>535</v>
      </c>
      <c r="D74" s="29" t="s">
        <v>520</v>
      </c>
      <c r="E74" s="31">
        <v>3349.2739999999999</v>
      </c>
      <c r="F74" s="36">
        <v>3402.1972500000011</v>
      </c>
      <c r="G74" s="93">
        <f>_xlfn.XLOOKUP(B74, Rate_Master!$A:$A, Rate_Master!$C:$C, "")</f>
        <v>0</v>
      </c>
      <c r="H74" s="93">
        <f>_xlfn.XLOOKUP(B74, Rate_Master!$A:$A, Rate_Master!$D:$D, "")</f>
        <v>0</v>
      </c>
      <c r="I74" s="67">
        <f>+SUM(G74:H74)</f>
        <v>0</v>
      </c>
      <c r="J74" s="32">
        <f>I74*E74</f>
        <v>0</v>
      </c>
      <c r="K74" s="58">
        <f>+F74*I74</f>
        <v>0</v>
      </c>
      <c r="L74" s="32"/>
    </row>
    <row r="75" spans="1:12" s="4" customFormat="1" ht="25.5" customHeight="1" outlineLevel="1">
      <c r="A75" s="27" t="str">
        <f>$A$73&amp;"."&amp;ROW()-ROW($A$73)</f>
        <v>15A.S2.2</v>
      </c>
      <c r="B75" s="28" t="s">
        <v>66</v>
      </c>
      <c r="C75" s="28" t="s">
        <v>536</v>
      </c>
      <c r="D75" s="29" t="s">
        <v>518</v>
      </c>
      <c r="E75" s="31">
        <v>6965</v>
      </c>
      <c r="F75" s="36">
        <v>7245</v>
      </c>
      <c r="G75" s="93">
        <f>_xlfn.XLOOKUP(B75, Rate_Master!$A:$A, Rate_Master!$C:$C, "")</f>
        <v>0</v>
      </c>
      <c r="H75" s="93">
        <f>_xlfn.XLOOKUP(B75, Rate_Master!$A:$A, Rate_Master!$D:$D, "")</f>
        <v>0</v>
      </c>
      <c r="I75" s="67">
        <f>+SUM(G75:H75)</f>
        <v>0</v>
      </c>
      <c r="J75" s="32">
        <f>I75*E75</f>
        <v>0</v>
      </c>
      <c r="K75" s="58">
        <f>+F75*I75</f>
        <v>0</v>
      </c>
      <c r="L75" s="32"/>
    </row>
    <row r="76" spans="1:12" s="4" customFormat="1" ht="25.5" customHeight="1" outlineLevel="1">
      <c r="A76" s="27" t="str">
        <f>$A$73&amp;"."&amp;ROW()-ROW($A$73)</f>
        <v>15A.S2.3</v>
      </c>
      <c r="B76" s="28" t="s">
        <v>67</v>
      </c>
      <c r="C76" s="28" t="s">
        <v>515</v>
      </c>
      <c r="D76" s="29" t="s">
        <v>520</v>
      </c>
      <c r="E76" s="31">
        <v>3349.2739999999999</v>
      </c>
      <c r="F76" s="36">
        <v>3402.1972500000011</v>
      </c>
      <c r="G76" s="93">
        <f>_xlfn.XLOOKUP(B76, Rate_Master!$A:$A, Rate_Master!$C:$C, "")</f>
        <v>0</v>
      </c>
      <c r="H76" s="93">
        <f>_xlfn.XLOOKUP(B76, Rate_Master!$A:$A, Rate_Master!$D:$D, "")</f>
        <v>0</v>
      </c>
      <c r="I76" s="67">
        <f>+SUM(G76:H76)</f>
        <v>0</v>
      </c>
      <c r="J76" s="32">
        <f>I76*E76</f>
        <v>0</v>
      </c>
      <c r="K76" s="58">
        <f>+F76*I76</f>
        <v>0</v>
      </c>
      <c r="L76" s="32"/>
    </row>
    <row r="77" spans="1:12" s="4" customFormat="1" ht="25.5" customHeight="1" outlineLevel="1">
      <c r="A77" s="27" t="str">
        <f>$A$73&amp;"."&amp;ROW()-ROW($A$73)</f>
        <v>15A.S2.4</v>
      </c>
      <c r="B77" s="28" t="s">
        <v>68</v>
      </c>
      <c r="C77" s="28" t="s">
        <v>515</v>
      </c>
      <c r="D77" s="29" t="s">
        <v>457</v>
      </c>
      <c r="E77" s="31">
        <v>1</v>
      </c>
      <c r="F77" s="36">
        <v>1</v>
      </c>
      <c r="G77" s="93">
        <f>_xlfn.XLOOKUP(B77, Rate_Master!$A:$A, Rate_Master!$C:$C, "")</f>
        <v>0</v>
      </c>
      <c r="H77" s="93">
        <f>_xlfn.XLOOKUP(B77, Rate_Master!$A:$A, Rate_Master!$D:$D, "")</f>
        <v>0</v>
      </c>
      <c r="I77" s="67">
        <f>+SUM(G77:H77)</f>
        <v>0</v>
      </c>
      <c r="J77" s="32">
        <f>I77*E77</f>
        <v>0</v>
      </c>
      <c r="K77" s="58">
        <f>+F77*I77</f>
        <v>0</v>
      </c>
      <c r="L77" s="32"/>
    </row>
    <row r="78" spans="1:12" s="4" customFormat="1" ht="25.5" customHeight="1" outlineLevel="1">
      <c r="A78" s="27" t="str">
        <f>$A$73&amp;"."&amp;ROW()-ROW($A$73)</f>
        <v>15A.S2.5</v>
      </c>
      <c r="B78" s="28" t="s">
        <v>69</v>
      </c>
      <c r="C78" s="28" t="s">
        <v>515</v>
      </c>
      <c r="D78" s="29" t="s">
        <v>520</v>
      </c>
      <c r="E78" s="31">
        <v>3349.2739999999999</v>
      </c>
      <c r="F78" s="36">
        <v>3402.1972500000011</v>
      </c>
      <c r="G78" s="93">
        <f>_xlfn.XLOOKUP(B78, Rate_Master!$A:$A, Rate_Master!$C:$C, "")</f>
        <v>0</v>
      </c>
      <c r="H78" s="93">
        <f>_xlfn.XLOOKUP(B78, Rate_Master!$A:$A, Rate_Master!$D:$D, "")</f>
        <v>0</v>
      </c>
      <c r="I78" s="67">
        <f>+SUM(G78:H78)</f>
        <v>0</v>
      </c>
      <c r="J78" s="32">
        <f>I78*E78</f>
        <v>0</v>
      </c>
      <c r="K78" s="58">
        <f>+F78*I78</f>
        <v>0</v>
      </c>
      <c r="L78" s="32"/>
    </row>
    <row r="79" spans="1:12" s="3" customFormat="1" ht="25.5" customHeight="1">
      <c r="A79" s="22" t="str">
        <f>$A$56&amp;3</f>
        <v>15A.S3</v>
      </c>
      <c r="B79" s="23" t="s">
        <v>70</v>
      </c>
      <c r="C79" s="23" t="s">
        <v>515</v>
      </c>
      <c r="D79" s="22"/>
      <c r="E79" s="25"/>
      <c r="F79" s="87"/>
      <c r="G79" s="25">
        <f>_xlfn.XLOOKUP(B79, Rate_Master!$A:$A, Rate_Master!$C:$C, "")</f>
        <v>0</v>
      </c>
      <c r="H79" s="25">
        <f>_xlfn.XLOOKUP(B79, Rate_Master!$A:$A, Rate_Master!$D:$D, "")</f>
        <v>0</v>
      </c>
      <c r="I79" s="68"/>
      <c r="J79" s="26">
        <f>SUBTOTAL(9,J80:J93)</f>
        <v>901466264.05340707</v>
      </c>
      <c r="K79" s="26">
        <f>SUBTOTAL(9,K80:K93)</f>
        <v>898466834.05340707</v>
      </c>
      <c r="L79" s="26"/>
    </row>
    <row r="80" spans="1:12" s="4" customFormat="1" ht="51" customHeight="1" outlineLevel="1">
      <c r="A80" s="27" t="str">
        <f t="shared" ref="A80:A93" si="16">$A$79&amp;"."&amp;ROW()-ROW($A$79)</f>
        <v>15A.S3.1</v>
      </c>
      <c r="B80" s="28" t="s">
        <v>71</v>
      </c>
      <c r="C80" s="28" t="str">
        <f>+'14A'!C80</f>
        <v xml:space="preserve">Tôn liên doanh Việt hàn, AZ170
</v>
      </c>
      <c r="D80" s="29" t="s">
        <v>520</v>
      </c>
      <c r="E80" s="31">
        <v>1809.652</v>
      </c>
      <c r="F80" s="36">
        <v>1809.652</v>
      </c>
      <c r="G80" s="93">
        <f>_xlfn.XLOOKUP(B80, Rate_Master!$A:$A, Rate_Master!$C:$C, "")</f>
        <v>248399.99999999997</v>
      </c>
      <c r="H80" s="93">
        <f>_xlfn.XLOOKUP(B80, Rate_Master!$A:$A, Rate_Master!$D:$D, "")</f>
        <v>34500</v>
      </c>
      <c r="I80" s="67">
        <f t="shared" ref="I80:I93" si="17">+SUM(G80:H80)</f>
        <v>282900</v>
      </c>
      <c r="J80" s="32">
        <f t="shared" ref="J80:J93" si="18">I80*E80</f>
        <v>511950550.80000001</v>
      </c>
      <c r="K80" s="58">
        <f t="shared" ref="K80:K93" si="19">+F80*I80</f>
        <v>511950550.80000001</v>
      </c>
      <c r="L80" s="32"/>
    </row>
    <row r="81" spans="1:12" s="4" customFormat="1" ht="51" customHeight="1" outlineLevel="1">
      <c r="A81" s="27" t="str">
        <f t="shared" si="16"/>
        <v>15A.S3.2</v>
      </c>
      <c r="B81" s="28" t="s">
        <v>72</v>
      </c>
      <c r="C81" s="28" t="str">
        <f>+'14A'!C81</f>
        <v xml:space="preserve">Tôn liên doanh Việt hàn, AZ170
</v>
      </c>
      <c r="D81" s="29" t="s">
        <v>520</v>
      </c>
      <c r="E81" s="31">
        <v>0</v>
      </c>
      <c r="F81" s="36"/>
      <c r="G81" s="93">
        <f>_xlfn.XLOOKUP(B81, Rate_Master!$A:$A, Rate_Master!$C:$C, "")</f>
        <v>206999.99999999997</v>
      </c>
      <c r="H81" s="93">
        <f>_xlfn.XLOOKUP(B81, Rate_Master!$A:$A, Rate_Master!$D:$D, "")</f>
        <v>34500</v>
      </c>
      <c r="I81" s="67">
        <f t="shared" si="17"/>
        <v>241499.99999999997</v>
      </c>
      <c r="J81" s="32">
        <f t="shared" si="18"/>
        <v>0</v>
      </c>
      <c r="K81" s="58">
        <f t="shared" si="19"/>
        <v>0</v>
      </c>
      <c r="L81" s="32"/>
    </row>
    <row r="82" spans="1:12" s="4" customFormat="1" ht="63.75" customHeight="1" outlineLevel="1">
      <c r="A82" s="27" t="str">
        <f t="shared" si="16"/>
        <v>15A.S3.3</v>
      </c>
      <c r="B82" s="28" t="s">
        <v>73</v>
      </c>
      <c r="C82" s="28" t="str">
        <f>+'14A'!C82</f>
        <v xml:space="preserve">Tôn liên doanh Việt hàn, AZ170
</v>
      </c>
      <c r="D82" s="29" t="s">
        <v>520</v>
      </c>
      <c r="E82" s="31">
        <v>0</v>
      </c>
      <c r="F82" s="36"/>
      <c r="G82" s="93">
        <f>_xlfn.XLOOKUP(B82, Rate_Master!$A:$A, Rate_Master!$C:$C, "")</f>
        <v>195499.99999999997</v>
      </c>
      <c r="H82" s="93">
        <f>_xlfn.XLOOKUP(B82, Rate_Master!$A:$A, Rate_Master!$D:$D, "")</f>
        <v>34500</v>
      </c>
      <c r="I82" s="67">
        <f t="shared" si="17"/>
        <v>229999.99999999997</v>
      </c>
      <c r="J82" s="32">
        <f t="shared" si="18"/>
        <v>0</v>
      </c>
      <c r="K82" s="58">
        <f t="shared" si="19"/>
        <v>0</v>
      </c>
      <c r="L82" s="32"/>
    </row>
    <row r="83" spans="1:12" s="4" customFormat="1" ht="25.5" customHeight="1" outlineLevel="1">
      <c r="A83" s="27" t="str">
        <f t="shared" si="16"/>
        <v>15A.S3.4</v>
      </c>
      <c r="B83" s="28" t="s">
        <v>74</v>
      </c>
      <c r="C83" s="28" t="s">
        <v>515</v>
      </c>
      <c r="D83" s="29" t="s">
        <v>520</v>
      </c>
      <c r="E83" s="31">
        <v>0</v>
      </c>
      <c r="F83" s="36"/>
      <c r="G83" s="93">
        <f>_xlfn.XLOOKUP(B83, Rate_Master!$A:$A, Rate_Master!$C:$C, "")</f>
        <v>23000</v>
      </c>
      <c r="H83" s="93">
        <f>_xlfn.XLOOKUP(B83, Rate_Master!$A:$A, Rate_Master!$D:$D, "")</f>
        <v>11500</v>
      </c>
      <c r="I83" s="67">
        <f t="shared" si="17"/>
        <v>34500</v>
      </c>
      <c r="J83" s="32">
        <f t="shared" si="18"/>
        <v>0</v>
      </c>
      <c r="K83" s="58">
        <f t="shared" si="19"/>
        <v>0</v>
      </c>
      <c r="L83" s="32"/>
    </row>
    <row r="84" spans="1:12" s="4" customFormat="1" ht="25.5" customHeight="1" outlineLevel="1">
      <c r="A84" s="27" t="str">
        <f t="shared" si="16"/>
        <v>15A.S3.5</v>
      </c>
      <c r="B84" s="28" t="s">
        <v>75</v>
      </c>
      <c r="C84" s="28" t="s">
        <v>538</v>
      </c>
      <c r="D84" s="29" t="s">
        <v>517</v>
      </c>
      <c r="E84" s="31">
        <v>121.14</v>
      </c>
      <c r="F84" s="36">
        <v>121.14</v>
      </c>
      <c r="G84" s="93">
        <f>_xlfn.XLOOKUP(B84, Rate_Master!$A:$A, Rate_Master!$C:$C, "")</f>
        <v>110399.99999999999</v>
      </c>
      <c r="H84" s="93">
        <f>_xlfn.XLOOKUP(B84, Rate_Master!$A:$A, Rate_Master!$D:$D, "")</f>
        <v>17250</v>
      </c>
      <c r="I84" s="67">
        <f t="shared" si="17"/>
        <v>127649.99999999999</v>
      </c>
      <c r="J84" s="32">
        <f t="shared" si="18"/>
        <v>15463520.999999998</v>
      </c>
      <c r="K84" s="58">
        <f t="shared" si="19"/>
        <v>15463520.999999998</v>
      </c>
      <c r="L84" s="32"/>
    </row>
    <row r="85" spans="1:12" s="4" customFormat="1" ht="25.5" customHeight="1" outlineLevel="1">
      <c r="A85" s="27" t="str">
        <f t="shared" si="16"/>
        <v>15A.S3.6</v>
      </c>
      <c r="B85" s="28" t="s">
        <v>75</v>
      </c>
      <c r="C85" s="28" t="s">
        <v>539</v>
      </c>
      <c r="D85" s="29" t="s">
        <v>517</v>
      </c>
      <c r="E85" s="31">
        <v>0</v>
      </c>
      <c r="F85" s="36"/>
      <c r="G85" s="93">
        <f>_xlfn.XLOOKUP(B85, Rate_Master!$A:$A, Rate_Master!$C:$C, "")</f>
        <v>110399.99999999999</v>
      </c>
      <c r="H85" s="93">
        <f>_xlfn.XLOOKUP(B85, Rate_Master!$A:$A, Rate_Master!$D:$D, "")</f>
        <v>17250</v>
      </c>
      <c r="I85" s="67">
        <f t="shared" si="17"/>
        <v>127649.99999999999</v>
      </c>
      <c r="J85" s="32">
        <f t="shared" si="18"/>
        <v>0</v>
      </c>
      <c r="K85" s="58">
        <f t="shared" si="19"/>
        <v>0</v>
      </c>
      <c r="L85" s="32"/>
    </row>
    <row r="86" spans="1:12" s="4" customFormat="1" ht="25.5" customHeight="1" outlineLevel="1">
      <c r="A86" s="27" t="str">
        <f t="shared" si="16"/>
        <v>15A.S3.7</v>
      </c>
      <c r="B86" s="28" t="s">
        <v>76</v>
      </c>
      <c r="C86" s="28" t="s">
        <v>540</v>
      </c>
      <c r="D86" s="29" t="s">
        <v>517</v>
      </c>
      <c r="E86" s="31">
        <v>0</v>
      </c>
      <c r="F86" s="36"/>
      <c r="G86" s="93">
        <f>_xlfn.XLOOKUP(B86, Rate_Master!$A:$A, Rate_Master!$C:$C, "")</f>
        <v>1976115.3983999996</v>
      </c>
      <c r="H86" s="93">
        <f>_xlfn.XLOOKUP(B86, Rate_Master!$A:$A, Rate_Master!$D:$D, "")</f>
        <v>28749.999999999996</v>
      </c>
      <c r="I86" s="67">
        <f t="shared" si="17"/>
        <v>2004865.3983999996</v>
      </c>
      <c r="J86" s="32">
        <f t="shared" si="18"/>
        <v>0</v>
      </c>
      <c r="K86" s="58">
        <f t="shared" si="19"/>
        <v>0</v>
      </c>
      <c r="L86" s="32"/>
    </row>
    <row r="87" spans="1:12" s="4" customFormat="1" ht="25.5" customHeight="1" outlineLevel="1">
      <c r="A87" s="27" t="str">
        <f t="shared" si="16"/>
        <v>15A.S3.8</v>
      </c>
      <c r="B87" s="28" t="s">
        <v>77</v>
      </c>
      <c r="C87" s="28" t="s">
        <v>541</v>
      </c>
      <c r="D87" s="29" t="s">
        <v>517</v>
      </c>
      <c r="E87" s="31">
        <v>67.599999999999994</v>
      </c>
      <c r="F87" s="36">
        <v>67.599999999999994</v>
      </c>
      <c r="G87" s="93">
        <f>_xlfn.XLOOKUP(B87, Rate_Master!$A:$A, Rate_Master!$C:$C, "")</f>
        <v>1077881.1263999997</v>
      </c>
      <c r="H87" s="93">
        <f>_xlfn.XLOOKUP(B87, Rate_Master!$A:$A, Rate_Master!$D:$D, "")</f>
        <v>23000</v>
      </c>
      <c r="I87" s="67">
        <f t="shared" si="17"/>
        <v>1100881.1263999997</v>
      </c>
      <c r="J87" s="32">
        <f t="shared" si="18"/>
        <v>74419564.144639969</v>
      </c>
      <c r="K87" s="58">
        <f t="shared" si="19"/>
        <v>74419564.144639969</v>
      </c>
      <c r="L87" s="32"/>
    </row>
    <row r="88" spans="1:12" s="4" customFormat="1" ht="25.5" customHeight="1" outlineLevel="1">
      <c r="A88" s="27" t="str">
        <f t="shared" si="16"/>
        <v>15A.S3.9</v>
      </c>
      <c r="B88" s="28" t="s">
        <v>205</v>
      </c>
      <c r="C88" s="28" t="s">
        <v>515</v>
      </c>
      <c r="D88" s="29" t="s">
        <v>518</v>
      </c>
      <c r="E88" s="31">
        <v>9</v>
      </c>
      <c r="F88" s="36">
        <v>9</v>
      </c>
      <c r="G88" s="93">
        <f>_xlfn.XLOOKUP(B88, Rate_Master!$A:$A, Rate_Master!$C:$C, "")</f>
        <v>112699.99999999999</v>
      </c>
      <c r="H88" s="93">
        <f>_xlfn.XLOOKUP(B88, Rate_Master!$A:$A, Rate_Master!$D:$D, "")</f>
        <v>0</v>
      </c>
      <c r="I88" s="67">
        <f t="shared" si="17"/>
        <v>112699.99999999999</v>
      </c>
      <c r="J88" s="32">
        <f t="shared" si="18"/>
        <v>1014299.9999999999</v>
      </c>
      <c r="K88" s="58">
        <f t="shared" si="19"/>
        <v>1014299.9999999999</v>
      </c>
      <c r="L88" s="32"/>
    </row>
    <row r="89" spans="1:12" s="4" customFormat="1" ht="63.75" customHeight="1" outlineLevel="1">
      <c r="A89" s="27" t="str">
        <f t="shared" si="16"/>
        <v>15A.S3.10</v>
      </c>
      <c r="B89" s="28" t="s">
        <v>206</v>
      </c>
      <c r="C89" s="28" t="s">
        <v>542</v>
      </c>
      <c r="D89" s="29" t="s">
        <v>517</v>
      </c>
      <c r="E89" s="31">
        <v>97.2</v>
      </c>
      <c r="F89" s="36">
        <v>81</v>
      </c>
      <c r="G89" s="93">
        <f>_xlfn.XLOOKUP(B89, Rate_Master!$A:$A, Rate_Master!$C:$C, "")</f>
        <v>162150</v>
      </c>
      <c r="H89" s="93">
        <f>_xlfn.XLOOKUP(B89, Rate_Master!$A:$A, Rate_Master!$D:$D, "")</f>
        <v>0</v>
      </c>
      <c r="I89" s="67">
        <f t="shared" si="17"/>
        <v>162150</v>
      </c>
      <c r="J89" s="32">
        <f t="shared" si="18"/>
        <v>15760980</v>
      </c>
      <c r="K89" s="58">
        <f t="shared" si="19"/>
        <v>13134150</v>
      </c>
      <c r="L89" s="32"/>
    </row>
    <row r="90" spans="1:12" s="4" customFormat="1" ht="25.5" customHeight="1" outlineLevel="1">
      <c r="A90" s="27" t="str">
        <f t="shared" si="16"/>
        <v>15A.S3.11</v>
      </c>
      <c r="B90" s="28" t="s">
        <v>80</v>
      </c>
      <c r="C90" s="28" t="s">
        <v>515</v>
      </c>
      <c r="D90" s="29" t="s">
        <v>457</v>
      </c>
      <c r="E90" s="31">
        <v>1</v>
      </c>
      <c r="F90" s="36">
        <v>1</v>
      </c>
      <c r="G90" s="93">
        <f>_xlfn.XLOOKUP(B90, Rate_Master!$A:$A, Rate_Master!$C:$C, "")</f>
        <v>0</v>
      </c>
      <c r="H90" s="93">
        <f>_xlfn.XLOOKUP(B90, Rate_Master!$A:$A, Rate_Master!$D:$D, "")</f>
        <v>57499999.999999993</v>
      </c>
      <c r="I90" s="67">
        <f t="shared" si="17"/>
        <v>57499999.999999993</v>
      </c>
      <c r="J90" s="32">
        <f t="shared" si="18"/>
        <v>57499999.999999993</v>
      </c>
      <c r="K90" s="58">
        <f t="shared" si="19"/>
        <v>57499999.999999993</v>
      </c>
      <c r="L90" s="32"/>
    </row>
    <row r="91" spans="1:12" s="4" customFormat="1" ht="25.5" customHeight="1" outlineLevel="1">
      <c r="A91" s="27" t="str">
        <f t="shared" si="16"/>
        <v>15A.S3.12</v>
      </c>
      <c r="B91" s="28" t="s">
        <v>81</v>
      </c>
      <c r="C91" s="28" t="s">
        <v>515</v>
      </c>
      <c r="D91" s="29" t="s">
        <v>520</v>
      </c>
      <c r="E91" s="31">
        <v>1809.652</v>
      </c>
      <c r="F91" s="36">
        <v>1809.652</v>
      </c>
      <c r="G91" s="93">
        <f>_xlfn.XLOOKUP(B91, Rate_Master!$A:$A, Rate_Master!$C:$C, "")</f>
        <v>0</v>
      </c>
      <c r="H91" s="93">
        <f>_xlfn.XLOOKUP(B91, Rate_Master!$A:$A, Rate_Master!$D:$D, "")</f>
        <v>40250</v>
      </c>
      <c r="I91" s="67">
        <f t="shared" si="17"/>
        <v>40250</v>
      </c>
      <c r="J91" s="32">
        <f t="shared" si="18"/>
        <v>72838493</v>
      </c>
      <c r="K91" s="58">
        <f t="shared" si="19"/>
        <v>72838493</v>
      </c>
      <c r="L91" s="32"/>
    </row>
    <row r="92" spans="1:12" s="4" customFormat="1" ht="38.25" customHeight="1" outlineLevel="1">
      <c r="A92" s="27" t="str">
        <f t="shared" si="16"/>
        <v>15A.S3.13</v>
      </c>
      <c r="B92" s="28" t="s">
        <v>82</v>
      </c>
      <c r="C92" s="28" t="s">
        <v>515</v>
      </c>
      <c r="D92" s="29" t="s">
        <v>517</v>
      </c>
      <c r="E92" s="31">
        <v>285.94</v>
      </c>
      <c r="F92" s="36">
        <v>269.74</v>
      </c>
      <c r="G92" s="93">
        <f>_xlfn.XLOOKUP(B92, Rate_Master!$A:$A, Rate_Master!$C:$C, "")</f>
        <v>0</v>
      </c>
      <c r="H92" s="93">
        <f>_xlfn.XLOOKUP(B92, Rate_Master!$A:$A, Rate_Master!$D:$D, "")</f>
        <v>23000</v>
      </c>
      <c r="I92" s="67">
        <f t="shared" si="17"/>
        <v>23000</v>
      </c>
      <c r="J92" s="32">
        <f t="shared" si="18"/>
        <v>6576620</v>
      </c>
      <c r="K92" s="58">
        <f t="shared" si="19"/>
        <v>6204020</v>
      </c>
      <c r="L92" s="32"/>
    </row>
    <row r="93" spans="1:12" s="4" customFormat="1" ht="25.5" customHeight="1" outlineLevel="1">
      <c r="A93" s="27" t="str">
        <f t="shared" si="16"/>
        <v>15A.S3.14</v>
      </c>
      <c r="B93" s="28" t="s">
        <v>83</v>
      </c>
      <c r="C93" s="28" t="s">
        <v>543</v>
      </c>
      <c r="D93" s="29" t="s">
        <v>457</v>
      </c>
      <c r="E93" s="31">
        <v>1</v>
      </c>
      <c r="F93" s="36">
        <v>1</v>
      </c>
      <c r="G93" s="93">
        <f>_xlfn.XLOOKUP(B93, Rate_Master!$A:$A, Rate_Master!$C:$C, "")</f>
        <v>145942235.10876715</v>
      </c>
      <c r="H93" s="93">
        <f>_xlfn.XLOOKUP(B93, Rate_Master!$A:$A, Rate_Master!$D:$D, "")</f>
        <v>0</v>
      </c>
      <c r="I93" s="67">
        <f t="shared" si="17"/>
        <v>145942235.10876715</v>
      </c>
      <c r="J93" s="32">
        <f t="shared" si="18"/>
        <v>145942235.10876715</v>
      </c>
      <c r="K93" s="58">
        <f t="shared" si="19"/>
        <v>145942235.10876715</v>
      </c>
      <c r="L93" s="32"/>
    </row>
    <row r="94" spans="1:12" s="3" customFormat="1" ht="25.5" customHeight="1">
      <c r="A94" s="22" t="str">
        <f>$A$56&amp;4</f>
        <v>15A.S4</v>
      </c>
      <c r="B94" s="23" t="s">
        <v>84</v>
      </c>
      <c r="C94" s="23" t="s">
        <v>515</v>
      </c>
      <c r="D94" s="22"/>
      <c r="E94" s="25"/>
      <c r="F94" s="87"/>
      <c r="G94" s="25">
        <f>_xlfn.XLOOKUP(B94, Rate_Master!$A:$A, Rate_Master!$C:$C, "")</f>
        <v>0</v>
      </c>
      <c r="H94" s="25">
        <f>_xlfn.XLOOKUP(B94, Rate_Master!$A:$A, Rate_Master!$D:$D, "")</f>
        <v>0</v>
      </c>
      <c r="I94" s="68"/>
      <c r="J94" s="26">
        <f>SUBTOTAL(9,J95:J103)</f>
        <v>392259448.46699995</v>
      </c>
      <c r="K94" s="26">
        <f>SUBTOTAL(9,K95:K103)</f>
        <v>509173775.96528</v>
      </c>
      <c r="L94" s="26"/>
    </row>
    <row r="95" spans="1:12" s="4" customFormat="1" ht="38.25" customHeight="1" outlineLevel="1">
      <c r="A95" s="27" t="str">
        <f t="shared" ref="A95:A103" si="20">$A$94&amp;"."&amp;ROW()-ROW($A$94)</f>
        <v>15A.S4.1</v>
      </c>
      <c r="B95" s="28" t="s">
        <v>85</v>
      </c>
      <c r="C95" s="28" t="s">
        <v>544</v>
      </c>
      <c r="D95" s="29" t="s">
        <v>517</v>
      </c>
      <c r="E95" s="31">
        <v>0</v>
      </c>
      <c r="F95" s="36">
        <v>15</v>
      </c>
      <c r="G95" s="93">
        <f>_xlfn.XLOOKUP(B95, Rate_Master!$A:$A, Rate_Master!$C:$C, "")</f>
        <v>5175000</v>
      </c>
      <c r="H95" s="93">
        <f>_xlfn.XLOOKUP(B95, Rate_Master!$A:$A, Rate_Master!$D:$D, "")</f>
        <v>0</v>
      </c>
      <c r="I95" s="67">
        <f t="shared" ref="I95:I103" si="21">+SUM(G95:H95)</f>
        <v>5175000</v>
      </c>
      <c r="J95" s="32">
        <f t="shared" ref="J95:J103" si="22">I95*E95</f>
        <v>0</v>
      </c>
      <c r="K95" s="58">
        <f t="shared" ref="K95:K103" si="23">+F95*I95</f>
        <v>77625000</v>
      </c>
      <c r="L95" s="32"/>
    </row>
    <row r="96" spans="1:12" s="4" customFormat="1" ht="38.25" customHeight="1" outlineLevel="1">
      <c r="A96" s="27" t="str">
        <f t="shared" si="20"/>
        <v>15A.S4.2</v>
      </c>
      <c r="B96" s="28" t="s">
        <v>86</v>
      </c>
      <c r="C96" s="28" t="s">
        <v>545</v>
      </c>
      <c r="D96" s="29" t="s">
        <v>517</v>
      </c>
      <c r="E96" s="31">
        <v>0</v>
      </c>
      <c r="F96" s="36"/>
      <c r="G96" s="93">
        <f>_xlfn.XLOOKUP(B96, Rate_Master!$A:$A, Rate_Master!$C:$C, "")</f>
        <v>0</v>
      </c>
      <c r="H96" s="93">
        <f>_xlfn.XLOOKUP(B96, Rate_Master!$A:$A, Rate_Master!$D:$D, "")</f>
        <v>0</v>
      </c>
      <c r="I96" s="67">
        <f t="shared" si="21"/>
        <v>0</v>
      </c>
      <c r="J96" s="32">
        <f t="shared" si="22"/>
        <v>0</v>
      </c>
      <c r="K96" s="58">
        <f t="shared" si="23"/>
        <v>0</v>
      </c>
      <c r="L96" s="32"/>
    </row>
    <row r="97" spans="1:12" s="4" customFormat="1" ht="102" customHeight="1" outlineLevel="1">
      <c r="A97" s="27" t="str">
        <f t="shared" si="20"/>
        <v>15A.S4.3</v>
      </c>
      <c r="B97" s="28" t="s">
        <v>219</v>
      </c>
      <c r="C97" s="28" t="s">
        <v>572</v>
      </c>
      <c r="D97" s="29" t="s">
        <v>523</v>
      </c>
      <c r="E97" s="31">
        <v>9268.4252880000004</v>
      </c>
      <c r="F97" s="36">
        <v>14142.991882800001</v>
      </c>
      <c r="G97" s="93">
        <f>_xlfn.XLOOKUP(B97, Rate_Master!$A:$A, Rate_Master!$C:$C, "")</f>
        <v>20700</v>
      </c>
      <c r="H97" s="93">
        <f>_xlfn.XLOOKUP(B97, Rate_Master!$A:$A, Rate_Master!$D:$D, "")</f>
        <v>6899.9999999999991</v>
      </c>
      <c r="I97" s="67">
        <f t="shared" si="21"/>
        <v>27600</v>
      </c>
      <c r="J97" s="32">
        <f t="shared" si="22"/>
        <v>255808537.9488</v>
      </c>
      <c r="K97" s="58">
        <f t="shared" si="23"/>
        <v>390346575.96528</v>
      </c>
      <c r="L97" s="32"/>
    </row>
    <row r="98" spans="1:12" s="4" customFormat="1" ht="38.25" customHeight="1" outlineLevel="1">
      <c r="A98" s="27" t="str">
        <f t="shared" si="20"/>
        <v>15A.S4.4</v>
      </c>
      <c r="B98" s="28" t="s">
        <v>87</v>
      </c>
      <c r="C98" s="28" t="s">
        <v>546</v>
      </c>
      <c r="D98" s="29" t="s">
        <v>517</v>
      </c>
      <c r="E98" s="31">
        <v>114.78</v>
      </c>
      <c r="F98" s="36">
        <v>120</v>
      </c>
      <c r="G98" s="93">
        <f>_xlfn.XLOOKUP(B98, Rate_Master!$A:$A, Rate_Master!$C:$C, "")</f>
        <v>0</v>
      </c>
      <c r="H98" s="93">
        <f>_xlfn.XLOOKUP(B98, Rate_Master!$A:$A, Rate_Master!$D:$D, "")</f>
        <v>0</v>
      </c>
      <c r="I98" s="67">
        <f t="shared" si="21"/>
        <v>0</v>
      </c>
      <c r="J98" s="32">
        <f t="shared" si="22"/>
        <v>0</v>
      </c>
      <c r="K98" s="58">
        <f t="shared" si="23"/>
        <v>0</v>
      </c>
      <c r="L98" s="77" t="s">
        <v>578</v>
      </c>
    </row>
    <row r="99" spans="1:12" s="4" customFormat="1" ht="25.5" customHeight="1" outlineLevel="1">
      <c r="A99" s="27" t="str">
        <f t="shared" si="20"/>
        <v>15A.S4.5</v>
      </c>
      <c r="B99" s="28" t="s">
        <v>88</v>
      </c>
      <c r="C99" s="28" t="s">
        <v>546</v>
      </c>
      <c r="D99" s="29" t="s">
        <v>517</v>
      </c>
      <c r="E99" s="31">
        <v>0</v>
      </c>
      <c r="F99" s="36"/>
      <c r="G99" s="93">
        <f>_xlfn.XLOOKUP(B99, Rate_Master!$A:$A, Rate_Master!$C:$C, "")</f>
        <v>0</v>
      </c>
      <c r="H99" s="93">
        <f>_xlfn.XLOOKUP(B99, Rate_Master!$A:$A, Rate_Master!$D:$D, "")</f>
        <v>0</v>
      </c>
      <c r="I99" s="67">
        <f t="shared" si="21"/>
        <v>0</v>
      </c>
      <c r="J99" s="32">
        <f t="shared" si="22"/>
        <v>0</v>
      </c>
      <c r="K99" s="58">
        <f t="shared" si="23"/>
        <v>0</v>
      </c>
      <c r="L99" s="32"/>
    </row>
    <row r="100" spans="1:12" s="4" customFormat="1" ht="51" customHeight="1" outlineLevel="1">
      <c r="A100" s="27" t="str">
        <f t="shared" si="20"/>
        <v>15A.S4.6</v>
      </c>
      <c r="B100" s="28" t="s">
        <v>89</v>
      </c>
      <c r="C100" s="28" t="s">
        <v>547</v>
      </c>
      <c r="D100" s="29" t="s">
        <v>520</v>
      </c>
      <c r="E100" s="31">
        <v>1791.4</v>
      </c>
      <c r="F100" s="36">
        <v>1791.4</v>
      </c>
      <c r="G100" s="93">
        <f>_xlfn.XLOOKUP(B100, Rate_Master!$A:$A, Rate_Master!$C:$C, "")</f>
        <v>17250</v>
      </c>
      <c r="H100" s="93">
        <f>_xlfn.XLOOKUP(B100, Rate_Master!$A:$A, Rate_Master!$D:$D, "")</f>
        <v>5750</v>
      </c>
      <c r="I100" s="67">
        <f t="shared" si="21"/>
        <v>23000</v>
      </c>
      <c r="J100" s="32">
        <f t="shared" si="22"/>
        <v>41202200</v>
      </c>
      <c r="K100" s="58">
        <f t="shared" si="23"/>
        <v>41202200</v>
      </c>
      <c r="L100" s="32"/>
    </row>
    <row r="101" spans="1:12" s="4" customFormat="1" ht="38.25" customHeight="1" outlineLevel="1">
      <c r="A101" s="27" t="str">
        <f t="shared" si="20"/>
        <v>15A.S4.7</v>
      </c>
      <c r="B101" s="28" t="s">
        <v>90</v>
      </c>
      <c r="C101" s="28" t="s">
        <v>573</v>
      </c>
      <c r="D101" s="29" t="s">
        <v>520</v>
      </c>
      <c r="E101" s="31">
        <v>4872.0568039999998</v>
      </c>
      <c r="F101" s="36"/>
      <c r="G101" s="93">
        <f>_xlfn.XLOOKUP(B101, Rate_Master!$A:$A, Rate_Master!$C:$C, "")</f>
        <v>0</v>
      </c>
      <c r="H101" s="93">
        <f>_xlfn.XLOOKUP(B101, Rate_Master!$A:$A, Rate_Master!$D:$D, "")</f>
        <v>0</v>
      </c>
      <c r="I101" s="67">
        <f t="shared" si="21"/>
        <v>0</v>
      </c>
      <c r="J101" s="32">
        <f t="shared" si="22"/>
        <v>0</v>
      </c>
      <c r="K101" s="58">
        <f t="shared" si="23"/>
        <v>0</v>
      </c>
      <c r="L101" s="75" t="s">
        <v>549</v>
      </c>
    </row>
    <row r="102" spans="1:12" s="4" customFormat="1" ht="25.5" customHeight="1" outlineLevel="1">
      <c r="A102" s="27" t="str">
        <f t="shared" si="20"/>
        <v>15A.S4.8</v>
      </c>
      <c r="B102" s="28" t="s">
        <v>91</v>
      </c>
      <c r="C102" s="28" t="s">
        <v>515</v>
      </c>
      <c r="D102" s="29" t="s">
        <v>457</v>
      </c>
      <c r="E102" s="31">
        <v>1</v>
      </c>
      <c r="F102" s="36"/>
      <c r="G102" s="93">
        <f>_xlfn.XLOOKUP(B102, Rate_Master!$A:$A, Rate_Master!$C:$C, "")</f>
        <v>0</v>
      </c>
      <c r="H102" s="93">
        <f>_xlfn.XLOOKUP(B102, Rate_Master!$A:$A, Rate_Master!$D:$D, "")</f>
        <v>0</v>
      </c>
      <c r="I102" s="67">
        <f t="shared" si="21"/>
        <v>0</v>
      </c>
      <c r="J102" s="32">
        <f t="shared" si="22"/>
        <v>0</v>
      </c>
      <c r="K102" s="58">
        <f t="shared" si="23"/>
        <v>0</v>
      </c>
      <c r="L102" s="75" t="s">
        <v>549</v>
      </c>
    </row>
    <row r="103" spans="1:12" s="4" customFormat="1" ht="51" customHeight="1" outlineLevel="1">
      <c r="A103" s="27" t="str">
        <f t="shared" si="20"/>
        <v>15A.S4.9</v>
      </c>
      <c r="B103" s="28" t="s">
        <v>92</v>
      </c>
      <c r="C103" s="28" t="s">
        <v>550</v>
      </c>
      <c r="D103" s="29" t="s">
        <v>520</v>
      </c>
      <c r="E103" s="31">
        <v>4872.0568039999998</v>
      </c>
      <c r="F103" s="36"/>
      <c r="G103" s="93">
        <f>_xlfn.XLOOKUP(B103, Rate_Master!$A:$A, Rate_Master!$C:$C, "")</f>
        <v>16099.999999999998</v>
      </c>
      <c r="H103" s="93">
        <f>_xlfn.XLOOKUP(B103, Rate_Master!$A:$A, Rate_Master!$D:$D, "")</f>
        <v>3449.9999999999995</v>
      </c>
      <c r="I103" s="67">
        <f t="shared" si="21"/>
        <v>19549.999999999996</v>
      </c>
      <c r="J103" s="32">
        <f t="shared" si="22"/>
        <v>95248710.51819998</v>
      </c>
      <c r="K103" s="58">
        <f t="shared" si="23"/>
        <v>0</v>
      </c>
      <c r="L103" s="75" t="s">
        <v>549</v>
      </c>
    </row>
    <row r="104" spans="1:12" s="3" customFormat="1" ht="25.5" customHeight="1">
      <c r="A104" s="22" t="str">
        <f>$A$9&amp;".F"</f>
        <v>15A.F</v>
      </c>
      <c r="B104" s="23" t="s">
        <v>93</v>
      </c>
      <c r="C104" s="23" t="s">
        <v>515</v>
      </c>
      <c r="D104" s="22"/>
      <c r="E104" s="25"/>
      <c r="F104" s="25"/>
      <c r="G104" s="25">
        <f>_xlfn.XLOOKUP(B104, Rate_Master!$A:$A, Rate_Master!$C:$C, "")</f>
        <v>0</v>
      </c>
      <c r="H104" s="25">
        <f>_xlfn.XLOOKUP(B104, Rate_Master!$A:$A, Rate_Master!$D:$D, "")</f>
        <v>0</v>
      </c>
      <c r="I104" s="26">
        <f>G104+H104</f>
        <v>0</v>
      </c>
      <c r="J104" s="26"/>
      <c r="K104" s="26"/>
      <c r="L104" s="26"/>
    </row>
    <row r="105" spans="1:12" s="3" customFormat="1" ht="25.5" customHeight="1">
      <c r="A105" s="22" t="str">
        <f>$A$104&amp;1</f>
        <v>15A.F1</v>
      </c>
      <c r="B105" s="23" t="s">
        <v>94</v>
      </c>
      <c r="C105" s="23" t="s">
        <v>515</v>
      </c>
      <c r="D105" s="22"/>
      <c r="E105" s="25"/>
      <c r="F105" s="25"/>
      <c r="G105" s="25">
        <f>_xlfn.XLOOKUP(B105, Rate_Master!$A:$A, Rate_Master!$C:$C, "")</f>
        <v>0</v>
      </c>
      <c r="H105" s="25">
        <f>_xlfn.XLOOKUP(B105, Rate_Master!$A:$A, Rate_Master!$D:$D, "")</f>
        <v>0</v>
      </c>
      <c r="I105" s="26">
        <f>G105+H105</f>
        <v>0</v>
      </c>
      <c r="J105" s="26">
        <f>SUBTOTAL(9,J106:J125)</f>
        <v>617036235.31000006</v>
      </c>
      <c r="K105" s="26">
        <f>SUBTOTAL(9,K106:K125)</f>
        <v>617036235.31000006</v>
      </c>
      <c r="L105" s="26"/>
    </row>
    <row r="106" spans="1:12" s="4" customFormat="1" ht="25.5" customHeight="1" outlineLevel="1">
      <c r="A106" s="27" t="str">
        <f t="shared" ref="A106:A125" si="24">$A$105&amp;"."&amp;ROW()-ROW($A$105)</f>
        <v>15A.F1.1</v>
      </c>
      <c r="B106" s="35" t="s">
        <v>95</v>
      </c>
      <c r="C106" s="34" t="s">
        <v>551</v>
      </c>
      <c r="D106" s="29" t="s">
        <v>519</v>
      </c>
      <c r="E106" s="31">
        <v>0</v>
      </c>
      <c r="F106" s="31">
        <v>0</v>
      </c>
      <c r="G106" s="30">
        <f>_xlfn.XLOOKUP(B106, Rate_Master!$A:$A, Rate_Master!$C:$C, "")</f>
        <v>1587600.0077618286</v>
      </c>
      <c r="H106" s="30">
        <f>_xlfn.XLOOKUP(B106, Rate_Master!$A:$A, Rate_Master!$D:$D, "")</f>
        <v>1086539.80861244</v>
      </c>
      <c r="I106" s="32">
        <v>0</v>
      </c>
      <c r="J106" s="32">
        <f t="shared" ref="J106:J125" si="25">I106*E106</f>
        <v>0</v>
      </c>
      <c r="K106" s="32">
        <f t="shared" ref="K106:K125" si="26">I106*F106</f>
        <v>0</v>
      </c>
      <c r="L106" s="32"/>
    </row>
    <row r="107" spans="1:12" s="4" customFormat="1" ht="25.5" customHeight="1" outlineLevel="1">
      <c r="A107" s="27" t="str">
        <f t="shared" si="24"/>
        <v>15A.F1.2</v>
      </c>
      <c r="B107" s="35" t="s">
        <v>96</v>
      </c>
      <c r="C107" s="34" t="s">
        <v>551</v>
      </c>
      <c r="D107" s="29" t="s">
        <v>519</v>
      </c>
      <c r="E107" s="31">
        <v>86.840999999999994</v>
      </c>
      <c r="F107" s="31">
        <v>86.840999999999994</v>
      </c>
      <c r="G107" s="30">
        <f>_xlfn.XLOOKUP(B107, Rate_Master!$A:$A, Rate_Master!$C:$C, "")</f>
        <v>1368500</v>
      </c>
      <c r="H107" s="30">
        <f>_xlfn.XLOOKUP(B107, Rate_Master!$A:$A, Rate_Master!$D:$D, "")</f>
        <v>948749.99999999988</v>
      </c>
      <c r="I107" s="32">
        <v>3148750</v>
      </c>
      <c r="J107" s="32">
        <f t="shared" si="25"/>
        <v>273440598.75</v>
      </c>
      <c r="K107" s="32">
        <f t="shared" si="26"/>
        <v>273440598.75</v>
      </c>
      <c r="L107" s="32"/>
    </row>
    <row r="108" spans="1:12" s="4" customFormat="1" ht="63.75" customHeight="1" outlineLevel="1">
      <c r="A108" s="27" t="str">
        <f t="shared" si="24"/>
        <v>15A.F1.3</v>
      </c>
      <c r="B108" s="28" t="s">
        <v>97</v>
      </c>
      <c r="C108" s="34" t="s">
        <v>552</v>
      </c>
      <c r="D108" s="29" t="s">
        <v>520</v>
      </c>
      <c r="E108" s="31">
        <v>0</v>
      </c>
      <c r="F108" s="31">
        <v>0</v>
      </c>
      <c r="G108" s="31">
        <f>_xlfn.XLOOKUP(B108, Rate_Master!$A:$A, Rate_Master!$C:$C, "")</f>
        <v>229999.99999999997</v>
      </c>
      <c r="H108" s="31">
        <f>_xlfn.XLOOKUP(B108, Rate_Master!$A:$A, Rate_Master!$D:$D, "")</f>
        <v>46000</v>
      </c>
      <c r="I108" s="32">
        <v>0</v>
      </c>
      <c r="J108" s="32">
        <f t="shared" si="25"/>
        <v>0</v>
      </c>
      <c r="K108" s="32">
        <f t="shared" si="26"/>
        <v>0</v>
      </c>
      <c r="L108" s="32"/>
    </row>
    <row r="109" spans="1:12" s="4" customFormat="1" ht="51" customHeight="1" outlineLevel="1">
      <c r="A109" s="27" t="str">
        <f t="shared" si="24"/>
        <v>15A.F1.4</v>
      </c>
      <c r="B109" s="28" t="s">
        <v>98</v>
      </c>
      <c r="C109" s="34" t="s">
        <v>553</v>
      </c>
      <c r="D109" s="29" t="s">
        <v>520</v>
      </c>
      <c r="E109" s="31">
        <v>0</v>
      </c>
      <c r="F109" s="31">
        <v>0</v>
      </c>
      <c r="G109" s="31">
        <f>_xlfn.XLOOKUP(B109, Rate_Master!$A:$A, Rate_Master!$C:$C, "")</f>
        <v>0</v>
      </c>
      <c r="H109" s="31">
        <f>_xlfn.XLOOKUP(B109, Rate_Master!$A:$A, Rate_Master!$D:$D, "")</f>
        <v>0</v>
      </c>
      <c r="I109" s="32">
        <v>0</v>
      </c>
      <c r="J109" s="32">
        <f t="shared" si="25"/>
        <v>0</v>
      </c>
      <c r="K109" s="32">
        <f t="shared" si="26"/>
        <v>0</v>
      </c>
      <c r="L109" s="32"/>
    </row>
    <row r="110" spans="1:12" s="4" customFormat="1" ht="51" customHeight="1" outlineLevel="1">
      <c r="A110" s="27" t="str">
        <f t="shared" si="24"/>
        <v>15A.F1.5</v>
      </c>
      <c r="B110" s="28" t="s">
        <v>99</v>
      </c>
      <c r="C110" s="34" t="s">
        <v>553</v>
      </c>
      <c r="D110" s="29" t="s">
        <v>520</v>
      </c>
      <c r="E110" s="31">
        <v>0</v>
      </c>
      <c r="F110" s="31">
        <v>0</v>
      </c>
      <c r="G110" s="31">
        <f>_xlfn.XLOOKUP(B110, Rate_Master!$A:$A, Rate_Master!$C:$C, "")</f>
        <v>931499.99999999988</v>
      </c>
      <c r="H110" s="31">
        <f>_xlfn.XLOOKUP(B110, Rate_Master!$A:$A, Rate_Master!$D:$D, "")</f>
        <v>114999.99999999999</v>
      </c>
      <c r="I110" s="32">
        <v>0</v>
      </c>
      <c r="J110" s="32">
        <f t="shared" si="25"/>
        <v>0</v>
      </c>
      <c r="K110" s="32">
        <f t="shared" si="26"/>
        <v>0</v>
      </c>
      <c r="L110" s="32"/>
    </row>
    <row r="111" spans="1:12" s="4" customFormat="1" ht="25.5" customHeight="1" outlineLevel="1">
      <c r="A111" s="27" t="str">
        <f t="shared" si="24"/>
        <v>15A.F1.6</v>
      </c>
      <c r="B111" s="28" t="s">
        <v>100</v>
      </c>
      <c r="C111" s="34" t="s">
        <v>554</v>
      </c>
      <c r="D111" s="29" t="s">
        <v>520</v>
      </c>
      <c r="E111" s="31">
        <v>0</v>
      </c>
      <c r="F111" s="31">
        <v>0</v>
      </c>
      <c r="G111" s="31">
        <f>_xlfn.XLOOKUP(B111, Rate_Master!$A:$A, Rate_Master!$C:$C, "")</f>
        <v>1586790</v>
      </c>
      <c r="H111" s="31">
        <f>_xlfn.XLOOKUP(B111, Rate_Master!$A:$A, Rate_Master!$D:$D, "")</f>
        <v>372210</v>
      </c>
      <c r="I111" s="32">
        <v>0</v>
      </c>
      <c r="J111" s="32">
        <f t="shared" si="25"/>
        <v>0</v>
      </c>
      <c r="K111" s="32">
        <f t="shared" si="26"/>
        <v>0</v>
      </c>
      <c r="L111" s="32"/>
    </row>
    <row r="112" spans="1:12" s="4" customFormat="1" ht="51" customHeight="1" outlineLevel="1">
      <c r="A112" s="27" t="str">
        <f t="shared" si="24"/>
        <v>15A.F1.7</v>
      </c>
      <c r="B112" s="28" t="s">
        <v>101</v>
      </c>
      <c r="C112" s="28" t="s">
        <v>515</v>
      </c>
      <c r="D112" s="29" t="s">
        <v>520</v>
      </c>
      <c r="E112" s="31">
        <v>0</v>
      </c>
      <c r="F112" s="31">
        <v>0</v>
      </c>
      <c r="G112" s="31">
        <f>_xlfn.XLOOKUP(B112, Rate_Master!$A:$A, Rate_Master!$C:$C, "")</f>
        <v>1121250</v>
      </c>
      <c r="H112" s="31">
        <f>_xlfn.XLOOKUP(B112, Rate_Master!$A:$A, Rate_Master!$D:$D, "")</f>
        <v>114999.99999999999</v>
      </c>
      <c r="I112" s="32">
        <v>0</v>
      </c>
      <c r="J112" s="32">
        <f t="shared" si="25"/>
        <v>0</v>
      </c>
      <c r="K112" s="32">
        <f t="shared" si="26"/>
        <v>0</v>
      </c>
      <c r="L112" s="32"/>
    </row>
    <row r="113" spans="1:12" s="4" customFormat="1" ht="51" customHeight="1" outlineLevel="1">
      <c r="A113" s="27" t="str">
        <f t="shared" si="24"/>
        <v>15A.F1.8</v>
      </c>
      <c r="B113" s="28" t="s">
        <v>102</v>
      </c>
      <c r="C113" s="34" t="s">
        <v>555</v>
      </c>
      <c r="D113" s="29" t="s">
        <v>520</v>
      </c>
      <c r="E113" s="31">
        <v>0</v>
      </c>
      <c r="F113" s="31">
        <v>0</v>
      </c>
      <c r="G113" s="31">
        <f>_xlfn.XLOOKUP(B113, Rate_Master!$A:$A, Rate_Master!$C:$C, "")</f>
        <v>0</v>
      </c>
      <c r="H113" s="31">
        <f>_xlfn.XLOOKUP(B113, Rate_Master!$A:$A, Rate_Master!$D:$D, "")</f>
        <v>0</v>
      </c>
      <c r="I113" s="32">
        <v>0</v>
      </c>
      <c r="J113" s="32">
        <f t="shared" si="25"/>
        <v>0</v>
      </c>
      <c r="K113" s="32">
        <f t="shared" si="26"/>
        <v>0</v>
      </c>
      <c r="L113" s="32"/>
    </row>
    <row r="114" spans="1:12" s="4" customFormat="1" ht="51" customHeight="1" outlineLevel="1">
      <c r="A114" s="27" t="str">
        <f t="shared" si="24"/>
        <v>15A.F1.9</v>
      </c>
      <c r="B114" s="28" t="s">
        <v>103</v>
      </c>
      <c r="C114" s="34" t="s">
        <v>555</v>
      </c>
      <c r="D114" s="29" t="s">
        <v>520</v>
      </c>
      <c r="E114" s="31">
        <v>0</v>
      </c>
      <c r="F114" s="31">
        <v>0</v>
      </c>
      <c r="G114" s="31">
        <f>_xlfn.XLOOKUP(B114, Rate_Master!$A:$A, Rate_Master!$C:$C, "")</f>
        <v>0</v>
      </c>
      <c r="H114" s="31">
        <f>_xlfn.XLOOKUP(B114, Rate_Master!$A:$A, Rate_Master!$D:$D, "")</f>
        <v>0</v>
      </c>
      <c r="I114" s="32">
        <v>0</v>
      </c>
      <c r="J114" s="32">
        <f t="shared" si="25"/>
        <v>0</v>
      </c>
      <c r="K114" s="32">
        <f t="shared" si="26"/>
        <v>0</v>
      </c>
      <c r="L114" s="32"/>
    </row>
    <row r="115" spans="1:12" s="4" customFormat="1" ht="38.25" customHeight="1" outlineLevel="1">
      <c r="A115" s="27" t="str">
        <f t="shared" si="24"/>
        <v>15A.F1.10</v>
      </c>
      <c r="B115" s="28" t="s">
        <v>244</v>
      </c>
      <c r="C115" s="34"/>
      <c r="D115" s="29" t="s">
        <v>520</v>
      </c>
      <c r="E115" s="31">
        <v>0</v>
      </c>
      <c r="F115" s="31">
        <v>0</v>
      </c>
      <c r="G115" s="31">
        <f>_xlfn.XLOOKUP(B115, Rate_Master!$A:$A, Rate_Master!$C:$C, "")</f>
        <v>1980299.9999999998</v>
      </c>
      <c r="H115" s="31">
        <f>_xlfn.XLOOKUP(B115, Rate_Master!$A:$A, Rate_Master!$D:$D, "")</f>
        <v>770499.99999999988</v>
      </c>
      <c r="I115" s="32">
        <v>0</v>
      </c>
      <c r="J115" s="32">
        <f t="shared" si="25"/>
        <v>0</v>
      </c>
      <c r="K115" s="32">
        <f t="shared" si="26"/>
        <v>0</v>
      </c>
      <c r="L115" s="32"/>
    </row>
    <row r="116" spans="1:12" s="4" customFormat="1" ht="63.75" customHeight="1" outlineLevel="1">
      <c r="A116" s="27" t="str">
        <f t="shared" si="24"/>
        <v>15A.F1.11</v>
      </c>
      <c r="B116" s="28" t="s">
        <v>245</v>
      </c>
      <c r="C116" s="34"/>
      <c r="D116" s="29" t="s">
        <v>517</v>
      </c>
      <c r="E116" s="31">
        <v>0</v>
      </c>
      <c r="F116" s="31">
        <v>0</v>
      </c>
      <c r="G116" s="31">
        <f>_xlfn.XLOOKUP(B116, Rate_Master!$A:$A, Rate_Master!$C:$C, "")</f>
        <v>1799749.9999999998</v>
      </c>
      <c r="H116" s="31">
        <f>_xlfn.XLOOKUP(B116, Rate_Master!$A:$A, Rate_Master!$D:$D, "")</f>
        <v>700350</v>
      </c>
      <c r="I116" s="32">
        <v>0</v>
      </c>
      <c r="J116" s="32">
        <f t="shared" si="25"/>
        <v>0</v>
      </c>
      <c r="K116" s="32">
        <f t="shared" si="26"/>
        <v>0</v>
      </c>
      <c r="L116" s="32"/>
    </row>
    <row r="117" spans="1:12" s="4" customFormat="1" ht="25.5" customHeight="1" outlineLevel="1">
      <c r="A117" s="27" t="str">
        <f t="shared" si="24"/>
        <v>15A.F1.12</v>
      </c>
      <c r="B117" s="28" t="s">
        <v>104</v>
      </c>
      <c r="C117" s="28" t="s">
        <v>515</v>
      </c>
      <c r="D117" s="29" t="s">
        <v>520</v>
      </c>
      <c r="E117" s="31">
        <v>0</v>
      </c>
      <c r="F117" s="31">
        <v>0</v>
      </c>
      <c r="G117" s="30">
        <f>_xlfn.XLOOKUP(B117, Rate_Master!$A:$A, Rate_Master!$C:$C, "")</f>
        <v>46000</v>
      </c>
      <c r="H117" s="30">
        <f>_xlfn.XLOOKUP(B117, Rate_Master!$A:$A, Rate_Master!$D:$D, "")</f>
        <v>34500</v>
      </c>
      <c r="I117" s="32">
        <f t="shared" ref="I117:I122" si="27">+H117+G117</f>
        <v>80500</v>
      </c>
      <c r="J117" s="32">
        <f t="shared" si="25"/>
        <v>0</v>
      </c>
      <c r="K117" s="32">
        <f t="shared" si="26"/>
        <v>0</v>
      </c>
      <c r="L117" s="32"/>
    </row>
    <row r="118" spans="1:12" s="4" customFormat="1" ht="25.5" customHeight="1" outlineLevel="1">
      <c r="A118" s="27" t="str">
        <f t="shared" si="24"/>
        <v>15A.F1.13</v>
      </c>
      <c r="B118" s="28" t="s">
        <v>105</v>
      </c>
      <c r="C118" s="34" t="s">
        <v>556</v>
      </c>
      <c r="D118" s="29" t="s">
        <v>520</v>
      </c>
      <c r="E118" s="31">
        <v>354.721</v>
      </c>
      <c r="F118" s="31">
        <v>354.721</v>
      </c>
      <c r="G118" s="30">
        <f>_xlfn.XLOOKUP(B118, Rate_Master!$A:$A, Rate_Master!$C:$C, "")</f>
        <v>26565.000000000004</v>
      </c>
      <c r="H118" s="30">
        <f>_xlfn.XLOOKUP(B118, Rate_Master!$A:$A, Rate_Master!$D:$D, "")</f>
        <v>132250</v>
      </c>
      <c r="I118" s="32">
        <f t="shared" si="27"/>
        <v>158815</v>
      </c>
      <c r="J118" s="32">
        <f t="shared" si="25"/>
        <v>56335015.615000002</v>
      </c>
      <c r="K118" s="32">
        <f t="shared" si="26"/>
        <v>56335015.615000002</v>
      </c>
      <c r="L118" s="32"/>
    </row>
    <row r="119" spans="1:12" s="4" customFormat="1" ht="25.5" customHeight="1" outlineLevel="1">
      <c r="A119" s="27" t="str">
        <f t="shared" si="24"/>
        <v>15A.F1.14</v>
      </c>
      <c r="B119" s="28" t="s">
        <v>106</v>
      </c>
      <c r="C119" s="34" t="s">
        <v>556</v>
      </c>
      <c r="D119" s="29" t="s">
        <v>520</v>
      </c>
      <c r="E119" s="31">
        <v>1225.633</v>
      </c>
      <c r="F119" s="31">
        <v>1225.633</v>
      </c>
      <c r="G119" s="30">
        <f>_xlfn.XLOOKUP(B119, Rate_Master!$A:$A, Rate_Master!$C:$C, "")</f>
        <v>26565.000000000004</v>
      </c>
      <c r="H119" s="30">
        <f>_xlfn.XLOOKUP(B119, Rate_Master!$A:$A, Rate_Master!$D:$D, "")</f>
        <v>117299.99999999999</v>
      </c>
      <c r="I119" s="32">
        <f t="shared" si="27"/>
        <v>143865</v>
      </c>
      <c r="J119" s="32">
        <f t="shared" si="25"/>
        <v>176325691.54500002</v>
      </c>
      <c r="K119" s="32">
        <f t="shared" si="26"/>
        <v>176325691.54500002</v>
      </c>
      <c r="L119" s="32"/>
    </row>
    <row r="120" spans="1:12" s="4" customFormat="1" ht="38.25" customHeight="1" outlineLevel="1">
      <c r="A120" s="27" t="str">
        <f t="shared" si="24"/>
        <v>15A.F1.15</v>
      </c>
      <c r="B120" s="28" t="s">
        <v>107</v>
      </c>
      <c r="C120" s="28" t="s">
        <v>515</v>
      </c>
      <c r="D120" s="29" t="s">
        <v>520</v>
      </c>
      <c r="E120" s="31">
        <v>0</v>
      </c>
      <c r="F120" s="31">
        <v>0</v>
      </c>
      <c r="G120" s="31">
        <f>_xlfn.XLOOKUP(B120, Rate_Master!$A:$A, Rate_Master!$C:$C, "")</f>
        <v>218499.99999999997</v>
      </c>
      <c r="H120" s="31">
        <f>_xlfn.XLOOKUP(B120, Rate_Master!$A:$A, Rate_Master!$D:$D, "")</f>
        <v>138000</v>
      </c>
      <c r="I120" s="32">
        <f t="shared" si="27"/>
        <v>356500</v>
      </c>
      <c r="J120" s="32">
        <f t="shared" si="25"/>
        <v>0</v>
      </c>
      <c r="K120" s="32">
        <f t="shared" si="26"/>
        <v>0</v>
      </c>
      <c r="L120" s="32"/>
    </row>
    <row r="121" spans="1:12" s="4" customFormat="1" ht="25.5" customHeight="1" outlineLevel="1">
      <c r="A121" s="27" t="str">
        <f t="shared" si="24"/>
        <v>15A.F1.16</v>
      </c>
      <c r="B121" s="34" t="s">
        <v>108</v>
      </c>
      <c r="C121" s="28" t="s">
        <v>515</v>
      </c>
      <c r="D121" s="29" t="s">
        <v>520</v>
      </c>
      <c r="E121" s="31">
        <v>354.721</v>
      </c>
      <c r="F121" s="31">
        <v>354.721</v>
      </c>
      <c r="G121" s="30">
        <f>_xlfn.XLOOKUP(B121, Rate_Master!$A:$A, Rate_Master!$C:$C, "")</f>
        <v>51749.999999999993</v>
      </c>
      <c r="H121" s="30">
        <f>_xlfn.XLOOKUP(B121, Rate_Master!$A:$A, Rate_Master!$D:$D, "")</f>
        <v>34500</v>
      </c>
      <c r="I121" s="32">
        <f t="shared" si="27"/>
        <v>86250</v>
      </c>
      <c r="J121" s="32">
        <f t="shared" si="25"/>
        <v>30594686.25</v>
      </c>
      <c r="K121" s="32">
        <f t="shared" si="26"/>
        <v>30594686.25</v>
      </c>
      <c r="L121" s="32"/>
    </row>
    <row r="122" spans="1:12" s="4" customFormat="1" ht="25.5" customHeight="1" outlineLevel="1">
      <c r="A122" s="27" t="str">
        <f t="shared" si="24"/>
        <v>15A.F1.17</v>
      </c>
      <c r="B122" s="34" t="s">
        <v>109</v>
      </c>
      <c r="C122" s="28" t="s">
        <v>515</v>
      </c>
      <c r="D122" s="29" t="s">
        <v>520</v>
      </c>
      <c r="E122" s="31">
        <v>1225.633</v>
      </c>
      <c r="F122" s="31">
        <v>1225.633</v>
      </c>
      <c r="G122" s="31">
        <f>_xlfn.XLOOKUP(B122, Rate_Master!$A:$A, Rate_Master!$C:$C, "")</f>
        <v>46000</v>
      </c>
      <c r="H122" s="31">
        <f>_xlfn.XLOOKUP(B122, Rate_Master!$A:$A, Rate_Master!$D:$D, "")</f>
        <v>19550</v>
      </c>
      <c r="I122" s="32">
        <f t="shared" si="27"/>
        <v>65550</v>
      </c>
      <c r="J122" s="32">
        <f t="shared" si="25"/>
        <v>80340243.150000006</v>
      </c>
      <c r="K122" s="32">
        <f t="shared" si="26"/>
        <v>80340243.150000006</v>
      </c>
      <c r="L122" s="32"/>
    </row>
    <row r="123" spans="1:12" s="4" customFormat="1" ht="38.25" customHeight="1" outlineLevel="1">
      <c r="A123" s="27" t="str">
        <f t="shared" si="24"/>
        <v>15A.F1.18</v>
      </c>
      <c r="B123" s="34" t="s">
        <v>110</v>
      </c>
      <c r="C123" s="28" t="s">
        <v>515</v>
      </c>
      <c r="D123" s="29" t="s">
        <v>520</v>
      </c>
      <c r="E123" s="31">
        <v>0</v>
      </c>
      <c r="F123" s="31">
        <v>0</v>
      </c>
      <c r="G123" s="31">
        <f>_xlfn.XLOOKUP(B123, Rate_Master!$A:$A, Rate_Master!$C:$C, "")</f>
        <v>51749.999999999993</v>
      </c>
      <c r="H123" s="31">
        <f>_xlfn.XLOOKUP(B123, Rate_Master!$A:$A, Rate_Master!$D:$D, "")</f>
        <v>17250</v>
      </c>
      <c r="I123" s="32">
        <v>0</v>
      </c>
      <c r="J123" s="32">
        <f t="shared" si="25"/>
        <v>0</v>
      </c>
      <c r="K123" s="32">
        <f t="shared" si="26"/>
        <v>0</v>
      </c>
      <c r="L123" s="32"/>
    </row>
    <row r="124" spans="1:12" s="4" customFormat="1" ht="25.5" customHeight="1" outlineLevel="1">
      <c r="A124" s="27" t="str">
        <f t="shared" si="24"/>
        <v>15A.F1.19</v>
      </c>
      <c r="B124" s="34" t="s">
        <v>111</v>
      </c>
      <c r="C124" s="28" t="s">
        <v>515</v>
      </c>
      <c r="D124" s="29" t="s">
        <v>520</v>
      </c>
      <c r="E124" s="31">
        <v>0</v>
      </c>
      <c r="F124" s="31">
        <v>0</v>
      </c>
      <c r="G124" s="31">
        <f>_xlfn.XLOOKUP(B124, Rate_Master!$A:$A, Rate_Master!$C:$C, "")</f>
        <v>172500</v>
      </c>
      <c r="H124" s="31">
        <f>_xlfn.XLOOKUP(B124, Rate_Master!$A:$A, Rate_Master!$D:$D, "")</f>
        <v>28749.999999999996</v>
      </c>
      <c r="I124" s="32">
        <v>0</v>
      </c>
      <c r="J124" s="32">
        <f t="shared" si="25"/>
        <v>0</v>
      </c>
      <c r="K124" s="32">
        <f t="shared" si="26"/>
        <v>0</v>
      </c>
      <c r="L124" s="32"/>
    </row>
    <row r="125" spans="1:12" s="4" customFormat="1" ht="38.25" customHeight="1" outlineLevel="1">
      <c r="A125" s="27" t="str">
        <f t="shared" si="24"/>
        <v>15A.F1.20</v>
      </c>
      <c r="B125" s="34" t="s">
        <v>112</v>
      </c>
      <c r="C125" s="34" t="s">
        <v>557</v>
      </c>
      <c r="D125" s="29" t="s">
        <v>517</v>
      </c>
      <c r="E125" s="31">
        <v>0</v>
      </c>
      <c r="F125" s="31">
        <v>0</v>
      </c>
      <c r="G125" s="31">
        <f>_xlfn.XLOOKUP(B125, Rate_Master!$A:$A, Rate_Master!$C:$C, "")</f>
        <v>163300</v>
      </c>
      <c r="H125" s="31">
        <f>_xlfn.XLOOKUP(B125, Rate_Master!$A:$A, Rate_Master!$D:$D, "")</f>
        <v>51749.999999999993</v>
      </c>
      <c r="I125" s="32">
        <v>0</v>
      </c>
      <c r="J125" s="32">
        <f t="shared" si="25"/>
        <v>0</v>
      </c>
      <c r="K125" s="32">
        <f t="shared" si="26"/>
        <v>0</v>
      </c>
      <c r="L125" s="32"/>
    </row>
    <row r="126" spans="1:12" s="3" customFormat="1" ht="25.5" customHeight="1">
      <c r="A126" s="22" t="str">
        <f>$A$104&amp;2</f>
        <v>15A.F2</v>
      </c>
      <c r="B126" s="23" t="s">
        <v>113</v>
      </c>
      <c r="C126" s="23" t="s">
        <v>515</v>
      </c>
      <c r="D126" s="22"/>
      <c r="E126" s="25"/>
      <c r="F126" s="25"/>
      <c r="G126" s="25">
        <f>_xlfn.XLOOKUP(B126, Rate_Master!$A:$A, Rate_Master!$C:$C, "")</f>
        <v>0</v>
      </c>
      <c r="H126" s="25">
        <f>_xlfn.XLOOKUP(B126, Rate_Master!$A:$A, Rate_Master!$D:$D, "")</f>
        <v>0</v>
      </c>
      <c r="I126" s="26">
        <v>0</v>
      </c>
      <c r="J126" s="26">
        <f>SUBTOTAL(9,J127:J131)</f>
        <v>587834170.19999993</v>
      </c>
      <c r="K126" s="26">
        <f>SUBTOTAL(9,K127:K131)</f>
        <v>587834170.19999993</v>
      </c>
      <c r="L126" s="26"/>
    </row>
    <row r="127" spans="1:12" s="4" customFormat="1" ht="51" customHeight="1" outlineLevel="1">
      <c r="A127" s="27" t="str">
        <f>$A$126&amp;"."&amp;ROW()-ROW($A$126)</f>
        <v>15A.F2.1</v>
      </c>
      <c r="B127" s="34" t="s">
        <v>114</v>
      </c>
      <c r="C127" s="28" t="s">
        <v>515</v>
      </c>
      <c r="D127" s="29" t="s">
        <v>520</v>
      </c>
      <c r="E127" s="31">
        <v>0</v>
      </c>
      <c r="F127" s="31">
        <v>0</v>
      </c>
      <c r="G127" s="30">
        <f>_xlfn.XLOOKUP(B127, Rate_Master!$A:$A, Rate_Master!$C:$C, "")</f>
        <v>206999.99999999997</v>
      </c>
      <c r="H127" s="30">
        <f>_xlfn.XLOOKUP(B127, Rate_Master!$A:$A, Rate_Master!$D:$D, "")</f>
        <v>126499.99999999999</v>
      </c>
      <c r="I127" s="32">
        <v>0</v>
      </c>
      <c r="J127" s="32">
        <f>I127*E127</f>
        <v>0</v>
      </c>
      <c r="K127" s="32">
        <f>I127*F127</f>
        <v>0</v>
      </c>
      <c r="L127" s="32"/>
    </row>
    <row r="128" spans="1:12" s="4" customFormat="1" ht="51" customHeight="1" outlineLevel="1">
      <c r="A128" s="27" t="str">
        <f>$A$126&amp;"."&amp;ROW()-ROW($A$126)</f>
        <v>15A.F2.2</v>
      </c>
      <c r="B128" s="28" t="s">
        <v>268</v>
      </c>
      <c r="C128" s="28" t="s">
        <v>515</v>
      </c>
      <c r="D128" s="29" t="s">
        <v>520</v>
      </c>
      <c r="E128" s="31">
        <v>5011.3739999999998</v>
      </c>
      <c r="F128" s="31">
        <v>5011.3739999999998</v>
      </c>
      <c r="G128" s="30">
        <f>_xlfn.XLOOKUP(B128, Rate_Master!$A:$A, Rate_Master!$C:$C, "")</f>
        <v>72450</v>
      </c>
      <c r="H128" s="30">
        <f>_xlfn.XLOOKUP(B128, Rate_Master!$A:$A, Rate_Master!$D:$D, "")</f>
        <v>44850</v>
      </c>
      <c r="I128" s="32">
        <f>+H128+G128</f>
        <v>117300</v>
      </c>
      <c r="J128" s="32">
        <f>I128*E128</f>
        <v>587834170.19999993</v>
      </c>
      <c r="K128" s="32">
        <f>I128*F128</f>
        <v>587834170.19999993</v>
      </c>
      <c r="L128" s="32"/>
    </row>
    <row r="129" spans="1:12" s="4" customFormat="1" ht="51" customHeight="1" outlineLevel="1">
      <c r="A129" s="27" t="str">
        <f>$A$126&amp;"."&amp;ROW()-ROW($A$126)</f>
        <v>15A.F2.3</v>
      </c>
      <c r="B129" s="34" t="s">
        <v>116</v>
      </c>
      <c r="C129" s="28" t="s">
        <v>515</v>
      </c>
      <c r="D129" s="29" t="s">
        <v>520</v>
      </c>
      <c r="E129" s="31">
        <v>0</v>
      </c>
      <c r="F129" s="31">
        <v>0</v>
      </c>
      <c r="G129" s="31">
        <f>_xlfn.XLOOKUP(B129, Rate_Master!$A:$A, Rate_Master!$C:$C, "")</f>
        <v>0</v>
      </c>
      <c r="H129" s="31">
        <f>_xlfn.XLOOKUP(B129, Rate_Master!$A:$A, Rate_Master!$D:$D, "")</f>
        <v>0</v>
      </c>
      <c r="I129" s="32">
        <v>0</v>
      </c>
      <c r="J129" s="32">
        <f>I129*E129</f>
        <v>0</v>
      </c>
      <c r="K129" s="32">
        <f>I129*F129</f>
        <v>0</v>
      </c>
      <c r="L129" s="32"/>
    </row>
    <row r="130" spans="1:12" s="4" customFormat="1" ht="51" customHeight="1" outlineLevel="1">
      <c r="A130" s="27" t="str">
        <f>$A$126&amp;"."&amp;ROW()-ROW($A$126)</f>
        <v>15A.F2.4</v>
      </c>
      <c r="B130" s="34" t="s">
        <v>117</v>
      </c>
      <c r="C130" s="28" t="s">
        <v>515</v>
      </c>
      <c r="D130" s="29" t="s">
        <v>520</v>
      </c>
      <c r="E130" s="31">
        <v>0</v>
      </c>
      <c r="F130" s="31">
        <v>0</v>
      </c>
      <c r="G130" s="31">
        <f>_xlfn.XLOOKUP(B130, Rate_Master!$A:$A, Rate_Master!$C:$C, "")</f>
        <v>0</v>
      </c>
      <c r="H130" s="31">
        <f>_xlfn.XLOOKUP(B130, Rate_Master!$A:$A, Rate_Master!$D:$D, "")</f>
        <v>0</v>
      </c>
      <c r="I130" s="32">
        <v>0</v>
      </c>
      <c r="J130" s="32">
        <f>I130*E130</f>
        <v>0</v>
      </c>
      <c r="K130" s="32">
        <f>I130*F130</f>
        <v>0</v>
      </c>
      <c r="L130" s="32"/>
    </row>
    <row r="131" spans="1:12" s="4" customFormat="1" ht="38.25" customHeight="1" outlineLevel="1">
      <c r="A131" s="27" t="str">
        <f>$A$126&amp;"."&amp;ROW()-ROW($A$126)</f>
        <v>15A.F2.5</v>
      </c>
      <c r="B131" s="34" t="s">
        <v>118</v>
      </c>
      <c r="C131" s="28" t="s">
        <v>515</v>
      </c>
      <c r="D131" s="29" t="s">
        <v>520</v>
      </c>
      <c r="E131" s="31">
        <v>0</v>
      </c>
      <c r="F131" s="31">
        <v>0</v>
      </c>
      <c r="G131" s="31">
        <f>_xlfn.XLOOKUP(B131, Rate_Master!$A:$A, Rate_Master!$C:$C, "")</f>
        <v>0</v>
      </c>
      <c r="H131" s="31">
        <f>_xlfn.XLOOKUP(B131, Rate_Master!$A:$A, Rate_Master!$D:$D, "")</f>
        <v>0</v>
      </c>
      <c r="I131" s="32">
        <v>0</v>
      </c>
      <c r="J131" s="32">
        <f>I131*E131</f>
        <v>0</v>
      </c>
      <c r="K131" s="32">
        <f>I131*F131</f>
        <v>0</v>
      </c>
      <c r="L131" s="32"/>
    </row>
    <row r="132" spans="1:12" s="3" customFormat="1" ht="25.5" customHeight="1">
      <c r="A132" s="22" t="str">
        <f>$A$104&amp;3</f>
        <v>15A.F3</v>
      </c>
      <c r="B132" s="23" t="s">
        <v>119</v>
      </c>
      <c r="C132" s="23" t="s">
        <v>515</v>
      </c>
      <c r="D132" s="22"/>
      <c r="E132" s="25"/>
      <c r="F132" s="25"/>
      <c r="G132" s="25">
        <f>_xlfn.XLOOKUP(B132, Rate_Master!$A:$A, Rate_Master!$C:$C, "")</f>
        <v>0</v>
      </c>
      <c r="H132" s="25">
        <f>_xlfn.XLOOKUP(B132, Rate_Master!$A:$A, Rate_Master!$D:$D, "")</f>
        <v>0</v>
      </c>
      <c r="I132" s="26">
        <v>0</v>
      </c>
      <c r="J132" s="26">
        <f>SUBTOTAL(9,J133:J140)</f>
        <v>0</v>
      </c>
      <c r="K132" s="26">
        <f>SUBTOTAL(9,K133:K140)</f>
        <v>0</v>
      </c>
      <c r="L132" s="26"/>
    </row>
    <row r="133" spans="1:12" s="4" customFormat="1" ht="25.5" customHeight="1" outlineLevel="1">
      <c r="A133" s="37" t="str">
        <f t="shared" ref="A133:A140" si="28">$A$132&amp;"."&amp;ROW()-ROW($A$132)</f>
        <v>15A.F3.1</v>
      </c>
      <c r="B133" s="43" t="s">
        <v>120</v>
      </c>
      <c r="C133" s="38" t="s">
        <v>515</v>
      </c>
      <c r="D133" s="39" t="s">
        <v>520</v>
      </c>
      <c r="E133" s="40">
        <v>0</v>
      </c>
      <c r="F133" s="40">
        <v>0</v>
      </c>
      <c r="G133" s="40">
        <f>_xlfn.XLOOKUP(B133, Rate_Master!$A:$A, Rate_Master!$C:$C, "")</f>
        <v>28749.999999999996</v>
      </c>
      <c r="H133" s="40">
        <f>_xlfn.XLOOKUP(B133, Rate_Master!$A:$A, Rate_Master!$D:$D, "")</f>
        <v>0</v>
      </c>
      <c r="I133" s="41">
        <v>0</v>
      </c>
      <c r="J133" s="41">
        <f t="shared" ref="J133:J140" si="29">I133*E133</f>
        <v>0</v>
      </c>
      <c r="K133" s="41">
        <f t="shared" ref="K133:K140" si="30">I133*F133</f>
        <v>0</v>
      </c>
      <c r="L133" s="41"/>
    </row>
    <row r="134" spans="1:12" s="4" customFormat="1" ht="25.5" customHeight="1" outlineLevel="1">
      <c r="A134" s="37" t="str">
        <f t="shared" si="28"/>
        <v>15A.F3.2</v>
      </c>
      <c r="B134" s="43" t="s">
        <v>121</v>
      </c>
      <c r="C134" s="38" t="s">
        <v>515</v>
      </c>
      <c r="D134" s="39" t="s">
        <v>520</v>
      </c>
      <c r="E134" s="40">
        <v>0</v>
      </c>
      <c r="F134" s="40">
        <v>0</v>
      </c>
      <c r="G134" s="40">
        <f>_xlfn.XLOOKUP(B134, Rate_Master!$A:$A, Rate_Master!$C:$C, "")</f>
        <v>0</v>
      </c>
      <c r="H134" s="40">
        <f>_xlfn.XLOOKUP(B134, Rate_Master!$A:$A, Rate_Master!$D:$D, "")</f>
        <v>0</v>
      </c>
      <c r="I134" s="41">
        <v>0</v>
      </c>
      <c r="J134" s="41">
        <f t="shared" si="29"/>
        <v>0</v>
      </c>
      <c r="K134" s="41">
        <f t="shared" si="30"/>
        <v>0</v>
      </c>
      <c r="L134" s="41"/>
    </row>
    <row r="135" spans="1:12" s="4" customFormat="1" ht="38.25" customHeight="1" outlineLevel="1">
      <c r="A135" s="37" t="str">
        <f t="shared" si="28"/>
        <v>15A.F3.3</v>
      </c>
      <c r="B135" s="43" t="s">
        <v>122</v>
      </c>
      <c r="C135" s="38" t="s">
        <v>515</v>
      </c>
      <c r="D135" s="39" t="s">
        <v>520</v>
      </c>
      <c r="E135" s="40">
        <v>0</v>
      </c>
      <c r="F135" s="40">
        <v>0</v>
      </c>
      <c r="G135" s="40">
        <f>_xlfn.XLOOKUP(B135, Rate_Master!$A:$A, Rate_Master!$C:$C, "")</f>
        <v>51749.999999999993</v>
      </c>
      <c r="H135" s="40">
        <f>_xlfn.XLOOKUP(B135, Rate_Master!$A:$A, Rate_Master!$D:$D, "")</f>
        <v>23000</v>
      </c>
      <c r="I135" s="41">
        <v>0</v>
      </c>
      <c r="J135" s="41">
        <f t="shared" si="29"/>
        <v>0</v>
      </c>
      <c r="K135" s="41">
        <f t="shared" si="30"/>
        <v>0</v>
      </c>
      <c r="L135" s="41"/>
    </row>
    <row r="136" spans="1:12" s="4" customFormat="1" ht="25.5" customHeight="1" outlineLevel="1">
      <c r="A136" s="37" t="str">
        <f t="shared" si="28"/>
        <v>15A.F3.4</v>
      </c>
      <c r="B136" s="43" t="s">
        <v>123</v>
      </c>
      <c r="C136" s="38" t="s">
        <v>515</v>
      </c>
      <c r="D136" s="39" t="s">
        <v>520</v>
      </c>
      <c r="E136" s="40">
        <v>0</v>
      </c>
      <c r="F136" s="40">
        <v>0</v>
      </c>
      <c r="G136" s="40">
        <f>_xlfn.XLOOKUP(B136, Rate_Master!$A:$A, Rate_Master!$C:$C, "")</f>
        <v>172500</v>
      </c>
      <c r="H136" s="40">
        <f>_xlfn.XLOOKUP(B136, Rate_Master!$A:$A, Rate_Master!$D:$D, "")</f>
        <v>34500</v>
      </c>
      <c r="I136" s="41">
        <v>0</v>
      </c>
      <c r="J136" s="41">
        <f t="shared" si="29"/>
        <v>0</v>
      </c>
      <c r="K136" s="41">
        <f t="shared" si="30"/>
        <v>0</v>
      </c>
      <c r="L136" s="41"/>
    </row>
    <row r="137" spans="1:12" s="4" customFormat="1" ht="51" customHeight="1" outlineLevel="1">
      <c r="A137" s="37" t="str">
        <f t="shared" si="28"/>
        <v>15A.F3.5</v>
      </c>
      <c r="B137" s="38" t="s">
        <v>124</v>
      </c>
      <c r="C137" s="43" t="s">
        <v>553</v>
      </c>
      <c r="D137" s="39" t="s">
        <v>520</v>
      </c>
      <c r="E137" s="40">
        <v>0</v>
      </c>
      <c r="F137" s="40">
        <v>0</v>
      </c>
      <c r="G137" s="42">
        <f>_xlfn.XLOOKUP(B137, Rate_Master!$A:$A, Rate_Master!$C:$C, "")</f>
        <v>1069500</v>
      </c>
      <c r="H137" s="42">
        <f>_xlfn.XLOOKUP(B137, Rate_Master!$A:$A, Rate_Master!$D:$D, "")</f>
        <v>172500</v>
      </c>
      <c r="I137" s="41">
        <v>0</v>
      </c>
      <c r="J137" s="41">
        <f t="shared" si="29"/>
        <v>0</v>
      </c>
      <c r="K137" s="41">
        <f t="shared" si="30"/>
        <v>0</v>
      </c>
      <c r="L137" s="41"/>
    </row>
    <row r="138" spans="1:12" s="4" customFormat="1" ht="51" customHeight="1" outlineLevel="1">
      <c r="A138" s="37" t="str">
        <f t="shared" si="28"/>
        <v>15A.F3.6</v>
      </c>
      <c r="B138" s="43" t="s">
        <v>125</v>
      </c>
      <c r="C138" s="38" t="s">
        <v>515</v>
      </c>
      <c r="D138" s="39" t="s">
        <v>520</v>
      </c>
      <c r="E138" s="40">
        <v>0</v>
      </c>
      <c r="F138" s="40">
        <v>0</v>
      </c>
      <c r="G138" s="42">
        <f>_xlfn.XLOOKUP(B138, Rate_Master!$A:$A, Rate_Master!$C:$C, "")</f>
        <v>965999.99999999988</v>
      </c>
      <c r="H138" s="42">
        <f>_xlfn.XLOOKUP(B138, Rate_Master!$A:$A, Rate_Master!$D:$D, "")</f>
        <v>138000</v>
      </c>
      <c r="I138" s="41">
        <v>0</v>
      </c>
      <c r="J138" s="41">
        <f t="shared" si="29"/>
        <v>0</v>
      </c>
      <c r="K138" s="41">
        <f t="shared" si="30"/>
        <v>0</v>
      </c>
      <c r="L138" s="41"/>
    </row>
    <row r="139" spans="1:12" s="4" customFormat="1" ht="25.5" customHeight="1" outlineLevel="1">
      <c r="A139" s="37" t="str">
        <f t="shared" si="28"/>
        <v>15A.F3.7</v>
      </c>
      <c r="B139" s="38" t="s">
        <v>126</v>
      </c>
      <c r="C139" s="38" t="s">
        <v>515</v>
      </c>
      <c r="D139" s="39" t="s">
        <v>520</v>
      </c>
      <c r="E139" s="40">
        <v>0</v>
      </c>
      <c r="F139" s="40">
        <v>0</v>
      </c>
      <c r="G139" s="42">
        <f>_xlfn.XLOOKUP(B139, Rate_Master!$A:$A, Rate_Master!$C:$C, "")</f>
        <v>0</v>
      </c>
      <c r="H139" s="42">
        <f>_xlfn.XLOOKUP(B139, Rate_Master!$A:$A, Rate_Master!$D:$D, "")</f>
        <v>0</v>
      </c>
      <c r="I139" s="41">
        <v>0</v>
      </c>
      <c r="J139" s="41">
        <f t="shared" si="29"/>
        <v>0</v>
      </c>
      <c r="K139" s="41">
        <f t="shared" si="30"/>
        <v>0</v>
      </c>
      <c r="L139" s="41"/>
    </row>
    <row r="140" spans="1:12" s="4" customFormat="1" ht="25.5" customHeight="1" outlineLevel="1">
      <c r="A140" s="37" t="str">
        <f t="shared" si="28"/>
        <v>15A.F3.8</v>
      </c>
      <c r="B140" s="43" t="s">
        <v>127</v>
      </c>
      <c r="C140" s="38" t="s">
        <v>515</v>
      </c>
      <c r="D140" s="39" t="s">
        <v>520</v>
      </c>
      <c r="E140" s="40">
        <v>0</v>
      </c>
      <c r="F140" s="40">
        <v>0</v>
      </c>
      <c r="G140" s="42">
        <f>_xlfn.XLOOKUP(B140, Rate_Master!$A:$A, Rate_Master!$C:$C, "")</f>
        <v>0</v>
      </c>
      <c r="H140" s="42">
        <f>_xlfn.XLOOKUP(B140, Rate_Master!$A:$A, Rate_Master!$D:$D, "")</f>
        <v>0</v>
      </c>
      <c r="I140" s="41">
        <v>0</v>
      </c>
      <c r="J140" s="41">
        <f t="shared" si="29"/>
        <v>0</v>
      </c>
      <c r="K140" s="41">
        <f t="shared" si="30"/>
        <v>0</v>
      </c>
      <c r="L140" s="41"/>
    </row>
    <row r="141" spans="1:12" s="3" customFormat="1" ht="25.5" customHeight="1">
      <c r="A141" s="22" t="str">
        <f>$A$104&amp;4</f>
        <v>15A.F4</v>
      </c>
      <c r="B141" s="23" t="s">
        <v>128</v>
      </c>
      <c r="C141" s="23" t="s">
        <v>515</v>
      </c>
      <c r="D141" s="22"/>
      <c r="E141" s="25"/>
      <c r="F141" s="25"/>
      <c r="G141" s="25">
        <f>_xlfn.XLOOKUP(B141, Rate_Master!$A:$A, Rate_Master!$C:$C, "")</f>
        <v>0</v>
      </c>
      <c r="H141" s="25">
        <f>_xlfn.XLOOKUP(B141, Rate_Master!$A:$A, Rate_Master!$D:$D, "")</f>
        <v>0</v>
      </c>
      <c r="I141" s="26">
        <v>0</v>
      </c>
      <c r="J141" s="26">
        <f>SUBTOTAL(9,J142:J145)</f>
        <v>209784150</v>
      </c>
      <c r="K141" s="26">
        <f>SUBTOTAL(9,K142:K145)</f>
        <v>209784150</v>
      </c>
      <c r="L141" s="26"/>
    </row>
    <row r="142" spans="1:12" s="4" customFormat="1" ht="76.5" hidden="1" customHeight="1" outlineLevel="1">
      <c r="A142" s="27" t="str">
        <f>$A$141&amp;"."&amp;ROW()-ROW($A$141)</f>
        <v>15A.F4.1</v>
      </c>
      <c r="B142" s="28" t="s">
        <v>131</v>
      </c>
      <c r="C142" s="28"/>
      <c r="D142" s="29" t="s">
        <v>516</v>
      </c>
      <c r="E142" s="31">
        <v>6</v>
      </c>
      <c r="F142" s="31">
        <v>6</v>
      </c>
      <c r="G142" s="31">
        <f>_xlfn.XLOOKUP(B142, Rate_Master!$A:$A, Rate_Master!$C:$C, "")</f>
        <v>5037000</v>
      </c>
      <c r="H142" s="31">
        <f>_xlfn.XLOOKUP(B142, Rate_Master!$A:$A, Rate_Master!$D:$D, "")</f>
        <v>206999.99999999997</v>
      </c>
      <c r="I142" s="32">
        <f>+G142+H142</f>
        <v>5244000</v>
      </c>
      <c r="J142" s="32">
        <f>I142*E142</f>
        <v>31464000</v>
      </c>
      <c r="K142" s="32">
        <f>I142*F142</f>
        <v>31464000</v>
      </c>
      <c r="L142" s="32"/>
    </row>
    <row r="143" spans="1:12" s="4" customFormat="1" ht="51" hidden="1" customHeight="1" outlineLevel="1">
      <c r="A143" s="27" t="str">
        <f>$A$141&amp;"."&amp;ROW()-ROW($A$141)</f>
        <v>15A.F4.2</v>
      </c>
      <c r="B143" s="28" t="s">
        <v>269</v>
      </c>
      <c r="C143" s="28"/>
      <c r="D143" s="29" t="s">
        <v>516</v>
      </c>
      <c r="E143" s="31">
        <v>3</v>
      </c>
      <c r="F143" s="31">
        <v>3</v>
      </c>
      <c r="G143" s="31">
        <f>_xlfn.XLOOKUP(B143, Rate_Master!$A:$A, Rate_Master!$C:$C, "")</f>
        <v>10246500</v>
      </c>
      <c r="H143" s="31">
        <f>_xlfn.XLOOKUP(B143, Rate_Master!$A:$A, Rate_Master!$D:$D, "")</f>
        <v>683100.00000000012</v>
      </c>
      <c r="I143" s="32">
        <f>+G143+H143</f>
        <v>10929600</v>
      </c>
      <c r="J143" s="32">
        <f>I143*E143</f>
        <v>32788800</v>
      </c>
      <c r="K143" s="32">
        <f>I143*F143</f>
        <v>32788800</v>
      </c>
      <c r="L143" s="32"/>
    </row>
    <row r="144" spans="1:12" s="4" customFormat="1" ht="76.5" hidden="1" customHeight="1" outlineLevel="1">
      <c r="A144" s="27" t="str">
        <f>$A$141&amp;"."&amp;ROW()-ROW($A$141)</f>
        <v>15A.F4.3</v>
      </c>
      <c r="B144" s="28" t="s">
        <v>270</v>
      </c>
      <c r="C144" s="28" t="s">
        <v>558</v>
      </c>
      <c r="D144" s="29" t="s">
        <v>516</v>
      </c>
      <c r="E144" s="31">
        <v>3</v>
      </c>
      <c r="F144" s="31">
        <v>3</v>
      </c>
      <c r="G144" s="31">
        <f>_xlfn.XLOOKUP(B144, Rate_Master!$A:$A, Rate_Master!$C:$C, "")</f>
        <v>9979700</v>
      </c>
      <c r="H144" s="31">
        <f>_xlfn.XLOOKUP(B144, Rate_Master!$A:$A, Rate_Master!$D:$D, "")</f>
        <v>3881249.9999999995</v>
      </c>
      <c r="I144" s="32">
        <f>+G144+H144</f>
        <v>13860950</v>
      </c>
      <c r="J144" s="32">
        <f>I144*E144</f>
        <v>41582850</v>
      </c>
      <c r="K144" s="32">
        <f>I144*F144</f>
        <v>41582850</v>
      </c>
      <c r="L144" s="71" t="s">
        <v>559</v>
      </c>
    </row>
    <row r="145" spans="1:12" s="4" customFormat="1" ht="76.5" hidden="1" customHeight="1" outlineLevel="1">
      <c r="A145" s="27" t="str">
        <f>$A$141&amp;"."&amp;ROW()-ROW($A$141)</f>
        <v>15A.F4.4</v>
      </c>
      <c r="B145" s="28" t="s">
        <v>271</v>
      </c>
      <c r="C145" s="28" t="s">
        <v>558</v>
      </c>
      <c r="D145" s="29" t="s">
        <v>516</v>
      </c>
      <c r="E145" s="31">
        <v>5</v>
      </c>
      <c r="F145" s="31">
        <v>5</v>
      </c>
      <c r="G145" s="31">
        <f>_xlfn.XLOOKUP(B145, Rate_Master!$A:$A, Rate_Master!$C:$C, "")</f>
        <v>14968399.999999998</v>
      </c>
      <c r="H145" s="31">
        <f>_xlfn.XLOOKUP(B145, Rate_Master!$A:$A, Rate_Master!$D:$D, "")</f>
        <v>5821300</v>
      </c>
      <c r="I145" s="32">
        <f>+G145+H145</f>
        <v>20789700</v>
      </c>
      <c r="J145" s="32">
        <f>I145*E145</f>
        <v>103948500</v>
      </c>
      <c r="K145" s="32">
        <f>I145*F145</f>
        <v>103948500</v>
      </c>
      <c r="L145" s="71" t="s">
        <v>559</v>
      </c>
    </row>
    <row r="146" spans="1:12" s="3" customFormat="1" ht="25.5" customHeight="1" collapsed="1">
      <c r="A146" s="22" t="str">
        <f>$A$104&amp;5</f>
        <v>15A.F5</v>
      </c>
      <c r="B146" s="23" t="s">
        <v>143</v>
      </c>
      <c r="C146" s="23" t="s">
        <v>515</v>
      </c>
      <c r="D146" s="22"/>
      <c r="E146" s="25"/>
      <c r="F146" s="25"/>
      <c r="G146" s="25">
        <f>_xlfn.XLOOKUP(B146, Rate_Master!$A:$A, Rate_Master!$C:$C, "")</f>
        <v>0</v>
      </c>
      <c r="H146" s="25">
        <f>_xlfn.XLOOKUP(B146, Rate_Master!$A:$A, Rate_Master!$D:$D, "")</f>
        <v>0</v>
      </c>
      <c r="I146" s="26"/>
      <c r="J146" s="26"/>
      <c r="K146" s="26"/>
      <c r="L146" s="26"/>
    </row>
    <row r="147" spans="1:12" s="4" customFormat="1" ht="51" hidden="1" customHeight="1" outlineLevel="1">
      <c r="A147" s="37" t="str">
        <f>$A$146&amp;"."&amp;ROW()-ROW($A$146)</f>
        <v>15A.F5.1</v>
      </c>
      <c r="B147" s="43" t="s">
        <v>144</v>
      </c>
      <c r="C147" s="38" t="s">
        <v>515</v>
      </c>
      <c r="D147" s="39" t="s">
        <v>517</v>
      </c>
      <c r="E147" s="40">
        <v>0</v>
      </c>
      <c r="F147" s="40">
        <v>0</v>
      </c>
      <c r="G147" s="40">
        <f>_xlfn.XLOOKUP(B147, Rate_Master!$A:$A, Rate_Master!$C:$C, "")</f>
        <v>161000</v>
      </c>
      <c r="H147" s="40">
        <f>_xlfn.XLOOKUP(B147, Rate_Master!$A:$A, Rate_Master!$D:$D, "")</f>
        <v>34500</v>
      </c>
      <c r="I147" s="41">
        <v>0</v>
      </c>
      <c r="J147" s="41">
        <f>I147*E147</f>
        <v>0</v>
      </c>
      <c r="K147" s="41">
        <f>I147*F147</f>
        <v>0</v>
      </c>
      <c r="L147" s="41"/>
    </row>
    <row r="148" spans="1:12" s="4" customFormat="1" ht="38.25" hidden="1" customHeight="1" outlineLevel="1">
      <c r="A148" s="37" t="str">
        <f>$A$146&amp;"."&amp;ROW()-ROW($A$146)</f>
        <v>15A.F5.2</v>
      </c>
      <c r="B148" s="43" t="s">
        <v>145</v>
      </c>
      <c r="C148" s="38" t="s">
        <v>515</v>
      </c>
      <c r="D148" s="39" t="s">
        <v>517</v>
      </c>
      <c r="E148" s="40">
        <v>0</v>
      </c>
      <c r="F148" s="40">
        <v>0</v>
      </c>
      <c r="G148" s="40">
        <f>_xlfn.XLOOKUP(B148, Rate_Master!$A:$A, Rate_Master!$C:$C, "")</f>
        <v>517499.99999999994</v>
      </c>
      <c r="H148" s="40">
        <f>_xlfn.XLOOKUP(B148, Rate_Master!$A:$A, Rate_Master!$D:$D, "")</f>
        <v>57499.999999999993</v>
      </c>
      <c r="I148" s="41">
        <v>0</v>
      </c>
      <c r="J148" s="41">
        <f>I148*E148</f>
        <v>0</v>
      </c>
      <c r="K148" s="41">
        <f>I148*F148</f>
        <v>0</v>
      </c>
      <c r="L148" s="41"/>
    </row>
    <row r="149" spans="1:12" s="4" customFormat="1" ht="38.25" hidden="1" customHeight="1" outlineLevel="1">
      <c r="A149" s="37" t="str">
        <f>$A$146&amp;"."&amp;ROW()-ROW($A$146)</f>
        <v>15A.F5.3</v>
      </c>
      <c r="B149" s="43" t="s">
        <v>146</v>
      </c>
      <c r="C149" s="38" t="s">
        <v>515</v>
      </c>
      <c r="D149" s="39" t="s">
        <v>517</v>
      </c>
      <c r="E149" s="40">
        <v>0</v>
      </c>
      <c r="F149" s="40">
        <v>0</v>
      </c>
      <c r="G149" s="40">
        <f>_xlfn.XLOOKUP(B149, Rate_Master!$A:$A, Rate_Master!$C:$C, "")</f>
        <v>632500</v>
      </c>
      <c r="H149" s="40">
        <f>_xlfn.XLOOKUP(B149, Rate_Master!$A:$A, Rate_Master!$D:$D, "")</f>
        <v>57499.999999999993</v>
      </c>
      <c r="I149" s="41">
        <v>0</v>
      </c>
      <c r="J149" s="41">
        <f>I149*E149</f>
        <v>0</v>
      </c>
      <c r="K149" s="41">
        <f>I149*F149</f>
        <v>0</v>
      </c>
      <c r="L149" s="41"/>
    </row>
    <row r="150" spans="1:12" s="3" customFormat="1" ht="25.5" customHeight="1" collapsed="1">
      <c r="A150" s="22" t="str">
        <f>$A$104&amp;6</f>
        <v>15A.F6</v>
      </c>
      <c r="B150" s="23" t="s">
        <v>147</v>
      </c>
      <c r="C150" s="23" t="s">
        <v>515</v>
      </c>
      <c r="D150" s="22"/>
      <c r="E150" s="25"/>
      <c r="F150" s="25"/>
      <c r="G150" s="25">
        <f>_xlfn.XLOOKUP(B150, Rate_Master!$A:$A, Rate_Master!$C:$C, "")</f>
        <v>0</v>
      </c>
      <c r="H150" s="25">
        <f>_xlfn.XLOOKUP(B150, Rate_Master!$A:$A, Rate_Master!$D:$D, "")</f>
        <v>0</v>
      </c>
      <c r="I150" s="26">
        <v>0</v>
      </c>
      <c r="J150" s="26">
        <f>SUBTOTAL(9,J151:J155)</f>
        <v>0</v>
      </c>
      <c r="K150" s="26">
        <f>SUBTOTAL(9,K151:K155)</f>
        <v>0</v>
      </c>
      <c r="L150" s="26"/>
    </row>
    <row r="151" spans="1:12" s="4" customFormat="1" ht="51" hidden="1" customHeight="1" outlineLevel="1">
      <c r="A151" s="37" t="str">
        <f>$A$150&amp;"."&amp;ROW()-ROW($A$150)</f>
        <v>15A.F6.1</v>
      </c>
      <c r="B151" s="43" t="s">
        <v>148</v>
      </c>
      <c r="C151" s="43" t="s">
        <v>515</v>
      </c>
      <c r="D151" s="39" t="s">
        <v>520</v>
      </c>
      <c r="E151" s="40">
        <v>0</v>
      </c>
      <c r="F151" s="40">
        <v>0</v>
      </c>
      <c r="G151" s="40">
        <f>_xlfn.XLOOKUP(B151, Rate_Master!$A:$A, Rate_Master!$C:$C, "")</f>
        <v>155000</v>
      </c>
      <c r="H151" s="40">
        <f>_xlfn.XLOOKUP(B151, Rate_Master!$A:$A, Rate_Master!$D:$D, "")</f>
        <v>45000</v>
      </c>
      <c r="I151" s="41">
        <v>0</v>
      </c>
      <c r="J151" s="41">
        <f>I151*E151</f>
        <v>0</v>
      </c>
      <c r="K151" s="41">
        <f>I151*F151</f>
        <v>0</v>
      </c>
      <c r="L151" s="41"/>
    </row>
    <row r="152" spans="1:12" s="4" customFormat="1" ht="25.5" hidden="1" customHeight="1" outlineLevel="1">
      <c r="A152" s="37" t="str">
        <f>$A$150&amp;"."&amp;ROW()-ROW($A$150)</f>
        <v>15A.F6.2</v>
      </c>
      <c r="B152" s="43" t="s">
        <v>149</v>
      </c>
      <c r="C152" s="43" t="s">
        <v>515</v>
      </c>
      <c r="D152" s="39" t="s">
        <v>520</v>
      </c>
      <c r="E152" s="40">
        <v>0</v>
      </c>
      <c r="F152" s="40">
        <v>0</v>
      </c>
      <c r="G152" s="40">
        <f>_xlfn.XLOOKUP(B152, Rate_Master!$A:$A, Rate_Master!$C:$C, "")</f>
        <v>310500</v>
      </c>
      <c r="H152" s="40">
        <f>_xlfn.XLOOKUP(B152, Rate_Master!$A:$A, Rate_Master!$D:$D, "")</f>
        <v>34500</v>
      </c>
      <c r="I152" s="41">
        <v>0</v>
      </c>
      <c r="J152" s="41">
        <f>I152*E152</f>
        <v>0</v>
      </c>
      <c r="K152" s="41">
        <f>I152*F152</f>
        <v>0</v>
      </c>
      <c r="L152" s="41"/>
    </row>
    <row r="153" spans="1:12" s="4" customFormat="1" ht="51" hidden="1" customHeight="1" outlineLevel="1">
      <c r="A153" s="37" t="str">
        <f>$A$150&amp;"."&amp;ROW()-ROW($A$150)</f>
        <v>15A.F6.3</v>
      </c>
      <c r="B153" s="43" t="s">
        <v>150</v>
      </c>
      <c r="C153" s="43" t="s">
        <v>515</v>
      </c>
      <c r="D153" s="39" t="s">
        <v>520</v>
      </c>
      <c r="E153" s="40">
        <v>0</v>
      </c>
      <c r="F153" s="40">
        <v>0</v>
      </c>
      <c r="G153" s="40">
        <f>_xlfn.XLOOKUP(B153, Rate_Master!$A:$A, Rate_Master!$C:$C, "")</f>
        <v>287500</v>
      </c>
      <c r="H153" s="40">
        <f>_xlfn.XLOOKUP(B153, Rate_Master!$A:$A, Rate_Master!$D:$D, "")</f>
        <v>69000</v>
      </c>
      <c r="I153" s="41">
        <v>0</v>
      </c>
      <c r="J153" s="41">
        <f>I153*E153</f>
        <v>0</v>
      </c>
      <c r="K153" s="41">
        <f>I153*F153</f>
        <v>0</v>
      </c>
      <c r="L153" s="41"/>
    </row>
    <row r="154" spans="1:12" s="4" customFormat="1" ht="51" hidden="1" customHeight="1" outlineLevel="1">
      <c r="A154" s="37" t="str">
        <f>$A$150&amp;"."&amp;ROW()-ROW($A$150)</f>
        <v>15A.F6.4</v>
      </c>
      <c r="B154" s="43" t="s">
        <v>151</v>
      </c>
      <c r="C154" s="43" t="s">
        <v>515</v>
      </c>
      <c r="D154" s="39" t="s">
        <v>520</v>
      </c>
      <c r="E154" s="40">
        <v>0</v>
      </c>
      <c r="F154" s="40">
        <v>0</v>
      </c>
      <c r="G154" s="40">
        <f>_xlfn.XLOOKUP(B154, Rate_Master!$A:$A, Rate_Master!$C:$C, "")</f>
        <v>23000</v>
      </c>
      <c r="H154" s="40">
        <f>_xlfn.XLOOKUP(B154, Rate_Master!$A:$A, Rate_Master!$D:$D, "")</f>
        <v>126499.99999999999</v>
      </c>
      <c r="I154" s="41">
        <v>0</v>
      </c>
      <c r="J154" s="41">
        <f>I154*E154</f>
        <v>0</v>
      </c>
      <c r="K154" s="41">
        <f>I154*F154</f>
        <v>0</v>
      </c>
      <c r="L154" s="41"/>
    </row>
    <row r="155" spans="1:12" s="4" customFormat="1" ht="63.75" hidden="1" customHeight="1" outlineLevel="1">
      <c r="A155" s="37" t="str">
        <f>$A$150&amp;"."&amp;ROW()-ROW($A$150)</f>
        <v>15A.F6.5</v>
      </c>
      <c r="B155" s="43" t="s">
        <v>152</v>
      </c>
      <c r="C155" s="43" t="s">
        <v>560</v>
      </c>
      <c r="D155" s="39" t="s">
        <v>517</v>
      </c>
      <c r="E155" s="40">
        <v>0</v>
      </c>
      <c r="F155" s="40">
        <v>0</v>
      </c>
      <c r="G155" s="40">
        <f>_xlfn.XLOOKUP(B155, Rate_Master!$A:$A, Rate_Master!$C:$C, "")</f>
        <v>155250</v>
      </c>
      <c r="H155" s="40">
        <f>_xlfn.XLOOKUP(B155, Rate_Master!$A:$A, Rate_Master!$D:$D, "")</f>
        <v>57499.999999999993</v>
      </c>
      <c r="I155" s="41"/>
      <c r="J155" s="41"/>
      <c r="K155" s="41"/>
      <c r="L155" s="41"/>
    </row>
    <row r="156" spans="1:12" s="3" customFormat="1" ht="25.5" customHeight="1" collapsed="1">
      <c r="A156" s="22" t="str">
        <f>$A$104&amp;7</f>
        <v>15A.F7</v>
      </c>
      <c r="B156" s="23" t="s">
        <v>84</v>
      </c>
      <c r="C156" s="23" t="s">
        <v>515</v>
      </c>
      <c r="D156" s="22"/>
      <c r="E156" s="25"/>
      <c r="F156" s="25"/>
      <c r="G156" s="25">
        <f>_xlfn.XLOOKUP(B156, Rate_Master!$A:$A, Rate_Master!$C:$C, "")</f>
        <v>0</v>
      </c>
      <c r="H156" s="25">
        <f>_xlfn.XLOOKUP(B156, Rate_Master!$A:$A, Rate_Master!$D:$D, "")</f>
        <v>0</v>
      </c>
      <c r="I156" s="26">
        <v>0</v>
      </c>
      <c r="J156" s="26">
        <f>SUBTOTAL(9,J158:J161)</f>
        <v>2399842839</v>
      </c>
      <c r="K156" s="26">
        <f>SUBTOTAL(9,K157:K161)</f>
        <v>3057968578.7999997</v>
      </c>
      <c r="L156" s="26"/>
    </row>
    <row r="157" spans="1:12" s="4" customFormat="1" ht="25.5" hidden="1" customHeight="1" outlineLevel="1">
      <c r="A157" s="27" t="str">
        <f>$A$156&amp;"."&amp;ROW()-ROW($A$156)</f>
        <v>15A.F7.1</v>
      </c>
      <c r="B157" s="34" t="s">
        <v>272</v>
      </c>
      <c r="C157" s="28" t="s">
        <v>515</v>
      </c>
      <c r="D157" s="29" t="s">
        <v>517</v>
      </c>
      <c r="E157" s="31">
        <v>5298.9189999999999</v>
      </c>
      <c r="F157" s="31">
        <v>5298.9189999999999</v>
      </c>
      <c r="G157" s="31">
        <f>_xlfn.XLOOKUP(B157, Rate_Master!$A:$A, Rate_Master!$C:$C, "")</f>
        <v>89700</v>
      </c>
      <c r="H157" s="31">
        <f>_xlfn.XLOOKUP(B157, Rate_Master!$A:$A, Rate_Master!$D:$D, "")</f>
        <v>34500</v>
      </c>
      <c r="I157" s="32">
        <f>+G157+H157</f>
        <v>124200</v>
      </c>
      <c r="J157" s="32">
        <f>I157*E157</f>
        <v>658125739.79999995</v>
      </c>
      <c r="K157" s="32">
        <f>I157*F157</f>
        <v>658125739.79999995</v>
      </c>
      <c r="L157" s="32"/>
    </row>
    <row r="158" spans="1:12" s="4" customFormat="1" ht="25.5" hidden="1" customHeight="1" outlineLevel="1">
      <c r="A158" s="27" t="str">
        <f>$A$156&amp;"."&amp;ROW()-ROW($A$156)</f>
        <v>15A.F7.2</v>
      </c>
      <c r="B158" s="34" t="s">
        <v>273</v>
      </c>
      <c r="C158" s="28" t="s">
        <v>515</v>
      </c>
      <c r="D158" s="29" t="s">
        <v>517</v>
      </c>
      <c r="E158" s="31">
        <v>5.65</v>
      </c>
      <c r="F158" s="31">
        <v>5.65</v>
      </c>
      <c r="G158" s="31">
        <f>_xlfn.XLOOKUP(B158, Rate_Master!$A:$A, Rate_Master!$C:$C, "")</f>
        <v>184000</v>
      </c>
      <c r="H158" s="31">
        <f>_xlfn.XLOOKUP(B158, Rate_Master!$A:$A, Rate_Master!$D:$D, "")</f>
        <v>71300</v>
      </c>
      <c r="I158" s="32">
        <f>+G158+H158</f>
        <v>255300</v>
      </c>
      <c r="J158" s="32">
        <f>I158*E158</f>
        <v>1442445</v>
      </c>
      <c r="K158" s="32">
        <f>I158*F158</f>
        <v>1442445</v>
      </c>
      <c r="L158" s="32"/>
    </row>
    <row r="159" spans="1:12" s="4" customFormat="1" ht="25.5" hidden="1" customHeight="1" outlineLevel="1">
      <c r="A159" s="27" t="str">
        <f>$A$156&amp;"."&amp;ROW()-ROW($A$156)</f>
        <v>15A.F7.3</v>
      </c>
      <c r="B159" s="48" t="s">
        <v>274</v>
      </c>
      <c r="C159" s="28" t="s">
        <v>515</v>
      </c>
      <c r="D159" s="50" t="s">
        <v>517</v>
      </c>
      <c r="E159" s="31">
        <v>613.82100000000003</v>
      </c>
      <c r="F159" s="31">
        <v>613.82100000000003</v>
      </c>
      <c r="G159" s="31">
        <f>_xlfn.XLOOKUP(B159, Rate_Master!$A:$A, Rate_Master!$C:$C, "")</f>
        <v>2627750</v>
      </c>
      <c r="H159" s="31">
        <f>_xlfn.XLOOKUP(B159, Rate_Master!$A:$A, Rate_Master!$D:$D, "")</f>
        <v>1022349.9999999999</v>
      </c>
      <c r="I159" s="72">
        <f>+G159+H159</f>
        <v>3650100</v>
      </c>
      <c r="J159" s="32">
        <f>I159*E159</f>
        <v>2240508032.0999999</v>
      </c>
      <c r="K159" s="32">
        <f>I159*F159</f>
        <v>2240508032.0999999</v>
      </c>
      <c r="L159" s="32"/>
    </row>
    <row r="160" spans="1:12" s="4" customFormat="1" ht="51" hidden="1" customHeight="1" outlineLevel="1">
      <c r="A160" s="27" t="str">
        <f>$A$156&amp;"."&amp;ROW()-ROW($A$156)</f>
        <v>15A.F7.4</v>
      </c>
      <c r="B160" s="51" t="s">
        <v>275</v>
      </c>
      <c r="C160" s="28" t="s">
        <v>515</v>
      </c>
      <c r="D160" s="50" t="s">
        <v>517</v>
      </c>
      <c r="E160" s="31">
        <v>613.82100000000003</v>
      </c>
      <c r="F160" s="31">
        <v>613.82100000000003</v>
      </c>
      <c r="G160" s="31">
        <f>_xlfn.XLOOKUP(B160, Rate_Master!$A:$A, Rate_Master!$C:$C, "")</f>
        <v>184000</v>
      </c>
      <c r="H160" s="31">
        <f>_xlfn.XLOOKUP(B160, Rate_Master!$A:$A, Rate_Master!$D:$D, "")</f>
        <v>71300</v>
      </c>
      <c r="I160" s="32">
        <f>+G160+H160</f>
        <v>255300</v>
      </c>
      <c r="J160" s="32">
        <f>I160*E160</f>
        <v>156708501.30000001</v>
      </c>
      <c r="K160" s="32">
        <f>I160*F160</f>
        <v>156708501.30000001</v>
      </c>
      <c r="L160" s="32"/>
    </row>
    <row r="161" spans="1:12" s="4" customFormat="1" ht="25.5" hidden="1" customHeight="1" outlineLevel="1">
      <c r="A161" s="27" t="str">
        <f>$A$156&amp;"."&amp;ROW()-ROW($A$156)</f>
        <v>15A.F7.5</v>
      </c>
      <c r="B161" s="51" t="s">
        <v>276</v>
      </c>
      <c r="C161" s="28"/>
      <c r="D161" s="29" t="s">
        <v>520</v>
      </c>
      <c r="E161" s="31">
        <v>26.396000000000001</v>
      </c>
      <c r="F161" s="31">
        <v>26.396000000000001</v>
      </c>
      <c r="G161" s="31">
        <f>_xlfn.XLOOKUP(B161, Rate_Master!$A:$A, Rate_Master!$C:$C, "")</f>
        <v>32199.999999999996</v>
      </c>
      <c r="H161" s="31">
        <f>_xlfn.XLOOKUP(B161, Rate_Master!$A:$A, Rate_Master!$D:$D, "")</f>
        <v>12649.999999999998</v>
      </c>
      <c r="I161" s="32">
        <f>+G161+H161</f>
        <v>44849.999999999993</v>
      </c>
      <c r="J161" s="32">
        <f>I161*E161</f>
        <v>1183860.5999999999</v>
      </c>
      <c r="K161" s="32">
        <f>I161*F161</f>
        <v>1183860.5999999999</v>
      </c>
      <c r="L161" s="32"/>
    </row>
    <row r="162" spans="1:12" collapsed="1">
      <c r="F162" s="8"/>
    </row>
  </sheetData>
  <mergeCells count="5">
    <mergeCell ref="C5:L5"/>
    <mergeCell ref="C4:L4"/>
    <mergeCell ref="C3:L3"/>
    <mergeCell ref="C7:L7"/>
    <mergeCell ref="C6:L6"/>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pageSetUpPr fitToPage="1"/>
  </sheetPr>
  <dimension ref="A1:K164"/>
  <sheetViews>
    <sheetView topLeftCell="A8" workbookViewId="0">
      <pane ySplit="1" topLeftCell="A9" activePane="bottomLeft" state="frozen"/>
      <selection activeCell="A8" sqref="A8"/>
      <selection pane="bottomLeft" activeCell="I11" sqref="I11"/>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7" width="14" style="8" customWidth="1" outlineLevel="1"/>
    <col min="8" max="10" width="14" style="9" customWidth="1"/>
    <col min="11" max="11" width="11.25" style="6" customWidth="1"/>
    <col min="12" max="229" width="9.125" style="6" customWidth="1"/>
    <col min="230" max="230" width="6.375" style="6" customWidth="1"/>
    <col min="231" max="231" width="34.25" style="6" customWidth="1"/>
    <col min="232" max="232" width="7.375" style="6" customWidth="1"/>
    <col min="233" max="233" width="6.375" style="6" customWidth="1"/>
    <col min="234" max="234" width="13.125" style="6" customWidth="1"/>
    <col min="235" max="235" width="15.375" style="6" customWidth="1"/>
    <col min="236" max="236" width="21.25" style="6" customWidth="1"/>
    <col min="237" max="485" width="9.125" style="6" customWidth="1"/>
    <col min="486" max="486" width="6.375" style="6" customWidth="1"/>
    <col min="487" max="487" width="34.25" style="6" customWidth="1"/>
    <col min="488" max="488" width="7.375" style="6" customWidth="1"/>
    <col min="489" max="489" width="6.375" style="6" customWidth="1"/>
    <col min="490" max="490" width="13.125" style="6" customWidth="1"/>
    <col min="491" max="491" width="15.375" style="6" customWidth="1"/>
    <col min="492" max="492" width="21.25" style="6" customWidth="1"/>
    <col min="493" max="741" width="9.125" style="6" customWidth="1"/>
    <col min="742" max="742" width="6.375" style="6" customWidth="1"/>
    <col min="743" max="743" width="34.25" style="6" customWidth="1"/>
    <col min="744" max="744" width="7.375" style="6" customWidth="1"/>
    <col min="745" max="745" width="6.375" style="6" customWidth="1"/>
    <col min="746" max="746" width="13.125" style="6" customWidth="1"/>
    <col min="747" max="747" width="15.375" style="6" customWidth="1"/>
    <col min="748" max="748" width="21.25" style="6" customWidth="1"/>
    <col min="749" max="997" width="9.125" style="6" customWidth="1"/>
    <col min="998" max="998" width="6.375" style="6" customWidth="1"/>
    <col min="999" max="999" width="34.25" style="6" customWidth="1"/>
    <col min="1000" max="1000" width="7.375" style="6" customWidth="1"/>
    <col min="1001" max="1001" width="6.375" style="6" customWidth="1"/>
    <col min="1002" max="1002" width="13.125" style="6" customWidth="1"/>
    <col min="1003" max="1003" width="15.375" style="6" customWidth="1"/>
    <col min="1004" max="1004" width="21.25" style="6" customWidth="1"/>
    <col min="1005" max="1253" width="9.125" style="6" customWidth="1"/>
    <col min="1254" max="1254" width="6.375" style="6" customWidth="1"/>
    <col min="1255" max="1255" width="34.25" style="6" customWidth="1"/>
    <col min="1256" max="1256" width="7.375" style="6" customWidth="1"/>
    <col min="1257" max="1257" width="6.375" style="6" customWidth="1"/>
    <col min="1258" max="1258" width="13.125" style="6" customWidth="1"/>
    <col min="1259" max="1259" width="15.375" style="6" customWidth="1"/>
    <col min="1260" max="1260" width="21.25" style="6" customWidth="1"/>
    <col min="1261" max="1509" width="9.125" style="6" customWidth="1"/>
    <col min="1510" max="1510" width="6.375" style="6" customWidth="1"/>
    <col min="1511" max="1511" width="34.25" style="6" customWidth="1"/>
    <col min="1512" max="1512" width="7.375" style="6" customWidth="1"/>
    <col min="1513" max="1513" width="6.375" style="6" customWidth="1"/>
    <col min="1514" max="1514" width="13.125" style="6" customWidth="1"/>
    <col min="1515" max="1515" width="15.375" style="6" customWidth="1"/>
    <col min="1516" max="1516" width="21.25" style="6" customWidth="1"/>
    <col min="1517" max="1765" width="9.125" style="6" customWidth="1"/>
    <col min="1766" max="1766" width="6.375" style="6" customWidth="1"/>
    <col min="1767" max="1767" width="34.25" style="6" customWidth="1"/>
    <col min="1768" max="1768" width="7.375" style="6" customWidth="1"/>
    <col min="1769" max="1769" width="6.375" style="6" customWidth="1"/>
    <col min="1770" max="1770" width="13.125" style="6" customWidth="1"/>
    <col min="1771" max="1771" width="15.375" style="6" customWidth="1"/>
    <col min="1772" max="1772" width="21.25" style="6" customWidth="1"/>
    <col min="1773" max="2021" width="9.125" style="6" customWidth="1"/>
    <col min="2022" max="2022" width="6.375" style="6" customWidth="1"/>
    <col min="2023" max="2023" width="34.25" style="6" customWidth="1"/>
    <col min="2024" max="2024" width="7.375" style="6" customWidth="1"/>
    <col min="2025" max="2025" width="6.375" style="6" customWidth="1"/>
    <col min="2026" max="2026" width="13.125" style="6" customWidth="1"/>
    <col min="2027" max="2027" width="15.375" style="6" customWidth="1"/>
    <col min="2028" max="2028" width="21.25" style="6" customWidth="1"/>
    <col min="2029" max="2277" width="9.125" style="6" customWidth="1"/>
    <col min="2278" max="2278" width="6.375" style="6" customWidth="1"/>
    <col min="2279" max="2279" width="34.25" style="6" customWidth="1"/>
    <col min="2280" max="2280" width="7.375" style="6" customWidth="1"/>
    <col min="2281" max="2281" width="6.375" style="6" customWidth="1"/>
    <col min="2282" max="2282" width="13.125" style="6" customWidth="1"/>
    <col min="2283" max="2283" width="15.375" style="6" customWidth="1"/>
    <col min="2284" max="2284" width="21.25" style="6" customWidth="1"/>
    <col min="2285" max="2533" width="9.125" style="6" customWidth="1"/>
    <col min="2534" max="2534" width="6.375" style="6" customWidth="1"/>
    <col min="2535" max="2535" width="34.25" style="6" customWidth="1"/>
    <col min="2536" max="2536" width="7.375" style="6" customWidth="1"/>
    <col min="2537" max="2537" width="6.375" style="6" customWidth="1"/>
    <col min="2538" max="2538" width="13.125" style="6" customWidth="1"/>
    <col min="2539" max="2539" width="15.375" style="6" customWidth="1"/>
    <col min="2540" max="2540" width="21.25" style="6" customWidth="1"/>
    <col min="2541" max="2789" width="9.125" style="6" customWidth="1"/>
    <col min="2790" max="2790" width="6.375" style="6" customWidth="1"/>
    <col min="2791" max="2791" width="34.25" style="6" customWidth="1"/>
    <col min="2792" max="2792" width="7.375" style="6" customWidth="1"/>
    <col min="2793" max="2793" width="6.375" style="6" customWidth="1"/>
    <col min="2794" max="2794" width="13.125" style="6" customWidth="1"/>
    <col min="2795" max="2795" width="15.375" style="6" customWidth="1"/>
    <col min="2796" max="2796" width="21.25" style="6" customWidth="1"/>
    <col min="2797" max="3045" width="9.125" style="6" customWidth="1"/>
    <col min="3046" max="3046" width="6.375" style="6" customWidth="1"/>
    <col min="3047" max="3047" width="34.25" style="6" customWidth="1"/>
    <col min="3048" max="3048" width="7.375" style="6" customWidth="1"/>
    <col min="3049" max="3049" width="6.375" style="6" customWidth="1"/>
    <col min="3050" max="3050" width="13.125" style="6" customWidth="1"/>
    <col min="3051" max="3051" width="15.375" style="6" customWidth="1"/>
    <col min="3052" max="3052" width="21.25" style="6" customWidth="1"/>
    <col min="3053" max="3301" width="9.125" style="6" customWidth="1"/>
    <col min="3302" max="3302" width="6.375" style="6" customWidth="1"/>
    <col min="3303" max="3303" width="34.25" style="6" customWidth="1"/>
    <col min="3304" max="3304" width="7.375" style="6" customWidth="1"/>
    <col min="3305" max="3305" width="6.375" style="6" customWidth="1"/>
    <col min="3306" max="3306" width="13.125" style="6" customWidth="1"/>
    <col min="3307" max="3307" width="15.375" style="6" customWidth="1"/>
    <col min="3308" max="3308" width="21.25" style="6" customWidth="1"/>
    <col min="3309" max="3557" width="9.125" style="6" customWidth="1"/>
    <col min="3558" max="3558" width="6.375" style="6" customWidth="1"/>
    <col min="3559" max="3559" width="34.25" style="6" customWidth="1"/>
    <col min="3560" max="3560" width="7.375" style="6" customWidth="1"/>
    <col min="3561" max="3561" width="6.375" style="6" customWidth="1"/>
    <col min="3562" max="3562" width="13.125" style="6" customWidth="1"/>
    <col min="3563" max="3563" width="15.375" style="6" customWidth="1"/>
    <col min="3564" max="3564" width="21.25" style="6" customWidth="1"/>
    <col min="3565" max="3813" width="9.125" style="6" customWidth="1"/>
    <col min="3814" max="3814" width="6.375" style="6" customWidth="1"/>
    <col min="3815" max="3815" width="34.25" style="6" customWidth="1"/>
    <col min="3816" max="3816" width="7.375" style="6" customWidth="1"/>
    <col min="3817" max="3817" width="6.375" style="6" customWidth="1"/>
    <col min="3818" max="3818" width="13.125" style="6" customWidth="1"/>
    <col min="3819" max="3819" width="15.375" style="6" customWidth="1"/>
    <col min="3820" max="3820" width="21.25" style="6" customWidth="1"/>
    <col min="3821" max="4069" width="9.125" style="6" customWidth="1"/>
    <col min="4070" max="4070" width="6.375" style="6" customWidth="1"/>
    <col min="4071" max="4071" width="34.25" style="6" customWidth="1"/>
    <col min="4072" max="4072" width="7.375" style="6" customWidth="1"/>
    <col min="4073" max="4073" width="6.375" style="6" customWidth="1"/>
    <col min="4074" max="4074" width="13.125" style="6" customWidth="1"/>
    <col min="4075" max="4075" width="15.375" style="6" customWidth="1"/>
    <col min="4076" max="4076" width="21.25" style="6" customWidth="1"/>
    <col min="4077" max="4325" width="9.125" style="6" customWidth="1"/>
    <col min="4326" max="4326" width="6.375" style="6" customWidth="1"/>
    <col min="4327" max="4327" width="34.25" style="6" customWidth="1"/>
    <col min="4328" max="4328" width="7.375" style="6" customWidth="1"/>
    <col min="4329" max="4329" width="6.375" style="6" customWidth="1"/>
    <col min="4330" max="4330" width="13.125" style="6" customWidth="1"/>
    <col min="4331" max="4331" width="15.375" style="6" customWidth="1"/>
    <col min="4332" max="4332" width="21.25" style="6" customWidth="1"/>
    <col min="4333" max="4581" width="9.125" style="6" customWidth="1"/>
    <col min="4582" max="4582" width="6.375" style="6" customWidth="1"/>
    <col min="4583" max="4583" width="34.25" style="6" customWidth="1"/>
    <col min="4584" max="4584" width="7.375" style="6" customWidth="1"/>
    <col min="4585" max="4585" width="6.375" style="6" customWidth="1"/>
    <col min="4586" max="4586" width="13.125" style="6" customWidth="1"/>
    <col min="4587" max="4587" width="15.375" style="6" customWidth="1"/>
    <col min="4588" max="4588" width="21.25" style="6" customWidth="1"/>
    <col min="4589" max="4837" width="9.125" style="6" customWidth="1"/>
    <col min="4838" max="4838" width="6.375" style="6" customWidth="1"/>
    <col min="4839" max="4839" width="34.25" style="6" customWidth="1"/>
    <col min="4840" max="4840" width="7.375" style="6" customWidth="1"/>
    <col min="4841" max="4841" width="6.375" style="6" customWidth="1"/>
    <col min="4842" max="4842" width="13.125" style="6" customWidth="1"/>
    <col min="4843" max="4843" width="15.375" style="6" customWidth="1"/>
    <col min="4844" max="4844" width="21.25" style="6" customWidth="1"/>
    <col min="4845" max="5093" width="9.125" style="6" customWidth="1"/>
    <col min="5094" max="5094" width="6.375" style="6" customWidth="1"/>
    <col min="5095" max="5095" width="34.25" style="6" customWidth="1"/>
    <col min="5096" max="5096" width="7.375" style="6" customWidth="1"/>
    <col min="5097" max="5097" width="6.375" style="6" customWidth="1"/>
    <col min="5098" max="5098" width="13.125" style="6" customWidth="1"/>
    <col min="5099" max="5099" width="15.375" style="6" customWidth="1"/>
    <col min="5100" max="5100" width="21.25" style="6" customWidth="1"/>
    <col min="5101" max="5349" width="9.125" style="6" customWidth="1"/>
    <col min="5350" max="5350" width="6.375" style="6" customWidth="1"/>
    <col min="5351" max="5351" width="34.25" style="6" customWidth="1"/>
    <col min="5352" max="5352" width="7.375" style="6" customWidth="1"/>
    <col min="5353" max="5353" width="6.375" style="6" customWidth="1"/>
    <col min="5354" max="5354" width="13.125" style="6" customWidth="1"/>
    <col min="5355" max="5355" width="15.375" style="6" customWidth="1"/>
    <col min="5356" max="5356" width="21.25" style="6" customWidth="1"/>
    <col min="5357" max="5605" width="9.125" style="6" customWidth="1"/>
    <col min="5606" max="5606" width="6.375" style="6" customWidth="1"/>
    <col min="5607" max="5607" width="34.25" style="6" customWidth="1"/>
    <col min="5608" max="5608" width="7.375" style="6" customWidth="1"/>
    <col min="5609" max="5609" width="6.375" style="6" customWidth="1"/>
    <col min="5610" max="5610" width="13.125" style="6" customWidth="1"/>
    <col min="5611" max="5611" width="15.375" style="6" customWidth="1"/>
    <col min="5612" max="5612" width="21.25" style="6" customWidth="1"/>
    <col min="5613" max="5861" width="9.125" style="6" customWidth="1"/>
    <col min="5862" max="5862" width="6.375" style="6" customWidth="1"/>
    <col min="5863" max="5863" width="34.25" style="6" customWidth="1"/>
    <col min="5864" max="5864" width="7.375" style="6" customWidth="1"/>
    <col min="5865" max="5865" width="6.375" style="6" customWidth="1"/>
    <col min="5866" max="5866" width="13.125" style="6" customWidth="1"/>
    <col min="5867" max="5867" width="15.375" style="6" customWidth="1"/>
    <col min="5868" max="5868" width="21.25" style="6" customWidth="1"/>
    <col min="5869" max="6117" width="9.125" style="6" customWidth="1"/>
    <col min="6118" max="6118" width="6.375" style="6" customWidth="1"/>
    <col min="6119" max="6119" width="34.25" style="6" customWidth="1"/>
    <col min="6120" max="6120" width="7.375" style="6" customWidth="1"/>
    <col min="6121" max="6121" width="6.375" style="6" customWidth="1"/>
    <col min="6122" max="6122" width="13.125" style="6" customWidth="1"/>
    <col min="6123" max="6123" width="15.375" style="6" customWidth="1"/>
    <col min="6124" max="6124" width="21.25" style="6" customWidth="1"/>
    <col min="6125" max="6373" width="9.125" style="6" customWidth="1"/>
    <col min="6374" max="6374" width="6.375" style="6" customWidth="1"/>
    <col min="6375" max="6375" width="34.25" style="6" customWidth="1"/>
    <col min="6376" max="6376" width="7.375" style="6" customWidth="1"/>
    <col min="6377" max="6377" width="6.375" style="6" customWidth="1"/>
    <col min="6378" max="6378" width="13.125" style="6" customWidth="1"/>
    <col min="6379" max="6379" width="15.375" style="6" customWidth="1"/>
    <col min="6380" max="6380" width="21.25" style="6" customWidth="1"/>
    <col min="6381" max="6629" width="9.125" style="6" customWidth="1"/>
    <col min="6630" max="6630" width="6.375" style="6" customWidth="1"/>
    <col min="6631" max="6631" width="34.25" style="6" customWidth="1"/>
    <col min="6632" max="6632" width="7.375" style="6" customWidth="1"/>
    <col min="6633" max="6633" width="6.375" style="6" customWidth="1"/>
    <col min="6634" max="6634" width="13.125" style="6" customWidth="1"/>
    <col min="6635" max="6635" width="15.375" style="6" customWidth="1"/>
    <col min="6636" max="6636" width="21.25" style="6" customWidth="1"/>
    <col min="6637" max="6885" width="9.125" style="6" customWidth="1"/>
    <col min="6886" max="6886" width="6.375" style="6" customWidth="1"/>
    <col min="6887" max="6887" width="34.25" style="6" customWidth="1"/>
    <col min="6888" max="6888" width="7.375" style="6" customWidth="1"/>
    <col min="6889" max="6889" width="6.375" style="6" customWidth="1"/>
    <col min="6890" max="6890" width="13.125" style="6" customWidth="1"/>
    <col min="6891" max="6891" width="15.375" style="6" customWidth="1"/>
    <col min="6892" max="6892" width="21.25" style="6" customWidth="1"/>
    <col min="6893" max="7141" width="9.125" style="6" customWidth="1"/>
    <col min="7142" max="7142" width="6.375" style="6" customWidth="1"/>
    <col min="7143" max="7143" width="34.25" style="6" customWidth="1"/>
    <col min="7144" max="7144" width="7.375" style="6" customWidth="1"/>
    <col min="7145" max="7145" width="6.375" style="6" customWidth="1"/>
    <col min="7146" max="7146" width="13.125" style="6" customWidth="1"/>
    <col min="7147" max="7147" width="15.375" style="6" customWidth="1"/>
    <col min="7148" max="7148" width="21.25" style="6" customWidth="1"/>
    <col min="7149" max="7397" width="9.125" style="6" customWidth="1"/>
    <col min="7398" max="7398" width="6.375" style="6" customWidth="1"/>
    <col min="7399" max="7399" width="34.25" style="6" customWidth="1"/>
    <col min="7400" max="7400" width="7.375" style="6" customWidth="1"/>
    <col min="7401" max="7401" width="6.375" style="6" customWidth="1"/>
    <col min="7402" max="7402" width="13.125" style="6" customWidth="1"/>
    <col min="7403" max="7403" width="15.375" style="6" customWidth="1"/>
    <col min="7404" max="7404" width="21.25" style="6" customWidth="1"/>
    <col min="7405" max="7653" width="9.125" style="6" customWidth="1"/>
    <col min="7654" max="7654" width="6.375" style="6" customWidth="1"/>
    <col min="7655" max="7655" width="34.25" style="6" customWidth="1"/>
    <col min="7656" max="7656" width="7.375" style="6" customWidth="1"/>
    <col min="7657" max="7657" width="6.375" style="6" customWidth="1"/>
    <col min="7658" max="7658" width="13.125" style="6" customWidth="1"/>
    <col min="7659" max="7659" width="15.375" style="6" customWidth="1"/>
    <col min="7660" max="7660" width="21.25" style="6" customWidth="1"/>
    <col min="7661" max="7909" width="9.125" style="6" customWidth="1"/>
    <col min="7910" max="7910" width="6.375" style="6" customWidth="1"/>
    <col min="7911" max="7911" width="34.25" style="6" customWidth="1"/>
    <col min="7912" max="7912" width="7.375" style="6" customWidth="1"/>
    <col min="7913" max="7913" width="6.375" style="6" customWidth="1"/>
    <col min="7914" max="7914" width="13.125" style="6" customWidth="1"/>
    <col min="7915" max="7915" width="15.375" style="6" customWidth="1"/>
    <col min="7916" max="7916" width="21.25" style="6" customWidth="1"/>
    <col min="7917" max="8165" width="9.125" style="6" customWidth="1"/>
    <col min="8166" max="8166" width="6.375" style="6" customWidth="1"/>
    <col min="8167" max="8167" width="34.25" style="6" customWidth="1"/>
    <col min="8168" max="8168" width="7.375" style="6" customWidth="1"/>
    <col min="8169" max="8169" width="6.375" style="6" customWidth="1"/>
    <col min="8170" max="8170" width="13.125" style="6" customWidth="1"/>
    <col min="8171" max="8171" width="15.375" style="6" customWidth="1"/>
    <col min="8172" max="8172" width="21.25" style="6" customWidth="1"/>
    <col min="8173" max="8421" width="9.125" style="6" customWidth="1"/>
    <col min="8422" max="8422" width="6.375" style="6" customWidth="1"/>
    <col min="8423" max="8423" width="34.25" style="6" customWidth="1"/>
    <col min="8424" max="8424" width="7.375" style="6" customWidth="1"/>
    <col min="8425" max="8425" width="6.375" style="6" customWidth="1"/>
    <col min="8426" max="8426" width="13.125" style="6" customWidth="1"/>
    <col min="8427" max="8427" width="15.375" style="6" customWidth="1"/>
    <col min="8428" max="8428" width="21.25" style="6" customWidth="1"/>
    <col min="8429" max="8677" width="9.125" style="6" customWidth="1"/>
    <col min="8678" max="8678" width="6.375" style="6" customWidth="1"/>
    <col min="8679" max="8679" width="34.25" style="6" customWidth="1"/>
    <col min="8680" max="8680" width="7.375" style="6" customWidth="1"/>
    <col min="8681" max="8681" width="6.375" style="6" customWidth="1"/>
    <col min="8682" max="8682" width="13.125" style="6" customWidth="1"/>
    <col min="8683" max="8683" width="15.375" style="6" customWidth="1"/>
    <col min="8684" max="8684" width="21.25" style="6" customWidth="1"/>
    <col min="8685" max="8933" width="9.125" style="6" customWidth="1"/>
    <col min="8934" max="8934" width="6.375" style="6" customWidth="1"/>
    <col min="8935" max="8935" width="34.25" style="6" customWidth="1"/>
    <col min="8936" max="8936" width="7.375" style="6" customWidth="1"/>
    <col min="8937" max="8937" width="6.375" style="6" customWidth="1"/>
    <col min="8938" max="8938" width="13.125" style="6" customWidth="1"/>
    <col min="8939" max="8939" width="15.375" style="6" customWidth="1"/>
    <col min="8940" max="8940" width="21.25" style="6" customWidth="1"/>
    <col min="8941" max="9189" width="9.125" style="6" customWidth="1"/>
    <col min="9190" max="9190" width="6.375" style="6" customWidth="1"/>
    <col min="9191" max="9191" width="34.25" style="6" customWidth="1"/>
    <col min="9192" max="9192" width="7.375" style="6" customWidth="1"/>
    <col min="9193" max="9193" width="6.375" style="6" customWidth="1"/>
    <col min="9194" max="9194" width="13.125" style="6" customWidth="1"/>
    <col min="9195" max="9195" width="15.375" style="6" customWidth="1"/>
    <col min="9196" max="9196" width="21.25" style="6" customWidth="1"/>
    <col min="9197" max="9445" width="9.125" style="6" customWidth="1"/>
    <col min="9446" max="9446" width="6.375" style="6" customWidth="1"/>
    <col min="9447" max="9447" width="34.25" style="6" customWidth="1"/>
    <col min="9448" max="9448" width="7.375" style="6" customWidth="1"/>
    <col min="9449" max="9449" width="6.375" style="6" customWidth="1"/>
    <col min="9450" max="9450" width="13.125" style="6" customWidth="1"/>
    <col min="9451" max="9451" width="15.375" style="6" customWidth="1"/>
    <col min="9452" max="9452" width="21.25" style="6" customWidth="1"/>
    <col min="9453" max="9701" width="9.125" style="6" customWidth="1"/>
    <col min="9702" max="9702" width="6.375" style="6" customWidth="1"/>
    <col min="9703" max="9703" width="34.25" style="6" customWidth="1"/>
    <col min="9704" max="9704" width="7.375" style="6" customWidth="1"/>
    <col min="9705" max="9705" width="6.375" style="6" customWidth="1"/>
    <col min="9706" max="9706" width="13.125" style="6" customWidth="1"/>
    <col min="9707" max="9707" width="15.375" style="6" customWidth="1"/>
    <col min="9708" max="9708" width="21.25" style="6" customWidth="1"/>
    <col min="9709" max="9957" width="9.125" style="6" customWidth="1"/>
    <col min="9958" max="9958" width="6.375" style="6" customWidth="1"/>
    <col min="9959" max="9959" width="34.25" style="6" customWidth="1"/>
    <col min="9960" max="9960" width="7.375" style="6" customWidth="1"/>
    <col min="9961" max="9961" width="6.375" style="6" customWidth="1"/>
    <col min="9962" max="9962" width="13.125" style="6" customWidth="1"/>
    <col min="9963" max="9963" width="15.375" style="6" customWidth="1"/>
    <col min="9964" max="9964" width="21.25" style="6" customWidth="1"/>
    <col min="9965" max="10213" width="9.125" style="6" customWidth="1"/>
    <col min="10214" max="10214" width="6.375" style="6" customWidth="1"/>
    <col min="10215" max="10215" width="34.25" style="6" customWidth="1"/>
    <col min="10216" max="10216" width="7.375" style="6" customWidth="1"/>
    <col min="10217" max="10217" width="6.375" style="6" customWidth="1"/>
    <col min="10218" max="10218" width="13.125" style="6" customWidth="1"/>
    <col min="10219" max="10219" width="15.375" style="6" customWidth="1"/>
    <col min="10220" max="10220" width="21.25" style="6" customWidth="1"/>
    <col min="10221" max="10469" width="9.125" style="6" customWidth="1"/>
    <col min="10470" max="10470" width="6.375" style="6" customWidth="1"/>
    <col min="10471" max="10471" width="34.25" style="6" customWidth="1"/>
    <col min="10472" max="10472" width="7.375" style="6" customWidth="1"/>
    <col min="10473" max="10473" width="6.375" style="6" customWidth="1"/>
    <col min="10474" max="10474" width="13.125" style="6" customWidth="1"/>
    <col min="10475" max="10475" width="15.375" style="6" customWidth="1"/>
    <col min="10476" max="10476" width="21.25" style="6" customWidth="1"/>
    <col min="10477" max="10725" width="9.125" style="6" customWidth="1"/>
    <col min="10726" max="10726" width="6.375" style="6" customWidth="1"/>
    <col min="10727" max="10727" width="34.25" style="6" customWidth="1"/>
    <col min="10728" max="10728" width="7.375" style="6" customWidth="1"/>
    <col min="10729" max="10729" width="6.375" style="6" customWidth="1"/>
    <col min="10730" max="10730" width="13.125" style="6" customWidth="1"/>
    <col min="10731" max="10731" width="15.375" style="6" customWidth="1"/>
    <col min="10732" max="10732" width="21.25" style="6" customWidth="1"/>
    <col min="10733" max="10981" width="9.125" style="6" customWidth="1"/>
    <col min="10982" max="10982" width="6.375" style="6" customWidth="1"/>
    <col min="10983" max="10983" width="34.25" style="6" customWidth="1"/>
    <col min="10984" max="10984" width="7.375" style="6" customWidth="1"/>
    <col min="10985" max="10985" width="6.375" style="6" customWidth="1"/>
    <col min="10986" max="10986" width="13.125" style="6" customWidth="1"/>
    <col min="10987" max="10987" width="15.375" style="6" customWidth="1"/>
    <col min="10988" max="10988" width="21.25" style="6" customWidth="1"/>
    <col min="10989" max="11237" width="9.125" style="6" customWidth="1"/>
    <col min="11238" max="11238" width="6.375" style="6" customWidth="1"/>
    <col min="11239" max="11239" width="34.25" style="6" customWidth="1"/>
    <col min="11240" max="11240" width="7.375" style="6" customWidth="1"/>
    <col min="11241" max="11241" width="6.375" style="6" customWidth="1"/>
    <col min="11242" max="11242" width="13.125" style="6" customWidth="1"/>
    <col min="11243" max="11243" width="15.375" style="6" customWidth="1"/>
    <col min="11244" max="11244" width="21.25" style="6" customWidth="1"/>
    <col min="11245" max="11493" width="9.125" style="6" customWidth="1"/>
    <col min="11494" max="11494" width="6.375" style="6" customWidth="1"/>
    <col min="11495" max="11495" width="34.25" style="6" customWidth="1"/>
    <col min="11496" max="11496" width="7.375" style="6" customWidth="1"/>
    <col min="11497" max="11497" width="6.375" style="6" customWidth="1"/>
    <col min="11498" max="11498" width="13.125" style="6" customWidth="1"/>
    <col min="11499" max="11499" width="15.375" style="6" customWidth="1"/>
    <col min="11500" max="11500" width="21.25" style="6" customWidth="1"/>
    <col min="11501" max="11749" width="9.125" style="6" customWidth="1"/>
    <col min="11750" max="11750" width="6.375" style="6" customWidth="1"/>
    <col min="11751" max="11751" width="34.25" style="6" customWidth="1"/>
    <col min="11752" max="11752" width="7.375" style="6" customWidth="1"/>
    <col min="11753" max="11753" width="6.375" style="6" customWidth="1"/>
    <col min="11754" max="11754" width="13.125" style="6" customWidth="1"/>
    <col min="11755" max="11755" width="15.375" style="6" customWidth="1"/>
    <col min="11756" max="11756" width="21.25" style="6" customWidth="1"/>
    <col min="11757" max="12005" width="9.125" style="6" customWidth="1"/>
    <col min="12006" max="12006" width="6.375" style="6" customWidth="1"/>
    <col min="12007" max="12007" width="34.25" style="6" customWidth="1"/>
    <col min="12008" max="12008" width="7.375" style="6" customWidth="1"/>
    <col min="12009" max="12009" width="6.375" style="6" customWidth="1"/>
    <col min="12010" max="12010" width="13.125" style="6" customWidth="1"/>
    <col min="12011" max="12011" width="15.375" style="6" customWidth="1"/>
    <col min="12012" max="12012" width="21.25" style="6" customWidth="1"/>
    <col min="12013" max="12261" width="9.125" style="6" customWidth="1"/>
    <col min="12262" max="12262" width="6.375" style="6" customWidth="1"/>
    <col min="12263" max="12263" width="34.25" style="6" customWidth="1"/>
    <col min="12264" max="12264" width="7.375" style="6" customWidth="1"/>
    <col min="12265" max="12265" width="6.375" style="6" customWidth="1"/>
    <col min="12266" max="12266" width="13.125" style="6" customWidth="1"/>
    <col min="12267" max="12267" width="15.375" style="6" customWidth="1"/>
    <col min="12268" max="12268" width="21.25" style="6" customWidth="1"/>
    <col min="12269" max="12517" width="9.125" style="6" customWidth="1"/>
    <col min="12518" max="12518" width="6.375" style="6" customWidth="1"/>
    <col min="12519" max="12519" width="34.25" style="6" customWidth="1"/>
    <col min="12520" max="12520" width="7.375" style="6" customWidth="1"/>
    <col min="12521" max="12521" width="6.375" style="6" customWidth="1"/>
    <col min="12522" max="12522" width="13.125" style="6" customWidth="1"/>
    <col min="12523" max="12523" width="15.375" style="6" customWidth="1"/>
    <col min="12524" max="12524" width="21.25" style="6" customWidth="1"/>
    <col min="12525" max="12773" width="9.125" style="6" customWidth="1"/>
    <col min="12774" max="12774" width="6.375" style="6" customWidth="1"/>
    <col min="12775" max="12775" width="34.25" style="6" customWidth="1"/>
    <col min="12776" max="12776" width="7.375" style="6" customWidth="1"/>
    <col min="12777" max="12777" width="6.375" style="6" customWidth="1"/>
    <col min="12778" max="12778" width="13.125" style="6" customWidth="1"/>
    <col min="12779" max="12779" width="15.375" style="6" customWidth="1"/>
    <col min="12780" max="12780" width="21.25" style="6" customWidth="1"/>
    <col min="12781" max="13029" width="9.125" style="6" customWidth="1"/>
    <col min="13030" max="13030" width="6.375" style="6" customWidth="1"/>
    <col min="13031" max="13031" width="34.25" style="6" customWidth="1"/>
    <col min="13032" max="13032" width="7.375" style="6" customWidth="1"/>
    <col min="13033" max="13033" width="6.375" style="6" customWidth="1"/>
    <col min="13034" max="13034" width="13.125" style="6" customWidth="1"/>
    <col min="13035" max="13035" width="15.375" style="6" customWidth="1"/>
    <col min="13036" max="13036" width="21.25" style="6" customWidth="1"/>
    <col min="13037" max="13285" width="9.125" style="6" customWidth="1"/>
    <col min="13286" max="13286" width="6.375" style="6" customWidth="1"/>
    <col min="13287" max="13287" width="34.25" style="6" customWidth="1"/>
    <col min="13288" max="13288" width="7.375" style="6" customWidth="1"/>
    <col min="13289" max="13289" width="6.375" style="6" customWidth="1"/>
    <col min="13290" max="13290" width="13.125" style="6" customWidth="1"/>
    <col min="13291" max="13291" width="15.375" style="6" customWidth="1"/>
    <col min="13292" max="13292" width="21.25" style="6" customWidth="1"/>
    <col min="13293" max="13541" width="9.125" style="6" customWidth="1"/>
    <col min="13542" max="13542" width="6.375" style="6" customWidth="1"/>
    <col min="13543" max="13543" width="34.25" style="6" customWidth="1"/>
    <col min="13544" max="13544" width="7.375" style="6" customWidth="1"/>
    <col min="13545" max="13545" width="6.375" style="6" customWidth="1"/>
    <col min="13546" max="13546" width="13.125" style="6" customWidth="1"/>
    <col min="13547" max="13547" width="15.375" style="6" customWidth="1"/>
    <col min="13548" max="13548" width="21.25" style="6" customWidth="1"/>
    <col min="13549" max="13797" width="9.125" style="6" customWidth="1"/>
    <col min="13798" max="13798" width="6.375" style="6" customWidth="1"/>
    <col min="13799" max="13799" width="34.25" style="6" customWidth="1"/>
    <col min="13800" max="13800" width="7.375" style="6" customWidth="1"/>
    <col min="13801" max="13801" width="6.375" style="6" customWidth="1"/>
    <col min="13802" max="13802" width="13.125" style="6" customWidth="1"/>
    <col min="13803" max="13803" width="15.375" style="6" customWidth="1"/>
    <col min="13804" max="13804" width="21.25" style="6" customWidth="1"/>
    <col min="13805" max="14053" width="9.125" style="6" customWidth="1"/>
    <col min="14054" max="14054" width="6.375" style="6" customWidth="1"/>
    <col min="14055" max="14055" width="34.25" style="6" customWidth="1"/>
    <col min="14056" max="14056" width="7.375" style="6" customWidth="1"/>
    <col min="14057" max="14057" width="6.375" style="6" customWidth="1"/>
    <col min="14058" max="14058" width="13.125" style="6" customWidth="1"/>
    <col min="14059" max="14059" width="15.375" style="6" customWidth="1"/>
    <col min="14060" max="14060" width="21.25" style="6" customWidth="1"/>
    <col min="14061" max="14309" width="9.125" style="6" customWidth="1"/>
    <col min="14310" max="14310" width="6.375" style="6" customWidth="1"/>
    <col min="14311" max="14311" width="34.25" style="6" customWidth="1"/>
    <col min="14312" max="14312" width="7.375" style="6" customWidth="1"/>
    <col min="14313" max="14313" width="6.375" style="6" customWidth="1"/>
    <col min="14314" max="14314" width="13.125" style="6" customWidth="1"/>
    <col min="14315" max="14315" width="15.375" style="6" customWidth="1"/>
    <col min="14316" max="14316" width="21.25" style="6" customWidth="1"/>
    <col min="14317" max="14565" width="9.125" style="6" customWidth="1"/>
    <col min="14566" max="14566" width="6.375" style="6" customWidth="1"/>
    <col min="14567" max="14567" width="34.25" style="6" customWidth="1"/>
    <col min="14568" max="14568" width="7.375" style="6" customWidth="1"/>
    <col min="14569" max="14569" width="6.375" style="6" customWidth="1"/>
    <col min="14570" max="14570" width="13.125" style="6" customWidth="1"/>
    <col min="14571" max="14571" width="15.375" style="6" customWidth="1"/>
    <col min="14572" max="14572" width="21.25" style="6" customWidth="1"/>
    <col min="14573" max="14821" width="9.125" style="6" customWidth="1"/>
    <col min="14822" max="14822" width="6.375" style="6" customWidth="1"/>
    <col min="14823" max="14823" width="34.25" style="6" customWidth="1"/>
    <col min="14824" max="14824" width="7.375" style="6" customWidth="1"/>
    <col min="14825" max="14825" width="6.375" style="6" customWidth="1"/>
    <col min="14826" max="14826" width="13.125" style="6" customWidth="1"/>
    <col min="14827" max="14827" width="15.375" style="6" customWidth="1"/>
    <col min="14828" max="14828" width="21.25" style="6" customWidth="1"/>
    <col min="14829" max="15077" width="9.125" style="6" customWidth="1"/>
    <col min="15078" max="15078" width="6.375" style="6" customWidth="1"/>
    <col min="15079" max="15079" width="34.25" style="6" customWidth="1"/>
    <col min="15080" max="15080" width="7.375" style="6" customWidth="1"/>
    <col min="15081" max="15081" width="6.375" style="6" customWidth="1"/>
    <col min="15082" max="15082" width="13.125" style="6" customWidth="1"/>
    <col min="15083" max="15083" width="15.375" style="6" customWidth="1"/>
    <col min="15084" max="15084" width="21.25" style="6" customWidth="1"/>
    <col min="15085" max="15333" width="9.125" style="6" customWidth="1"/>
    <col min="15334" max="15334" width="6.375" style="6" customWidth="1"/>
    <col min="15335" max="15335" width="34.25" style="6" customWidth="1"/>
    <col min="15336" max="15336" width="7.375" style="6" customWidth="1"/>
    <col min="15337" max="15337" width="6.375" style="6" customWidth="1"/>
    <col min="15338" max="15338" width="13.125" style="6" customWidth="1"/>
    <col min="15339" max="15339" width="15.375" style="6" customWidth="1"/>
    <col min="15340" max="15340" width="21.25" style="6" customWidth="1"/>
    <col min="15341" max="15589" width="9.125" style="6" customWidth="1"/>
    <col min="15590" max="15590" width="6.375" style="6" customWidth="1"/>
    <col min="15591" max="15591" width="34.25" style="6" customWidth="1"/>
    <col min="15592" max="15592" width="7.375" style="6" customWidth="1"/>
    <col min="15593" max="15593" width="6.375" style="6" customWidth="1"/>
    <col min="15594" max="15594" width="13.125" style="6" customWidth="1"/>
    <col min="15595" max="15595" width="15.375" style="6" customWidth="1"/>
    <col min="15596" max="15596" width="21.25" style="6" customWidth="1"/>
    <col min="15597" max="15845" width="9.125" style="6" customWidth="1"/>
    <col min="15846" max="15846" width="6.375" style="6" customWidth="1"/>
    <col min="15847" max="15847" width="34.25" style="6" customWidth="1"/>
    <col min="15848" max="15848" width="7.375" style="6" customWidth="1"/>
    <col min="15849" max="15849" width="6.375" style="6" customWidth="1"/>
    <col min="15850" max="15850" width="13.125" style="6" customWidth="1"/>
    <col min="15851" max="15851" width="15.375" style="6" customWidth="1"/>
    <col min="15852" max="15852" width="21.25" style="6" customWidth="1"/>
    <col min="15853" max="16101" width="9.125" style="6" customWidth="1"/>
    <col min="16102" max="16102" width="6.375" style="6" customWidth="1"/>
    <col min="16103" max="16103" width="34.25" style="6" customWidth="1"/>
    <col min="16104" max="16104" width="7.375" style="6" customWidth="1"/>
    <col min="16105" max="16105" width="6.375" style="6" customWidth="1"/>
    <col min="16106" max="16106" width="13.125" style="6" customWidth="1"/>
    <col min="16107" max="16107" width="15.375" style="6" customWidth="1"/>
    <col min="16108" max="16108" width="21.25" style="6" customWidth="1"/>
    <col min="16109" max="16384" width="9.125" style="6" customWidth="1"/>
  </cols>
  <sheetData>
    <row r="1" spans="1:11" ht="48" customHeight="1"/>
    <row r="2" spans="1:11" s="1" customFormat="1" ht="51" customHeight="1">
      <c r="A2" s="10" t="s">
        <v>507</v>
      </c>
      <c r="B2" s="11"/>
      <c r="C2" s="12"/>
      <c r="D2" s="11"/>
      <c r="E2" s="14"/>
      <c r="F2" s="14"/>
      <c r="G2" s="14"/>
      <c r="H2" s="15"/>
      <c r="I2" s="15"/>
      <c r="J2" s="15"/>
    </row>
    <row r="3" spans="1:11" ht="26.25" customHeight="1">
      <c r="A3" s="16"/>
      <c r="B3" s="17" t="s">
        <v>440</v>
      </c>
      <c r="C3" s="213"/>
      <c r="D3" s="217"/>
      <c r="E3" s="214"/>
      <c r="F3" s="214"/>
      <c r="G3" s="214"/>
      <c r="H3" s="220"/>
      <c r="I3" s="220"/>
      <c r="J3" s="220"/>
    </row>
    <row r="4" spans="1:11" ht="26.25" customHeight="1">
      <c r="A4" s="18"/>
      <c r="B4" s="5" t="s">
        <v>441</v>
      </c>
      <c r="C4" s="222"/>
      <c r="D4" s="217"/>
      <c r="E4" s="214"/>
      <c r="F4" s="214"/>
      <c r="G4" s="214"/>
      <c r="H4" s="220"/>
      <c r="I4" s="220"/>
      <c r="J4" s="220"/>
    </row>
    <row r="5" spans="1:11" ht="26.25" customHeight="1">
      <c r="A5" s="18"/>
      <c r="B5" s="5" t="s">
        <v>442</v>
      </c>
      <c r="C5" s="216"/>
      <c r="D5" s="217"/>
      <c r="E5" s="214"/>
      <c r="F5" s="214"/>
      <c r="G5" s="214"/>
      <c r="H5" s="220"/>
      <c r="I5" s="220"/>
      <c r="J5" s="220"/>
    </row>
    <row r="6" spans="1:11" ht="26.25" customHeight="1">
      <c r="A6" s="18"/>
      <c r="B6" s="5" t="s">
        <v>443</v>
      </c>
      <c r="C6" s="213" t="str">
        <f>INDEX(總表!$B$9:$B$47,MATCH('16A'!A9,總表!$A$9:$A$48,0))</f>
        <v>Trạm biến áp số 1
一號變壓站</v>
      </c>
      <c r="D6" s="217"/>
      <c r="E6" s="214"/>
      <c r="F6" s="214"/>
      <c r="G6" s="214"/>
      <c r="H6" s="220"/>
      <c r="I6" s="220"/>
      <c r="J6" s="220"/>
    </row>
    <row r="7" spans="1:11" ht="26.25" customHeight="1">
      <c r="A7" s="18"/>
      <c r="B7" s="5" t="s">
        <v>444</v>
      </c>
      <c r="C7" s="223" t="s">
        <v>445</v>
      </c>
      <c r="D7" s="224"/>
      <c r="E7" s="224"/>
      <c r="F7" s="224"/>
      <c r="G7" s="224"/>
      <c r="H7" s="224"/>
      <c r="I7" s="224"/>
      <c r="J7" s="224"/>
    </row>
    <row r="8" spans="1:11" s="2" customFormat="1" ht="41.25" customHeight="1">
      <c r="A8" s="19" t="s">
        <v>446</v>
      </c>
      <c r="B8" s="19" t="s">
        <v>508</v>
      </c>
      <c r="C8" s="19" t="s">
        <v>509</v>
      </c>
      <c r="D8" s="19" t="s">
        <v>448</v>
      </c>
      <c r="E8" s="19" t="s">
        <v>449</v>
      </c>
      <c r="F8" s="19" t="s">
        <v>511</v>
      </c>
      <c r="G8" s="19" t="s">
        <v>512</v>
      </c>
      <c r="H8" s="21" t="s">
        <v>450</v>
      </c>
      <c r="I8" s="21" t="s">
        <v>452</v>
      </c>
      <c r="J8" s="21" t="s">
        <v>514</v>
      </c>
    </row>
    <row r="9" spans="1:11" s="3" customFormat="1" ht="25.5" customHeight="1">
      <c r="A9" s="22" t="s">
        <v>473</v>
      </c>
      <c r="B9" s="23" t="str">
        <f>C6</f>
        <v>Trạm biến áp số 1
一號變壓站</v>
      </c>
      <c r="C9" s="23" t="s">
        <v>515</v>
      </c>
      <c r="D9" s="22"/>
      <c r="E9" s="25"/>
      <c r="F9" s="25">
        <f>_xlfn.XLOOKUP(B9, Rate_Master!$A:$A, Rate_Master!$C:$C, "")</f>
        <v>0</v>
      </c>
      <c r="G9" s="25">
        <f>_xlfn.XLOOKUP(B9, Rate_Master!$A:$A, Rate_Master!$D:$D, "")</f>
        <v>0</v>
      </c>
      <c r="H9" s="26"/>
      <c r="I9" s="26">
        <f>SUBTOTAL(9,I10:I164)</f>
        <v>4404193730.2779694</v>
      </c>
      <c r="J9" s="26"/>
      <c r="K9" s="103"/>
    </row>
    <row r="10" spans="1:11" s="3" customFormat="1" ht="25.5" customHeight="1">
      <c r="A10" s="22" t="str">
        <f>$A$9&amp;".C"</f>
        <v>16A.C</v>
      </c>
      <c r="B10" s="23" t="s">
        <v>1</v>
      </c>
      <c r="C10" s="23" t="s">
        <v>515</v>
      </c>
      <c r="D10" s="22"/>
      <c r="E10" s="25"/>
      <c r="F10" s="25">
        <f>_xlfn.XLOOKUP(B10, Rate_Master!$A:$A, Rate_Master!$C:$C, "")</f>
        <v>0</v>
      </c>
      <c r="G10" s="25">
        <f>_xlfn.XLOOKUP(B10, Rate_Master!$A:$A, Rate_Master!$D:$D, "")</f>
        <v>0</v>
      </c>
      <c r="H10" s="26"/>
      <c r="I10" s="26"/>
      <c r="J10" s="26"/>
    </row>
    <row r="11" spans="1:11" s="3" customFormat="1" ht="25.5" customHeight="1">
      <c r="A11" s="22" t="str">
        <f>$A$10&amp;1</f>
        <v>16A.C1</v>
      </c>
      <c r="B11" s="23" t="s">
        <v>2</v>
      </c>
      <c r="C11" s="23" t="s">
        <v>515</v>
      </c>
      <c r="D11" s="22"/>
      <c r="E11" s="25"/>
      <c r="F11" s="25">
        <f>_xlfn.XLOOKUP(B11, Rate_Master!$A:$A, Rate_Master!$C:$C, "")</f>
        <v>0</v>
      </c>
      <c r="G11" s="25">
        <f>_xlfn.XLOOKUP(B11, Rate_Master!$A:$A, Rate_Master!$D:$D, "")</f>
        <v>0</v>
      </c>
      <c r="H11" s="26"/>
      <c r="I11" s="26">
        <f>SUBTOTAL(9,I12:I22)</f>
        <v>382869499.99999994</v>
      </c>
      <c r="J11" s="26"/>
    </row>
    <row r="12" spans="1:11" s="4" customFormat="1" ht="25.5" customHeight="1" outlineLevel="1">
      <c r="A12" s="27" t="str">
        <f t="shared" ref="A12:A22" si="0">$A$11&amp;"."&amp;ROW()-ROW($A$11)</f>
        <v>16A.C1.1</v>
      </c>
      <c r="B12" s="28" t="s">
        <v>3</v>
      </c>
      <c r="C12" s="28" t="s">
        <v>515</v>
      </c>
      <c r="D12" s="29" t="s">
        <v>516</v>
      </c>
      <c r="E12" s="31">
        <v>0</v>
      </c>
      <c r="F12" s="31">
        <f>_xlfn.XLOOKUP(B12, Rate_Master!$A:$A, Rate_Master!$C:$C, "")</f>
        <v>0</v>
      </c>
      <c r="G12" s="31">
        <f>_xlfn.XLOOKUP(B12, Rate_Master!$A:$A, Rate_Master!$D:$D, "")</f>
        <v>114999999.99999999</v>
      </c>
      <c r="H12" s="32">
        <f t="shared" ref="H12:H22" si="1">+G12+F12</f>
        <v>114999999.99999999</v>
      </c>
      <c r="I12" s="32">
        <f t="shared" ref="I12:I22" si="2">H12*E12</f>
        <v>0</v>
      </c>
      <c r="J12" s="32"/>
    </row>
    <row r="13" spans="1:11" s="4" customFormat="1" ht="25.5" customHeight="1" outlineLevel="1">
      <c r="A13" s="27" t="str">
        <f t="shared" si="0"/>
        <v>16A.C1.2</v>
      </c>
      <c r="B13" s="28" t="s">
        <v>4</v>
      </c>
      <c r="C13" s="28" t="s">
        <v>515</v>
      </c>
      <c r="D13" s="29" t="s">
        <v>517</v>
      </c>
      <c r="E13" s="31">
        <v>0</v>
      </c>
      <c r="F13" s="31">
        <f>_xlfn.XLOOKUP(B13, Rate_Master!$A:$A, Rate_Master!$C:$C, "")</f>
        <v>425499.99999999994</v>
      </c>
      <c r="G13" s="31">
        <f>_xlfn.XLOOKUP(B13, Rate_Master!$A:$A, Rate_Master!$D:$D, "")</f>
        <v>0</v>
      </c>
      <c r="H13" s="32">
        <f t="shared" si="1"/>
        <v>425499.99999999994</v>
      </c>
      <c r="I13" s="32">
        <f t="shared" si="2"/>
        <v>0</v>
      </c>
      <c r="J13" s="32"/>
    </row>
    <row r="14" spans="1:11" s="4" customFormat="1" ht="25.5" customHeight="1" outlineLevel="1">
      <c r="A14" s="27" t="str">
        <f t="shared" si="0"/>
        <v>16A.C1.3</v>
      </c>
      <c r="B14" s="28" t="s">
        <v>5</v>
      </c>
      <c r="C14" s="28" t="s">
        <v>515</v>
      </c>
      <c r="D14" s="29" t="s">
        <v>517</v>
      </c>
      <c r="E14" s="31">
        <v>0</v>
      </c>
      <c r="F14" s="31">
        <f>_xlfn.XLOOKUP(B14, Rate_Master!$A:$A, Rate_Master!$C:$C, "")</f>
        <v>0</v>
      </c>
      <c r="G14" s="31">
        <f>_xlfn.XLOOKUP(B14, Rate_Master!$A:$A, Rate_Master!$D:$D, "")</f>
        <v>69000</v>
      </c>
      <c r="H14" s="32">
        <f t="shared" si="1"/>
        <v>69000</v>
      </c>
      <c r="I14" s="32">
        <f t="shared" si="2"/>
        <v>0</v>
      </c>
      <c r="J14" s="32"/>
    </row>
    <row r="15" spans="1:11" s="4" customFormat="1" ht="25.5" customHeight="1" outlineLevel="1">
      <c r="A15" s="27" t="str">
        <f t="shared" si="0"/>
        <v>16A.C1.4</v>
      </c>
      <c r="B15" s="28" t="s">
        <v>6</v>
      </c>
      <c r="C15" s="28" t="s">
        <v>515</v>
      </c>
      <c r="D15" s="29" t="s">
        <v>517</v>
      </c>
      <c r="E15" s="31">
        <v>0</v>
      </c>
      <c r="F15" s="31">
        <f>_xlfn.XLOOKUP(B15, Rate_Master!$A:$A, Rate_Master!$C:$C, "")</f>
        <v>0</v>
      </c>
      <c r="G15" s="31">
        <f>_xlfn.XLOOKUP(B15, Rate_Master!$A:$A, Rate_Master!$D:$D, "")</f>
        <v>57499.999999999993</v>
      </c>
      <c r="H15" s="32">
        <f t="shared" si="1"/>
        <v>57499.999999999993</v>
      </c>
      <c r="I15" s="32">
        <f t="shared" si="2"/>
        <v>0</v>
      </c>
      <c r="J15" s="32"/>
    </row>
    <row r="16" spans="1:11" s="4" customFormat="1" ht="102" customHeight="1" outlineLevel="1">
      <c r="A16" s="27" t="str">
        <f t="shared" si="0"/>
        <v>16A.C1.5</v>
      </c>
      <c r="B16" s="28" t="s">
        <v>7</v>
      </c>
      <c r="C16" s="28" t="s">
        <v>515</v>
      </c>
      <c r="D16" s="29" t="s">
        <v>518</v>
      </c>
      <c r="E16" s="31">
        <v>0</v>
      </c>
      <c r="F16" s="31">
        <f>_xlfn.XLOOKUP(B16, Rate_Master!$A:$A, Rate_Master!$C:$C, "")</f>
        <v>0</v>
      </c>
      <c r="G16" s="31">
        <f>_xlfn.XLOOKUP(B16, Rate_Master!$A:$A, Rate_Master!$D:$D, "")</f>
        <v>13799999.999999998</v>
      </c>
      <c r="H16" s="32">
        <f t="shared" si="1"/>
        <v>13799999.999999998</v>
      </c>
      <c r="I16" s="32">
        <f t="shared" si="2"/>
        <v>0</v>
      </c>
      <c r="J16" s="32"/>
    </row>
    <row r="17" spans="1:10" s="4" customFormat="1" ht="25.5" customHeight="1" outlineLevel="1">
      <c r="A17" s="27" t="str">
        <f t="shared" si="0"/>
        <v>16A.C1.6</v>
      </c>
      <c r="B17" s="28" t="s">
        <v>8</v>
      </c>
      <c r="C17" s="28" t="s">
        <v>515</v>
      </c>
      <c r="D17" s="29" t="s">
        <v>518</v>
      </c>
      <c r="E17" s="31">
        <v>7</v>
      </c>
      <c r="F17" s="31">
        <f>_xlfn.XLOOKUP(B17, Rate_Master!$A:$A, Rate_Master!$C:$C, "")</f>
        <v>0</v>
      </c>
      <c r="G17" s="31">
        <f>_xlfn.XLOOKUP(B17, Rate_Master!$A:$A, Rate_Master!$D:$D, "")</f>
        <v>252999.99999999997</v>
      </c>
      <c r="H17" s="66">
        <f t="shared" si="1"/>
        <v>252999.99999999997</v>
      </c>
      <c r="I17" s="32">
        <f t="shared" si="2"/>
        <v>1770999.9999999998</v>
      </c>
      <c r="J17" s="32"/>
    </row>
    <row r="18" spans="1:10" s="4" customFormat="1" ht="25.5" customHeight="1" outlineLevel="1">
      <c r="A18" s="27" t="str">
        <f t="shared" si="0"/>
        <v>16A.C1.7</v>
      </c>
      <c r="B18" s="28" t="s">
        <v>9</v>
      </c>
      <c r="C18" s="28" t="s">
        <v>515</v>
      </c>
      <c r="D18" s="29" t="s">
        <v>517</v>
      </c>
      <c r="E18" s="31">
        <v>682</v>
      </c>
      <c r="F18" s="31">
        <f>_xlfn.XLOOKUP(B18, Rate_Master!$A:$A, Rate_Master!$C:$C, "")</f>
        <v>402499.99999999994</v>
      </c>
      <c r="G18" s="31">
        <f>_xlfn.XLOOKUP(B18, Rate_Master!$A:$A, Rate_Master!$D:$D, "")</f>
        <v>0</v>
      </c>
      <c r="H18" s="66">
        <f t="shared" si="1"/>
        <v>402499.99999999994</v>
      </c>
      <c r="I18" s="32">
        <f t="shared" si="2"/>
        <v>274504999.99999994</v>
      </c>
      <c r="J18" s="32"/>
    </row>
    <row r="19" spans="1:10" s="4" customFormat="1" ht="25.5" customHeight="1" outlineLevel="1">
      <c r="A19" s="27" t="str">
        <f t="shared" si="0"/>
        <v>16A.C1.8</v>
      </c>
      <c r="B19" s="28" t="s">
        <v>10</v>
      </c>
      <c r="C19" s="28" t="s">
        <v>515</v>
      </c>
      <c r="D19" s="29" t="s">
        <v>518</v>
      </c>
      <c r="E19" s="31">
        <v>31</v>
      </c>
      <c r="F19" s="31">
        <f>_xlfn.XLOOKUP(B19, Rate_Master!$A:$A, Rate_Master!$C:$C, "")</f>
        <v>80500</v>
      </c>
      <c r="G19" s="31">
        <f>_xlfn.XLOOKUP(B19, Rate_Master!$A:$A, Rate_Master!$D:$D, "")</f>
        <v>0</v>
      </c>
      <c r="H19" s="66">
        <f t="shared" si="1"/>
        <v>80500</v>
      </c>
      <c r="I19" s="32">
        <f t="shared" si="2"/>
        <v>2495500</v>
      </c>
      <c r="J19" s="32"/>
    </row>
    <row r="20" spans="1:10" s="4" customFormat="1" ht="25.5" customHeight="1" outlineLevel="1">
      <c r="A20" s="27" t="str">
        <f t="shared" si="0"/>
        <v>16A.C1.9</v>
      </c>
      <c r="B20" s="28" t="s">
        <v>11</v>
      </c>
      <c r="C20" s="28" t="s">
        <v>515</v>
      </c>
      <c r="D20" s="29" t="s">
        <v>517</v>
      </c>
      <c r="E20" s="31">
        <v>651</v>
      </c>
      <c r="F20" s="31">
        <f>_xlfn.XLOOKUP(B20, Rate_Master!$A:$A, Rate_Master!$C:$C, "")</f>
        <v>0</v>
      </c>
      <c r="G20" s="31">
        <f>_xlfn.XLOOKUP(B20, Rate_Master!$A:$A, Rate_Master!$D:$D, "")</f>
        <v>69000</v>
      </c>
      <c r="H20" s="66">
        <f t="shared" si="1"/>
        <v>69000</v>
      </c>
      <c r="I20" s="32">
        <f t="shared" si="2"/>
        <v>44919000</v>
      </c>
      <c r="J20" s="32"/>
    </row>
    <row r="21" spans="1:10" s="4" customFormat="1" ht="25.5" customHeight="1" outlineLevel="1">
      <c r="A21" s="27" t="str">
        <f t="shared" si="0"/>
        <v>16A.C1.10</v>
      </c>
      <c r="B21" s="28" t="s">
        <v>12</v>
      </c>
      <c r="C21" s="28" t="s">
        <v>515</v>
      </c>
      <c r="D21" s="29" t="s">
        <v>517</v>
      </c>
      <c r="E21" s="31">
        <v>682</v>
      </c>
      <c r="F21" s="31">
        <f>_xlfn.XLOOKUP(B21, Rate_Master!$A:$A, Rate_Master!$C:$C, "")</f>
        <v>0</v>
      </c>
      <c r="G21" s="31">
        <f>_xlfn.XLOOKUP(B21, Rate_Master!$A:$A, Rate_Master!$D:$D, "")</f>
        <v>57499.999999999993</v>
      </c>
      <c r="H21" s="66">
        <f t="shared" si="1"/>
        <v>57499.999999999993</v>
      </c>
      <c r="I21" s="32">
        <f t="shared" si="2"/>
        <v>39214999.999999993</v>
      </c>
      <c r="J21" s="32"/>
    </row>
    <row r="22" spans="1:10" s="4" customFormat="1" ht="63.75" customHeight="1" outlineLevel="1">
      <c r="A22" s="27" t="str">
        <f t="shared" si="0"/>
        <v>16A.C1.11</v>
      </c>
      <c r="B22" s="28" t="s">
        <v>13</v>
      </c>
      <c r="C22" s="28" t="s">
        <v>515</v>
      </c>
      <c r="D22" s="29" t="s">
        <v>518</v>
      </c>
      <c r="E22" s="31">
        <v>31</v>
      </c>
      <c r="F22" s="31">
        <f>_xlfn.XLOOKUP(B22, Rate_Master!$A:$A, Rate_Master!$C:$C, "")</f>
        <v>482999.99999999994</v>
      </c>
      <c r="G22" s="31">
        <f>_xlfn.XLOOKUP(B22, Rate_Master!$A:$A, Rate_Master!$D:$D, "")</f>
        <v>161000</v>
      </c>
      <c r="H22" s="66">
        <f t="shared" si="1"/>
        <v>644000</v>
      </c>
      <c r="I22" s="32">
        <f t="shared" si="2"/>
        <v>19964000</v>
      </c>
      <c r="J22" s="32"/>
    </row>
    <row r="23" spans="1:10" s="3" customFormat="1" ht="25.5" customHeight="1">
      <c r="A23" s="22" t="str">
        <f>$A$10&amp;2</f>
        <v>16A.C2</v>
      </c>
      <c r="B23" s="23" t="s">
        <v>14</v>
      </c>
      <c r="C23" s="23" t="s">
        <v>515</v>
      </c>
      <c r="D23" s="22"/>
      <c r="E23" s="25"/>
      <c r="F23" s="25">
        <f>_xlfn.XLOOKUP(B23, Rate_Master!$A:$A, Rate_Master!$C:$C, "")</f>
        <v>0</v>
      </c>
      <c r="G23" s="25">
        <f>_xlfn.XLOOKUP(B23, Rate_Master!$A:$A, Rate_Master!$D:$D, "")</f>
        <v>0</v>
      </c>
      <c r="H23" s="26"/>
      <c r="I23" s="26">
        <f>SUBTOTAL(9,I24:I31)</f>
        <v>106433467.15000001</v>
      </c>
      <c r="J23" s="26"/>
    </row>
    <row r="24" spans="1:10" s="4" customFormat="1" ht="25.5" customHeight="1" outlineLevel="1">
      <c r="A24" s="27" t="str">
        <f t="shared" ref="A24:A31" si="3">$A$23&amp;"."&amp;ROW()-ROW($A$23)</f>
        <v>16A.C2.1</v>
      </c>
      <c r="B24" s="28" t="s">
        <v>15</v>
      </c>
      <c r="C24" s="28" t="s">
        <v>515</v>
      </c>
      <c r="D24" s="29" t="s">
        <v>519</v>
      </c>
      <c r="E24" s="31">
        <v>29.591999999999999</v>
      </c>
      <c r="F24" s="31">
        <f>_xlfn.XLOOKUP(B24, Rate_Master!$A:$A, Rate_Master!$C:$C, "")</f>
        <v>0</v>
      </c>
      <c r="G24" s="31">
        <f>_xlfn.XLOOKUP(B24, Rate_Master!$A:$A, Rate_Master!$D:$D, "")</f>
        <v>32199.999999999996</v>
      </c>
      <c r="H24" s="66">
        <f t="shared" ref="H24:H31" si="4">+G24+F24</f>
        <v>32199.999999999996</v>
      </c>
      <c r="I24" s="32">
        <f t="shared" ref="I24:I31" si="5">H24*E24</f>
        <v>952862.39999999991</v>
      </c>
      <c r="J24" s="32"/>
    </row>
    <row r="25" spans="1:10" s="4" customFormat="1" ht="25.5" customHeight="1" outlineLevel="1">
      <c r="A25" s="27" t="str">
        <f t="shared" si="3"/>
        <v>16A.C2.2</v>
      </c>
      <c r="B25" s="28" t="s">
        <v>16</v>
      </c>
      <c r="C25" s="28" t="s">
        <v>515</v>
      </c>
      <c r="D25" s="29" t="s">
        <v>520</v>
      </c>
      <c r="E25" s="31">
        <v>136.41300000000001</v>
      </c>
      <c r="F25" s="31">
        <f>_xlfn.XLOOKUP(B25, Rate_Master!$A:$A, Rate_Master!$C:$C, "")</f>
        <v>0</v>
      </c>
      <c r="G25" s="31">
        <f>_xlfn.XLOOKUP(B25, Rate_Master!$A:$A, Rate_Master!$D:$D, "")</f>
        <v>17250</v>
      </c>
      <c r="H25" s="66">
        <f t="shared" si="4"/>
        <v>17250</v>
      </c>
      <c r="I25" s="32">
        <f t="shared" si="5"/>
        <v>2353124.25</v>
      </c>
      <c r="J25" s="32"/>
    </row>
    <row r="26" spans="1:10" s="4" customFormat="1" ht="25.5" customHeight="1" outlineLevel="1">
      <c r="A26" s="27" t="str">
        <f t="shared" si="3"/>
        <v>16A.C2.3</v>
      </c>
      <c r="B26" s="28" t="s">
        <v>17</v>
      </c>
      <c r="C26" s="28" t="s">
        <v>515</v>
      </c>
      <c r="D26" s="29" t="s">
        <v>519</v>
      </c>
      <c r="E26" s="31">
        <v>18.324000000000002</v>
      </c>
      <c r="F26" s="31">
        <f>_xlfn.XLOOKUP(B26, Rate_Master!$A:$A, Rate_Master!$C:$C, "")</f>
        <v>0</v>
      </c>
      <c r="G26" s="31">
        <f>_xlfn.XLOOKUP(B26, Rate_Master!$A:$A, Rate_Master!$D:$D, "")</f>
        <v>37950</v>
      </c>
      <c r="H26" s="66">
        <f t="shared" si="4"/>
        <v>37950</v>
      </c>
      <c r="I26" s="32">
        <f t="shared" si="5"/>
        <v>695395.8</v>
      </c>
      <c r="J26" s="32"/>
    </row>
    <row r="27" spans="1:10" s="4" customFormat="1" ht="25.5" customHeight="1" outlineLevel="1">
      <c r="A27" s="27" t="str">
        <f t="shared" si="3"/>
        <v>16A.C2.4</v>
      </c>
      <c r="B27" s="34" t="s">
        <v>18</v>
      </c>
      <c r="C27" s="34" t="s">
        <v>521</v>
      </c>
      <c r="D27" s="29" t="s">
        <v>519</v>
      </c>
      <c r="E27" s="31">
        <v>11.268000000000001</v>
      </c>
      <c r="F27" s="31">
        <f>_xlfn.XLOOKUP(B27, Rate_Master!$A:$A, Rate_Master!$C:$C, "")</f>
        <v>0</v>
      </c>
      <c r="G27" s="31">
        <f>_xlfn.XLOOKUP(B27, Rate_Master!$A:$A, Rate_Master!$D:$D, "")</f>
        <v>32199.999999999996</v>
      </c>
      <c r="H27" s="66">
        <f t="shared" si="4"/>
        <v>32199.999999999996</v>
      </c>
      <c r="I27" s="32">
        <f t="shared" si="5"/>
        <v>362829.6</v>
      </c>
      <c r="J27" s="32"/>
    </row>
    <row r="28" spans="1:10" s="4" customFormat="1" ht="25.5" customHeight="1" outlineLevel="1">
      <c r="A28" s="27" t="str">
        <f t="shared" si="3"/>
        <v>16A.C2.5</v>
      </c>
      <c r="B28" s="28" t="s">
        <v>19</v>
      </c>
      <c r="C28" s="28" t="s">
        <v>515</v>
      </c>
      <c r="D28" s="29" t="s">
        <v>520</v>
      </c>
      <c r="E28" s="31">
        <v>136.41300000000001</v>
      </c>
      <c r="F28" s="31">
        <f>_xlfn.XLOOKUP(B28, Rate_Master!$A:$A, Rate_Master!$C:$C, "")</f>
        <v>6899.9999999999991</v>
      </c>
      <c r="G28" s="31">
        <f>_xlfn.XLOOKUP(B28, Rate_Master!$A:$A, Rate_Master!$D:$D, "")</f>
        <v>1724.9999999999998</v>
      </c>
      <c r="H28" s="66">
        <f t="shared" si="4"/>
        <v>8624.9999999999982</v>
      </c>
      <c r="I28" s="32">
        <f t="shared" si="5"/>
        <v>1176562.1249999998</v>
      </c>
      <c r="J28" s="32"/>
    </row>
    <row r="29" spans="1:10" s="4" customFormat="1" ht="38.25" customHeight="1" outlineLevel="1">
      <c r="A29" s="27" t="str">
        <f t="shared" si="3"/>
        <v>16A.C2.6</v>
      </c>
      <c r="B29" s="28" t="s">
        <v>20</v>
      </c>
      <c r="C29" s="28" t="s">
        <v>515</v>
      </c>
      <c r="D29" s="29" t="s">
        <v>520</v>
      </c>
      <c r="E29" s="31">
        <v>371.57299999999998</v>
      </c>
      <c r="F29" s="31">
        <f>_xlfn.XLOOKUP(B29, Rate_Master!$A:$A, Rate_Master!$C:$C, "")</f>
        <v>34500</v>
      </c>
      <c r="G29" s="31">
        <f>_xlfn.XLOOKUP(B29, Rate_Master!$A:$A, Rate_Master!$D:$D, "")</f>
        <v>5750</v>
      </c>
      <c r="H29" s="66">
        <f t="shared" si="4"/>
        <v>40250</v>
      </c>
      <c r="I29" s="32">
        <f t="shared" si="5"/>
        <v>14955813.25</v>
      </c>
      <c r="J29" s="32"/>
    </row>
    <row r="30" spans="1:10" s="4" customFormat="1" ht="25.5" customHeight="1" outlineLevel="1">
      <c r="A30" s="27" t="str">
        <f t="shared" si="3"/>
        <v>16A.C2.7</v>
      </c>
      <c r="B30" s="34" t="s">
        <v>21</v>
      </c>
      <c r="C30" s="28" t="s">
        <v>515</v>
      </c>
      <c r="D30" s="29" t="s">
        <v>520</v>
      </c>
      <c r="E30" s="31">
        <v>371.57299999999998</v>
      </c>
      <c r="F30" s="31">
        <f>_xlfn.XLOOKUP(B30, Rate_Master!$A:$A, Rate_Master!$C:$C, "")</f>
        <v>0</v>
      </c>
      <c r="G30" s="31">
        <f>_xlfn.XLOOKUP(B30, Rate_Master!$A:$A, Rate_Master!$D:$D, "")</f>
        <v>13799.999999999998</v>
      </c>
      <c r="H30" s="32">
        <f t="shared" si="4"/>
        <v>13799.999999999998</v>
      </c>
      <c r="I30" s="32">
        <f t="shared" si="5"/>
        <v>5127707.3999999994</v>
      </c>
      <c r="J30" s="32"/>
    </row>
    <row r="31" spans="1:10" s="4" customFormat="1" ht="25.5" customHeight="1" outlineLevel="1">
      <c r="A31" s="27" t="str">
        <f t="shared" si="3"/>
        <v>16A.C2.8</v>
      </c>
      <c r="B31" s="28" t="s">
        <v>22</v>
      </c>
      <c r="C31" s="28" t="s">
        <v>515</v>
      </c>
      <c r="D31" s="29" t="s">
        <v>519</v>
      </c>
      <c r="E31" s="31">
        <v>131.221</v>
      </c>
      <c r="F31" s="31">
        <f>_xlfn.XLOOKUP(B31, Rate_Master!$A:$A, Rate_Master!$C:$C, "")</f>
        <v>512325</v>
      </c>
      <c r="G31" s="31">
        <f>_xlfn.XLOOKUP(B31, Rate_Master!$A:$A, Rate_Master!$D:$D, "")</f>
        <v>103499.99999999999</v>
      </c>
      <c r="H31" s="66">
        <f t="shared" si="4"/>
        <v>615825</v>
      </c>
      <c r="I31" s="32">
        <f t="shared" si="5"/>
        <v>80809172.325000003</v>
      </c>
      <c r="J31" s="32"/>
    </row>
    <row r="32" spans="1:10" s="3" customFormat="1" ht="25.5" customHeight="1">
      <c r="A32" s="22" t="str">
        <f>$A$10&amp;3</f>
        <v>16A.C3</v>
      </c>
      <c r="B32" s="23" t="s">
        <v>23</v>
      </c>
      <c r="C32" s="23" t="s">
        <v>515</v>
      </c>
      <c r="D32" s="22"/>
      <c r="E32" s="25"/>
      <c r="F32" s="25">
        <f>_xlfn.XLOOKUP(B32, Rate_Master!$A:$A, Rate_Master!$C:$C, "")</f>
        <v>0</v>
      </c>
      <c r="G32" s="25">
        <f>_xlfn.XLOOKUP(B32, Rate_Master!$A:$A, Rate_Master!$D:$D, "")</f>
        <v>0</v>
      </c>
      <c r="H32" s="26"/>
      <c r="I32" s="26">
        <f>SUBTOTAL(9,I33:I39)</f>
        <v>525525468.07222211</v>
      </c>
      <c r="J32" s="26"/>
    </row>
    <row r="33" spans="1:10" s="4" customFormat="1" ht="25.5" customHeight="1" outlineLevel="1">
      <c r="A33" s="27" t="str">
        <f t="shared" ref="A33:A39" si="6">$A$32&amp;"."&amp;ROW()-ROW($A$32)</f>
        <v>16A.C3.1</v>
      </c>
      <c r="B33" s="28" t="s">
        <v>24</v>
      </c>
      <c r="C33" s="28" t="s">
        <v>515</v>
      </c>
      <c r="D33" s="29" t="s">
        <v>519</v>
      </c>
      <c r="E33" s="31">
        <v>13.644</v>
      </c>
      <c r="F33" s="30">
        <f>_xlfn.XLOOKUP(B33, Rate_Master!$A:$A, Rate_Master!$C:$C, "")</f>
        <v>1249762.5</v>
      </c>
      <c r="G33" s="30">
        <f>_xlfn.XLOOKUP(B33, Rate_Master!$A:$A, Rate_Master!$D:$D, "")</f>
        <v>206999.99999999997</v>
      </c>
      <c r="H33" s="66">
        <f t="shared" ref="H33:H39" si="7">+G33+F33</f>
        <v>1456762.5</v>
      </c>
      <c r="I33" s="32">
        <f t="shared" ref="I33:I39" si="8">H33*E33</f>
        <v>19876067.550000001</v>
      </c>
      <c r="J33" s="32"/>
    </row>
    <row r="34" spans="1:10" s="4" customFormat="1" ht="51" customHeight="1" outlineLevel="1">
      <c r="A34" s="27" t="str">
        <f t="shared" si="6"/>
        <v>16A.C3.2</v>
      </c>
      <c r="B34" s="28" t="s">
        <v>25</v>
      </c>
      <c r="C34" s="28" t="s">
        <v>515</v>
      </c>
      <c r="D34" s="29" t="s">
        <v>519</v>
      </c>
      <c r="E34" s="31">
        <v>161.11699999999999</v>
      </c>
      <c r="F34" s="30">
        <f>_xlfn.XLOOKUP(B34, Rate_Master!$A:$A, Rate_Master!$C:$C, "")</f>
        <v>1607444.4444444443</v>
      </c>
      <c r="G34" s="30">
        <f>_xlfn.XLOOKUP(B34, Rate_Master!$A:$A, Rate_Master!$D:$D, "")</f>
        <v>149500</v>
      </c>
      <c r="H34" s="66">
        <f t="shared" si="7"/>
        <v>1756944.4444444443</v>
      </c>
      <c r="I34" s="32">
        <f t="shared" si="8"/>
        <v>283073618.05555552</v>
      </c>
      <c r="J34" s="32"/>
    </row>
    <row r="35" spans="1:10" s="4" customFormat="1" ht="25.5" customHeight="1" outlineLevel="1">
      <c r="A35" s="27" t="str">
        <f t="shared" si="6"/>
        <v>16A.C3.3</v>
      </c>
      <c r="B35" s="28" t="s">
        <v>26</v>
      </c>
      <c r="C35" s="28" t="s">
        <v>515</v>
      </c>
      <c r="D35" s="29" t="s">
        <v>519</v>
      </c>
      <c r="E35" s="31">
        <v>12.48</v>
      </c>
      <c r="F35" s="30">
        <f>_xlfn.XLOOKUP(B35, Rate_Master!$A:$A, Rate_Master!$C:$C, "")</f>
        <v>1520555.5555555553</v>
      </c>
      <c r="G35" s="30">
        <f>_xlfn.XLOOKUP(B35, Rate_Master!$A:$A, Rate_Master!$D:$D, "")</f>
        <v>252999.99999999997</v>
      </c>
      <c r="H35" s="66">
        <f t="shared" si="7"/>
        <v>1773555.5555555553</v>
      </c>
      <c r="I35" s="32">
        <f t="shared" si="8"/>
        <v>22133973.333333332</v>
      </c>
      <c r="J35" s="32"/>
    </row>
    <row r="36" spans="1:10" s="4" customFormat="1" ht="25.5" customHeight="1" outlineLevel="1">
      <c r="A36" s="27" t="str">
        <f t="shared" si="6"/>
        <v>16A.C3.4</v>
      </c>
      <c r="B36" s="28" t="s">
        <v>27</v>
      </c>
      <c r="C36" s="28" t="s">
        <v>515</v>
      </c>
      <c r="D36" s="29" t="s">
        <v>519</v>
      </c>
      <c r="E36" s="31">
        <v>98.625</v>
      </c>
      <c r="F36" s="30">
        <f>_xlfn.XLOOKUP(B36, Rate_Master!$A:$A, Rate_Master!$C:$C, "")</f>
        <v>1520555.5555555553</v>
      </c>
      <c r="G36" s="30">
        <f>_xlfn.XLOOKUP(B36, Rate_Master!$A:$A, Rate_Master!$D:$D, "")</f>
        <v>149500</v>
      </c>
      <c r="H36" s="66">
        <f t="shared" si="7"/>
        <v>1670055.5555555553</v>
      </c>
      <c r="I36" s="32">
        <f t="shared" si="8"/>
        <v>164709229.16666663</v>
      </c>
      <c r="J36" s="32"/>
    </row>
    <row r="37" spans="1:10" s="4" customFormat="1" ht="25.5" customHeight="1" outlineLevel="1">
      <c r="A37" s="27" t="str">
        <f t="shared" si="6"/>
        <v>16A.C3.5</v>
      </c>
      <c r="B37" s="28" t="s">
        <v>28</v>
      </c>
      <c r="C37" s="28" t="s">
        <v>515</v>
      </c>
      <c r="D37" s="29" t="s">
        <v>519</v>
      </c>
      <c r="E37" s="31">
        <v>23.207159999999998</v>
      </c>
      <c r="F37" s="30">
        <f>_xlfn.XLOOKUP(B37, Rate_Master!$A:$A, Rate_Master!$C:$C, "")</f>
        <v>1390222.2222222222</v>
      </c>
      <c r="G37" s="30">
        <f>_xlfn.XLOOKUP(B37, Rate_Master!$A:$A, Rate_Master!$D:$D, "")</f>
        <v>149500</v>
      </c>
      <c r="H37" s="66">
        <f t="shared" si="7"/>
        <v>1539722.2222222222</v>
      </c>
      <c r="I37" s="32">
        <f t="shared" si="8"/>
        <v>35732579.966666661</v>
      </c>
      <c r="J37" s="32"/>
    </row>
    <row r="38" spans="1:10" s="4" customFormat="1" ht="25.5" customHeight="1" outlineLevel="1">
      <c r="A38" s="27" t="str">
        <f t="shared" si="6"/>
        <v>16A.C3.6</v>
      </c>
      <c r="B38" s="28" t="s">
        <v>29</v>
      </c>
      <c r="C38" s="28" t="s">
        <v>515</v>
      </c>
      <c r="D38" s="29" t="s">
        <v>519</v>
      </c>
      <c r="E38" s="31">
        <v>0</v>
      </c>
      <c r="F38" s="30">
        <f>_xlfn.XLOOKUP(B38, Rate_Master!$A:$A, Rate_Master!$C:$C, "")</f>
        <v>1390222.2222222222</v>
      </c>
      <c r="G38" s="30">
        <f>_xlfn.XLOOKUP(B38, Rate_Master!$A:$A, Rate_Master!$D:$D, "")</f>
        <v>149500</v>
      </c>
      <c r="H38" s="32">
        <f t="shared" si="7"/>
        <v>1539722.2222222222</v>
      </c>
      <c r="I38" s="32">
        <f t="shared" si="8"/>
        <v>0</v>
      </c>
      <c r="J38" s="32"/>
    </row>
    <row r="39" spans="1:10" s="4" customFormat="1" ht="38.25" customHeight="1" outlineLevel="1">
      <c r="A39" s="27" t="str">
        <f t="shared" si="6"/>
        <v>16A.C3.7</v>
      </c>
      <c r="B39" s="28" t="s">
        <v>30</v>
      </c>
      <c r="C39" s="28" t="s">
        <v>515</v>
      </c>
      <c r="D39" s="29" t="s">
        <v>519</v>
      </c>
      <c r="E39" s="31">
        <v>0</v>
      </c>
      <c r="F39" s="30">
        <f>_xlfn.XLOOKUP(B39, Rate_Master!$A:$A, Rate_Master!$C:$C, "")</f>
        <v>22425000</v>
      </c>
      <c r="G39" s="30">
        <f>_xlfn.XLOOKUP(B39, Rate_Master!$A:$A, Rate_Master!$D:$D, "")</f>
        <v>8003999.9999999991</v>
      </c>
      <c r="H39" s="32">
        <f t="shared" si="7"/>
        <v>30429000</v>
      </c>
      <c r="I39" s="32">
        <f t="shared" si="8"/>
        <v>0</v>
      </c>
      <c r="J39" s="32"/>
    </row>
    <row r="40" spans="1:10" s="3" customFormat="1" ht="25.5" customHeight="1">
      <c r="A40" s="22" t="str">
        <f>$A$10&amp;4</f>
        <v>16A.C4</v>
      </c>
      <c r="B40" s="23" t="s">
        <v>31</v>
      </c>
      <c r="C40" s="23" t="s">
        <v>515</v>
      </c>
      <c r="D40" s="22"/>
      <c r="E40" s="25"/>
      <c r="F40" s="25">
        <f>_xlfn.XLOOKUP(B40, Rate_Master!$A:$A, Rate_Master!$C:$C, "")</f>
        <v>0</v>
      </c>
      <c r="G40" s="25">
        <f>_xlfn.XLOOKUP(B40, Rate_Master!$A:$A, Rate_Master!$D:$D, "")</f>
        <v>0</v>
      </c>
      <c r="H40" s="26"/>
      <c r="I40" s="26">
        <f>SUBTOTAL(9,I41:I45)</f>
        <v>267365017.99999997</v>
      </c>
      <c r="J40" s="26"/>
    </row>
    <row r="41" spans="1:10" s="4" customFormat="1" ht="25.5" customHeight="1" outlineLevel="1">
      <c r="A41" s="27" t="str">
        <f>$A$40&amp;"."&amp;ROW()-ROW($A$40)</f>
        <v>16A.C4.1</v>
      </c>
      <c r="B41" s="28" t="s">
        <v>32</v>
      </c>
      <c r="C41" s="28" t="s">
        <v>515</v>
      </c>
      <c r="D41" s="29" t="s">
        <v>520</v>
      </c>
      <c r="E41" s="31">
        <v>48.933999999999997</v>
      </c>
      <c r="F41" s="30">
        <f>_xlfn.XLOOKUP(B41, Rate_Master!$A:$A, Rate_Master!$C:$C, "")</f>
        <v>80500</v>
      </c>
      <c r="G41" s="30">
        <f>_xlfn.XLOOKUP(B41, Rate_Master!$A:$A, Rate_Master!$D:$D, "")</f>
        <v>92000</v>
      </c>
      <c r="H41" s="66">
        <f>+G41+F41</f>
        <v>172500</v>
      </c>
      <c r="I41" s="32">
        <f>H41*E41</f>
        <v>8441115</v>
      </c>
      <c r="J41" s="32"/>
    </row>
    <row r="42" spans="1:10" s="4" customFormat="1" ht="38.25" customHeight="1" outlineLevel="1">
      <c r="A42" s="27" t="str">
        <f>$A$40&amp;"."&amp;ROW()-ROW($A$40)</f>
        <v>16A.C4.2</v>
      </c>
      <c r="B42" s="28" t="s">
        <v>33</v>
      </c>
      <c r="C42" s="28" t="s">
        <v>515</v>
      </c>
      <c r="D42" s="29" t="s">
        <v>520</v>
      </c>
      <c r="E42" s="31">
        <v>254.75800000000001</v>
      </c>
      <c r="F42" s="30">
        <f>_xlfn.XLOOKUP(B42, Rate_Master!$A:$A, Rate_Master!$C:$C, "")</f>
        <v>126499.99999999999</v>
      </c>
      <c r="G42" s="30">
        <f>_xlfn.XLOOKUP(B42, Rate_Master!$A:$A, Rate_Master!$D:$D, "")</f>
        <v>103499.99999999999</v>
      </c>
      <c r="H42" s="66">
        <f>+G42+F42</f>
        <v>229999.99999999997</v>
      </c>
      <c r="I42" s="32">
        <f>H42*E42</f>
        <v>58594339.999999993</v>
      </c>
      <c r="J42" s="32"/>
    </row>
    <row r="43" spans="1:10" s="4" customFormat="1" ht="25.5" customHeight="1" outlineLevel="1">
      <c r="A43" s="27" t="str">
        <f>$A$40&amp;"."&amp;ROW()-ROW($A$40)</f>
        <v>16A.C4.3</v>
      </c>
      <c r="B43" s="28" t="s">
        <v>34</v>
      </c>
      <c r="C43" s="28" t="s">
        <v>515</v>
      </c>
      <c r="D43" s="29" t="s">
        <v>520</v>
      </c>
      <c r="E43" s="31">
        <v>147.69999999999999</v>
      </c>
      <c r="F43" s="30">
        <f>_xlfn.XLOOKUP(B43, Rate_Master!$A:$A, Rate_Master!$C:$C, "")</f>
        <v>126499.99999999999</v>
      </c>
      <c r="G43" s="30">
        <f>_xlfn.XLOOKUP(B43, Rate_Master!$A:$A, Rate_Master!$D:$D, "")</f>
        <v>149500</v>
      </c>
      <c r="H43" s="66">
        <f>+G43+F43</f>
        <v>276000</v>
      </c>
      <c r="I43" s="32">
        <f>H43*E43</f>
        <v>40765200</v>
      </c>
      <c r="J43" s="32"/>
    </row>
    <row r="44" spans="1:10" s="4" customFormat="1" ht="25.5" customHeight="1" outlineLevel="1">
      <c r="A44" s="27" t="str">
        <f>$A$40&amp;"."&amp;ROW()-ROW($A$40)</f>
        <v>16A.C4.4</v>
      </c>
      <c r="B44" s="28" t="s">
        <v>35</v>
      </c>
      <c r="C44" s="28" t="s">
        <v>515</v>
      </c>
      <c r="D44" s="29" t="s">
        <v>520</v>
      </c>
      <c r="E44" s="31">
        <v>660.72199999999998</v>
      </c>
      <c r="F44" s="30">
        <f>_xlfn.XLOOKUP(B44, Rate_Master!$A:$A, Rate_Master!$C:$C, "")</f>
        <v>126499.99999999999</v>
      </c>
      <c r="G44" s="30">
        <f>_xlfn.XLOOKUP(B44, Rate_Master!$A:$A, Rate_Master!$D:$D, "")</f>
        <v>114999.99999999999</v>
      </c>
      <c r="H44" s="66">
        <f>+G44+F44</f>
        <v>241499.99999999997</v>
      </c>
      <c r="I44" s="32">
        <f>H44*E44</f>
        <v>159564362.99999997</v>
      </c>
      <c r="J44" s="32"/>
    </row>
    <row r="45" spans="1:10" s="4" customFormat="1" ht="25.5" customHeight="1" outlineLevel="1">
      <c r="A45" s="27" t="str">
        <f>$A$40&amp;"."&amp;ROW()-ROW($A$40)</f>
        <v>16A.C4.5</v>
      </c>
      <c r="B45" s="28" t="s">
        <v>36</v>
      </c>
      <c r="C45" s="28" t="s">
        <v>515</v>
      </c>
      <c r="D45" s="29" t="s">
        <v>520</v>
      </c>
      <c r="E45" s="31">
        <v>0</v>
      </c>
      <c r="F45" s="30">
        <f>_xlfn.XLOOKUP(B45, Rate_Master!$A:$A, Rate_Master!$C:$C, "")</f>
        <v>126499.99999999999</v>
      </c>
      <c r="G45" s="30">
        <f>_xlfn.XLOOKUP(B45, Rate_Master!$A:$A, Rate_Master!$D:$D, "")</f>
        <v>97749.999999999985</v>
      </c>
      <c r="H45" s="66">
        <f>+G45+F45</f>
        <v>224249.99999999997</v>
      </c>
      <c r="I45" s="32">
        <f>H45*E45</f>
        <v>0</v>
      </c>
      <c r="J45" s="32"/>
    </row>
    <row r="46" spans="1:10" s="3" customFormat="1" ht="25.5" customHeight="1">
      <c r="A46" s="22" t="str">
        <f>$A$10&amp;5</f>
        <v>16A.C5</v>
      </c>
      <c r="B46" s="23" t="s">
        <v>37</v>
      </c>
      <c r="C46" s="23" t="s">
        <v>515</v>
      </c>
      <c r="D46" s="22"/>
      <c r="E46" s="25"/>
      <c r="F46" s="25">
        <f>_xlfn.XLOOKUP(B46, Rate_Master!$A:$A, Rate_Master!$C:$C, "")</f>
        <v>0</v>
      </c>
      <c r="G46" s="25">
        <f>_xlfn.XLOOKUP(B46, Rate_Master!$A:$A, Rate_Master!$D:$D, "")</f>
        <v>0</v>
      </c>
      <c r="H46" s="26"/>
      <c r="I46" s="26">
        <f>SUBTOTAL(9,I47:I51)</f>
        <v>797595920.95039272</v>
      </c>
      <c r="J46" s="26"/>
    </row>
    <row r="47" spans="1:10" s="4" customFormat="1" ht="38.25" customHeight="1" outlineLevel="1">
      <c r="A47" s="27" t="str">
        <f>$A$46&amp;"."&amp;ROW()-ROW($A$46)</f>
        <v>16A.C5.1</v>
      </c>
      <c r="B47" s="28" t="s">
        <v>38</v>
      </c>
      <c r="C47" s="28" t="s">
        <v>522</v>
      </c>
      <c r="D47" s="29" t="s">
        <v>523</v>
      </c>
      <c r="E47" s="31">
        <v>20299.231888888899</v>
      </c>
      <c r="F47" s="30">
        <f>_xlfn.XLOOKUP(B47, Rate_Master!$A:$A, Rate_Master!$C:$C, "")</f>
        <v>16770.564999999999</v>
      </c>
      <c r="G47" s="30">
        <f>_xlfn.XLOOKUP(B47, Rate_Master!$A:$A, Rate_Master!$D:$D, "")</f>
        <v>2875</v>
      </c>
      <c r="H47" s="66">
        <f>+G47+F47</f>
        <v>19645.564999999999</v>
      </c>
      <c r="I47" s="32">
        <f>H47*E47</f>
        <v>398789879.52323961</v>
      </c>
      <c r="J47" s="32"/>
    </row>
    <row r="48" spans="1:10" s="4" customFormat="1" ht="25.5" customHeight="1" outlineLevel="1">
      <c r="A48" s="27" t="str">
        <f>$A$46&amp;"."&amp;ROW()-ROW($A$46)</f>
        <v>16A.C5.2</v>
      </c>
      <c r="B48" s="28" t="s">
        <v>39</v>
      </c>
      <c r="C48" s="28" t="s">
        <v>522</v>
      </c>
      <c r="D48" s="29" t="s">
        <v>523</v>
      </c>
      <c r="E48" s="31">
        <v>4023.46</v>
      </c>
      <c r="F48" s="30">
        <f>_xlfn.XLOOKUP(B48, Rate_Master!$A:$A, Rate_Master!$C:$C, "")</f>
        <v>16770.564999999999</v>
      </c>
      <c r="G48" s="30">
        <f>_xlfn.XLOOKUP(B48, Rate_Master!$A:$A, Rate_Master!$D:$D, "")</f>
        <v>3679.9999999999995</v>
      </c>
      <c r="H48" s="66">
        <f>+G48+F48</f>
        <v>20450.564999999999</v>
      </c>
      <c r="I48" s="32">
        <f>H48*E48</f>
        <v>82282030.254899994</v>
      </c>
      <c r="J48" s="32"/>
    </row>
    <row r="49" spans="1:11" s="4" customFormat="1" ht="25.5" customHeight="1" outlineLevel="1">
      <c r="A49" s="27" t="str">
        <f>$A$46&amp;"."&amp;ROW()-ROW($A$46)</f>
        <v>16A.C5.3</v>
      </c>
      <c r="B49" s="28" t="s">
        <v>40</v>
      </c>
      <c r="C49" s="28" t="s">
        <v>522</v>
      </c>
      <c r="D49" s="29" t="s">
        <v>523</v>
      </c>
      <c r="E49" s="31">
        <v>12862.155000000001</v>
      </c>
      <c r="F49" s="30">
        <f>_xlfn.XLOOKUP(B49, Rate_Master!$A:$A, Rate_Master!$C:$C, "")</f>
        <v>16770.564999999999</v>
      </c>
      <c r="G49" s="30">
        <f>_xlfn.XLOOKUP(B49, Rate_Master!$A:$A, Rate_Master!$D:$D, "")</f>
        <v>3449.9999999999995</v>
      </c>
      <c r="H49" s="66">
        <f>+G49+F49</f>
        <v>20220.564999999999</v>
      </c>
      <c r="I49" s="32">
        <f>H49*E49</f>
        <v>260080041.21757498</v>
      </c>
      <c r="J49" s="32"/>
    </row>
    <row r="50" spans="1:11" s="4" customFormat="1" ht="25.5" customHeight="1" outlineLevel="1">
      <c r="A50" s="27" t="str">
        <f>$A$46&amp;"."&amp;ROW()-ROW($A$46)</f>
        <v>16A.C5.4</v>
      </c>
      <c r="B50" s="28" t="s">
        <v>41</v>
      </c>
      <c r="C50" s="28" t="s">
        <v>522</v>
      </c>
      <c r="D50" s="29" t="s">
        <v>523</v>
      </c>
      <c r="E50" s="31">
        <v>2228.6390000000001</v>
      </c>
      <c r="F50" s="30">
        <f>_xlfn.XLOOKUP(B50, Rate_Master!$A:$A, Rate_Master!$C:$C, "")</f>
        <v>16770.564999999999</v>
      </c>
      <c r="G50" s="30">
        <f>_xlfn.XLOOKUP(B50, Rate_Master!$A:$A, Rate_Master!$D:$D, "")</f>
        <v>3679.9999999999995</v>
      </c>
      <c r="H50" s="66">
        <f>+G50+F50</f>
        <v>20450.564999999999</v>
      </c>
      <c r="I50" s="32">
        <f>H50*E50</f>
        <v>45576926.731035002</v>
      </c>
      <c r="J50" s="32"/>
    </row>
    <row r="51" spans="1:11" s="4" customFormat="1" ht="25.5" customHeight="1" outlineLevel="1">
      <c r="A51" s="27" t="str">
        <f>$A$46&amp;"."&amp;ROW()-ROW($A$46)</f>
        <v>16A.C5.5</v>
      </c>
      <c r="B51" s="28" t="s">
        <v>42</v>
      </c>
      <c r="C51" s="28" t="s">
        <v>524</v>
      </c>
      <c r="D51" s="29" t="s">
        <v>523</v>
      </c>
      <c r="E51" s="31">
        <v>510.55752000000001</v>
      </c>
      <c r="F51" s="30">
        <f>_xlfn.XLOOKUP(B51, Rate_Master!$A:$A, Rate_Master!$C:$C, "")</f>
        <v>17834.66</v>
      </c>
      <c r="G51" s="30">
        <f>_xlfn.XLOOKUP(B51, Rate_Master!$A:$A, Rate_Master!$D:$D, "")</f>
        <v>3449.9999999999995</v>
      </c>
      <c r="H51" s="66">
        <f>+G51+F51</f>
        <v>21284.66</v>
      </c>
      <c r="I51" s="32">
        <f>H51*E51</f>
        <v>10867043.2236432</v>
      </c>
      <c r="J51" s="32"/>
    </row>
    <row r="52" spans="1:11" s="3" customFormat="1" ht="25.5" customHeight="1">
      <c r="A52" s="22" t="str">
        <f>$A$10&amp;6</f>
        <v>16A.C6</v>
      </c>
      <c r="B52" s="23" t="s">
        <v>43</v>
      </c>
      <c r="C52" s="23" t="s">
        <v>515</v>
      </c>
      <c r="D52" s="22"/>
      <c r="E52" s="25"/>
      <c r="F52" s="25">
        <f>_xlfn.XLOOKUP(B52, Rate_Master!$A:$A, Rate_Master!$C:$C, "")</f>
        <v>0</v>
      </c>
      <c r="G52" s="25">
        <f>_xlfn.XLOOKUP(B52, Rate_Master!$A:$A, Rate_Master!$D:$D, "")</f>
        <v>0</v>
      </c>
      <c r="H52" s="26"/>
      <c r="I52" s="26">
        <f>SUBTOTAL(9,I53:I55)</f>
        <v>26534538.800000001</v>
      </c>
      <c r="J52" s="26"/>
    </row>
    <row r="53" spans="1:11" s="4" customFormat="1" ht="25.5" customHeight="1" outlineLevel="1">
      <c r="A53" s="27" t="str">
        <f>$A$52&amp;"."&amp;ROW()-ROW($A$52)</f>
        <v>16A.C6.1</v>
      </c>
      <c r="B53" s="28" t="s">
        <v>44</v>
      </c>
      <c r="C53" s="28" t="s">
        <v>515</v>
      </c>
      <c r="D53" s="29" t="s">
        <v>520</v>
      </c>
      <c r="E53" s="31">
        <v>824.05399999999997</v>
      </c>
      <c r="F53" s="30">
        <f>_xlfn.XLOOKUP(B53, Rate_Master!$A:$A, Rate_Master!$C:$C, "")</f>
        <v>14949.999999999998</v>
      </c>
      <c r="G53" s="30">
        <f>_xlfn.XLOOKUP(B53, Rate_Master!$A:$A, Rate_Master!$D:$D, "")</f>
        <v>17250</v>
      </c>
      <c r="H53" s="32">
        <f>+G53+F53</f>
        <v>32200</v>
      </c>
      <c r="I53" s="32">
        <f>H53*E53</f>
        <v>26534538.800000001</v>
      </c>
      <c r="J53" s="32"/>
    </row>
    <row r="54" spans="1:11" s="4" customFormat="1" ht="51" customHeight="1" outlineLevel="1">
      <c r="A54" s="27" t="str">
        <f>$A$52&amp;"."&amp;ROW()-ROW($A$52)</f>
        <v>16A.C6.2</v>
      </c>
      <c r="B54" s="34" t="s">
        <v>45</v>
      </c>
      <c r="C54" s="28" t="s">
        <v>515</v>
      </c>
      <c r="D54" s="29" t="s">
        <v>517</v>
      </c>
      <c r="E54" s="31">
        <v>0</v>
      </c>
      <c r="F54" s="30">
        <f>_xlfn.XLOOKUP(B54, Rate_Master!$A:$A, Rate_Master!$C:$C, "")</f>
        <v>5750</v>
      </c>
      <c r="G54" s="30">
        <f>_xlfn.XLOOKUP(B54, Rate_Master!$A:$A, Rate_Master!$D:$D, "")</f>
        <v>23000</v>
      </c>
      <c r="H54" s="32">
        <f>+G54+F54</f>
        <v>28750</v>
      </c>
      <c r="I54" s="32">
        <f>H54*E54</f>
        <v>0</v>
      </c>
      <c r="J54" s="32"/>
    </row>
    <row r="55" spans="1:11" s="4" customFormat="1" ht="38.25" customHeight="1" outlineLevel="1">
      <c r="A55" s="27" t="str">
        <f>$A$52&amp;"."&amp;ROW()-ROW($A$52)</f>
        <v>16A.C6.3</v>
      </c>
      <c r="B55" s="28" t="s">
        <v>46</v>
      </c>
      <c r="C55" s="28" t="s">
        <v>515</v>
      </c>
      <c r="D55" s="29" t="s">
        <v>517</v>
      </c>
      <c r="E55" s="31">
        <v>0</v>
      </c>
      <c r="F55" s="30">
        <f>_xlfn.XLOOKUP(B55, Rate_Master!$A:$A, Rate_Master!$C:$C, "")</f>
        <v>172500</v>
      </c>
      <c r="G55" s="30">
        <f>_xlfn.XLOOKUP(B55, Rate_Master!$A:$A, Rate_Master!$D:$D, "")</f>
        <v>57499.999999999993</v>
      </c>
      <c r="H55" s="32">
        <f>+G55+F55</f>
        <v>230000</v>
      </c>
      <c r="I55" s="32">
        <f>H55*E55</f>
        <v>0</v>
      </c>
      <c r="J55" s="32"/>
    </row>
    <row r="56" spans="1:11" s="3" customFormat="1" ht="25.5" customHeight="1">
      <c r="A56" s="22" t="str">
        <f>$A$9&amp;".S"</f>
        <v>16A.S</v>
      </c>
      <c r="B56" s="23" t="s">
        <v>47</v>
      </c>
      <c r="C56" s="23" t="s">
        <v>515</v>
      </c>
      <c r="D56" s="22"/>
      <c r="E56" s="25"/>
      <c r="F56" s="25">
        <f>_xlfn.XLOOKUP(B56, Rate_Master!$A:$A, Rate_Master!$C:$C, "")</f>
        <v>0</v>
      </c>
      <c r="G56" s="25">
        <f>_xlfn.XLOOKUP(B56, Rate_Master!$A:$A, Rate_Master!$D:$D, "")</f>
        <v>0</v>
      </c>
      <c r="H56" s="26"/>
      <c r="I56" s="26"/>
      <c r="J56" s="26"/>
    </row>
    <row r="57" spans="1:11" s="3" customFormat="1" ht="25.5" customHeight="1">
      <c r="A57" s="22" t="str">
        <f>$A$56&amp;1</f>
        <v>16A.S1</v>
      </c>
      <c r="B57" s="23" t="s">
        <v>48</v>
      </c>
      <c r="C57" s="23" t="s">
        <v>515</v>
      </c>
      <c r="D57" s="22"/>
      <c r="E57" s="25"/>
      <c r="F57" s="25">
        <f>_xlfn.XLOOKUP(B57, Rate_Master!$A:$A, Rate_Master!$C:$C, "")</f>
        <v>0</v>
      </c>
      <c r="G57" s="25">
        <f>_xlfn.XLOOKUP(B57, Rate_Master!$A:$A, Rate_Master!$D:$D, "")</f>
        <v>0</v>
      </c>
      <c r="H57" s="26"/>
      <c r="I57" s="26">
        <f>SUBTOTAL(9,I58:I72)</f>
        <v>282860622.23028392</v>
      </c>
      <c r="J57" s="26"/>
      <c r="K57" s="94" t="s">
        <v>579</v>
      </c>
    </row>
    <row r="58" spans="1:11" s="4" customFormat="1" ht="51" customHeight="1" outlineLevel="1">
      <c r="A58" s="27" t="str">
        <f t="shared" ref="A58:A72" si="9">$A$57&amp;"."&amp;ROW()-ROW($A$57)</f>
        <v>16A.S1.1</v>
      </c>
      <c r="B58" s="28" t="s">
        <v>49</v>
      </c>
      <c r="C58" s="28" t="s">
        <v>525</v>
      </c>
      <c r="D58" s="29" t="s">
        <v>523</v>
      </c>
      <c r="E58" s="31">
        <v>1012.416384</v>
      </c>
      <c r="F58" s="30">
        <f>_xlfn.XLOOKUP(B58, Rate_Master!$A:$A, Rate_Master!$C:$C, "")</f>
        <v>20475</v>
      </c>
      <c r="G58" s="30">
        <f>_xlfn.XLOOKUP(B58, Rate_Master!$A:$A, Rate_Master!$D:$D, "")</f>
        <v>0</v>
      </c>
      <c r="H58" s="67">
        <f t="shared" ref="H58:H72" si="10">F58+G58</f>
        <v>20475</v>
      </c>
      <c r="I58" s="32">
        <f t="shared" ref="I58:I72" si="11">H58*E58</f>
        <v>20729225.462400001</v>
      </c>
      <c r="J58" s="32"/>
    </row>
    <row r="59" spans="1:11" s="4" customFormat="1" ht="76.5" customHeight="1" outlineLevel="1">
      <c r="A59" s="27" t="str">
        <f t="shared" si="9"/>
        <v>16A.S1.2</v>
      </c>
      <c r="B59" s="28" t="s">
        <v>50</v>
      </c>
      <c r="C59" s="28" t="s">
        <v>526</v>
      </c>
      <c r="D59" s="29" t="s">
        <v>523</v>
      </c>
      <c r="E59" s="31">
        <v>4101.0544898078397</v>
      </c>
      <c r="F59" s="30">
        <f>_xlfn.XLOOKUP(B59, Rate_Master!$A:$A, Rate_Master!$C:$C, "")</f>
        <v>26775</v>
      </c>
      <c r="G59" s="30">
        <f>_xlfn.XLOOKUP(B59, Rate_Master!$A:$A, Rate_Master!$D:$D, "")</f>
        <v>0</v>
      </c>
      <c r="H59" s="67">
        <f t="shared" si="10"/>
        <v>26775</v>
      </c>
      <c r="I59" s="32">
        <f t="shared" si="11"/>
        <v>109805733.96460491</v>
      </c>
      <c r="J59" s="32"/>
    </row>
    <row r="60" spans="1:11" s="4" customFormat="1" ht="76.5" customHeight="1" outlineLevel="1">
      <c r="A60" s="27" t="str">
        <f t="shared" si="9"/>
        <v>16A.S1.3</v>
      </c>
      <c r="B60" s="28" t="s">
        <v>51</v>
      </c>
      <c r="C60" s="28" t="s">
        <v>527</v>
      </c>
      <c r="D60" s="29" t="s">
        <v>523</v>
      </c>
      <c r="E60" s="31">
        <v>318.05801191670702</v>
      </c>
      <c r="F60" s="30">
        <f>_xlfn.XLOOKUP(B60, Rate_Master!$A:$A, Rate_Master!$C:$C, "")</f>
        <v>36750</v>
      </c>
      <c r="G60" s="30">
        <f>_xlfn.XLOOKUP(B60, Rate_Master!$A:$A, Rate_Master!$D:$D, "")</f>
        <v>0</v>
      </c>
      <c r="H60" s="67">
        <f t="shared" si="10"/>
        <v>36750</v>
      </c>
      <c r="I60" s="32">
        <f t="shared" si="11"/>
        <v>11688631.937938983</v>
      </c>
      <c r="J60" s="32"/>
    </row>
    <row r="61" spans="1:11" s="4" customFormat="1" ht="76.5" customHeight="1" outlineLevel="1">
      <c r="A61" s="27" t="str">
        <f t="shared" si="9"/>
        <v>16A.S1.4</v>
      </c>
      <c r="B61" s="28" t="s">
        <v>52</v>
      </c>
      <c r="C61" s="28" t="s">
        <v>527</v>
      </c>
      <c r="D61" s="29" t="s">
        <v>523</v>
      </c>
      <c r="E61" s="31">
        <v>0</v>
      </c>
      <c r="F61" s="30">
        <f>_xlfn.XLOOKUP(B61, Rate_Master!$A:$A, Rate_Master!$C:$C, "")</f>
        <v>26775</v>
      </c>
      <c r="G61" s="30">
        <f>_xlfn.XLOOKUP(B61, Rate_Master!$A:$A, Rate_Master!$D:$D, "")</f>
        <v>0</v>
      </c>
      <c r="H61" s="67">
        <f t="shared" si="10"/>
        <v>26775</v>
      </c>
      <c r="I61" s="32">
        <f t="shared" si="11"/>
        <v>0</v>
      </c>
      <c r="J61" s="32"/>
    </row>
    <row r="62" spans="1:11" s="4" customFormat="1" ht="25.5" customHeight="1" outlineLevel="1">
      <c r="A62" s="27" t="str">
        <f t="shared" si="9"/>
        <v>16A.S1.5</v>
      </c>
      <c r="B62" s="28" t="s">
        <v>53</v>
      </c>
      <c r="C62" s="28" t="s">
        <v>528</v>
      </c>
      <c r="D62" s="29" t="s">
        <v>523</v>
      </c>
      <c r="E62" s="31">
        <v>3220.5095999999999</v>
      </c>
      <c r="F62" s="30">
        <f>_xlfn.XLOOKUP(B62, Rate_Master!$A:$A, Rate_Master!$C:$C, "")</f>
        <v>22365</v>
      </c>
      <c r="G62" s="30">
        <f>_xlfn.XLOOKUP(B62, Rate_Master!$A:$A, Rate_Master!$D:$D, "")</f>
        <v>0</v>
      </c>
      <c r="H62" s="67">
        <f t="shared" si="10"/>
        <v>22365</v>
      </c>
      <c r="I62" s="32">
        <f t="shared" si="11"/>
        <v>72026697.203999996</v>
      </c>
      <c r="J62" s="32"/>
    </row>
    <row r="63" spans="1:11" s="4" customFormat="1" ht="38.25" customHeight="1" outlineLevel="1">
      <c r="A63" s="27" t="str">
        <f t="shared" si="9"/>
        <v>16A.S1.6</v>
      </c>
      <c r="B63" s="28" t="s">
        <v>54</v>
      </c>
      <c r="C63" s="28" t="s">
        <v>529</v>
      </c>
      <c r="D63" s="29" t="s">
        <v>523</v>
      </c>
      <c r="E63" s="31">
        <v>136.831622452961</v>
      </c>
      <c r="F63" s="30">
        <f>_xlfn.XLOOKUP(B63, Rate_Master!$A:$A, Rate_Master!$C:$C, "")</f>
        <v>36750</v>
      </c>
      <c r="G63" s="30">
        <f>_xlfn.XLOOKUP(B63, Rate_Master!$A:$A, Rate_Master!$D:$D, "")</f>
        <v>0</v>
      </c>
      <c r="H63" s="67">
        <f t="shared" si="10"/>
        <v>36750</v>
      </c>
      <c r="I63" s="32">
        <f t="shared" si="11"/>
        <v>5028562.1251463164</v>
      </c>
      <c r="J63" s="32"/>
    </row>
    <row r="64" spans="1:11" s="4" customFormat="1" ht="25.5" customHeight="1" outlineLevel="1">
      <c r="A64" s="27" t="str">
        <f t="shared" si="9"/>
        <v>16A.S1.7</v>
      </c>
      <c r="B64" s="28" t="s">
        <v>55</v>
      </c>
      <c r="C64" s="28" t="s">
        <v>530</v>
      </c>
      <c r="D64" s="29" t="s">
        <v>523</v>
      </c>
      <c r="E64" s="31">
        <v>84.073499999999996</v>
      </c>
      <c r="F64" s="30">
        <f>_xlfn.XLOOKUP(B64, Rate_Master!$A:$A, Rate_Master!$C:$C, "")</f>
        <v>27930</v>
      </c>
      <c r="G64" s="30">
        <f>_xlfn.XLOOKUP(B64, Rate_Master!$A:$A, Rate_Master!$D:$D, "")</f>
        <v>0</v>
      </c>
      <c r="H64" s="67">
        <f t="shared" si="10"/>
        <v>27930</v>
      </c>
      <c r="I64" s="32">
        <f t="shared" si="11"/>
        <v>2348172.855</v>
      </c>
      <c r="J64" s="32"/>
    </row>
    <row r="65" spans="1:10" s="4" customFormat="1" ht="25.5" customHeight="1" outlineLevel="1">
      <c r="A65" s="27" t="str">
        <f t="shared" si="9"/>
        <v>16A.S1.8</v>
      </c>
      <c r="B65" s="28" t="s">
        <v>56</v>
      </c>
      <c r="C65" s="28" t="s">
        <v>531</v>
      </c>
      <c r="D65" s="29" t="s">
        <v>523</v>
      </c>
      <c r="E65" s="31">
        <v>140.80000000000001</v>
      </c>
      <c r="F65" s="30">
        <f>_xlfn.XLOOKUP(B65, Rate_Master!$A:$A, Rate_Master!$C:$C, "")</f>
        <v>52500</v>
      </c>
      <c r="G65" s="30">
        <f>_xlfn.XLOOKUP(B65, Rate_Master!$A:$A, Rate_Master!$D:$D, "")</f>
        <v>0</v>
      </c>
      <c r="H65" s="67">
        <f t="shared" si="10"/>
        <v>52500</v>
      </c>
      <c r="I65" s="32">
        <f t="shared" si="11"/>
        <v>7392000.0000000009</v>
      </c>
      <c r="J65" s="32"/>
    </row>
    <row r="66" spans="1:10" s="4" customFormat="1" ht="25.5" customHeight="1" outlineLevel="1">
      <c r="A66" s="27" t="str">
        <f t="shared" si="9"/>
        <v>16A.S1.9</v>
      </c>
      <c r="B66" s="28" t="s">
        <v>57</v>
      </c>
      <c r="C66" s="28" t="s">
        <v>532</v>
      </c>
      <c r="D66" s="29" t="s">
        <v>523</v>
      </c>
      <c r="E66" s="31">
        <v>45.76</v>
      </c>
      <c r="F66" s="30">
        <f>_xlfn.XLOOKUP(B66, Rate_Master!$A:$A, Rate_Master!$C:$C, "")</f>
        <v>60900</v>
      </c>
      <c r="G66" s="30">
        <f>_xlfn.XLOOKUP(B66, Rate_Master!$A:$A, Rate_Master!$D:$D, "")</f>
        <v>0</v>
      </c>
      <c r="H66" s="67">
        <f t="shared" si="10"/>
        <v>60900</v>
      </c>
      <c r="I66" s="32">
        <f t="shared" si="11"/>
        <v>2786784</v>
      </c>
      <c r="J66" s="32"/>
    </row>
    <row r="67" spans="1:10" s="4" customFormat="1" ht="25.5" customHeight="1" outlineLevel="1">
      <c r="A67" s="27" t="str">
        <f t="shared" si="9"/>
        <v>16A.S1.10</v>
      </c>
      <c r="B67" s="28" t="s">
        <v>58</v>
      </c>
      <c r="C67" s="28" t="s">
        <v>533</v>
      </c>
      <c r="D67" s="29" t="s">
        <v>523</v>
      </c>
      <c r="E67" s="31">
        <v>38.78</v>
      </c>
      <c r="F67" s="30">
        <f>_xlfn.XLOOKUP(B67, Rate_Master!$A:$A, Rate_Master!$C:$C, "")</f>
        <v>60900</v>
      </c>
      <c r="G67" s="30">
        <f>_xlfn.XLOOKUP(B67, Rate_Master!$A:$A, Rate_Master!$D:$D, "")</f>
        <v>0</v>
      </c>
      <c r="H67" s="67">
        <f t="shared" si="10"/>
        <v>60900</v>
      </c>
      <c r="I67" s="32">
        <f t="shared" si="11"/>
        <v>2361702</v>
      </c>
      <c r="J67" s="32"/>
    </row>
    <row r="68" spans="1:10" s="4" customFormat="1" ht="25.5" customHeight="1" outlineLevel="1">
      <c r="A68" s="27" t="str">
        <f t="shared" si="9"/>
        <v>16A.S1.11</v>
      </c>
      <c r="B68" s="28" t="s">
        <v>59</v>
      </c>
      <c r="C68" s="28" t="s">
        <v>534</v>
      </c>
      <c r="D68" s="29" t="s">
        <v>518</v>
      </c>
      <c r="E68" s="31">
        <v>0</v>
      </c>
      <c r="F68" s="30">
        <f>_xlfn.XLOOKUP(B68, Rate_Master!$A:$A, Rate_Master!$C:$C, "")</f>
        <v>21000</v>
      </c>
      <c r="G68" s="30">
        <f>_xlfn.XLOOKUP(B68, Rate_Master!$A:$A, Rate_Master!$D:$D, "")</f>
        <v>0</v>
      </c>
      <c r="H68" s="67">
        <f t="shared" si="10"/>
        <v>21000</v>
      </c>
      <c r="I68" s="32">
        <f t="shared" si="11"/>
        <v>0</v>
      </c>
      <c r="J68" s="32"/>
    </row>
    <row r="69" spans="1:10" s="4" customFormat="1" ht="25.5" customHeight="1" outlineLevel="1">
      <c r="A69" s="27" t="str">
        <f t="shared" si="9"/>
        <v>16A.S1.12</v>
      </c>
      <c r="B69" s="28" t="s">
        <v>60</v>
      </c>
      <c r="C69" s="28" t="s">
        <v>515</v>
      </c>
      <c r="D69" s="29" t="s">
        <v>523</v>
      </c>
      <c r="E69" s="31">
        <v>140.80000000000001</v>
      </c>
      <c r="F69" s="30">
        <f>_xlfn.XLOOKUP(B69, Rate_Master!$A:$A, Rate_Master!$C:$C, "")</f>
        <v>630</v>
      </c>
      <c r="G69" s="30">
        <f>_xlfn.XLOOKUP(B69, Rate_Master!$A:$A, Rate_Master!$D:$D, "")</f>
        <v>0</v>
      </c>
      <c r="H69" s="67">
        <f t="shared" si="10"/>
        <v>630</v>
      </c>
      <c r="I69" s="32">
        <f t="shared" si="11"/>
        <v>88704</v>
      </c>
      <c r="J69" s="32"/>
    </row>
    <row r="70" spans="1:10" s="4" customFormat="1" ht="25.5" customHeight="1" outlineLevel="1">
      <c r="A70" s="27" t="str">
        <f t="shared" si="9"/>
        <v>16A.S1.13</v>
      </c>
      <c r="B70" s="28" t="s">
        <v>61</v>
      </c>
      <c r="C70" s="28" t="s">
        <v>515</v>
      </c>
      <c r="D70" s="29" t="s">
        <v>523</v>
      </c>
      <c r="E70" s="31">
        <v>8872.9436081775093</v>
      </c>
      <c r="F70" s="30">
        <f>_xlfn.XLOOKUP(B70, Rate_Master!$A:$A, Rate_Master!$C:$C, "")</f>
        <v>630</v>
      </c>
      <c r="G70" s="30">
        <f>_xlfn.XLOOKUP(B70, Rate_Master!$A:$A, Rate_Master!$D:$D, "")</f>
        <v>0</v>
      </c>
      <c r="H70" s="67">
        <f t="shared" si="10"/>
        <v>630</v>
      </c>
      <c r="I70" s="32">
        <f t="shared" si="11"/>
        <v>5589954.473151831</v>
      </c>
      <c r="J70" s="32"/>
    </row>
    <row r="71" spans="1:10" s="4" customFormat="1" ht="25.5" customHeight="1" outlineLevel="1">
      <c r="A71" s="27" t="str">
        <f t="shared" si="9"/>
        <v>16A.S1.14</v>
      </c>
      <c r="B71" s="28" t="s">
        <v>62</v>
      </c>
      <c r="C71" s="28" t="s">
        <v>515</v>
      </c>
      <c r="D71" s="29" t="s">
        <v>518</v>
      </c>
      <c r="E71" s="31">
        <v>64</v>
      </c>
      <c r="F71" s="30">
        <f>_xlfn.XLOOKUP(B71, Rate_Master!$A:$A, Rate_Master!$C:$C, "")</f>
        <v>0</v>
      </c>
      <c r="G71" s="30">
        <f>_xlfn.XLOOKUP(B71, Rate_Master!$A:$A, Rate_Master!$D:$D, "")</f>
        <v>264500</v>
      </c>
      <c r="H71" s="67">
        <f t="shared" si="10"/>
        <v>264500</v>
      </c>
      <c r="I71" s="32">
        <f t="shared" si="11"/>
        <v>16928000</v>
      </c>
      <c r="J71" s="32"/>
    </row>
    <row r="72" spans="1:10" s="4" customFormat="1" ht="25.5" customHeight="1" outlineLevel="1">
      <c r="A72" s="27" t="str">
        <f t="shared" si="9"/>
        <v>16A.S1.15</v>
      </c>
      <c r="B72" s="28" t="s">
        <v>63</v>
      </c>
      <c r="C72" s="28" t="s">
        <v>515</v>
      </c>
      <c r="D72" s="29" t="s">
        <v>523</v>
      </c>
      <c r="E72" s="31">
        <v>8872.9436081775093</v>
      </c>
      <c r="F72" s="30">
        <f>_xlfn.XLOOKUP(B72, Rate_Master!$A:$A, Rate_Master!$C:$C, "")</f>
        <v>2940</v>
      </c>
      <c r="G72" s="30">
        <f>_xlfn.XLOOKUP(B72, Rate_Master!$A:$A, Rate_Master!$D:$D, "")</f>
        <v>0</v>
      </c>
      <c r="H72" s="67">
        <f t="shared" si="10"/>
        <v>2940</v>
      </c>
      <c r="I72" s="32">
        <f t="shared" si="11"/>
        <v>26086454.208041877</v>
      </c>
      <c r="J72" s="32"/>
    </row>
    <row r="73" spans="1:10" s="3" customFormat="1" ht="25.5" customHeight="1">
      <c r="A73" s="22" t="str">
        <f>$A$56&amp;2</f>
        <v>16A.S2</v>
      </c>
      <c r="B73" s="23" t="s">
        <v>64</v>
      </c>
      <c r="C73" s="23" t="s">
        <v>515</v>
      </c>
      <c r="D73" s="22"/>
      <c r="E73" s="25"/>
      <c r="F73" s="25">
        <f>_xlfn.XLOOKUP(B73, Rate_Master!$A:$A, Rate_Master!$C:$C, "")</f>
        <v>0</v>
      </c>
      <c r="G73" s="25">
        <f>_xlfn.XLOOKUP(B73, Rate_Master!$A:$A, Rate_Master!$D:$D, "")</f>
        <v>0</v>
      </c>
      <c r="H73" s="68"/>
      <c r="I73" s="26">
        <f>SUBTOTAL(9,I74:I78)</f>
        <v>0</v>
      </c>
      <c r="J73" s="26"/>
    </row>
    <row r="74" spans="1:10" s="4" customFormat="1" ht="25.5" customHeight="1" outlineLevel="1">
      <c r="A74" s="37" t="str">
        <f>$A$73&amp;"."&amp;ROW()-ROW($A$73)</f>
        <v>16A.S2.1</v>
      </c>
      <c r="B74" s="38" t="s">
        <v>65</v>
      </c>
      <c r="C74" s="38" t="s">
        <v>535</v>
      </c>
      <c r="D74" s="39" t="s">
        <v>520</v>
      </c>
      <c r="E74" s="40">
        <v>0</v>
      </c>
      <c r="F74" s="42">
        <f>_xlfn.XLOOKUP(B74, Rate_Master!$A:$A, Rate_Master!$C:$C, "")</f>
        <v>0</v>
      </c>
      <c r="G74" s="42">
        <f>_xlfn.XLOOKUP(B74, Rate_Master!$A:$A, Rate_Master!$D:$D, "")</f>
        <v>0</v>
      </c>
      <c r="H74" s="69"/>
      <c r="I74" s="41">
        <f>H74*E74</f>
        <v>0</v>
      </c>
      <c r="J74" s="41"/>
    </row>
    <row r="75" spans="1:10" s="4" customFormat="1" ht="25.5" customHeight="1" outlineLevel="1">
      <c r="A75" s="37" t="str">
        <f>$A$73&amp;"."&amp;ROW()-ROW($A$73)</f>
        <v>16A.S2.2</v>
      </c>
      <c r="B75" s="38" t="s">
        <v>66</v>
      </c>
      <c r="C75" s="38" t="s">
        <v>536</v>
      </c>
      <c r="D75" s="39" t="s">
        <v>518</v>
      </c>
      <c r="E75" s="40">
        <v>0</v>
      </c>
      <c r="F75" s="42">
        <f>_xlfn.XLOOKUP(B75, Rate_Master!$A:$A, Rate_Master!$C:$C, "")</f>
        <v>0</v>
      </c>
      <c r="G75" s="42">
        <f>_xlfn.XLOOKUP(B75, Rate_Master!$A:$A, Rate_Master!$D:$D, "")</f>
        <v>0</v>
      </c>
      <c r="H75" s="69"/>
      <c r="I75" s="41">
        <f>H75*E75</f>
        <v>0</v>
      </c>
      <c r="J75" s="41"/>
    </row>
    <row r="76" spans="1:10" s="4" customFormat="1" ht="25.5" customHeight="1" outlineLevel="1">
      <c r="A76" s="37" t="str">
        <f>$A$73&amp;"."&amp;ROW()-ROW($A$73)</f>
        <v>16A.S2.3</v>
      </c>
      <c r="B76" s="38" t="s">
        <v>67</v>
      </c>
      <c r="C76" s="38" t="s">
        <v>515</v>
      </c>
      <c r="D76" s="39" t="s">
        <v>520</v>
      </c>
      <c r="E76" s="40">
        <v>0</v>
      </c>
      <c r="F76" s="42">
        <f>_xlfn.XLOOKUP(B76, Rate_Master!$A:$A, Rate_Master!$C:$C, "")</f>
        <v>0</v>
      </c>
      <c r="G76" s="42">
        <f>_xlfn.XLOOKUP(B76, Rate_Master!$A:$A, Rate_Master!$D:$D, "")</f>
        <v>0</v>
      </c>
      <c r="H76" s="69"/>
      <c r="I76" s="41">
        <f>H76*E76</f>
        <v>0</v>
      </c>
      <c r="J76" s="41"/>
    </row>
    <row r="77" spans="1:10" s="4" customFormat="1" ht="25.5" customHeight="1" outlineLevel="1">
      <c r="A77" s="37" t="str">
        <f>$A$73&amp;"."&amp;ROW()-ROW($A$73)</f>
        <v>16A.S2.4</v>
      </c>
      <c r="B77" s="38" t="s">
        <v>68</v>
      </c>
      <c r="C77" s="38" t="s">
        <v>515</v>
      </c>
      <c r="D77" s="39" t="s">
        <v>457</v>
      </c>
      <c r="E77" s="40">
        <v>0</v>
      </c>
      <c r="F77" s="42">
        <f>_xlfn.XLOOKUP(B77, Rate_Master!$A:$A, Rate_Master!$C:$C, "")</f>
        <v>0</v>
      </c>
      <c r="G77" s="42">
        <f>_xlfn.XLOOKUP(B77, Rate_Master!$A:$A, Rate_Master!$D:$D, "")</f>
        <v>0</v>
      </c>
      <c r="H77" s="69"/>
      <c r="I77" s="41">
        <f>H77*E77</f>
        <v>0</v>
      </c>
      <c r="J77" s="41"/>
    </row>
    <row r="78" spans="1:10" s="4" customFormat="1" ht="25.5" customHeight="1" outlineLevel="1">
      <c r="A78" s="37" t="str">
        <f>$A$73&amp;"."&amp;ROW()-ROW($A$73)</f>
        <v>16A.S2.5</v>
      </c>
      <c r="B78" s="38" t="s">
        <v>69</v>
      </c>
      <c r="C78" s="38" t="s">
        <v>515</v>
      </c>
      <c r="D78" s="39" t="s">
        <v>520</v>
      </c>
      <c r="E78" s="40">
        <v>0</v>
      </c>
      <c r="F78" s="42">
        <f>_xlfn.XLOOKUP(B78, Rate_Master!$A:$A, Rate_Master!$C:$C, "")</f>
        <v>0</v>
      </c>
      <c r="G78" s="42">
        <f>_xlfn.XLOOKUP(B78, Rate_Master!$A:$A, Rate_Master!$D:$D, "")</f>
        <v>0</v>
      </c>
      <c r="H78" s="69"/>
      <c r="I78" s="41">
        <f>H78*E78</f>
        <v>0</v>
      </c>
      <c r="J78" s="41"/>
    </row>
    <row r="79" spans="1:10" s="3" customFormat="1" ht="25.5" customHeight="1">
      <c r="A79" s="22" t="str">
        <f>$A$56&amp;3</f>
        <v>16A.S3</v>
      </c>
      <c r="B79" s="23" t="s">
        <v>70</v>
      </c>
      <c r="C79" s="23" t="s">
        <v>515</v>
      </c>
      <c r="D79" s="22"/>
      <c r="E79" s="25"/>
      <c r="F79" s="25">
        <f>_xlfn.XLOOKUP(B79, Rate_Master!$A:$A, Rate_Master!$C:$C, "")</f>
        <v>0</v>
      </c>
      <c r="G79" s="25">
        <f>_xlfn.XLOOKUP(B79, Rate_Master!$A:$A, Rate_Master!$D:$D, "")</f>
        <v>0</v>
      </c>
      <c r="H79" s="68"/>
      <c r="I79" s="26">
        <f>SUBTOTAL(9,I80:I93)</f>
        <v>404314388.4665271</v>
      </c>
      <c r="J79" s="26"/>
    </row>
    <row r="80" spans="1:10" s="4" customFormat="1" ht="51" customHeight="1" outlineLevel="1">
      <c r="A80" s="27" t="str">
        <f t="shared" ref="A80:A93" si="12">$A$79&amp;"."&amp;ROW()-ROW($A$79)</f>
        <v>16A.S3.1</v>
      </c>
      <c r="B80" s="28" t="s">
        <v>71</v>
      </c>
      <c r="C80" s="28" t="str">
        <f>+'15A'!C80</f>
        <v xml:space="preserve">Tôn liên doanh Việt hàn, AZ170
</v>
      </c>
      <c r="D80" s="29" t="s">
        <v>520</v>
      </c>
      <c r="E80" s="31">
        <v>0</v>
      </c>
      <c r="F80" s="30">
        <f>_xlfn.XLOOKUP(B80, Rate_Master!$A:$A, Rate_Master!$C:$C, "")</f>
        <v>248399.99999999997</v>
      </c>
      <c r="G80" s="30">
        <f>_xlfn.XLOOKUP(B80, Rate_Master!$A:$A, Rate_Master!$D:$D, "")</f>
        <v>34500</v>
      </c>
      <c r="H80" s="67">
        <f t="shared" ref="H80:H93" si="13">F80+G80</f>
        <v>282900</v>
      </c>
      <c r="I80" s="32">
        <f t="shared" ref="I80:I93" si="14">H80*E80</f>
        <v>0</v>
      </c>
      <c r="J80" s="32"/>
    </row>
    <row r="81" spans="1:10" s="4" customFormat="1" ht="51" customHeight="1" outlineLevel="1">
      <c r="A81" s="27" t="str">
        <f t="shared" si="12"/>
        <v>16A.S3.2</v>
      </c>
      <c r="B81" s="28" t="s">
        <v>72</v>
      </c>
      <c r="C81" s="28" t="str">
        <f>+'15A'!C81</f>
        <v xml:space="preserve">Tôn liên doanh Việt hàn, AZ170
</v>
      </c>
      <c r="D81" s="29" t="s">
        <v>520</v>
      </c>
      <c r="E81" s="31">
        <v>0</v>
      </c>
      <c r="F81" s="30">
        <f>_xlfn.XLOOKUP(B81, Rate_Master!$A:$A, Rate_Master!$C:$C, "")</f>
        <v>206999.99999999997</v>
      </c>
      <c r="G81" s="30">
        <f>_xlfn.XLOOKUP(B81, Rate_Master!$A:$A, Rate_Master!$D:$D, "")</f>
        <v>34500</v>
      </c>
      <c r="H81" s="67">
        <f t="shared" si="13"/>
        <v>241499.99999999997</v>
      </c>
      <c r="I81" s="32">
        <f t="shared" si="14"/>
        <v>0</v>
      </c>
      <c r="J81" s="32"/>
    </row>
    <row r="82" spans="1:10" s="4" customFormat="1" ht="63.75" customHeight="1" outlineLevel="1">
      <c r="A82" s="27" t="str">
        <f t="shared" si="12"/>
        <v>16A.S3.3</v>
      </c>
      <c r="B82" s="28" t="s">
        <v>73</v>
      </c>
      <c r="C82" s="28" t="str">
        <f>+'15A'!C82</f>
        <v xml:space="preserve">Tôn liên doanh Việt hàn, AZ170
</v>
      </c>
      <c r="D82" s="29" t="s">
        <v>520</v>
      </c>
      <c r="E82" s="31">
        <v>563.94000000000005</v>
      </c>
      <c r="F82" s="30">
        <f>_xlfn.XLOOKUP(B82, Rate_Master!$A:$A, Rate_Master!$C:$C, "")</f>
        <v>195499.99999999997</v>
      </c>
      <c r="G82" s="30">
        <f>_xlfn.XLOOKUP(B82, Rate_Master!$A:$A, Rate_Master!$D:$D, "")</f>
        <v>34500</v>
      </c>
      <c r="H82" s="67">
        <f t="shared" si="13"/>
        <v>229999.99999999997</v>
      </c>
      <c r="I82" s="32">
        <f t="shared" si="14"/>
        <v>129706200</v>
      </c>
      <c r="J82" s="32"/>
    </row>
    <row r="83" spans="1:10" s="4" customFormat="1" ht="25.5" customHeight="1" outlineLevel="1">
      <c r="A83" s="27" t="str">
        <f t="shared" si="12"/>
        <v>16A.S3.4</v>
      </c>
      <c r="B83" s="28" t="s">
        <v>74</v>
      </c>
      <c r="C83" s="28" t="s">
        <v>515</v>
      </c>
      <c r="D83" s="29" t="s">
        <v>520</v>
      </c>
      <c r="E83" s="31">
        <v>0</v>
      </c>
      <c r="F83" s="30">
        <f>_xlfn.XLOOKUP(B83, Rate_Master!$A:$A, Rate_Master!$C:$C, "")</f>
        <v>23000</v>
      </c>
      <c r="G83" s="30">
        <f>_xlfn.XLOOKUP(B83, Rate_Master!$A:$A, Rate_Master!$D:$D, "")</f>
        <v>11500</v>
      </c>
      <c r="H83" s="67">
        <f t="shared" si="13"/>
        <v>34500</v>
      </c>
      <c r="I83" s="32">
        <f t="shared" si="14"/>
        <v>0</v>
      </c>
      <c r="J83" s="32"/>
    </row>
    <row r="84" spans="1:10" s="4" customFormat="1" ht="25.5" customHeight="1" outlineLevel="1">
      <c r="A84" s="27" t="str">
        <f t="shared" si="12"/>
        <v>16A.S3.5</v>
      </c>
      <c r="B84" s="28" t="s">
        <v>75</v>
      </c>
      <c r="C84" s="28" t="s">
        <v>538</v>
      </c>
      <c r="D84" s="29" t="s">
        <v>517</v>
      </c>
      <c r="E84" s="31">
        <v>71.599999999999994</v>
      </c>
      <c r="F84" s="30">
        <f>_xlfn.XLOOKUP(B84, Rate_Master!$A:$A, Rate_Master!$C:$C, "")</f>
        <v>110399.99999999999</v>
      </c>
      <c r="G84" s="30">
        <f>_xlfn.XLOOKUP(B84, Rate_Master!$A:$A, Rate_Master!$D:$D, "")</f>
        <v>17250</v>
      </c>
      <c r="H84" s="67">
        <f t="shared" si="13"/>
        <v>127649.99999999999</v>
      </c>
      <c r="I84" s="32">
        <f t="shared" si="14"/>
        <v>9139739.9999999981</v>
      </c>
      <c r="J84" s="32"/>
    </row>
    <row r="85" spans="1:10" s="4" customFormat="1" ht="25.5" customHeight="1" outlineLevel="1">
      <c r="A85" s="27" t="str">
        <f t="shared" si="12"/>
        <v>16A.S3.6</v>
      </c>
      <c r="B85" s="28" t="s">
        <v>75</v>
      </c>
      <c r="C85" s="28" t="s">
        <v>539</v>
      </c>
      <c r="D85" s="29" t="s">
        <v>517</v>
      </c>
      <c r="E85" s="31">
        <v>23.4</v>
      </c>
      <c r="F85" s="30">
        <f>_xlfn.XLOOKUP(B85, Rate_Master!$A:$A, Rate_Master!$C:$C, "")</f>
        <v>110399.99999999999</v>
      </c>
      <c r="G85" s="30">
        <f>_xlfn.XLOOKUP(B85, Rate_Master!$A:$A, Rate_Master!$D:$D, "")</f>
        <v>17250</v>
      </c>
      <c r="H85" s="67">
        <f t="shared" si="13"/>
        <v>127649.99999999999</v>
      </c>
      <c r="I85" s="32">
        <f t="shared" si="14"/>
        <v>2987009.9999999995</v>
      </c>
      <c r="J85" s="32"/>
    </row>
    <row r="86" spans="1:10" s="4" customFormat="1" ht="25.5" customHeight="1" outlineLevel="1">
      <c r="A86" s="27" t="str">
        <f t="shared" si="12"/>
        <v>16A.S3.7</v>
      </c>
      <c r="B86" s="28" t="s">
        <v>76</v>
      </c>
      <c r="C86" s="28" t="s">
        <v>540</v>
      </c>
      <c r="D86" s="29" t="s">
        <v>517</v>
      </c>
      <c r="E86" s="31">
        <v>0</v>
      </c>
      <c r="F86" s="30">
        <f>_xlfn.XLOOKUP(B86, Rate_Master!$A:$A, Rate_Master!$C:$C, "")</f>
        <v>1976115.3983999996</v>
      </c>
      <c r="G86" s="30">
        <f>_xlfn.XLOOKUP(B86, Rate_Master!$A:$A, Rate_Master!$D:$D, "")</f>
        <v>28749.999999999996</v>
      </c>
      <c r="H86" s="67">
        <f t="shared" si="13"/>
        <v>2004865.3983999996</v>
      </c>
      <c r="I86" s="32">
        <f t="shared" si="14"/>
        <v>0</v>
      </c>
      <c r="J86" s="32"/>
    </row>
    <row r="87" spans="1:10" s="4" customFormat="1" ht="25.5" customHeight="1" outlineLevel="1">
      <c r="A87" s="27" t="str">
        <f t="shared" si="12"/>
        <v>16A.S3.8</v>
      </c>
      <c r="B87" s="28" t="s">
        <v>77</v>
      </c>
      <c r="C87" s="28" t="s">
        <v>541</v>
      </c>
      <c r="D87" s="29" t="s">
        <v>517</v>
      </c>
      <c r="E87" s="31">
        <v>23.4</v>
      </c>
      <c r="F87" s="30">
        <f>_xlfn.XLOOKUP(B87, Rate_Master!$A:$A, Rate_Master!$C:$C, "")</f>
        <v>1077881.1263999997</v>
      </c>
      <c r="G87" s="30">
        <f>_xlfn.XLOOKUP(B87, Rate_Master!$A:$A, Rate_Master!$D:$D, "")</f>
        <v>23000</v>
      </c>
      <c r="H87" s="67">
        <f t="shared" si="13"/>
        <v>1100881.1263999997</v>
      </c>
      <c r="I87" s="32">
        <f t="shared" si="14"/>
        <v>25760618.357759994</v>
      </c>
      <c r="J87" s="32"/>
    </row>
    <row r="88" spans="1:10" s="4" customFormat="1" ht="25.5" customHeight="1" outlineLevel="1">
      <c r="A88" s="27" t="str">
        <f t="shared" si="12"/>
        <v>16A.S3.9</v>
      </c>
      <c r="B88" s="28" t="s">
        <v>205</v>
      </c>
      <c r="C88" s="28" t="s">
        <v>515</v>
      </c>
      <c r="D88" s="29" t="s">
        <v>518</v>
      </c>
      <c r="E88" s="31">
        <v>4</v>
      </c>
      <c r="F88" s="30">
        <f>_xlfn.XLOOKUP(B88, Rate_Master!$A:$A, Rate_Master!$C:$C, "")</f>
        <v>112699.99999999999</v>
      </c>
      <c r="G88" s="30">
        <f>_xlfn.XLOOKUP(B88, Rate_Master!$A:$A, Rate_Master!$D:$D, "")</f>
        <v>0</v>
      </c>
      <c r="H88" s="67">
        <f t="shared" si="13"/>
        <v>112699.99999999999</v>
      </c>
      <c r="I88" s="32">
        <f t="shared" si="14"/>
        <v>450799.99999999994</v>
      </c>
      <c r="J88" s="32"/>
    </row>
    <row r="89" spans="1:10" s="4" customFormat="1" ht="63.75" customHeight="1" outlineLevel="1">
      <c r="A89" s="27" t="str">
        <f t="shared" si="12"/>
        <v>16A.S3.10</v>
      </c>
      <c r="B89" s="28" t="s">
        <v>206</v>
      </c>
      <c r="C89" s="28" t="s">
        <v>542</v>
      </c>
      <c r="D89" s="29" t="s">
        <v>517</v>
      </c>
      <c r="E89" s="31">
        <v>40</v>
      </c>
      <c r="F89" s="30">
        <f>_xlfn.XLOOKUP(B89, Rate_Master!$A:$A, Rate_Master!$C:$C, "")</f>
        <v>162150</v>
      </c>
      <c r="G89" s="30">
        <f>_xlfn.XLOOKUP(B89, Rate_Master!$A:$A, Rate_Master!$D:$D, "")</f>
        <v>0</v>
      </c>
      <c r="H89" s="67">
        <f t="shared" si="13"/>
        <v>162150</v>
      </c>
      <c r="I89" s="32">
        <f t="shared" si="14"/>
        <v>6486000</v>
      </c>
      <c r="J89" s="32"/>
    </row>
    <row r="90" spans="1:10" s="4" customFormat="1" ht="25.5" customHeight="1" outlineLevel="1">
      <c r="A90" s="27" t="str">
        <f t="shared" si="12"/>
        <v>16A.S3.11</v>
      </c>
      <c r="B90" s="28" t="s">
        <v>80</v>
      </c>
      <c r="C90" s="28" t="s">
        <v>515</v>
      </c>
      <c r="D90" s="29" t="s">
        <v>457</v>
      </c>
      <c r="E90" s="31">
        <v>1</v>
      </c>
      <c r="F90" s="30">
        <f>_xlfn.XLOOKUP(B90, Rate_Master!$A:$A, Rate_Master!$C:$C, "")</f>
        <v>0</v>
      </c>
      <c r="G90" s="30">
        <f>_xlfn.XLOOKUP(B90, Rate_Master!$A:$A, Rate_Master!$D:$D, "")</f>
        <v>57499999.999999993</v>
      </c>
      <c r="H90" s="67">
        <f t="shared" si="13"/>
        <v>57499999.999999993</v>
      </c>
      <c r="I90" s="32">
        <f t="shared" si="14"/>
        <v>57499999.999999993</v>
      </c>
      <c r="J90" s="32"/>
    </row>
    <row r="91" spans="1:10" s="4" customFormat="1" ht="25.5" customHeight="1" outlineLevel="1">
      <c r="A91" s="27" t="str">
        <f t="shared" si="12"/>
        <v>16A.S3.12</v>
      </c>
      <c r="B91" s="28" t="s">
        <v>81</v>
      </c>
      <c r="C91" s="28" t="s">
        <v>515</v>
      </c>
      <c r="D91" s="29" t="s">
        <v>520</v>
      </c>
      <c r="E91" s="31">
        <v>563.94000000000005</v>
      </c>
      <c r="F91" s="30">
        <f>_xlfn.XLOOKUP(B91, Rate_Master!$A:$A, Rate_Master!$C:$C, "")</f>
        <v>0</v>
      </c>
      <c r="G91" s="30">
        <f>_xlfn.XLOOKUP(B91, Rate_Master!$A:$A, Rate_Master!$D:$D, "")</f>
        <v>40250</v>
      </c>
      <c r="H91" s="67">
        <f t="shared" si="13"/>
        <v>40250</v>
      </c>
      <c r="I91" s="32">
        <f t="shared" si="14"/>
        <v>22698585.000000004</v>
      </c>
      <c r="J91" s="32"/>
    </row>
    <row r="92" spans="1:10" s="4" customFormat="1" ht="38.25" customHeight="1" outlineLevel="1">
      <c r="A92" s="27" t="str">
        <f t="shared" si="12"/>
        <v>16A.S3.13</v>
      </c>
      <c r="B92" s="28" t="s">
        <v>82</v>
      </c>
      <c r="C92" s="28" t="s">
        <v>515</v>
      </c>
      <c r="D92" s="29" t="s">
        <v>517</v>
      </c>
      <c r="E92" s="31">
        <v>158.4</v>
      </c>
      <c r="F92" s="30">
        <f>_xlfn.XLOOKUP(B92, Rate_Master!$A:$A, Rate_Master!$C:$C, "")</f>
        <v>0</v>
      </c>
      <c r="G92" s="30">
        <f>_xlfn.XLOOKUP(B92, Rate_Master!$A:$A, Rate_Master!$D:$D, "")</f>
        <v>23000</v>
      </c>
      <c r="H92" s="67">
        <f t="shared" si="13"/>
        <v>23000</v>
      </c>
      <c r="I92" s="32">
        <f t="shared" si="14"/>
        <v>3643200</v>
      </c>
      <c r="J92" s="32"/>
    </row>
    <row r="93" spans="1:10" s="4" customFormat="1" ht="25.5" customHeight="1" outlineLevel="1">
      <c r="A93" s="27" t="str">
        <f t="shared" si="12"/>
        <v>16A.S3.14</v>
      </c>
      <c r="B93" s="28" t="s">
        <v>83</v>
      </c>
      <c r="C93" s="28" t="s">
        <v>543</v>
      </c>
      <c r="D93" s="29" t="s">
        <v>457</v>
      </c>
      <c r="E93" s="31">
        <v>1</v>
      </c>
      <c r="F93" s="30">
        <f>_xlfn.XLOOKUP(B93, Rate_Master!$A:$A, Rate_Master!$C:$C, "")</f>
        <v>145942235.10876715</v>
      </c>
      <c r="G93" s="30">
        <f>_xlfn.XLOOKUP(B93, Rate_Master!$A:$A, Rate_Master!$D:$D, "")</f>
        <v>0</v>
      </c>
      <c r="H93" s="67">
        <f t="shared" si="13"/>
        <v>145942235.10876715</v>
      </c>
      <c r="I93" s="32">
        <f t="shared" si="14"/>
        <v>145942235.10876715</v>
      </c>
      <c r="J93" s="32"/>
    </row>
    <row r="94" spans="1:10" s="3" customFormat="1" ht="25.5" customHeight="1">
      <c r="A94" s="22" t="str">
        <f>$A$56&amp;4</f>
        <v>16A.S4</v>
      </c>
      <c r="B94" s="23" t="s">
        <v>84</v>
      </c>
      <c r="C94" s="23" t="s">
        <v>515</v>
      </c>
      <c r="D94" s="22"/>
      <c r="E94" s="25"/>
      <c r="F94" s="25">
        <f>_xlfn.XLOOKUP(B94, Rate_Master!$A:$A, Rate_Master!$C:$C, "")</f>
        <v>0</v>
      </c>
      <c r="G94" s="25">
        <f>_xlfn.XLOOKUP(B94, Rate_Master!$A:$A, Rate_Master!$D:$D, "")</f>
        <v>0</v>
      </c>
      <c r="H94" s="26"/>
      <c r="I94" s="26">
        <f>SUBTOTAL(9,I95:I102)</f>
        <v>0</v>
      </c>
      <c r="J94" s="26"/>
    </row>
    <row r="95" spans="1:10" s="4" customFormat="1" ht="38.25" customHeight="1" outlineLevel="1">
      <c r="A95" s="37" t="str">
        <f t="shared" ref="A95:A102" si="15">$A$94&amp;"."&amp;ROW()-ROW($A$94)</f>
        <v>16A.S4.1</v>
      </c>
      <c r="B95" s="38" t="s">
        <v>85</v>
      </c>
      <c r="C95" s="38" t="s">
        <v>544</v>
      </c>
      <c r="D95" s="39" t="s">
        <v>517</v>
      </c>
      <c r="E95" s="40">
        <v>0</v>
      </c>
      <c r="F95" s="42">
        <f>_xlfn.XLOOKUP(B95, Rate_Master!$A:$A, Rate_Master!$C:$C, "")</f>
        <v>5175000</v>
      </c>
      <c r="G95" s="42">
        <f>_xlfn.XLOOKUP(B95, Rate_Master!$A:$A, Rate_Master!$D:$D, "")</f>
        <v>0</v>
      </c>
      <c r="H95" s="41">
        <f t="shared" ref="H95:H104" si="16">F95+G95</f>
        <v>5175000</v>
      </c>
      <c r="I95" s="41">
        <f t="shared" ref="I95:I102" si="17">H95*E95</f>
        <v>0</v>
      </c>
      <c r="J95" s="41"/>
    </row>
    <row r="96" spans="1:10" s="4" customFormat="1" ht="38.25" customHeight="1" outlineLevel="1">
      <c r="A96" s="37" t="str">
        <f t="shared" si="15"/>
        <v>16A.S4.2</v>
      </c>
      <c r="B96" s="38" t="s">
        <v>86</v>
      </c>
      <c r="C96" s="38" t="s">
        <v>545</v>
      </c>
      <c r="D96" s="39" t="s">
        <v>517</v>
      </c>
      <c r="E96" s="40">
        <v>0</v>
      </c>
      <c r="F96" s="42">
        <f>_xlfn.XLOOKUP(B96, Rate_Master!$A:$A, Rate_Master!$C:$C, "")</f>
        <v>0</v>
      </c>
      <c r="G96" s="42">
        <f>_xlfn.XLOOKUP(B96, Rate_Master!$A:$A, Rate_Master!$D:$D, "")</f>
        <v>0</v>
      </c>
      <c r="H96" s="41">
        <f t="shared" si="16"/>
        <v>0</v>
      </c>
      <c r="I96" s="41">
        <f t="shared" si="17"/>
        <v>0</v>
      </c>
      <c r="J96" s="41"/>
    </row>
    <row r="97" spans="1:10" s="4" customFormat="1" ht="38.25" customHeight="1" outlineLevel="1">
      <c r="A97" s="37" t="str">
        <f t="shared" si="15"/>
        <v>16A.S4.3</v>
      </c>
      <c r="B97" s="38" t="s">
        <v>87</v>
      </c>
      <c r="C97" s="38" t="s">
        <v>546</v>
      </c>
      <c r="D97" s="39" t="s">
        <v>517</v>
      </c>
      <c r="E97" s="40">
        <v>0</v>
      </c>
      <c r="F97" s="42">
        <f>_xlfn.XLOOKUP(B97, Rate_Master!$A:$A, Rate_Master!$C:$C, "")</f>
        <v>0</v>
      </c>
      <c r="G97" s="42">
        <f>_xlfn.XLOOKUP(B97, Rate_Master!$A:$A, Rate_Master!$D:$D, "")</f>
        <v>0</v>
      </c>
      <c r="H97" s="41">
        <f t="shared" si="16"/>
        <v>0</v>
      </c>
      <c r="I97" s="41">
        <f t="shared" si="17"/>
        <v>0</v>
      </c>
      <c r="J97" s="41"/>
    </row>
    <row r="98" spans="1:10" s="4" customFormat="1" ht="25.5" customHeight="1" outlineLevel="1">
      <c r="A98" s="37" t="str">
        <f t="shared" si="15"/>
        <v>16A.S4.4</v>
      </c>
      <c r="B98" s="38" t="s">
        <v>88</v>
      </c>
      <c r="C98" s="38" t="s">
        <v>546</v>
      </c>
      <c r="D98" s="39" t="s">
        <v>517</v>
      </c>
      <c r="E98" s="40">
        <v>0</v>
      </c>
      <c r="F98" s="42">
        <f>_xlfn.XLOOKUP(B98, Rate_Master!$A:$A, Rate_Master!$C:$C, "")</f>
        <v>0</v>
      </c>
      <c r="G98" s="42">
        <f>_xlfn.XLOOKUP(B98, Rate_Master!$A:$A, Rate_Master!$D:$D, "")</f>
        <v>0</v>
      </c>
      <c r="H98" s="41">
        <f t="shared" si="16"/>
        <v>0</v>
      </c>
      <c r="I98" s="41">
        <f t="shared" si="17"/>
        <v>0</v>
      </c>
      <c r="J98" s="41"/>
    </row>
    <row r="99" spans="1:10" s="4" customFormat="1" ht="51" customHeight="1" outlineLevel="1">
      <c r="A99" s="37" t="str">
        <f t="shared" si="15"/>
        <v>16A.S4.5</v>
      </c>
      <c r="B99" s="38" t="s">
        <v>89</v>
      </c>
      <c r="C99" s="38" t="s">
        <v>547</v>
      </c>
      <c r="D99" s="39" t="s">
        <v>520</v>
      </c>
      <c r="E99" s="40">
        <v>0</v>
      </c>
      <c r="F99" s="42">
        <f>_xlfn.XLOOKUP(B99, Rate_Master!$A:$A, Rate_Master!$C:$C, "")</f>
        <v>17250</v>
      </c>
      <c r="G99" s="42">
        <f>_xlfn.XLOOKUP(B99, Rate_Master!$A:$A, Rate_Master!$D:$D, "")</f>
        <v>5750</v>
      </c>
      <c r="H99" s="41">
        <f t="shared" si="16"/>
        <v>23000</v>
      </c>
      <c r="I99" s="41">
        <f t="shared" si="17"/>
        <v>0</v>
      </c>
      <c r="J99" s="41"/>
    </row>
    <row r="100" spans="1:10" s="4" customFormat="1" ht="38.25" customHeight="1" outlineLevel="1">
      <c r="A100" s="37" t="str">
        <f t="shared" si="15"/>
        <v>16A.S4.6</v>
      </c>
      <c r="B100" s="38" t="s">
        <v>90</v>
      </c>
      <c r="C100" s="38" t="s">
        <v>548</v>
      </c>
      <c r="D100" s="39" t="s">
        <v>520</v>
      </c>
      <c r="E100" s="40">
        <v>0</v>
      </c>
      <c r="F100" s="42">
        <f>_xlfn.XLOOKUP(B100, Rate_Master!$A:$A, Rate_Master!$C:$C, "")</f>
        <v>0</v>
      </c>
      <c r="G100" s="42">
        <f>_xlfn.XLOOKUP(B100, Rate_Master!$A:$A, Rate_Master!$D:$D, "")</f>
        <v>0</v>
      </c>
      <c r="H100" s="41">
        <f t="shared" si="16"/>
        <v>0</v>
      </c>
      <c r="I100" s="41">
        <f t="shared" si="17"/>
        <v>0</v>
      </c>
      <c r="J100" s="41"/>
    </row>
    <row r="101" spans="1:10" s="4" customFormat="1" ht="25.5" customHeight="1" outlineLevel="1">
      <c r="A101" s="37" t="str">
        <f t="shared" si="15"/>
        <v>16A.S4.7</v>
      </c>
      <c r="B101" s="38" t="s">
        <v>91</v>
      </c>
      <c r="C101" s="38" t="s">
        <v>515</v>
      </c>
      <c r="D101" s="39" t="s">
        <v>457</v>
      </c>
      <c r="E101" s="40">
        <v>0</v>
      </c>
      <c r="F101" s="42">
        <f>_xlfn.XLOOKUP(B101, Rate_Master!$A:$A, Rate_Master!$C:$C, "")</f>
        <v>0</v>
      </c>
      <c r="G101" s="42">
        <f>_xlfn.XLOOKUP(B101, Rate_Master!$A:$A, Rate_Master!$D:$D, "")</f>
        <v>0</v>
      </c>
      <c r="H101" s="41">
        <f t="shared" si="16"/>
        <v>0</v>
      </c>
      <c r="I101" s="41">
        <f t="shared" si="17"/>
        <v>0</v>
      </c>
      <c r="J101" s="41"/>
    </row>
    <row r="102" spans="1:10" s="4" customFormat="1" ht="51" customHeight="1" outlineLevel="1">
      <c r="A102" s="37" t="str">
        <f t="shared" si="15"/>
        <v>16A.S4.8</v>
      </c>
      <c r="B102" s="38" t="s">
        <v>92</v>
      </c>
      <c r="C102" s="38" t="s">
        <v>550</v>
      </c>
      <c r="D102" s="39" t="s">
        <v>520</v>
      </c>
      <c r="E102" s="40">
        <v>0</v>
      </c>
      <c r="F102" s="42">
        <f>_xlfn.XLOOKUP(B102, Rate_Master!$A:$A, Rate_Master!$C:$C, "")</f>
        <v>16099.999999999998</v>
      </c>
      <c r="G102" s="42">
        <f>_xlfn.XLOOKUP(B102, Rate_Master!$A:$A, Rate_Master!$D:$D, "")</f>
        <v>3449.9999999999995</v>
      </c>
      <c r="H102" s="41">
        <f t="shared" si="16"/>
        <v>19549.999999999996</v>
      </c>
      <c r="I102" s="41">
        <f t="shared" si="17"/>
        <v>0</v>
      </c>
      <c r="J102" s="41"/>
    </row>
    <row r="103" spans="1:10" s="3" customFormat="1" ht="25.5" customHeight="1">
      <c r="A103" s="22" t="str">
        <f>$A$9&amp;".F"</f>
        <v>16A.F</v>
      </c>
      <c r="B103" s="23" t="s">
        <v>93</v>
      </c>
      <c r="C103" s="23" t="s">
        <v>515</v>
      </c>
      <c r="D103" s="22"/>
      <c r="E103" s="25"/>
      <c r="F103" s="25">
        <f>_xlfn.XLOOKUP(B103, Rate_Master!$A:$A, Rate_Master!$C:$C, "")</f>
        <v>0</v>
      </c>
      <c r="G103" s="25">
        <f>_xlfn.XLOOKUP(B103, Rate_Master!$A:$A, Rate_Master!$D:$D, "")</f>
        <v>0</v>
      </c>
      <c r="H103" s="26">
        <f t="shared" si="16"/>
        <v>0</v>
      </c>
      <c r="I103" s="26"/>
      <c r="J103" s="26"/>
    </row>
    <row r="104" spans="1:10" s="3" customFormat="1" ht="25.5" customHeight="1">
      <c r="A104" s="22" t="str">
        <f>$A$103&amp;1</f>
        <v>16A.F1</v>
      </c>
      <c r="B104" s="23" t="s">
        <v>94</v>
      </c>
      <c r="C104" s="23" t="s">
        <v>515</v>
      </c>
      <c r="D104" s="22"/>
      <c r="E104" s="25"/>
      <c r="F104" s="25">
        <f>_xlfn.XLOOKUP(B104, Rate_Master!$A:$A, Rate_Master!$C:$C, "")</f>
        <v>0</v>
      </c>
      <c r="G104" s="25">
        <f>_xlfn.XLOOKUP(B104, Rate_Master!$A:$A, Rate_Master!$D:$D, "")</f>
        <v>0</v>
      </c>
      <c r="H104" s="26">
        <f t="shared" si="16"/>
        <v>0</v>
      </c>
      <c r="I104" s="26">
        <f>SUBTOTAL(9,I105:I122)</f>
        <v>1012543255.0085425</v>
      </c>
      <c r="J104" s="26"/>
    </row>
    <row r="105" spans="1:10" s="4" customFormat="1" ht="25.5" customHeight="1" outlineLevel="1">
      <c r="A105" s="27" t="str">
        <f t="shared" ref="A105:A122" si="18">$A$104&amp;"."&amp;ROW()-ROW($A$104)</f>
        <v>16A.F1.1</v>
      </c>
      <c r="B105" s="35" t="s">
        <v>95</v>
      </c>
      <c r="C105" s="34" t="s">
        <v>551</v>
      </c>
      <c r="D105" s="29" t="s">
        <v>519</v>
      </c>
      <c r="E105" s="31">
        <v>162.703</v>
      </c>
      <c r="F105" s="30">
        <f>_xlfn.XLOOKUP(B105, Rate_Master!$A:$A, Rate_Master!$C:$C, "")</f>
        <v>1587600.0077618286</v>
      </c>
      <c r="G105" s="30">
        <f>_xlfn.XLOOKUP(B105, Rate_Master!$A:$A, Rate_Master!$D:$D, "")</f>
        <v>1086539.80861244</v>
      </c>
      <c r="H105" s="32">
        <f>+G105+F105</f>
        <v>2674139.8163742684</v>
      </c>
      <c r="I105" s="32">
        <f t="shared" ref="I105:I122" si="19">H105*E105</f>
        <v>435090570.54354262</v>
      </c>
      <c r="J105" s="32"/>
    </row>
    <row r="106" spans="1:10" s="4" customFormat="1" ht="25.5" customHeight="1" outlineLevel="1">
      <c r="A106" s="27" t="str">
        <f t="shared" si="18"/>
        <v>16A.F1.2</v>
      </c>
      <c r="B106" s="35" t="s">
        <v>96</v>
      </c>
      <c r="C106" s="34" t="s">
        <v>551</v>
      </c>
      <c r="D106" s="29" t="s">
        <v>519</v>
      </c>
      <c r="E106" s="31">
        <v>0</v>
      </c>
      <c r="F106" s="30">
        <f>_xlfn.XLOOKUP(B106, Rate_Master!$A:$A, Rate_Master!$C:$C, "")</f>
        <v>1368500</v>
      </c>
      <c r="G106" s="30">
        <f>_xlfn.XLOOKUP(B106, Rate_Master!$A:$A, Rate_Master!$D:$D, "")</f>
        <v>948749.99999999988</v>
      </c>
      <c r="H106" s="32">
        <v>0</v>
      </c>
      <c r="I106" s="32">
        <f t="shared" si="19"/>
        <v>0</v>
      </c>
      <c r="J106" s="32"/>
    </row>
    <row r="107" spans="1:10" s="4" customFormat="1" ht="51" customHeight="1" outlineLevel="1">
      <c r="A107" s="27" t="str">
        <f t="shared" si="18"/>
        <v>16A.F1.3</v>
      </c>
      <c r="B107" s="28" t="s">
        <v>97</v>
      </c>
      <c r="C107" s="34" t="s">
        <v>552</v>
      </c>
      <c r="D107" s="29" t="s">
        <v>520</v>
      </c>
      <c r="E107" s="31">
        <v>0</v>
      </c>
      <c r="F107" s="31">
        <f>_xlfn.XLOOKUP(B107, Rate_Master!$A:$A, Rate_Master!$C:$C, "")</f>
        <v>229999.99999999997</v>
      </c>
      <c r="G107" s="31">
        <f>_xlfn.XLOOKUP(B107, Rate_Master!$A:$A, Rate_Master!$D:$D, "")</f>
        <v>46000</v>
      </c>
      <c r="H107" s="32">
        <v>0</v>
      </c>
      <c r="I107" s="32">
        <f t="shared" si="19"/>
        <v>0</v>
      </c>
      <c r="J107" s="32"/>
    </row>
    <row r="108" spans="1:10" s="4" customFormat="1" ht="51" customHeight="1" outlineLevel="1">
      <c r="A108" s="27" t="str">
        <f t="shared" si="18"/>
        <v>16A.F1.4</v>
      </c>
      <c r="B108" s="28" t="s">
        <v>98</v>
      </c>
      <c r="C108" s="34" t="s">
        <v>553</v>
      </c>
      <c r="D108" s="29" t="s">
        <v>520</v>
      </c>
      <c r="E108" s="31">
        <v>0</v>
      </c>
      <c r="F108" s="31">
        <f>_xlfn.XLOOKUP(B108, Rate_Master!$A:$A, Rate_Master!$C:$C, "")</f>
        <v>0</v>
      </c>
      <c r="G108" s="31">
        <f>_xlfn.XLOOKUP(B108, Rate_Master!$A:$A, Rate_Master!$D:$D, "")</f>
        <v>0</v>
      </c>
      <c r="H108" s="32">
        <v>0</v>
      </c>
      <c r="I108" s="32">
        <f t="shared" si="19"/>
        <v>0</v>
      </c>
      <c r="J108" s="32"/>
    </row>
    <row r="109" spans="1:10" s="4" customFormat="1" ht="51" customHeight="1" outlineLevel="1">
      <c r="A109" s="27" t="str">
        <f t="shared" si="18"/>
        <v>16A.F1.5</v>
      </c>
      <c r="B109" s="28" t="s">
        <v>99</v>
      </c>
      <c r="C109" s="34" t="s">
        <v>553</v>
      </c>
      <c r="D109" s="29" t="s">
        <v>520</v>
      </c>
      <c r="E109" s="31">
        <v>0</v>
      </c>
      <c r="F109" s="31">
        <f>_xlfn.XLOOKUP(B109, Rate_Master!$A:$A, Rate_Master!$C:$C, "")</f>
        <v>931499.99999999988</v>
      </c>
      <c r="G109" s="31">
        <f>_xlfn.XLOOKUP(B109, Rate_Master!$A:$A, Rate_Master!$D:$D, "")</f>
        <v>114999.99999999999</v>
      </c>
      <c r="H109" s="32">
        <v>0</v>
      </c>
      <c r="I109" s="32">
        <f t="shared" si="19"/>
        <v>0</v>
      </c>
      <c r="J109" s="32"/>
    </row>
    <row r="110" spans="1:10" s="4" customFormat="1" ht="25.5" customHeight="1" outlineLevel="1">
      <c r="A110" s="27" t="str">
        <f t="shared" si="18"/>
        <v>16A.F1.6</v>
      </c>
      <c r="B110" s="28" t="s">
        <v>100</v>
      </c>
      <c r="C110" s="34" t="s">
        <v>554</v>
      </c>
      <c r="D110" s="29" t="s">
        <v>520</v>
      </c>
      <c r="E110" s="31">
        <v>0</v>
      </c>
      <c r="F110" s="31">
        <f>_xlfn.XLOOKUP(B110, Rate_Master!$A:$A, Rate_Master!$C:$C, "")</f>
        <v>1586790</v>
      </c>
      <c r="G110" s="31">
        <f>_xlfn.XLOOKUP(B110, Rate_Master!$A:$A, Rate_Master!$D:$D, "")</f>
        <v>372210</v>
      </c>
      <c r="H110" s="32">
        <v>0</v>
      </c>
      <c r="I110" s="32">
        <f t="shared" si="19"/>
        <v>0</v>
      </c>
      <c r="J110" s="32"/>
    </row>
    <row r="111" spans="1:10" s="4" customFormat="1" ht="51" customHeight="1" outlineLevel="1">
      <c r="A111" s="27" t="str">
        <f t="shared" si="18"/>
        <v>16A.F1.7</v>
      </c>
      <c r="B111" s="28" t="s">
        <v>101</v>
      </c>
      <c r="C111" s="28" t="s">
        <v>515</v>
      </c>
      <c r="D111" s="29" t="s">
        <v>520</v>
      </c>
      <c r="E111" s="31">
        <v>0</v>
      </c>
      <c r="F111" s="31">
        <f>_xlfn.XLOOKUP(B111, Rate_Master!$A:$A, Rate_Master!$C:$C, "")</f>
        <v>1121250</v>
      </c>
      <c r="G111" s="31">
        <f>_xlfn.XLOOKUP(B111, Rate_Master!$A:$A, Rate_Master!$D:$D, "")</f>
        <v>114999.99999999999</v>
      </c>
      <c r="H111" s="49">
        <v>0</v>
      </c>
      <c r="I111" s="49">
        <f t="shared" si="19"/>
        <v>0</v>
      </c>
      <c r="J111" s="32"/>
    </row>
    <row r="112" spans="1:10" s="4" customFormat="1" ht="51" customHeight="1" outlineLevel="1">
      <c r="A112" s="27" t="str">
        <f t="shared" si="18"/>
        <v>16A.F1.8</v>
      </c>
      <c r="B112" s="28" t="s">
        <v>102</v>
      </c>
      <c r="C112" s="34" t="s">
        <v>555</v>
      </c>
      <c r="D112" s="29" t="s">
        <v>520</v>
      </c>
      <c r="E112" s="31">
        <v>0</v>
      </c>
      <c r="F112" s="31">
        <f>_xlfn.XLOOKUP(B112, Rate_Master!$A:$A, Rate_Master!$C:$C, "")</f>
        <v>0</v>
      </c>
      <c r="G112" s="31">
        <f>_xlfn.XLOOKUP(B112, Rate_Master!$A:$A, Rate_Master!$D:$D, "")</f>
        <v>0</v>
      </c>
      <c r="H112" s="49">
        <v>0</v>
      </c>
      <c r="I112" s="49">
        <f t="shared" si="19"/>
        <v>0</v>
      </c>
      <c r="J112" s="32"/>
    </row>
    <row r="113" spans="1:10" s="4" customFormat="1" ht="51" customHeight="1" outlineLevel="1">
      <c r="A113" s="27" t="str">
        <f t="shared" si="18"/>
        <v>16A.F1.9</v>
      </c>
      <c r="B113" s="28" t="s">
        <v>103</v>
      </c>
      <c r="C113" s="34" t="s">
        <v>555</v>
      </c>
      <c r="D113" s="29" t="s">
        <v>520</v>
      </c>
      <c r="E113" s="31">
        <v>0</v>
      </c>
      <c r="F113" s="31">
        <f>_xlfn.XLOOKUP(B113, Rate_Master!$A:$A, Rate_Master!$C:$C, "")</f>
        <v>0</v>
      </c>
      <c r="G113" s="31">
        <f>_xlfn.XLOOKUP(B113, Rate_Master!$A:$A, Rate_Master!$D:$D, "")</f>
        <v>0</v>
      </c>
      <c r="H113" s="49">
        <v>0</v>
      </c>
      <c r="I113" s="49">
        <f t="shared" si="19"/>
        <v>0</v>
      </c>
      <c r="J113" s="32"/>
    </row>
    <row r="114" spans="1:10" s="4" customFormat="1" ht="25.5" customHeight="1" outlineLevel="1">
      <c r="A114" s="27" t="str">
        <f t="shared" si="18"/>
        <v>16A.F1.10</v>
      </c>
      <c r="B114" s="28" t="s">
        <v>104</v>
      </c>
      <c r="C114" s="28" t="s">
        <v>515</v>
      </c>
      <c r="D114" s="29" t="s">
        <v>520</v>
      </c>
      <c r="E114" s="31">
        <v>564.20000000000005</v>
      </c>
      <c r="F114" s="30">
        <f>_xlfn.XLOOKUP(B114, Rate_Master!$A:$A, Rate_Master!$C:$C, "")</f>
        <v>46000</v>
      </c>
      <c r="G114" s="30">
        <f>_xlfn.XLOOKUP(B114, Rate_Master!$A:$A, Rate_Master!$D:$D, "")</f>
        <v>34500</v>
      </c>
      <c r="H114" s="32">
        <f t="shared" ref="H114:H122" si="20">+G114+F114</f>
        <v>80500</v>
      </c>
      <c r="I114" s="32">
        <f t="shared" si="19"/>
        <v>45418100</v>
      </c>
      <c r="J114" s="32"/>
    </row>
    <row r="115" spans="1:10" s="4" customFormat="1" ht="25.5" customHeight="1" outlineLevel="1">
      <c r="A115" s="27" t="str">
        <f t="shared" si="18"/>
        <v>16A.F1.11</v>
      </c>
      <c r="B115" s="28" t="s">
        <v>105</v>
      </c>
      <c r="C115" s="34" t="s">
        <v>556</v>
      </c>
      <c r="D115" s="29" t="s">
        <v>520</v>
      </c>
      <c r="E115" s="31">
        <v>597.1</v>
      </c>
      <c r="F115" s="30">
        <f>_xlfn.XLOOKUP(B115, Rate_Master!$A:$A, Rate_Master!$C:$C, "")</f>
        <v>26565.000000000004</v>
      </c>
      <c r="G115" s="30">
        <f>_xlfn.XLOOKUP(B115, Rate_Master!$A:$A, Rate_Master!$D:$D, "")</f>
        <v>132250</v>
      </c>
      <c r="H115" s="32">
        <f t="shared" si="20"/>
        <v>158815</v>
      </c>
      <c r="I115" s="32">
        <f t="shared" si="19"/>
        <v>94828436.5</v>
      </c>
      <c r="J115" s="32"/>
    </row>
    <row r="116" spans="1:10" s="4" customFormat="1" ht="25.5" customHeight="1" outlineLevel="1">
      <c r="A116" s="27" t="str">
        <f t="shared" si="18"/>
        <v>16A.F1.12</v>
      </c>
      <c r="B116" s="28" t="s">
        <v>106</v>
      </c>
      <c r="C116" s="34" t="s">
        <v>556</v>
      </c>
      <c r="D116" s="29" t="s">
        <v>520</v>
      </c>
      <c r="E116" s="31">
        <v>1084.5909999999999</v>
      </c>
      <c r="F116" s="30">
        <f>_xlfn.XLOOKUP(B116, Rate_Master!$A:$A, Rate_Master!$C:$C, "")</f>
        <v>26565.000000000004</v>
      </c>
      <c r="G116" s="30">
        <f>_xlfn.XLOOKUP(B116, Rate_Master!$A:$A, Rate_Master!$D:$D, "")</f>
        <v>117299.99999999999</v>
      </c>
      <c r="H116" s="32">
        <f t="shared" si="20"/>
        <v>143865</v>
      </c>
      <c r="I116" s="32">
        <f t="shared" si="19"/>
        <v>156034684.21499997</v>
      </c>
      <c r="J116" s="32"/>
    </row>
    <row r="117" spans="1:10" s="4" customFormat="1" ht="38.25" customHeight="1" outlineLevel="1">
      <c r="A117" s="27" t="str">
        <f t="shared" si="18"/>
        <v>16A.F1.13</v>
      </c>
      <c r="B117" s="28" t="s">
        <v>107</v>
      </c>
      <c r="C117" s="28" t="s">
        <v>515</v>
      </c>
      <c r="D117" s="29" t="s">
        <v>520</v>
      </c>
      <c r="E117" s="31">
        <v>0</v>
      </c>
      <c r="F117" s="31">
        <f>_xlfn.XLOOKUP(B117, Rate_Master!$A:$A, Rate_Master!$C:$C, "")</f>
        <v>218499.99999999997</v>
      </c>
      <c r="G117" s="31">
        <f>_xlfn.XLOOKUP(B117, Rate_Master!$A:$A, Rate_Master!$D:$D, "")</f>
        <v>138000</v>
      </c>
      <c r="H117" s="32">
        <f t="shared" si="20"/>
        <v>356500</v>
      </c>
      <c r="I117" s="32">
        <f t="shared" si="19"/>
        <v>0</v>
      </c>
      <c r="J117" s="32"/>
    </row>
    <row r="118" spans="1:10" s="4" customFormat="1" ht="25.5" customHeight="1" outlineLevel="1">
      <c r="A118" s="27" t="str">
        <f t="shared" si="18"/>
        <v>16A.F1.14</v>
      </c>
      <c r="B118" s="34" t="s">
        <v>108</v>
      </c>
      <c r="C118" s="28" t="s">
        <v>515</v>
      </c>
      <c r="D118" s="29" t="s">
        <v>520</v>
      </c>
      <c r="E118" s="31">
        <v>597.1</v>
      </c>
      <c r="F118" s="30">
        <f>_xlfn.XLOOKUP(B118, Rate_Master!$A:$A, Rate_Master!$C:$C, "")</f>
        <v>51749.999999999993</v>
      </c>
      <c r="G118" s="30">
        <f>_xlfn.XLOOKUP(B118, Rate_Master!$A:$A, Rate_Master!$D:$D, "")</f>
        <v>34500</v>
      </c>
      <c r="H118" s="32">
        <f t="shared" si="20"/>
        <v>86250</v>
      </c>
      <c r="I118" s="32">
        <f t="shared" si="19"/>
        <v>51499875</v>
      </c>
      <c r="J118" s="32"/>
    </row>
    <row r="119" spans="1:10" s="4" customFormat="1" ht="25.5" customHeight="1" outlineLevel="1">
      <c r="A119" s="27" t="str">
        <f t="shared" si="18"/>
        <v>16A.F1.15</v>
      </c>
      <c r="B119" s="34" t="s">
        <v>109</v>
      </c>
      <c r="C119" s="28" t="s">
        <v>515</v>
      </c>
      <c r="D119" s="29" t="s">
        <v>520</v>
      </c>
      <c r="E119" s="31">
        <v>0</v>
      </c>
      <c r="F119" s="31">
        <f>_xlfn.XLOOKUP(B119, Rate_Master!$A:$A, Rate_Master!$C:$C, "")</f>
        <v>46000</v>
      </c>
      <c r="G119" s="31">
        <f>_xlfn.XLOOKUP(B119, Rate_Master!$A:$A, Rate_Master!$D:$D, "")</f>
        <v>19550</v>
      </c>
      <c r="H119" s="32">
        <f t="shared" si="20"/>
        <v>65550</v>
      </c>
      <c r="I119" s="32">
        <f t="shared" si="19"/>
        <v>0</v>
      </c>
      <c r="J119" s="32"/>
    </row>
    <row r="120" spans="1:10" s="4" customFormat="1" ht="38.25" customHeight="1" outlineLevel="1">
      <c r="A120" s="27" t="str">
        <f t="shared" si="18"/>
        <v>16A.F1.16</v>
      </c>
      <c r="B120" s="34" t="s">
        <v>110</v>
      </c>
      <c r="C120" s="28" t="s">
        <v>515</v>
      </c>
      <c r="D120" s="29" t="s">
        <v>520</v>
      </c>
      <c r="E120" s="31">
        <v>0</v>
      </c>
      <c r="F120" s="31">
        <f>_xlfn.XLOOKUP(B120, Rate_Master!$A:$A, Rate_Master!$C:$C, "")</f>
        <v>51749.999999999993</v>
      </c>
      <c r="G120" s="31">
        <f>_xlfn.XLOOKUP(B120, Rate_Master!$A:$A, Rate_Master!$D:$D, "")</f>
        <v>17250</v>
      </c>
      <c r="H120" s="32">
        <f t="shared" si="20"/>
        <v>69000</v>
      </c>
      <c r="I120" s="32">
        <f t="shared" si="19"/>
        <v>0</v>
      </c>
      <c r="J120" s="32"/>
    </row>
    <row r="121" spans="1:10" s="4" customFormat="1" ht="25.5" customHeight="1" outlineLevel="1">
      <c r="A121" s="27" t="str">
        <f t="shared" si="18"/>
        <v>16A.F1.17</v>
      </c>
      <c r="B121" s="34" t="s">
        <v>111</v>
      </c>
      <c r="C121" s="28" t="s">
        <v>515</v>
      </c>
      <c r="D121" s="29" t="s">
        <v>520</v>
      </c>
      <c r="E121" s="31">
        <v>1084.5909999999999</v>
      </c>
      <c r="F121" s="31">
        <f>_xlfn.XLOOKUP(B121, Rate_Master!$A:$A, Rate_Master!$C:$C, "")</f>
        <v>172500</v>
      </c>
      <c r="G121" s="31">
        <f>_xlfn.XLOOKUP(B121, Rate_Master!$A:$A, Rate_Master!$D:$D, "")</f>
        <v>28749.999999999996</v>
      </c>
      <c r="H121" s="32">
        <f t="shared" si="20"/>
        <v>201250</v>
      </c>
      <c r="I121" s="32">
        <f t="shared" si="19"/>
        <v>218273938.74999997</v>
      </c>
      <c r="J121" s="32"/>
    </row>
    <row r="122" spans="1:10" s="4" customFormat="1" ht="38.25" customHeight="1" outlineLevel="1">
      <c r="A122" s="27" t="str">
        <f t="shared" si="18"/>
        <v>16A.F1.18</v>
      </c>
      <c r="B122" s="34" t="s">
        <v>112</v>
      </c>
      <c r="C122" s="34" t="s">
        <v>557</v>
      </c>
      <c r="D122" s="29" t="s">
        <v>517</v>
      </c>
      <c r="E122" s="31">
        <v>53</v>
      </c>
      <c r="F122" s="31">
        <f>_xlfn.XLOOKUP(B122, Rate_Master!$A:$A, Rate_Master!$C:$C, "")</f>
        <v>163300</v>
      </c>
      <c r="G122" s="31">
        <f>_xlfn.XLOOKUP(B122, Rate_Master!$A:$A, Rate_Master!$D:$D, "")</f>
        <v>51749.999999999993</v>
      </c>
      <c r="H122" s="32">
        <f t="shared" si="20"/>
        <v>215050</v>
      </c>
      <c r="I122" s="32">
        <f t="shared" si="19"/>
        <v>11397650</v>
      </c>
      <c r="J122" s="32"/>
    </row>
    <row r="123" spans="1:10" s="3" customFormat="1" ht="25.5" customHeight="1">
      <c r="A123" s="22" t="str">
        <f>$A$103&amp;2</f>
        <v>16A.F2</v>
      </c>
      <c r="B123" s="23" t="s">
        <v>113</v>
      </c>
      <c r="C123" s="23" t="s">
        <v>515</v>
      </c>
      <c r="D123" s="22"/>
      <c r="E123" s="25"/>
      <c r="F123" s="25">
        <f>_xlfn.XLOOKUP(B123, Rate_Master!$A:$A, Rate_Master!$C:$C, "")</f>
        <v>0</v>
      </c>
      <c r="G123" s="25">
        <f>_xlfn.XLOOKUP(B123, Rate_Master!$A:$A, Rate_Master!$D:$D, "")</f>
        <v>0</v>
      </c>
      <c r="H123" s="26">
        <v>0</v>
      </c>
      <c r="I123" s="26">
        <f>SUBTOTAL(9,I124:I128)</f>
        <v>34194357.599999994</v>
      </c>
      <c r="J123" s="26"/>
    </row>
    <row r="124" spans="1:10" s="4" customFormat="1" ht="51" customHeight="1" outlineLevel="1">
      <c r="A124" s="27" t="str">
        <f>$A$123&amp;"."&amp;ROW()-ROW($A$123)</f>
        <v>16A.F2.1</v>
      </c>
      <c r="B124" s="34" t="s">
        <v>114</v>
      </c>
      <c r="C124" s="28" t="s">
        <v>515</v>
      </c>
      <c r="D124" s="29" t="s">
        <v>520</v>
      </c>
      <c r="E124" s="31">
        <v>0</v>
      </c>
      <c r="F124" s="30">
        <f>_xlfn.XLOOKUP(B124, Rate_Master!$A:$A, Rate_Master!$C:$C, "")</f>
        <v>206999.99999999997</v>
      </c>
      <c r="G124" s="30">
        <f>_xlfn.XLOOKUP(B124, Rate_Master!$A:$A, Rate_Master!$D:$D, "")</f>
        <v>126499.99999999999</v>
      </c>
      <c r="H124" s="32">
        <v>0</v>
      </c>
      <c r="I124" s="32">
        <f>H124*E124</f>
        <v>0</v>
      </c>
      <c r="J124" s="32"/>
    </row>
    <row r="125" spans="1:10" s="4" customFormat="1" ht="51" customHeight="1" outlineLevel="1">
      <c r="A125" s="27" t="str">
        <f>$A$123&amp;"."&amp;ROW()-ROW($A$123)</f>
        <v>16A.F2.2</v>
      </c>
      <c r="B125" s="28" t="s">
        <v>115</v>
      </c>
      <c r="C125" s="28" t="s">
        <v>515</v>
      </c>
      <c r="D125" s="29" t="s">
        <v>520</v>
      </c>
      <c r="E125" s="31">
        <v>437.26799999999997</v>
      </c>
      <c r="F125" s="30">
        <f>_xlfn.XLOOKUP(B125, Rate_Master!$A:$A, Rate_Master!$C:$C, "")</f>
        <v>28749.999999999996</v>
      </c>
      <c r="G125" s="30">
        <f>_xlfn.XLOOKUP(B125, Rate_Master!$A:$A, Rate_Master!$D:$D, "")</f>
        <v>49449.999999999993</v>
      </c>
      <c r="H125" s="32">
        <f>+G125+F125</f>
        <v>78199.999999999985</v>
      </c>
      <c r="I125" s="32">
        <f>H125*E125</f>
        <v>34194357.599999994</v>
      </c>
      <c r="J125" s="32"/>
    </row>
    <row r="126" spans="1:10" s="4" customFormat="1" ht="51" customHeight="1" outlineLevel="1">
      <c r="A126" s="27" t="str">
        <f>$A$123&amp;"."&amp;ROW()-ROW($A$123)</f>
        <v>16A.F2.3</v>
      </c>
      <c r="B126" s="34" t="s">
        <v>116</v>
      </c>
      <c r="C126" s="28" t="s">
        <v>515</v>
      </c>
      <c r="D126" s="29" t="s">
        <v>520</v>
      </c>
      <c r="E126" s="31">
        <v>0</v>
      </c>
      <c r="F126" s="31">
        <f>_xlfn.XLOOKUP(B126, Rate_Master!$A:$A, Rate_Master!$C:$C, "")</f>
        <v>0</v>
      </c>
      <c r="G126" s="31">
        <f>_xlfn.XLOOKUP(B126, Rate_Master!$A:$A, Rate_Master!$D:$D, "")</f>
        <v>0</v>
      </c>
      <c r="H126" s="32">
        <v>0</v>
      </c>
      <c r="I126" s="32">
        <f>H126*E126</f>
        <v>0</v>
      </c>
      <c r="J126" s="32"/>
    </row>
    <row r="127" spans="1:10" s="4" customFormat="1" ht="51" customHeight="1" outlineLevel="1">
      <c r="A127" s="27" t="str">
        <f>$A$123&amp;"."&amp;ROW()-ROW($A$123)</f>
        <v>16A.F2.4</v>
      </c>
      <c r="B127" s="34" t="s">
        <v>117</v>
      </c>
      <c r="C127" s="28" t="s">
        <v>515</v>
      </c>
      <c r="D127" s="29" t="s">
        <v>520</v>
      </c>
      <c r="E127" s="31">
        <v>0</v>
      </c>
      <c r="F127" s="31">
        <f>_xlfn.XLOOKUP(B127, Rate_Master!$A:$A, Rate_Master!$C:$C, "")</f>
        <v>0</v>
      </c>
      <c r="G127" s="31">
        <f>_xlfn.XLOOKUP(B127, Rate_Master!$A:$A, Rate_Master!$D:$D, "")</f>
        <v>0</v>
      </c>
      <c r="H127" s="32">
        <v>0</v>
      </c>
      <c r="I127" s="32">
        <f>H127*E127</f>
        <v>0</v>
      </c>
      <c r="J127" s="32"/>
    </row>
    <row r="128" spans="1:10" s="4" customFormat="1" ht="38.25" customHeight="1" outlineLevel="1">
      <c r="A128" s="27" t="str">
        <f>$A$123&amp;"."&amp;ROW()-ROW($A$123)</f>
        <v>16A.F2.5</v>
      </c>
      <c r="B128" s="34" t="s">
        <v>118</v>
      </c>
      <c r="C128" s="28" t="s">
        <v>515</v>
      </c>
      <c r="D128" s="29" t="s">
        <v>520</v>
      </c>
      <c r="E128" s="31">
        <v>0</v>
      </c>
      <c r="F128" s="31">
        <f>_xlfn.XLOOKUP(B128, Rate_Master!$A:$A, Rate_Master!$C:$C, "")</f>
        <v>0</v>
      </c>
      <c r="G128" s="31">
        <f>_xlfn.XLOOKUP(B128, Rate_Master!$A:$A, Rate_Master!$D:$D, "")</f>
        <v>0</v>
      </c>
      <c r="H128" s="32">
        <v>0</v>
      </c>
      <c r="I128" s="32">
        <f>H128*E128</f>
        <v>0</v>
      </c>
      <c r="J128" s="32"/>
    </row>
    <row r="129" spans="1:10" s="3" customFormat="1" ht="25.5" customHeight="1">
      <c r="A129" s="22" t="str">
        <f>$A$103&amp;3</f>
        <v>16A.F3</v>
      </c>
      <c r="B129" s="23" t="s">
        <v>119</v>
      </c>
      <c r="C129" s="23" t="s">
        <v>515</v>
      </c>
      <c r="D129" s="22"/>
      <c r="E129" s="25"/>
      <c r="F129" s="25">
        <f>_xlfn.XLOOKUP(B129, Rate_Master!$A:$A, Rate_Master!$C:$C, "")</f>
        <v>0</v>
      </c>
      <c r="G129" s="25">
        <f>_xlfn.XLOOKUP(B129, Rate_Master!$A:$A, Rate_Master!$D:$D, "")</f>
        <v>0</v>
      </c>
      <c r="H129" s="26">
        <v>0</v>
      </c>
      <c r="I129" s="26">
        <f>SUBTOTAL(9,I130:I137)</f>
        <v>103547058</v>
      </c>
      <c r="J129" s="26"/>
    </row>
    <row r="130" spans="1:10" s="4" customFormat="1" ht="25.5" customHeight="1" outlineLevel="1">
      <c r="A130" s="27" t="str">
        <f t="shared" ref="A130:A137" si="21">$A$129&amp;"."&amp;ROW()-ROW($A$129)</f>
        <v>16A.F3.1</v>
      </c>
      <c r="B130" s="34" t="s">
        <v>120</v>
      </c>
      <c r="C130" s="28" t="s">
        <v>515</v>
      </c>
      <c r="D130" s="29" t="s">
        <v>520</v>
      </c>
      <c r="E130" s="31">
        <v>439.22399999999999</v>
      </c>
      <c r="F130" s="31">
        <f>_xlfn.XLOOKUP(B130, Rate_Master!$A:$A, Rate_Master!$C:$C, "")</f>
        <v>28749.999999999996</v>
      </c>
      <c r="G130" s="31">
        <f>_xlfn.XLOOKUP(B130, Rate_Master!$A:$A, Rate_Master!$D:$D, "")</f>
        <v>0</v>
      </c>
      <c r="H130" s="32">
        <f>+G130+F130</f>
        <v>28749.999999999996</v>
      </c>
      <c r="I130" s="32">
        <f t="shared" ref="I130:I137" si="22">H130*E130</f>
        <v>12627689.999999998</v>
      </c>
      <c r="J130" s="32"/>
    </row>
    <row r="131" spans="1:10" s="4" customFormat="1" ht="25.5" customHeight="1" outlineLevel="1">
      <c r="A131" s="27" t="str">
        <f t="shared" si="21"/>
        <v>16A.F3.2</v>
      </c>
      <c r="B131" s="34" t="s">
        <v>121</v>
      </c>
      <c r="C131" s="28" t="s">
        <v>515</v>
      </c>
      <c r="D131" s="29" t="s">
        <v>520</v>
      </c>
      <c r="E131" s="31">
        <v>0</v>
      </c>
      <c r="F131" s="31">
        <f>_xlfn.XLOOKUP(B131, Rate_Master!$A:$A, Rate_Master!$C:$C, "")</f>
        <v>0</v>
      </c>
      <c r="G131" s="31">
        <f>_xlfn.XLOOKUP(B131, Rate_Master!$A:$A, Rate_Master!$D:$D, "")</f>
        <v>0</v>
      </c>
      <c r="H131" s="32">
        <f>+G131+F131</f>
        <v>0</v>
      </c>
      <c r="I131" s="32">
        <f t="shared" si="22"/>
        <v>0</v>
      </c>
      <c r="J131" s="32"/>
    </row>
    <row r="132" spans="1:10" s="4" customFormat="1" ht="38.25" customHeight="1" outlineLevel="1">
      <c r="A132" s="27" t="str">
        <f t="shared" si="21"/>
        <v>16A.F3.3</v>
      </c>
      <c r="B132" s="34" t="s">
        <v>122</v>
      </c>
      <c r="C132" s="28" t="s">
        <v>515</v>
      </c>
      <c r="D132" s="29" t="s">
        <v>520</v>
      </c>
      <c r="E132" s="31">
        <v>0</v>
      </c>
      <c r="F132" s="31">
        <f>_xlfn.XLOOKUP(B132, Rate_Master!$A:$A, Rate_Master!$C:$C, "")</f>
        <v>51749.999999999993</v>
      </c>
      <c r="G132" s="31">
        <f>_xlfn.XLOOKUP(B132, Rate_Master!$A:$A, Rate_Master!$D:$D, "")</f>
        <v>23000</v>
      </c>
      <c r="H132" s="32">
        <f>+G132+F132</f>
        <v>74750</v>
      </c>
      <c r="I132" s="32">
        <f t="shared" si="22"/>
        <v>0</v>
      </c>
      <c r="J132" s="32"/>
    </row>
    <row r="133" spans="1:10" s="4" customFormat="1" ht="25.5" customHeight="1" outlineLevel="1">
      <c r="A133" s="27" t="str">
        <f t="shared" si="21"/>
        <v>16A.F3.4</v>
      </c>
      <c r="B133" s="34" t="s">
        <v>123</v>
      </c>
      <c r="C133" s="28" t="s">
        <v>515</v>
      </c>
      <c r="D133" s="29" t="s">
        <v>520</v>
      </c>
      <c r="E133" s="31">
        <v>439.22399999999999</v>
      </c>
      <c r="F133" s="31">
        <f>_xlfn.XLOOKUP(B133, Rate_Master!$A:$A, Rate_Master!$C:$C, "")</f>
        <v>172500</v>
      </c>
      <c r="G133" s="31">
        <f>_xlfn.XLOOKUP(B133, Rate_Master!$A:$A, Rate_Master!$D:$D, "")</f>
        <v>34500</v>
      </c>
      <c r="H133" s="32">
        <f>+G133+F133</f>
        <v>207000</v>
      </c>
      <c r="I133" s="32">
        <f t="shared" si="22"/>
        <v>90919368</v>
      </c>
      <c r="J133" s="32"/>
    </row>
    <row r="134" spans="1:10" s="4" customFormat="1" ht="51" customHeight="1" outlineLevel="1">
      <c r="A134" s="27" t="str">
        <f t="shared" si="21"/>
        <v>16A.F3.5</v>
      </c>
      <c r="B134" s="28" t="s">
        <v>124</v>
      </c>
      <c r="C134" s="34" t="s">
        <v>553</v>
      </c>
      <c r="D134" s="29" t="s">
        <v>520</v>
      </c>
      <c r="E134" s="31">
        <v>0</v>
      </c>
      <c r="F134" s="30">
        <f>_xlfn.XLOOKUP(B134, Rate_Master!$A:$A, Rate_Master!$C:$C, "")</f>
        <v>1069500</v>
      </c>
      <c r="G134" s="30">
        <f>_xlfn.XLOOKUP(B134, Rate_Master!$A:$A, Rate_Master!$D:$D, "")</f>
        <v>172500</v>
      </c>
      <c r="H134" s="32">
        <v>0</v>
      </c>
      <c r="I134" s="32">
        <f t="shared" si="22"/>
        <v>0</v>
      </c>
      <c r="J134" s="32"/>
    </row>
    <row r="135" spans="1:10" s="4" customFormat="1" ht="51" customHeight="1" outlineLevel="1">
      <c r="A135" s="27" t="str">
        <f t="shared" si="21"/>
        <v>16A.F3.6</v>
      </c>
      <c r="B135" s="34" t="s">
        <v>125</v>
      </c>
      <c r="C135" s="28" t="s">
        <v>515</v>
      </c>
      <c r="D135" s="29" t="s">
        <v>520</v>
      </c>
      <c r="E135" s="31">
        <v>0</v>
      </c>
      <c r="F135" s="30">
        <f>_xlfn.XLOOKUP(B135, Rate_Master!$A:$A, Rate_Master!$C:$C, "")</f>
        <v>965999.99999999988</v>
      </c>
      <c r="G135" s="30">
        <f>_xlfn.XLOOKUP(B135, Rate_Master!$A:$A, Rate_Master!$D:$D, "")</f>
        <v>138000</v>
      </c>
      <c r="H135" s="32">
        <v>0</v>
      </c>
      <c r="I135" s="32">
        <f t="shared" si="22"/>
        <v>0</v>
      </c>
      <c r="J135" s="32"/>
    </row>
    <row r="136" spans="1:10" s="4" customFormat="1" ht="25.5" customHeight="1" outlineLevel="1">
      <c r="A136" s="27" t="str">
        <f t="shared" si="21"/>
        <v>16A.F3.7</v>
      </c>
      <c r="B136" s="28" t="s">
        <v>126</v>
      </c>
      <c r="C136" s="28" t="s">
        <v>515</v>
      </c>
      <c r="D136" s="29" t="s">
        <v>520</v>
      </c>
      <c r="E136" s="31">
        <v>0</v>
      </c>
      <c r="F136" s="30">
        <f>_xlfn.XLOOKUP(B136, Rate_Master!$A:$A, Rate_Master!$C:$C, "")</f>
        <v>0</v>
      </c>
      <c r="G136" s="30">
        <f>_xlfn.XLOOKUP(B136, Rate_Master!$A:$A, Rate_Master!$D:$D, "")</f>
        <v>0</v>
      </c>
      <c r="H136" s="32">
        <v>0</v>
      </c>
      <c r="I136" s="32">
        <f t="shared" si="22"/>
        <v>0</v>
      </c>
      <c r="J136" s="32"/>
    </row>
    <row r="137" spans="1:10" s="4" customFormat="1" ht="25.5" customHeight="1" outlineLevel="1">
      <c r="A137" s="27" t="str">
        <f t="shared" si="21"/>
        <v>16A.F3.8</v>
      </c>
      <c r="B137" s="34" t="s">
        <v>127</v>
      </c>
      <c r="C137" s="28" t="s">
        <v>515</v>
      </c>
      <c r="D137" s="29" t="s">
        <v>520</v>
      </c>
      <c r="E137" s="31">
        <v>0</v>
      </c>
      <c r="F137" s="30">
        <f>_xlfn.XLOOKUP(B137, Rate_Master!$A:$A, Rate_Master!$C:$C, "")</f>
        <v>0</v>
      </c>
      <c r="G137" s="30">
        <f>_xlfn.XLOOKUP(B137, Rate_Master!$A:$A, Rate_Master!$D:$D, "")</f>
        <v>0</v>
      </c>
      <c r="H137" s="32">
        <v>0</v>
      </c>
      <c r="I137" s="32">
        <f t="shared" si="22"/>
        <v>0</v>
      </c>
      <c r="J137" s="32"/>
    </row>
    <row r="138" spans="1:10" s="3" customFormat="1" ht="25.5" customHeight="1">
      <c r="A138" s="22" t="str">
        <f>$A$103&amp;4</f>
        <v>16A.F4</v>
      </c>
      <c r="B138" s="23" t="s">
        <v>128</v>
      </c>
      <c r="C138" s="23" t="s">
        <v>515</v>
      </c>
      <c r="D138" s="22"/>
      <c r="E138" s="25"/>
      <c r="F138" s="25">
        <f>_xlfn.XLOOKUP(B138, Rate_Master!$A:$A, Rate_Master!$C:$C, "")</f>
        <v>0</v>
      </c>
      <c r="G138" s="25">
        <f>_xlfn.XLOOKUP(B138, Rate_Master!$A:$A, Rate_Master!$D:$D, "")</f>
        <v>0</v>
      </c>
      <c r="H138" s="26">
        <v>0</v>
      </c>
      <c r="I138" s="26">
        <f>SUBTOTAL(9,I139:I141)</f>
        <v>131255249.99999999</v>
      </c>
      <c r="J138" s="26"/>
    </row>
    <row r="139" spans="1:10" s="4" customFormat="1" ht="76.5" customHeight="1" outlineLevel="1">
      <c r="A139" s="27" t="str">
        <f>$A$138&amp;"."&amp;ROW()-ROW($A$138)</f>
        <v>16A.F4.1</v>
      </c>
      <c r="B139" s="28" t="s">
        <v>214</v>
      </c>
      <c r="C139" s="28" t="s">
        <v>515</v>
      </c>
      <c r="D139" s="29" t="s">
        <v>516</v>
      </c>
      <c r="E139" s="31">
        <v>10</v>
      </c>
      <c r="F139" s="31">
        <f>_xlfn.XLOOKUP(B139, Rate_Master!$A:$A, Rate_Master!$C:$C, "")</f>
        <v>6623999.9999999991</v>
      </c>
      <c r="G139" s="31">
        <f>_xlfn.XLOOKUP(B139, Rate_Master!$A:$A, Rate_Master!$D:$D, "")</f>
        <v>413999.99999999994</v>
      </c>
      <c r="H139" s="32">
        <f>+G139+F139</f>
        <v>7037999.9999999991</v>
      </c>
      <c r="I139" s="32">
        <f>H139*E139</f>
        <v>70379999.999999985</v>
      </c>
      <c r="J139" s="32"/>
    </row>
    <row r="140" spans="1:10" s="4" customFormat="1" ht="51" customHeight="1" outlineLevel="1">
      <c r="A140" s="27" t="str">
        <f>$A$138&amp;"."&amp;ROW()-ROW($A$138)</f>
        <v>16A.F4.2</v>
      </c>
      <c r="B140" s="28" t="s">
        <v>278</v>
      </c>
      <c r="C140" s="28" t="s">
        <v>515</v>
      </c>
      <c r="D140" s="29" t="s">
        <v>516</v>
      </c>
      <c r="E140" s="31">
        <v>1</v>
      </c>
      <c r="F140" s="31">
        <f>_xlfn.XLOOKUP(B140, Rate_Master!$A:$A, Rate_Master!$C:$C, "")</f>
        <v>24839999.999999996</v>
      </c>
      <c r="G140" s="31">
        <f>_xlfn.XLOOKUP(B140, Rate_Master!$A:$A, Rate_Master!$D:$D, "")</f>
        <v>1552499.9999999998</v>
      </c>
      <c r="H140" s="32">
        <f>+G140+F140</f>
        <v>26392499.999999996</v>
      </c>
      <c r="I140" s="32">
        <f>H140*E140</f>
        <v>26392499.999999996</v>
      </c>
      <c r="J140" s="32"/>
    </row>
    <row r="141" spans="1:10" s="4" customFormat="1" ht="38.25" customHeight="1" outlineLevel="1">
      <c r="A141" s="27" t="str">
        <f>$A$138&amp;"."&amp;ROW()-ROW($A$138)</f>
        <v>16A.F4.3</v>
      </c>
      <c r="B141" s="28" t="s">
        <v>279</v>
      </c>
      <c r="C141" s="28" t="s">
        <v>515</v>
      </c>
      <c r="D141" s="29" t="s">
        <v>516</v>
      </c>
      <c r="E141" s="31">
        <v>5</v>
      </c>
      <c r="F141" s="31">
        <f>_xlfn.XLOOKUP(B141, Rate_Master!$A:$A, Rate_Master!$C:$C, "")</f>
        <v>4965700</v>
      </c>
      <c r="G141" s="31">
        <f>_xlfn.XLOOKUP(B141, Rate_Master!$A:$A, Rate_Master!$D:$D, "")</f>
        <v>1930849.9999999998</v>
      </c>
      <c r="H141" s="32">
        <f>+G141+F141</f>
        <v>6896550</v>
      </c>
      <c r="I141" s="32">
        <f>H141*E141</f>
        <v>34482750</v>
      </c>
      <c r="J141" s="71" t="s">
        <v>559</v>
      </c>
    </row>
    <row r="142" spans="1:10" s="3" customFormat="1" ht="25.5" customHeight="1">
      <c r="A142" s="22" t="str">
        <f>$A$103&amp;5</f>
        <v>16A.F5</v>
      </c>
      <c r="B142" s="23" t="s">
        <v>143</v>
      </c>
      <c r="C142" s="23" t="s">
        <v>515</v>
      </c>
      <c r="D142" s="22"/>
      <c r="E142" s="25"/>
      <c r="F142" s="25">
        <f>_xlfn.XLOOKUP(B142, Rate_Master!$A:$A, Rate_Master!$C:$C, "")</f>
        <v>0</v>
      </c>
      <c r="G142" s="25">
        <f>_xlfn.XLOOKUP(B142, Rate_Master!$A:$A, Rate_Master!$D:$D, "")</f>
        <v>0</v>
      </c>
      <c r="H142" s="26">
        <v>0</v>
      </c>
      <c r="I142" s="26">
        <f>SUBTOTAL(9,I143:I145)</f>
        <v>0</v>
      </c>
      <c r="J142" s="26"/>
    </row>
    <row r="143" spans="1:10" s="4" customFormat="1" ht="51" customHeight="1" outlineLevel="1">
      <c r="A143" s="37" t="str">
        <f>$A$142&amp;"."&amp;ROW()-ROW($A$142)</f>
        <v>16A.F5.1</v>
      </c>
      <c r="B143" s="43" t="s">
        <v>144</v>
      </c>
      <c r="C143" s="38" t="s">
        <v>515</v>
      </c>
      <c r="D143" s="39" t="s">
        <v>517</v>
      </c>
      <c r="E143" s="40">
        <v>0</v>
      </c>
      <c r="F143" s="40">
        <f>_xlfn.XLOOKUP(B143, Rate_Master!$A:$A, Rate_Master!$C:$C, "")</f>
        <v>161000</v>
      </c>
      <c r="G143" s="40">
        <f>_xlfn.XLOOKUP(B143, Rate_Master!$A:$A, Rate_Master!$D:$D, "")</f>
        <v>34500</v>
      </c>
      <c r="H143" s="41">
        <v>0</v>
      </c>
      <c r="I143" s="41">
        <f>H143*E143</f>
        <v>0</v>
      </c>
      <c r="J143" s="41"/>
    </row>
    <row r="144" spans="1:10" s="4" customFormat="1" ht="38.25" customHeight="1" outlineLevel="1">
      <c r="A144" s="37" t="str">
        <f>$A$142&amp;"."&amp;ROW()-ROW($A$142)</f>
        <v>16A.F5.2</v>
      </c>
      <c r="B144" s="43" t="s">
        <v>145</v>
      </c>
      <c r="C144" s="38" t="s">
        <v>515</v>
      </c>
      <c r="D144" s="39" t="s">
        <v>517</v>
      </c>
      <c r="E144" s="40">
        <v>0</v>
      </c>
      <c r="F144" s="40">
        <f>_xlfn.XLOOKUP(B144, Rate_Master!$A:$A, Rate_Master!$C:$C, "")</f>
        <v>517499.99999999994</v>
      </c>
      <c r="G144" s="40">
        <f>_xlfn.XLOOKUP(B144, Rate_Master!$A:$A, Rate_Master!$D:$D, "")</f>
        <v>57499.999999999993</v>
      </c>
      <c r="H144" s="41">
        <v>0</v>
      </c>
      <c r="I144" s="41">
        <f>H144*E144</f>
        <v>0</v>
      </c>
      <c r="J144" s="41"/>
    </row>
    <row r="145" spans="1:10" s="4" customFormat="1" ht="38.25" customHeight="1" outlineLevel="1">
      <c r="A145" s="37" t="str">
        <f>$A$142&amp;"."&amp;ROW()-ROW($A$142)</f>
        <v>16A.F5.3</v>
      </c>
      <c r="B145" s="43" t="s">
        <v>146</v>
      </c>
      <c r="C145" s="38" t="s">
        <v>515</v>
      </c>
      <c r="D145" s="39" t="s">
        <v>517</v>
      </c>
      <c r="E145" s="40">
        <v>0</v>
      </c>
      <c r="F145" s="40">
        <f>_xlfn.XLOOKUP(B145, Rate_Master!$A:$A, Rate_Master!$C:$C, "")</f>
        <v>632500</v>
      </c>
      <c r="G145" s="40">
        <f>_xlfn.XLOOKUP(B145, Rate_Master!$A:$A, Rate_Master!$D:$D, "")</f>
        <v>57499.999999999993</v>
      </c>
      <c r="H145" s="41">
        <v>0</v>
      </c>
      <c r="I145" s="41">
        <f>H145*E145</f>
        <v>0</v>
      </c>
      <c r="J145" s="41"/>
    </row>
    <row r="146" spans="1:10" s="3" customFormat="1" ht="25.5" customHeight="1">
      <c r="A146" s="22" t="str">
        <f>$A$103&amp;6</f>
        <v>16A.F6</v>
      </c>
      <c r="B146" s="23" t="s">
        <v>147</v>
      </c>
      <c r="C146" s="23" t="s">
        <v>515</v>
      </c>
      <c r="D146" s="22"/>
      <c r="E146" s="25"/>
      <c r="F146" s="25">
        <f>_xlfn.XLOOKUP(B146, Rate_Master!$A:$A, Rate_Master!$C:$C, "")</f>
        <v>0</v>
      </c>
      <c r="G146" s="25">
        <f>_xlfn.XLOOKUP(B146, Rate_Master!$A:$A, Rate_Master!$D:$D, "")</f>
        <v>0</v>
      </c>
      <c r="H146" s="26">
        <v>0</v>
      </c>
      <c r="I146" s="26">
        <f>SUBTOTAL(9,I147:I151)</f>
        <v>329154886</v>
      </c>
      <c r="J146" s="26"/>
    </row>
    <row r="147" spans="1:10" s="4" customFormat="1" ht="51" customHeight="1" outlineLevel="1">
      <c r="A147" s="27" t="str">
        <f>$A$146&amp;"."&amp;ROW()-ROW($A$146)</f>
        <v>16A.F6.1</v>
      </c>
      <c r="B147" s="34" t="s">
        <v>148</v>
      </c>
      <c r="C147" s="34" t="s">
        <v>515</v>
      </c>
      <c r="D147" s="29" t="s">
        <v>520</v>
      </c>
      <c r="E147" s="31">
        <v>0</v>
      </c>
      <c r="F147" s="31">
        <f>_xlfn.XLOOKUP(B147, Rate_Master!$A:$A, Rate_Master!$C:$C, "")</f>
        <v>155000</v>
      </c>
      <c r="G147" s="31">
        <f>_xlfn.XLOOKUP(B147, Rate_Master!$A:$A, Rate_Master!$D:$D, "")</f>
        <v>45000</v>
      </c>
      <c r="H147" s="32">
        <v>0</v>
      </c>
      <c r="I147" s="32">
        <f>H147*E147</f>
        <v>0</v>
      </c>
      <c r="J147" s="32"/>
    </row>
    <row r="148" spans="1:10" s="4" customFormat="1" ht="25.5" customHeight="1" outlineLevel="1">
      <c r="A148" s="27" t="str">
        <f>$A$146&amp;"."&amp;ROW()-ROW($A$146)</f>
        <v>16A.F6.2</v>
      </c>
      <c r="B148" s="34" t="s">
        <v>149</v>
      </c>
      <c r="C148" s="34" t="s">
        <v>515</v>
      </c>
      <c r="D148" s="29" t="s">
        <v>520</v>
      </c>
      <c r="E148" s="31">
        <v>386.786</v>
      </c>
      <c r="F148" s="31">
        <f>_xlfn.XLOOKUP(B148, Rate_Master!$A:$A, Rate_Master!$C:$C, "")</f>
        <v>310500</v>
      </c>
      <c r="G148" s="31">
        <f>_xlfn.XLOOKUP(B148, Rate_Master!$A:$A, Rate_Master!$D:$D, "")</f>
        <v>34500</v>
      </c>
      <c r="H148" s="32">
        <f>+G148+F148</f>
        <v>345000</v>
      </c>
      <c r="I148" s="32">
        <f>H148*E148</f>
        <v>133441170</v>
      </c>
      <c r="J148" s="32"/>
    </row>
    <row r="149" spans="1:10" s="4" customFormat="1" ht="51" customHeight="1" outlineLevel="1">
      <c r="A149" s="27" t="str">
        <f>$A$146&amp;"."&amp;ROW()-ROW($A$146)</f>
        <v>16A.F6.3</v>
      </c>
      <c r="B149" s="34" t="s">
        <v>150</v>
      </c>
      <c r="C149" s="34" t="s">
        <v>515</v>
      </c>
      <c r="D149" s="29" t="s">
        <v>520</v>
      </c>
      <c r="E149" s="31">
        <v>386.786</v>
      </c>
      <c r="F149" s="31">
        <f>_xlfn.XLOOKUP(B149, Rate_Master!$A:$A, Rate_Master!$C:$C, "")</f>
        <v>287500</v>
      </c>
      <c r="G149" s="31">
        <f>_xlfn.XLOOKUP(B149, Rate_Master!$A:$A, Rate_Master!$D:$D, "")</f>
        <v>69000</v>
      </c>
      <c r="H149" s="32">
        <f>+G149+F149</f>
        <v>356500</v>
      </c>
      <c r="I149" s="32">
        <f>H149*E149</f>
        <v>137889209</v>
      </c>
      <c r="J149" s="32"/>
    </row>
    <row r="150" spans="1:10" s="4" customFormat="1" ht="51" customHeight="1" outlineLevel="1">
      <c r="A150" s="27" t="str">
        <f>$A$146&amp;"."&amp;ROW()-ROW($A$146)</f>
        <v>16A.F6.4</v>
      </c>
      <c r="B150" s="34" t="s">
        <v>151</v>
      </c>
      <c r="C150" s="34" t="s">
        <v>515</v>
      </c>
      <c r="D150" s="29" t="s">
        <v>520</v>
      </c>
      <c r="E150" s="31">
        <v>386.786</v>
      </c>
      <c r="F150" s="31">
        <f>_xlfn.XLOOKUP(B150, Rate_Master!$A:$A, Rate_Master!$C:$C, "")</f>
        <v>23000</v>
      </c>
      <c r="G150" s="31">
        <f>_xlfn.XLOOKUP(B150, Rate_Master!$A:$A, Rate_Master!$D:$D, "")</f>
        <v>126499.99999999999</v>
      </c>
      <c r="H150" s="32">
        <f>+G150+F150</f>
        <v>149500</v>
      </c>
      <c r="I150" s="32">
        <f>H150*E150</f>
        <v>57824507</v>
      </c>
      <c r="J150" s="32"/>
    </row>
    <row r="151" spans="1:10" s="4" customFormat="1" ht="63.75" customHeight="1" outlineLevel="1">
      <c r="A151" s="27" t="str">
        <f>$A$146&amp;"."&amp;ROW()-ROW($A$146)</f>
        <v>16A.F6.5</v>
      </c>
      <c r="B151" s="34" t="s">
        <v>152</v>
      </c>
      <c r="C151" s="34" t="s">
        <v>560</v>
      </c>
      <c r="D151" s="29" t="s">
        <v>517</v>
      </c>
      <c r="E151" s="31">
        <v>0</v>
      </c>
      <c r="F151" s="31">
        <f>_xlfn.XLOOKUP(B151, Rate_Master!$A:$A, Rate_Master!$C:$C, "")</f>
        <v>155250</v>
      </c>
      <c r="G151" s="31">
        <f>_xlfn.XLOOKUP(B151, Rate_Master!$A:$A, Rate_Master!$D:$D, "")</f>
        <v>57499.999999999993</v>
      </c>
      <c r="H151" s="32"/>
      <c r="I151" s="32"/>
      <c r="J151" s="32"/>
    </row>
    <row r="152" spans="1:10" s="3" customFormat="1" ht="25.5" customHeight="1">
      <c r="A152" s="22" t="str">
        <f>$A$103&amp;7</f>
        <v>16A.F7</v>
      </c>
      <c r="B152" s="23" t="s">
        <v>84</v>
      </c>
      <c r="C152" s="23" t="s">
        <v>515</v>
      </c>
      <c r="D152" s="22"/>
      <c r="E152" s="25"/>
      <c r="F152" s="25">
        <f>_xlfn.XLOOKUP(B152, Rate_Master!$A:$A, Rate_Master!$C:$C, "")</f>
        <v>0</v>
      </c>
      <c r="G152" s="25">
        <f>_xlfn.XLOOKUP(B152, Rate_Master!$A:$A, Rate_Master!$D:$D, "")</f>
        <v>0</v>
      </c>
      <c r="H152" s="26">
        <v>0</v>
      </c>
      <c r="I152" s="26">
        <f>SUBTOTAL(9,I153:I164)</f>
        <v>0</v>
      </c>
      <c r="J152" s="26"/>
    </row>
    <row r="153" spans="1:10" s="4" customFormat="1" ht="38.25" customHeight="1" outlineLevel="1">
      <c r="A153" s="37" t="str">
        <f t="shared" ref="A153:A164" si="23">$A$152&amp;"."&amp;ROW()-ROW($A$152)</f>
        <v>16A.F7.1</v>
      </c>
      <c r="B153" s="44" t="s">
        <v>153</v>
      </c>
      <c r="C153" s="43" t="s">
        <v>561</v>
      </c>
      <c r="D153" s="39" t="s">
        <v>517</v>
      </c>
      <c r="E153" s="40">
        <v>0</v>
      </c>
      <c r="F153" s="40">
        <f>_xlfn.XLOOKUP(B153, Rate_Master!$A:$A, Rate_Master!$C:$C, "")</f>
        <v>4024999.9999999995</v>
      </c>
      <c r="G153" s="40">
        <f>_xlfn.XLOOKUP(B153, Rate_Master!$A:$A, Rate_Master!$D:$D, "")</f>
        <v>1380000</v>
      </c>
      <c r="H153" s="41">
        <v>0</v>
      </c>
      <c r="I153" s="41">
        <f>H153*E153</f>
        <v>0</v>
      </c>
      <c r="J153" s="41"/>
    </row>
    <row r="154" spans="1:10" s="4" customFormat="1" ht="38.25" customHeight="1" outlineLevel="1">
      <c r="A154" s="37" t="str">
        <f t="shared" si="23"/>
        <v>16A.F7.2</v>
      </c>
      <c r="B154" s="44" t="s">
        <v>167</v>
      </c>
      <c r="C154" s="43"/>
      <c r="D154" s="39" t="s">
        <v>517</v>
      </c>
      <c r="E154" s="40"/>
      <c r="F154" s="40">
        <f>_xlfn.XLOOKUP(B154, Rate_Master!$A:$A, Rate_Master!$C:$C, "")</f>
        <v>0</v>
      </c>
      <c r="G154" s="40">
        <f>_xlfn.XLOOKUP(B154, Rate_Master!$A:$A, Rate_Master!$D:$D, "")</f>
        <v>0</v>
      </c>
      <c r="H154" s="41"/>
      <c r="I154" s="41"/>
      <c r="J154" s="41"/>
    </row>
    <row r="155" spans="1:10" s="4" customFormat="1" ht="38.25" customHeight="1" outlineLevel="1">
      <c r="A155" s="37" t="str">
        <f t="shared" si="23"/>
        <v>16A.F7.3</v>
      </c>
      <c r="B155" s="44" t="s">
        <v>154</v>
      </c>
      <c r="C155" s="38" t="s">
        <v>515</v>
      </c>
      <c r="D155" s="45" t="s">
        <v>517</v>
      </c>
      <c r="E155" s="40">
        <v>0</v>
      </c>
      <c r="F155" s="40">
        <f>_xlfn.XLOOKUP(B155, Rate_Master!$A:$A, Rate_Master!$C:$C, "")</f>
        <v>359375</v>
      </c>
      <c r="G155" s="40">
        <f>_xlfn.XLOOKUP(B155, Rate_Master!$A:$A, Rate_Master!$D:$D, "")</f>
        <v>71875</v>
      </c>
      <c r="H155" s="41">
        <v>0</v>
      </c>
      <c r="I155" s="41">
        <f>H155*E155</f>
        <v>0</v>
      </c>
      <c r="J155" s="41"/>
    </row>
    <row r="156" spans="1:10" s="4" customFormat="1" ht="25.5" customHeight="1" outlineLevel="1">
      <c r="A156" s="37" t="str">
        <f t="shared" si="23"/>
        <v>16A.F7.4</v>
      </c>
      <c r="B156" s="46" t="s">
        <v>155</v>
      </c>
      <c r="C156" s="38" t="s">
        <v>515</v>
      </c>
      <c r="D156" s="45" t="s">
        <v>517</v>
      </c>
      <c r="E156" s="40">
        <v>0</v>
      </c>
      <c r="F156" s="40">
        <f>_xlfn.XLOOKUP(B156, Rate_Master!$A:$A, Rate_Master!$C:$C, "")</f>
        <v>1954999.9999999998</v>
      </c>
      <c r="G156" s="40">
        <f>_xlfn.XLOOKUP(B156, Rate_Master!$A:$A, Rate_Master!$D:$D, "")</f>
        <v>114999.99999999999</v>
      </c>
      <c r="H156" s="41">
        <v>0</v>
      </c>
      <c r="I156" s="41">
        <f>H156*E156</f>
        <v>0</v>
      </c>
      <c r="J156" s="41"/>
    </row>
    <row r="157" spans="1:10" s="4" customFormat="1" ht="51" customHeight="1" outlineLevel="1">
      <c r="A157" s="37" t="str">
        <f t="shared" si="23"/>
        <v>16A.F7.5</v>
      </c>
      <c r="B157" s="46" t="s">
        <v>168</v>
      </c>
      <c r="C157" s="38"/>
      <c r="D157" s="45" t="s">
        <v>517</v>
      </c>
      <c r="E157" s="40"/>
      <c r="F157" s="40">
        <f>_xlfn.XLOOKUP(B157, Rate_Master!$A:$A, Rate_Master!$C:$C, "")</f>
        <v>0</v>
      </c>
      <c r="G157" s="40">
        <f>_xlfn.XLOOKUP(B157, Rate_Master!$A:$A, Rate_Master!$D:$D, "")</f>
        <v>0</v>
      </c>
      <c r="H157" s="41"/>
      <c r="I157" s="41"/>
      <c r="J157" s="41"/>
    </row>
    <row r="158" spans="1:10" s="4" customFormat="1" ht="51" customHeight="1" outlineLevel="1">
      <c r="A158" s="37" t="str">
        <f t="shared" si="23"/>
        <v>16A.F7.6</v>
      </c>
      <c r="B158" s="44" t="s">
        <v>156</v>
      </c>
      <c r="C158" s="38" t="s">
        <v>515</v>
      </c>
      <c r="D158" s="47" t="s">
        <v>518</v>
      </c>
      <c r="E158" s="40">
        <v>0</v>
      </c>
      <c r="F158" s="40">
        <f>_xlfn.XLOOKUP(B158, Rate_Master!$A:$A, Rate_Master!$C:$C, "")</f>
        <v>1724999.9999999998</v>
      </c>
      <c r="G158" s="40">
        <f>_xlfn.XLOOKUP(B158, Rate_Master!$A:$A, Rate_Master!$D:$D, "")</f>
        <v>287500</v>
      </c>
      <c r="H158" s="41">
        <v>0</v>
      </c>
      <c r="I158" s="41">
        <f>H158*E158</f>
        <v>0</v>
      </c>
      <c r="J158" s="41"/>
    </row>
    <row r="159" spans="1:10" s="4" customFormat="1" ht="25.5" customHeight="1" outlineLevel="1">
      <c r="A159" s="37" t="str">
        <f t="shared" si="23"/>
        <v>16A.F7.7</v>
      </c>
      <c r="B159" s="44" t="s">
        <v>157</v>
      </c>
      <c r="C159" s="38" t="s">
        <v>515</v>
      </c>
      <c r="D159" s="39" t="s">
        <v>517</v>
      </c>
      <c r="E159" s="40">
        <v>0</v>
      </c>
      <c r="F159" s="40">
        <f>_xlfn.XLOOKUP(B159, Rate_Master!$A:$A, Rate_Master!$C:$C, "")</f>
        <v>632500</v>
      </c>
      <c r="G159" s="40">
        <f>_xlfn.XLOOKUP(B159, Rate_Master!$A:$A, Rate_Master!$D:$D, "")</f>
        <v>57499.999999999993</v>
      </c>
      <c r="H159" s="41">
        <v>0</v>
      </c>
      <c r="I159" s="41"/>
      <c r="J159" s="41"/>
    </row>
    <row r="160" spans="1:10" s="4" customFormat="1" ht="25.5" customHeight="1" outlineLevel="1">
      <c r="A160" s="37" t="str">
        <f t="shared" si="23"/>
        <v>16A.F7.8</v>
      </c>
      <c r="B160" s="43" t="s">
        <v>158</v>
      </c>
      <c r="C160" s="38" t="s">
        <v>562</v>
      </c>
      <c r="D160" s="39" t="s">
        <v>516</v>
      </c>
      <c r="E160" s="40">
        <v>0</v>
      </c>
      <c r="F160" s="40">
        <f>_xlfn.XLOOKUP(B160, Rate_Master!$A:$A, Rate_Master!$C:$C, "")</f>
        <v>68400000</v>
      </c>
      <c r="G160" s="40">
        <f>_xlfn.XLOOKUP(B160, Rate_Master!$A:$A, Rate_Master!$D:$D, "")</f>
        <v>26600000</v>
      </c>
      <c r="H160" s="41">
        <v>0</v>
      </c>
      <c r="I160" s="41">
        <f>H160*E160</f>
        <v>0</v>
      </c>
      <c r="J160" s="41"/>
    </row>
    <row r="161" spans="1:10" s="4" customFormat="1" ht="25.5" customHeight="1" outlineLevel="1">
      <c r="A161" s="37" t="str">
        <f t="shared" si="23"/>
        <v>16A.F7.9</v>
      </c>
      <c r="B161" s="43" t="s">
        <v>159</v>
      </c>
      <c r="C161" s="38" t="s">
        <v>515</v>
      </c>
      <c r="D161" s="39" t="s">
        <v>516</v>
      </c>
      <c r="E161" s="40">
        <v>0</v>
      </c>
      <c r="F161" s="40">
        <f>_xlfn.XLOOKUP(B161, Rate_Master!$A:$A, Rate_Master!$C:$C, "")</f>
        <v>25200000</v>
      </c>
      <c r="G161" s="40">
        <f>_xlfn.XLOOKUP(B161, Rate_Master!$A:$A, Rate_Master!$D:$D, "")</f>
        <v>9800000.0000000019</v>
      </c>
      <c r="H161" s="41">
        <v>0</v>
      </c>
      <c r="I161" s="41"/>
      <c r="J161" s="41"/>
    </row>
    <row r="162" spans="1:10" s="4" customFormat="1" ht="25.5" customHeight="1" outlineLevel="1">
      <c r="A162" s="37" t="str">
        <f t="shared" si="23"/>
        <v>16A.F7.10</v>
      </c>
      <c r="B162" s="43" t="s">
        <v>160</v>
      </c>
      <c r="C162" s="38" t="s">
        <v>515</v>
      </c>
      <c r="D162" s="39" t="s">
        <v>518</v>
      </c>
      <c r="E162" s="40">
        <v>0</v>
      </c>
      <c r="F162" s="40">
        <f>_xlfn.XLOOKUP(B162, Rate_Master!$A:$A, Rate_Master!$C:$C, "")</f>
        <v>1440000</v>
      </c>
      <c r="G162" s="40">
        <f>_xlfn.XLOOKUP(B162, Rate_Master!$A:$A, Rate_Master!$D:$D, "")</f>
        <v>560000</v>
      </c>
      <c r="H162" s="41">
        <v>0</v>
      </c>
      <c r="I162" s="41"/>
      <c r="J162" s="41"/>
    </row>
    <row r="163" spans="1:10" s="4" customFormat="1" ht="25.5" customHeight="1" outlineLevel="1">
      <c r="A163" s="37" t="str">
        <f t="shared" si="23"/>
        <v>16A.F7.11</v>
      </c>
      <c r="B163" s="44" t="s">
        <v>161</v>
      </c>
      <c r="C163" s="38" t="s">
        <v>515</v>
      </c>
      <c r="D163" s="39" t="s">
        <v>517</v>
      </c>
      <c r="E163" s="40">
        <v>0</v>
      </c>
      <c r="F163" s="40">
        <f>_xlfn.XLOOKUP(B163, Rate_Master!$A:$A, Rate_Master!$C:$C, "")</f>
        <v>149500</v>
      </c>
      <c r="G163" s="40">
        <f>_xlfn.XLOOKUP(B163, Rate_Master!$A:$A, Rate_Master!$D:$D, "")</f>
        <v>34500</v>
      </c>
      <c r="H163" s="41">
        <v>0</v>
      </c>
      <c r="I163" s="41"/>
      <c r="J163" s="41"/>
    </row>
    <row r="164" spans="1:10" s="4" customFormat="1" ht="38.25" customHeight="1" outlineLevel="1">
      <c r="A164" s="37" t="str">
        <f t="shared" si="23"/>
        <v>16A.F7.12</v>
      </c>
      <c r="B164" s="43" t="s">
        <v>162</v>
      </c>
      <c r="C164" s="38" t="s">
        <v>515</v>
      </c>
      <c r="D164" s="39" t="s">
        <v>517</v>
      </c>
      <c r="E164" s="40">
        <v>0</v>
      </c>
      <c r="F164" s="40">
        <f>_xlfn.XLOOKUP(B164, Rate_Master!$A:$A, Rate_Master!$C:$C, "")</f>
        <v>252000</v>
      </c>
      <c r="G164" s="40">
        <f>_xlfn.XLOOKUP(B164, Rate_Master!$A:$A, Rate_Master!$D:$D, "")</f>
        <v>98000</v>
      </c>
      <c r="H164" s="41">
        <v>0</v>
      </c>
      <c r="I164" s="41"/>
      <c r="J164" s="41"/>
    </row>
  </sheetData>
  <mergeCells count="5">
    <mergeCell ref="C4:J4"/>
    <mergeCell ref="C3:J3"/>
    <mergeCell ref="C7:J7"/>
    <mergeCell ref="C6:J6"/>
    <mergeCell ref="C5:J5"/>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1:K163"/>
  <sheetViews>
    <sheetView topLeftCell="A8" zoomScale="85" zoomScaleNormal="85" workbookViewId="0">
      <pane ySplit="1" topLeftCell="A155" activePane="bottomLeft" state="frozen"/>
      <selection activeCell="A8" sqref="A8"/>
      <selection pane="bottomLeft" activeCell="C157" sqref="C157"/>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7" width="14" style="8" customWidth="1" outlineLevel="1"/>
    <col min="8" max="10" width="14" style="9" customWidth="1"/>
    <col min="11" max="11" width="20.375" style="6" bestFit="1" customWidth="1"/>
    <col min="12" max="229" width="9.125" style="6" customWidth="1"/>
    <col min="230" max="230" width="6.375" style="6" customWidth="1"/>
    <col min="231" max="231" width="34.25" style="6" customWidth="1"/>
    <col min="232" max="232" width="7.375" style="6" customWidth="1"/>
    <col min="233" max="233" width="6.375" style="6" customWidth="1"/>
    <col min="234" max="234" width="13.125" style="6" customWidth="1"/>
    <col min="235" max="235" width="15.375" style="6" customWidth="1"/>
    <col min="236" max="236" width="21.25" style="6" customWidth="1"/>
    <col min="237" max="485" width="9.125" style="6" customWidth="1"/>
    <col min="486" max="486" width="6.375" style="6" customWidth="1"/>
    <col min="487" max="487" width="34.25" style="6" customWidth="1"/>
    <col min="488" max="488" width="7.375" style="6" customWidth="1"/>
    <col min="489" max="489" width="6.375" style="6" customWidth="1"/>
    <col min="490" max="490" width="13.125" style="6" customWidth="1"/>
    <col min="491" max="491" width="15.375" style="6" customWidth="1"/>
    <col min="492" max="492" width="21.25" style="6" customWidth="1"/>
    <col min="493" max="741" width="9.125" style="6" customWidth="1"/>
    <col min="742" max="742" width="6.375" style="6" customWidth="1"/>
    <col min="743" max="743" width="34.25" style="6" customWidth="1"/>
    <col min="744" max="744" width="7.375" style="6" customWidth="1"/>
    <col min="745" max="745" width="6.375" style="6" customWidth="1"/>
    <col min="746" max="746" width="13.125" style="6" customWidth="1"/>
    <col min="747" max="747" width="15.375" style="6" customWidth="1"/>
    <col min="748" max="748" width="21.25" style="6" customWidth="1"/>
    <col min="749" max="997" width="9.125" style="6" customWidth="1"/>
    <col min="998" max="998" width="6.375" style="6" customWidth="1"/>
    <col min="999" max="999" width="34.25" style="6" customWidth="1"/>
    <col min="1000" max="1000" width="7.375" style="6" customWidth="1"/>
    <col min="1001" max="1001" width="6.375" style="6" customWidth="1"/>
    <col min="1002" max="1002" width="13.125" style="6" customWidth="1"/>
    <col min="1003" max="1003" width="15.375" style="6" customWidth="1"/>
    <col min="1004" max="1004" width="21.25" style="6" customWidth="1"/>
    <col min="1005" max="1253" width="9.125" style="6" customWidth="1"/>
    <col min="1254" max="1254" width="6.375" style="6" customWidth="1"/>
    <col min="1255" max="1255" width="34.25" style="6" customWidth="1"/>
    <col min="1256" max="1256" width="7.375" style="6" customWidth="1"/>
    <col min="1257" max="1257" width="6.375" style="6" customWidth="1"/>
    <col min="1258" max="1258" width="13.125" style="6" customWidth="1"/>
    <col min="1259" max="1259" width="15.375" style="6" customWidth="1"/>
    <col min="1260" max="1260" width="21.25" style="6" customWidth="1"/>
    <col min="1261" max="1509" width="9.125" style="6" customWidth="1"/>
    <col min="1510" max="1510" width="6.375" style="6" customWidth="1"/>
    <col min="1511" max="1511" width="34.25" style="6" customWidth="1"/>
    <col min="1512" max="1512" width="7.375" style="6" customWidth="1"/>
    <col min="1513" max="1513" width="6.375" style="6" customWidth="1"/>
    <col min="1514" max="1514" width="13.125" style="6" customWidth="1"/>
    <col min="1515" max="1515" width="15.375" style="6" customWidth="1"/>
    <col min="1516" max="1516" width="21.25" style="6" customWidth="1"/>
    <col min="1517" max="1765" width="9.125" style="6" customWidth="1"/>
    <col min="1766" max="1766" width="6.375" style="6" customWidth="1"/>
    <col min="1767" max="1767" width="34.25" style="6" customWidth="1"/>
    <col min="1768" max="1768" width="7.375" style="6" customWidth="1"/>
    <col min="1769" max="1769" width="6.375" style="6" customWidth="1"/>
    <col min="1770" max="1770" width="13.125" style="6" customWidth="1"/>
    <col min="1771" max="1771" width="15.375" style="6" customWidth="1"/>
    <col min="1772" max="1772" width="21.25" style="6" customWidth="1"/>
    <col min="1773" max="2021" width="9.125" style="6" customWidth="1"/>
    <col min="2022" max="2022" width="6.375" style="6" customWidth="1"/>
    <col min="2023" max="2023" width="34.25" style="6" customWidth="1"/>
    <col min="2024" max="2024" width="7.375" style="6" customWidth="1"/>
    <col min="2025" max="2025" width="6.375" style="6" customWidth="1"/>
    <col min="2026" max="2026" width="13.125" style="6" customWidth="1"/>
    <col min="2027" max="2027" width="15.375" style="6" customWidth="1"/>
    <col min="2028" max="2028" width="21.25" style="6" customWidth="1"/>
    <col min="2029" max="2277" width="9.125" style="6" customWidth="1"/>
    <col min="2278" max="2278" width="6.375" style="6" customWidth="1"/>
    <col min="2279" max="2279" width="34.25" style="6" customWidth="1"/>
    <col min="2280" max="2280" width="7.375" style="6" customWidth="1"/>
    <col min="2281" max="2281" width="6.375" style="6" customWidth="1"/>
    <col min="2282" max="2282" width="13.125" style="6" customWidth="1"/>
    <col min="2283" max="2283" width="15.375" style="6" customWidth="1"/>
    <col min="2284" max="2284" width="21.25" style="6" customWidth="1"/>
    <col min="2285" max="2533" width="9.125" style="6" customWidth="1"/>
    <col min="2534" max="2534" width="6.375" style="6" customWidth="1"/>
    <col min="2535" max="2535" width="34.25" style="6" customWidth="1"/>
    <col min="2536" max="2536" width="7.375" style="6" customWidth="1"/>
    <col min="2537" max="2537" width="6.375" style="6" customWidth="1"/>
    <col min="2538" max="2538" width="13.125" style="6" customWidth="1"/>
    <col min="2539" max="2539" width="15.375" style="6" customWidth="1"/>
    <col min="2540" max="2540" width="21.25" style="6" customWidth="1"/>
    <col min="2541" max="2789" width="9.125" style="6" customWidth="1"/>
    <col min="2790" max="2790" width="6.375" style="6" customWidth="1"/>
    <col min="2791" max="2791" width="34.25" style="6" customWidth="1"/>
    <col min="2792" max="2792" width="7.375" style="6" customWidth="1"/>
    <col min="2793" max="2793" width="6.375" style="6" customWidth="1"/>
    <col min="2794" max="2794" width="13.125" style="6" customWidth="1"/>
    <col min="2795" max="2795" width="15.375" style="6" customWidth="1"/>
    <col min="2796" max="2796" width="21.25" style="6" customWidth="1"/>
    <col min="2797" max="3045" width="9.125" style="6" customWidth="1"/>
    <col min="3046" max="3046" width="6.375" style="6" customWidth="1"/>
    <col min="3047" max="3047" width="34.25" style="6" customWidth="1"/>
    <col min="3048" max="3048" width="7.375" style="6" customWidth="1"/>
    <col min="3049" max="3049" width="6.375" style="6" customWidth="1"/>
    <col min="3050" max="3050" width="13.125" style="6" customWidth="1"/>
    <col min="3051" max="3051" width="15.375" style="6" customWidth="1"/>
    <col min="3052" max="3052" width="21.25" style="6" customWidth="1"/>
    <col min="3053" max="3301" width="9.125" style="6" customWidth="1"/>
    <col min="3302" max="3302" width="6.375" style="6" customWidth="1"/>
    <col min="3303" max="3303" width="34.25" style="6" customWidth="1"/>
    <col min="3304" max="3304" width="7.375" style="6" customWidth="1"/>
    <col min="3305" max="3305" width="6.375" style="6" customWidth="1"/>
    <col min="3306" max="3306" width="13.125" style="6" customWidth="1"/>
    <col min="3307" max="3307" width="15.375" style="6" customWidth="1"/>
    <col min="3308" max="3308" width="21.25" style="6" customWidth="1"/>
    <col min="3309" max="3557" width="9.125" style="6" customWidth="1"/>
    <col min="3558" max="3558" width="6.375" style="6" customWidth="1"/>
    <col min="3559" max="3559" width="34.25" style="6" customWidth="1"/>
    <col min="3560" max="3560" width="7.375" style="6" customWidth="1"/>
    <col min="3561" max="3561" width="6.375" style="6" customWidth="1"/>
    <col min="3562" max="3562" width="13.125" style="6" customWidth="1"/>
    <col min="3563" max="3563" width="15.375" style="6" customWidth="1"/>
    <col min="3564" max="3564" width="21.25" style="6" customWidth="1"/>
    <col min="3565" max="3813" width="9.125" style="6" customWidth="1"/>
    <col min="3814" max="3814" width="6.375" style="6" customWidth="1"/>
    <col min="3815" max="3815" width="34.25" style="6" customWidth="1"/>
    <col min="3816" max="3816" width="7.375" style="6" customWidth="1"/>
    <col min="3817" max="3817" width="6.375" style="6" customWidth="1"/>
    <col min="3818" max="3818" width="13.125" style="6" customWidth="1"/>
    <col min="3819" max="3819" width="15.375" style="6" customWidth="1"/>
    <col min="3820" max="3820" width="21.25" style="6" customWidth="1"/>
    <col min="3821" max="4069" width="9.125" style="6" customWidth="1"/>
    <col min="4070" max="4070" width="6.375" style="6" customWidth="1"/>
    <col min="4071" max="4071" width="34.25" style="6" customWidth="1"/>
    <col min="4072" max="4072" width="7.375" style="6" customWidth="1"/>
    <col min="4073" max="4073" width="6.375" style="6" customWidth="1"/>
    <col min="4074" max="4074" width="13.125" style="6" customWidth="1"/>
    <col min="4075" max="4075" width="15.375" style="6" customWidth="1"/>
    <col min="4076" max="4076" width="21.25" style="6" customWidth="1"/>
    <col min="4077" max="4325" width="9.125" style="6" customWidth="1"/>
    <col min="4326" max="4326" width="6.375" style="6" customWidth="1"/>
    <col min="4327" max="4327" width="34.25" style="6" customWidth="1"/>
    <col min="4328" max="4328" width="7.375" style="6" customWidth="1"/>
    <col min="4329" max="4329" width="6.375" style="6" customWidth="1"/>
    <col min="4330" max="4330" width="13.125" style="6" customWidth="1"/>
    <col min="4331" max="4331" width="15.375" style="6" customWidth="1"/>
    <col min="4332" max="4332" width="21.25" style="6" customWidth="1"/>
    <col min="4333" max="4581" width="9.125" style="6" customWidth="1"/>
    <col min="4582" max="4582" width="6.375" style="6" customWidth="1"/>
    <col min="4583" max="4583" width="34.25" style="6" customWidth="1"/>
    <col min="4584" max="4584" width="7.375" style="6" customWidth="1"/>
    <col min="4585" max="4585" width="6.375" style="6" customWidth="1"/>
    <col min="4586" max="4586" width="13.125" style="6" customWidth="1"/>
    <col min="4587" max="4587" width="15.375" style="6" customWidth="1"/>
    <col min="4588" max="4588" width="21.25" style="6" customWidth="1"/>
    <col min="4589" max="4837" width="9.125" style="6" customWidth="1"/>
    <col min="4838" max="4838" width="6.375" style="6" customWidth="1"/>
    <col min="4839" max="4839" width="34.25" style="6" customWidth="1"/>
    <col min="4840" max="4840" width="7.375" style="6" customWidth="1"/>
    <col min="4841" max="4841" width="6.375" style="6" customWidth="1"/>
    <col min="4842" max="4842" width="13.125" style="6" customWidth="1"/>
    <col min="4843" max="4843" width="15.375" style="6" customWidth="1"/>
    <col min="4844" max="4844" width="21.25" style="6" customWidth="1"/>
    <col min="4845" max="5093" width="9.125" style="6" customWidth="1"/>
    <col min="5094" max="5094" width="6.375" style="6" customWidth="1"/>
    <col min="5095" max="5095" width="34.25" style="6" customWidth="1"/>
    <col min="5096" max="5096" width="7.375" style="6" customWidth="1"/>
    <col min="5097" max="5097" width="6.375" style="6" customWidth="1"/>
    <col min="5098" max="5098" width="13.125" style="6" customWidth="1"/>
    <col min="5099" max="5099" width="15.375" style="6" customWidth="1"/>
    <col min="5100" max="5100" width="21.25" style="6" customWidth="1"/>
    <col min="5101" max="5349" width="9.125" style="6" customWidth="1"/>
    <col min="5350" max="5350" width="6.375" style="6" customWidth="1"/>
    <col min="5351" max="5351" width="34.25" style="6" customWidth="1"/>
    <col min="5352" max="5352" width="7.375" style="6" customWidth="1"/>
    <col min="5353" max="5353" width="6.375" style="6" customWidth="1"/>
    <col min="5354" max="5354" width="13.125" style="6" customWidth="1"/>
    <col min="5355" max="5355" width="15.375" style="6" customWidth="1"/>
    <col min="5356" max="5356" width="21.25" style="6" customWidth="1"/>
    <col min="5357" max="5605" width="9.125" style="6" customWidth="1"/>
    <col min="5606" max="5606" width="6.375" style="6" customWidth="1"/>
    <col min="5607" max="5607" width="34.25" style="6" customWidth="1"/>
    <col min="5608" max="5608" width="7.375" style="6" customWidth="1"/>
    <col min="5609" max="5609" width="6.375" style="6" customWidth="1"/>
    <col min="5610" max="5610" width="13.125" style="6" customWidth="1"/>
    <col min="5611" max="5611" width="15.375" style="6" customWidth="1"/>
    <col min="5612" max="5612" width="21.25" style="6" customWidth="1"/>
    <col min="5613" max="5861" width="9.125" style="6" customWidth="1"/>
    <col min="5862" max="5862" width="6.375" style="6" customWidth="1"/>
    <col min="5863" max="5863" width="34.25" style="6" customWidth="1"/>
    <col min="5864" max="5864" width="7.375" style="6" customWidth="1"/>
    <col min="5865" max="5865" width="6.375" style="6" customWidth="1"/>
    <col min="5866" max="5866" width="13.125" style="6" customWidth="1"/>
    <col min="5867" max="5867" width="15.375" style="6" customWidth="1"/>
    <col min="5868" max="5868" width="21.25" style="6" customWidth="1"/>
    <col min="5869" max="6117" width="9.125" style="6" customWidth="1"/>
    <col min="6118" max="6118" width="6.375" style="6" customWidth="1"/>
    <col min="6119" max="6119" width="34.25" style="6" customWidth="1"/>
    <col min="6120" max="6120" width="7.375" style="6" customWidth="1"/>
    <col min="6121" max="6121" width="6.375" style="6" customWidth="1"/>
    <col min="6122" max="6122" width="13.125" style="6" customWidth="1"/>
    <col min="6123" max="6123" width="15.375" style="6" customWidth="1"/>
    <col min="6124" max="6124" width="21.25" style="6" customWidth="1"/>
    <col min="6125" max="6373" width="9.125" style="6" customWidth="1"/>
    <col min="6374" max="6374" width="6.375" style="6" customWidth="1"/>
    <col min="6375" max="6375" width="34.25" style="6" customWidth="1"/>
    <col min="6376" max="6376" width="7.375" style="6" customWidth="1"/>
    <col min="6377" max="6377" width="6.375" style="6" customWidth="1"/>
    <col min="6378" max="6378" width="13.125" style="6" customWidth="1"/>
    <col min="6379" max="6379" width="15.375" style="6" customWidth="1"/>
    <col min="6380" max="6380" width="21.25" style="6" customWidth="1"/>
    <col min="6381" max="6629" width="9.125" style="6" customWidth="1"/>
    <col min="6630" max="6630" width="6.375" style="6" customWidth="1"/>
    <col min="6631" max="6631" width="34.25" style="6" customWidth="1"/>
    <col min="6632" max="6632" width="7.375" style="6" customWidth="1"/>
    <col min="6633" max="6633" width="6.375" style="6" customWidth="1"/>
    <col min="6634" max="6634" width="13.125" style="6" customWidth="1"/>
    <col min="6635" max="6635" width="15.375" style="6" customWidth="1"/>
    <col min="6636" max="6636" width="21.25" style="6" customWidth="1"/>
    <col min="6637" max="6885" width="9.125" style="6" customWidth="1"/>
    <col min="6886" max="6886" width="6.375" style="6" customWidth="1"/>
    <col min="6887" max="6887" width="34.25" style="6" customWidth="1"/>
    <col min="6888" max="6888" width="7.375" style="6" customWidth="1"/>
    <col min="6889" max="6889" width="6.375" style="6" customWidth="1"/>
    <col min="6890" max="6890" width="13.125" style="6" customWidth="1"/>
    <col min="6891" max="6891" width="15.375" style="6" customWidth="1"/>
    <col min="6892" max="6892" width="21.25" style="6" customWidth="1"/>
    <col min="6893" max="7141" width="9.125" style="6" customWidth="1"/>
    <col min="7142" max="7142" width="6.375" style="6" customWidth="1"/>
    <col min="7143" max="7143" width="34.25" style="6" customWidth="1"/>
    <col min="7144" max="7144" width="7.375" style="6" customWidth="1"/>
    <col min="7145" max="7145" width="6.375" style="6" customWidth="1"/>
    <col min="7146" max="7146" width="13.125" style="6" customWidth="1"/>
    <col min="7147" max="7147" width="15.375" style="6" customWidth="1"/>
    <col min="7148" max="7148" width="21.25" style="6" customWidth="1"/>
    <col min="7149" max="7397" width="9.125" style="6" customWidth="1"/>
    <col min="7398" max="7398" width="6.375" style="6" customWidth="1"/>
    <col min="7399" max="7399" width="34.25" style="6" customWidth="1"/>
    <col min="7400" max="7400" width="7.375" style="6" customWidth="1"/>
    <col min="7401" max="7401" width="6.375" style="6" customWidth="1"/>
    <col min="7402" max="7402" width="13.125" style="6" customWidth="1"/>
    <col min="7403" max="7403" width="15.375" style="6" customWidth="1"/>
    <col min="7404" max="7404" width="21.25" style="6" customWidth="1"/>
    <col min="7405" max="7653" width="9.125" style="6" customWidth="1"/>
    <col min="7654" max="7654" width="6.375" style="6" customWidth="1"/>
    <col min="7655" max="7655" width="34.25" style="6" customWidth="1"/>
    <col min="7656" max="7656" width="7.375" style="6" customWidth="1"/>
    <col min="7657" max="7657" width="6.375" style="6" customWidth="1"/>
    <col min="7658" max="7658" width="13.125" style="6" customWidth="1"/>
    <col min="7659" max="7659" width="15.375" style="6" customWidth="1"/>
    <col min="7660" max="7660" width="21.25" style="6" customWidth="1"/>
    <col min="7661" max="7909" width="9.125" style="6" customWidth="1"/>
    <col min="7910" max="7910" width="6.375" style="6" customWidth="1"/>
    <col min="7911" max="7911" width="34.25" style="6" customWidth="1"/>
    <col min="7912" max="7912" width="7.375" style="6" customWidth="1"/>
    <col min="7913" max="7913" width="6.375" style="6" customWidth="1"/>
    <col min="7914" max="7914" width="13.125" style="6" customWidth="1"/>
    <col min="7915" max="7915" width="15.375" style="6" customWidth="1"/>
    <col min="7916" max="7916" width="21.25" style="6" customWidth="1"/>
    <col min="7917" max="8165" width="9.125" style="6" customWidth="1"/>
    <col min="8166" max="8166" width="6.375" style="6" customWidth="1"/>
    <col min="8167" max="8167" width="34.25" style="6" customWidth="1"/>
    <col min="8168" max="8168" width="7.375" style="6" customWidth="1"/>
    <col min="8169" max="8169" width="6.375" style="6" customWidth="1"/>
    <col min="8170" max="8170" width="13.125" style="6" customWidth="1"/>
    <col min="8171" max="8171" width="15.375" style="6" customWidth="1"/>
    <col min="8172" max="8172" width="21.25" style="6" customWidth="1"/>
    <col min="8173" max="8421" width="9.125" style="6" customWidth="1"/>
    <col min="8422" max="8422" width="6.375" style="6" customWidth="1"/>
    <col min="8423" max="8423" width="34.25" style="6" customWidth="1"/>
    <col min="8424" max="8424" width="7.375" style="6" customWidth="1"/>
    <col min="8425" max="8425" width="6.375" style="6" customWidth="1"/>
    <col min="8426" max="8426" width="13.125" style="6" customWidth="1"/>
    <col min="8427" max="8427" width="15.375" style="6" customWidth="1"/>
    <col min="8428" max="8428" width="21.25" style="6" customWidth="1"/>
    <col min="8429" max="8677" width="9.125" style="6" customWidth="1"/>
    <col min="8678" max="8678" width="6.375" style="6" customWidth="1"/>
    <col min="8679" max="8679" width="34.25" style="6" customWidth="1"/>
    <col min="8680" max="8680" width="7.375" style="6" customWidth="1"/>
    <col min="8681" max="8681" width="6.375" style="6" customWidth="1"/>
    <col min="8682" max="8682" width="13.125" style="6" customWidth="1"/>
    <col min="8683" max="8683" width="15.375" style="6" customWidth="1"/>
    <col min="8684" max="8684" width="21.25" style="6" customWidth="1"/>
    <col min="8685" max="8933" width="9.125" style="6" customWidth="1"/>
    <col min="8934" max="8934" width="6.375" style="6" customWidth="1"/>
    <col min="8935" max="8935" width="34.25" style="6" customWidth="1"/>
    <col min="8936" max="8936" width="7.375" style="6" customWidth="1"/>
    <col min="8937" max="8937" width="6.375" style="6" customWidth="1"/>
    <col min="8938" max="8938" width="13.125" style="6" customWidth="1"/>
    <col min="8939" max="8939" width="15.375" style="6" customWidth="1"/>
    <col min="8940" max="8940" width="21.25" style="6" customWidth="1"/>
    <col min="8941" max="9189" width="9.125" style="6" customWidth="1"/>
    <col min="9190" max="9190" width="6.375" style="6" customWidth="1"/>
    <col min="9191" max="9191" width="34.25" style="6" customWidth="1"/>
    <col min="9192" max="9192" width="7.375" style="6" customWidth="1"/>
    <col min="9193" max="9193" width="6.375" style="6" customWidth="1"/>
    <col min="9194" max="9194" width="13.125" style="6" customWidth="1"/>
    <col min="9195" max="9195" width="15.375" style="6" customWidth="1"/>
    <col min="9196" max="9196" width="21.25" style="6" customWidth="1"/>
    <col min="9197" max="9445" width="9.125" style="6" customWidth="1"/>
    <col min="9446" max="9446" width="6.375" style="6" customWidth="1"/>
    <col min="9447" max="9447" width="34.25" style="6" customWidth="1"/>
    <col min="9448" max="9448" width="7.375" style="6" customWidth="1"/>
    <col min="9449" max="9449" width="6.375" style="6" customWidth="1"/>
    <col min="9450" max="9450" width="13.125" style="6" customWidth="1"/>
    <col min="9451" max="9451" width="15.375" style="6" customWidth="1"/>
    <col min="9452" max="9452" width="21.25" style="6" customWidth="1"/>
    <col min="9453" max="9701" width="9.125" style="6" customWidth="1"/>
    <col min="9702" max="9702" width="6.375" style="6" customWidth="1"/>
    <col min="9703" max="9703" width="34.25" style="6" customWidth="1"/>
    <col min="9704" max="9704" width="7.375" style="6" customWidth="1"/>
    <col min="9705" max="9705" width="6.375" style="6" customWidth="1"/>
    <col min="9706" max="9706" width="13.125" style="6" customWidth="1"/>
    <col min="9707" max="9707" width="15.375" style="6" customWidth="1"/>
    <col min="9708" max="9708" width="21.25" style="6" customWidth="1"/>
    <col min="9709" max="9957" width="9.125" style="6" customWidth="1"/>
    <col min="9958" max="9958" width="6.375" style="6" customWidth="1"/>
    <col min="9959" max="9959" width="34.25" style="6" customWidth="1"/>
    <col min="9960" max="9960" width="7.375" style="6" customWidth="1"/>
    <col min="9961" max="9961" width="6.375" style="6" customWidth="1"/>
    <col min="9962" max="9962" width="13.125" style="6" customWidth="1"/>
    <col min="9963" max="9963" width="15.375" style="6" customWidth="1"/>
    <col min="9964" max="9964" width="21.25" style="6" customWidth="1"/>
    <col min="9965" max="10213" width="9.125" style="6" customWidth="1"/>
    <col min="10214" max="10214" width="6.375" style="6" customWidth="1"/>
    <col min="10215" max="10215" width="34.25" style="6" customWidth="1"/>
    <col min="10216" max="10216" width="7.375" style="6" customWidth="1"/>
    <col min="10217" max="10217" width="6.375" style="6" customWidth="1"/>
    <col min="10218" max="10218" width="13.125" style="6" customWidth="1"/>
    <col min="10219" max="10219" width="15.375" style="6" customWidth="1"/>
    <col min="10220" max="10220" width="21.25" style="6" customWidth="1"/>
    <col min="10221" max="10469" width="9.125" style="6" customWidth="1"/>
    <col min="10470" max="10470" width="6.375" style="6" customWidth="1"/>
    <col min="10471" max="10471" width="34.25" style="6" customWidth="1"/>
    <col min="10472" max="10472" width="7.375" style="6" customWidth="1"/>
    <col min="10473" max="10473" width="6.375" style="6" customWidth="1"/>
    <col min="10474" max="10474" width="13.125" style="6" customWidth="1"/>
    <col min="10475" max="10475" width="15.375" style="6" customWidth="1"/>
    <col min="10476" max="10476" width="21.25" style="6" customWidth="1"/>
    <col min="10477" max="10725" width="9.125" style="6" customWidth="1"/>
    <col min="10726" max="10726" width="6.375" style="6" customWidth="1"/>
    <col min="10727" max="10727" width="34.25" style="6" customWidth="1"/>
    <col min="10728" max="10728" width="7.375" style="6" customWidth="1"/>
    <col min="10729" max="10729" width="6.375" style="6" customWidth="1"/>
    <col min="10730" max="10730" width="13.125" style="6" customWidth="1"/>
    <col min="10731" max="10731" width="15.375" style="6" customWidth="1"/>
    <col min="10732" max="10732" width="21.25" style="6" customWidth="1"/>
    <col min="10733" max="10981" width="9.125" style="6" customWidth="1"/>
    <col min="10982" max="10982" width="6.375" style="6" customWidth="1"/>
    <col min="10983" max="10983" width="34.25" style="6" customWidth="1"/>
    <col min="10984" max="10984" width="7.375" style="6" customWidth="1"/>
    <col min="10985" max="10985" width="6.375" style="6" customWidth="1"/>
    <col min="10986" max="10986" width="13.125" style="6" customWidth="1"/>
    <col min="10987" max="10987" width="15.375" style="6" customWidth="1"/>
    <col min="10988" max="10988" width="21.25" style="6" customWidth="1"/>
    <col min="10989" max="11237" width="9.125" style="6" customWidth="1"/>
    <col min="11238" max="11238" width="6.375" style="6" customWidth="1"/>
    <col min="11239" max="11239" width="34.25" style="6" customWidth="1"/>
    <col min="11240" max="11240" width="7.375" style="6" customWidth="1"/>
    <col min="11241" max="11241" width="6.375" style="6" customWidth="1"/>
    <col min="11242" max="11242" width="13.125" style="6" customWidth="1"/>
    <col min="11243" max="11243" width="15.375" style="6" customWidth="1"/>
    <col min="11244" max="11244" width="21.25" style="6" customWidth="1"/>
    <col min="11245" max="11493" width="9.125" style="6" customWidth="1"/>
    <col min="11494" max="11494" width="6.375" style="6" customWidth="1"/>
    <col min="11495" max="11495" width="34.25" style="6" customWidth="1"/>
    <col min="11496" max="11496" width="7.375" style="6" customWidth="1"/>
    <col min="11497" max="11497" width="6.375" style="6" customWidth="1"/>
    <col min="11498" max="11498" width="13.125" style="6" customWidth="1"/>
    <col min="11499" max="11499" width="15.375" style="6" customWidth="1"/>
    <col min="11500" max="11500" width="21.25" style="6" customWidth="1"/>
    <col min="11501" max="11749" width="9.125" style="6" customWidth="1"/>
    <col min="11750" max="11750" width="6.375" style="6" customWidth="1"/>
    <col min="11751" max="11751" width="34.25" style="6" customWidth="1"/>
    <col min="11752" max="11752" width="7.375" style="6" customWidth="1"/>
    <col min="11753" max="11753" width="6.375" style="6" customWidth="1"/>
    <col min="11754" max="11754" width="13.125" style="6" customWidth="1"/>
    <col min="11755" max="11755" width="15.375" style="6" customWidth="1"/>
    <col min="11756" max="11756" width="21.25" style="6" customWidth="1"/>
    <col min="11757" max="12005" width="9.125" style="6" customWidth="1"/>
    <col min="12006" max="12006" width="6.375" style="6" customWidth="1"/>
    <col min="12007" max="12007" width="34.25" style="6" customWidth="1"/>
    <col min="12008" max="12008" width="7.375" style="6" customWidth="1"/>
    <col min="12009" max="12009" width="6.375" style="6" customWidth="1"/>
    <col min="12010" max="12010" width="13.125" style="6" customWidth="1"/>
    <col min="12011" max="12011" width="15.375" style="6" customWidth="1"/>
    <col min="12012" max="12012" width="21.25" style="6" customWidth="1"/>
    <col min="12013" max="12261" width="9.125" style="6" customWidth="1"/>
    <col min="12262" max="12262" width="6.375" style="6" customWidth="1"/>
    <col min="12263" max="12263" width="34.25" style="6" customWidth="1"/>
    <col min="12264" max="12264" width="7.375" style="6" customWidth="1"/>
    <col min="12265" max="12265" width="6.375" style="6" customWidth="1"/>
    <col min="12266" max="12266" width="13.125" style="6" customWidth="1"/>
    <col min="12267" max="12267" width="15.375" style="6" customWidth="1"/>
    <col min="12268" max="12268" width="21.25" style="6" customWidth="1"/>
    <col min="12269" max="12517" width="9.125" style="6" customWidth="1"/>
    <col min="12518" max="12518" width="6.375" style="6" customWidth="1"/>
    <col min="12519" max="12519" width="34.25" style="6" customWidth="1"/>
    <col min="12520" max="12520" width="7.375" style="6" customWidth="1"/>
    <col min="12521" max="12521" width="6.375" style="6" customWidth="1"/>
    <col min="12522" max="12522" width="13.125" style="6" customWidth="1"/>
    <col min="12523" max="12523" width="15.375" style="6" customWidth="1"/>
    <col min="12524" max="12524" width="21.25" style="6" customWidth="1"/>
    <col min="12525" max="12773" width="9.125" style="6" customWidth="1"/>
    <col min="12774" max="12774" width="6.375" style="6" customWidth="1"/>
    <col min="12775" max="12775" width="34.25" style="6" customWidth="1"/>
    <col min="12776" max="12776" width="7.375" style="6" customWidth="1"/>
    <col min="12777" max="12777" width="6.375" style="6" customWidth="1"/>
    <col min="12778" max="12778" width="13.125" style="6" customWidth="1"/>
    <col min="12779" max="12779" width="15.375" style="6" customWidth="1"/>
    <col min="12780" max="12780" width="21.25" style="6" customWidth="1"/>
    <col min="12781" max="13029" width="9.125" style="6" customWidth="1"/>
    <col min="13030" max="13030" width="6.375" style="6" customWidth="1"/>
    <col min="13031" max="13031" width="34.25" style="6" customWidth="1"/>
    <col min="13032" max="13032" width="7.375" style="6" customWidth="1"/>
    <col min="13033" max="13033" width="6.375" style="6" customWidth="1"/>
    <col min="13034" max="13034" width="13.125" style="6" customWidth="1"/>
    <col min="13035" max="13035" width="15.375" style="6" customWidth="1"/>
    <col min="13036" max="13036" width="21.25" style="6" customWidth="1"/>
    <col min="13037" max="13285" width="9.125" style="6" customWidth="1"/>
    <col min="13286" max="13286" width="6.375" style="6" customWidth="1"/>
    <col min="13287" max="13287" width="34.25" style="6" customWidth="1"/>
    <col min="13288" max="13288" width="7.375" style="6" customWidth="1"/>
    <col min="13289" max="13289" width="6.375" style="6" customWidth="1"/>
    <col min="13290" max="13290" width="13.125" style="6" customWidth="1"/>
    <col min="13291" max="13291" width="15.375" style="6" customWidth="1"/>
    <col min="13292" max="13292" width="21.25" style="6" customWidth="1"/>
    <col min="13293" max="13541" width="9.125" style="6" customWidth="1"/>
    <col min="13542" max="13542" width="6.375" style="6" customWidth="1"/>
    <col min="13543" max="13543" width="34.25" style="6" customWidth="1"/>
    <col min="13544" max="13544" width="7.375" style="6" customWidth="1"/>
    <col min="13545" max="13545" width="6.375" style="6" customWidth="1"/>
    <col min="13546" max="13546" width="13.125" style="6" customWidth="1"/>
    <col min="13547" max="13547" width="15.375" style="6" customWidth="1"/>
    <col min="13548" max="13548" width="21.25" style="6" customWidth="1"/>
    <col min="13549" max="13797" width="9.125" style="6" customWidth="1"/>
    <col min="13798" max="13798" width="6.375" style="6" customWidth="1"/>
    <col min="13799" max="13799" width="34.25" style="6" customWidth="1"/>
    <col min="13800" max="13800" width="7.375" style="6" customWidth="1"/>
    <col min="13801" max="13801" width="6.375" style="6" customWidth="1"/>
    <col min="13802" max="13802" width="13.125" style="6" customWidth="1"/>
    <col min="13803" max="13803" width="15.375" style="6" customWidth="1"/>
    <col min="13804" max="13804" width="21.25" style="6" customWidth="1"/>
    <col min="13805" max="14053" width="9.125" style="6" customWidth="1"/>
    <col min="14054" max="14054" width="6.375" style="6" customWidth="1"/>
    <col min="14055" max="14055" width="34.25" style="6" customWidth="1"/>
    <col min="14056" max="14056" width="7.375" style="6" customWidth="1"/>
    <col min="14057" max="14057" width="6.375" style="6" customWidth="1"/>
    <col min="14058" max="14058" width="13.125" style="6" customWidth="1"/>
    <col min="14059" max="14059" width="15.375" style="6" customWidth="1"/>
    <col min="14060" max="14060" width="21.25" style="6" customWidth="1"/>
    <col min="14061" max="14309" width="9.125" style="6" customWidth="1"/>
    <col min="14310" max="14310" width="6.375" style="6" customWidth="1"/>
    <col min="14311" max="14311" width="34.25" style="6" customWidth="1"/>
    <col min="14312" max="14312" width="7.375" style="6" customWidth="1"/>
    <col min="14313" max="14313" width="6.375" style="6" customWidth="1"/>
    <col min="14314" max="14314" width="13.125" style="6" customWidth="1"/>
    <col min="14315" max="14315" width="15.375" style="6" customWidth="1"/>
    <col min="14316" max="14316" width="21.25" style="6" customWidth="1"/>
    <col min="14317" max="14565" width="9.125" style="6" customWidth="1"/>
    <col min="14566" max="14566" width="6.375" style="6" customWidth="1"/>
    <col min="14567" max="14567" width="34.25" style="6" customWidth="1"/>
    <col min="14568" max="14568" width="7.375" style="6" customWidth="1"/>
    <col min="14569" max="14569" width="6.375" style="6" customWidth="1"/>
    <col min="14570" max="14570" width="13.125" style="6" customWidth="1"/>
    <col min="14571" max="14571" width="15.375" style="6" customWidth="1"/>
    <col min="14572" max="14572" width="21.25" style="6" customWidth="1"/>
    <col min="14573" max="14821" width="9.125" style="6" customWidth="1"/>
    <col min="14822" max="14822" width="6.375" style="6" customWidth="1"/>
    <col min="14823" max="14823" width="34.25" style="6" customWidth="1"/>
    <col min="14824" max="14824" width="7.375" style="6" customWidth="1"/>
    <col min="14825" max="14825" width="6.375" style="6" customWidth="1"/>
    <col min="14826" max="14826" width="13.125" style="6" customWidth="1"/>
    <col min="14827" max="14827" width="15.375" style="6" customWidth="1"/>
    <col min="14828" max="14828" width="21.25" style="6" customWidth="1"/>
    <col min="14829" max="15077" width="9.125" style="6" customWidth="1"/>
    <col min="15078" max="15078" width="6.375" style="6" customWidth="1"/>
    <col min="15079" max="15079" width="34.25" style="6" customWidth="1"/>
    <col min="15080" max="15080" width="7.375" style="6" customWidth="1"/>
    <col min="15081" max="15081" width="6.375" style="6" customWidth="1"/>
    <col min="15082" max="15082" width="13.125" style="6" customWidth="1"/>
    <col min="15083" max="15083" width="15.375" style="6" customWidth="1"/>
    <col min="15084" max="15084" width="21.25" style="6" customWidth="1"/>
    <col min="15085" max="15333" width="9.125" style="6" customWidth="1"/>
    <col min="15334" max="15334" width="6.375" style="6" customWidth="1"/>
    <col min="15335" max="15335" width="34.25" style="6" customWidth="1"/>
    <col min="15336" max="15336" width="7.375" style="6" customWidth="1"/>
    <col min="15337" max="15337" width="6.375" style="6" customWidth="1"/>
    <col min="15338" max="15338" width="13.125" style="6" customWidth="1"/>
    <col min="15339" max="15339" width="15.375" style="6" customWidth="1"/>
    <col min="15340" max="15340" width="21.25" style="6" customWidth="1"/>
    <col min="15341" max="15589" width="9.125" style="6" customWidth="1"/>
    <col min="15590" max="15590" width="6.375" style="6" customWidth="1"/>
    <col min="15591" max="15591" width="34.25" style="6" customWidth="1"/>
    <col min="15592" max="15592" width="7.375" style="6" customWidth="1"/>
    <col min="15593" max="15593" width="6.375" style="6" customWidth="1"/>
    <col min="15594" max="15594" width="13.125" style="6" customWidth="1"/>
    <col min="15595" max="15595" width="15.375" style="6" customWidth="1"/>
    <col min="15596" max="15596" width="21.25" style="6" customWidth="1"/>
    <col min="15597" max="15845" width="9.125" style="6" customWidth="1"/>
    <col min="15846" max="15846" width="6.375" style="6" customWidth="1"/>
    <col min="15847" max="15847" width="34.25" style="6" customWidth="1"/>
    <col min="15848" max="15848" width="7.375" style="6" customWidth="1"/>
    <col min="15849" max="15849" width="6.375" style="6" customWidth="1"/>
    <col min="15850" max="15850" width="13.125" style="6" customWidth="1"/>
    <col min="15851" max="15851" width="15.375" style="6" customWidth="1"/>
    <col min="15852" max="15852" width="21.25" style="6" customWidth="1"/>
    <col min="15853" max="16101" width="9.125" style="6" customWidth="1"/>
    <col min="16102" max="16102" width="6.375" style="6" customWidth="1"/>
    <col min="16103" max="16103" width="34.25" style="6" customWidth="1"/>
    <col min="16104" max="16104" width="7.375" style="6" customWidth="1"/>
    <col min="16105" max="16105" width="6.375" style="6" customWidth="1"/>
    <col min="16106" max="16106" width="13.125" style="6" customWidth="1"/>
    <col min="16107" max="16107" width="15.375" style="6" customWidth="1"/>
    <col min="16108" max="16108" width="21.25" style="6" customWidth="1"/>
    <col min="16109" max="16384" width="9.125" style="6" customWidth="1"/>
  </cols>
  <sheetData>
    <row r="1" spans="1:10" ht="48" customHeight="1"/>
    <row r="2" spans="1:10" s="1" customFormat="1" ht="51" customHeight="1">
      <c r="A2" s="10" t="s">
        <v>507</v>
      </c>
      <c r="B2" s="11"/>
      <c r="C2" s="12"/>
      <c r="D2" s="11"/>
      <c r="E2" s="14"/>
      <c r="F2" s="14"/>
      <c r="G2" s="14"/>
      <c r="H2" s="15"/>
      <c r="I2" s="15"/>
      <c r="J2" s="15"/>
    </row>
    <row r="3" spans="1:10" ht="26.25" customHeight="1">
      <c r="A3" s="16"/>
      <c r="B3" s="17" t="s">
        <v>440</v>
      </c>
      <c r="C3" s="213"/>
      <c r="D3" s="217"/>
      <c r="E3" s="214"/>
      <c r="F3" s="214"/>
      <c r="G3" s="214"/>
      <c r="H3" s="220"/>
      <c r="I3" s="220"/>
      <c r="J3" s="220"/>
    </row>
    <row r="4" spans="1:10" ht="26.25" customHeight="1">
      <c r="A4" s="18"/>
      <c r="B4" s="5" t="s">
        <v>441</v>
      </c>
      <c r="C4" s="222"/>
      <c r="D4" s="217"/>
      <c r="E4" s="214"/>
      <c r="F4" s="214"/>
      <c r="G4" s="214"/>
      <c r="H4" s="220"/>
      <c r="I4" s="220"/>
      <c r="J4" s="220"/>
    </row>
    <row r="5" spans="1:10" ht="26.25" customHeight="1">
      <c r="A5" s="18"/>
      <c r="B5" s="5" t="s">
        <v>442</v>
      </c>
      <c r="C5" s="216"/>
      <c r="D5" s="217"/>
      <c r="E5" s="214"/>
      <c r="F5" s="214"/>
      <c r="G5" s="214"/>
      <c r="H5" s="220"/>
      <c r="I5" s="220"/>
      <c r="J5" s="220"/>
    </row>
    <row r="6" spans="1:10" ht="26.25" customHeight="1">
      <c r="A6" s="18"/>
      <c r="B6" s="5" t="s">
        <v>443</v>
      </c>
      <c r="C6" s="213" t="str">
        <f>INDEX(總表!$B$9:$B$47,MATCH('17A'!A9,總表!$A$9:$A$48,0))</f>
        <v>Trạm biến áp số 2
二號變壓站</v>
      </c>
      <c r="D6" s="217"/>
      <c r="E6" s="214"/>
      <c r="F6" s="214"/>
      <c r="G6" s="214"/>
      <c r="H6" s="220"/>
      <c r="I6" s="220"/>
      <c r="J6" s="220"/>
    </row>
    <row r="7" spans="1:10" ht="26.25" customHeight="1">
      <c r="A7" s="18"/>
      <c r="B7" s="5" t="s">
        <v>444</v>
      </c>
      <c r="C7" s="223" t="s">
        <v>445</v>
      </c>
      <c r="D7" s="224"/>
      <c r="E7" s="224"/>
      <c r="F7" s="224"/>
      <c r="G7" s="224"/>
      <c r="H7" s="224"/>
      <c r="I7" s="224"/>
      <c r="J7" s="224"/>
    </row>
    <row r="8" spans="1:10" s="2" customFormat="1" ht="41.25" customHeight="1">
      <c r="A8" s="19" t="s">
        <v>446</v>
      </c>
      <c r="B8" s="19" t="s">
        <v>508</v>
      </c>
      <c r="C8" s="19" t="s">
        <v>509</v>
      </c>
      <c r="D8" s="19" t="s">
        <v>448</v>
      </c>
      <c r="E8" s="19" t="s">
        <v>449</v>
      </c>
      <c r="F8" s="19" t="s">
        <v>511</v>
      </c>
      <c r="G8" s="19" t="s">
        <v>512</v>
      </c>
      <c r="H8" s="21" t="s">
        <v>450</v>
      </c>
      <c r="I8" s="21" t="s">
        <v>452</v>
      </c>
      <c r="J8" s="21" t="s">
        <v>514</v>
      </c>
    </row>
    <row r="9" spans="1:10" s="3" customFormat="1" ht="25.5" customHeight="1">
      <c r="A9" s="22" t="s">
        <v>474</v>
      </c>
      <c r="B9" s="23" t="str">
        <f>C6</f>
        <v>Trạm biến áp số 2
二號變壓站</v>
      </c>
      <c r="C9" s="23" t="s">
        <v>515</v>
      </c>
      <c r="D9" s="22"/>
      <c r="E9" s="25"/>
      <c r="F9" s="25">
        <f>_xlfn.XLOOKUP(B9, Rate_Master!$A:$A, Rate_Master!$C:$C, "")</f>
        <v>0</v>
      </c>
      <c r="G9" s="25">
        <f>_xlfn.XLOOKUP(B9, Rate_Master!$A:$A, Rate_Master!$D:$D, "")</f>
        <v>0</v>
      </c>
      <c r="H9" s="26"/>
      <c r="I9" s="26">
        <f>SUBTOTAL(9,I10:I164)</f>
        <v>3160789913.5902567</v>
      </c>
      <c r="J9" s="26"/>
    </row>
    <row r="10" spans="1:10" s="3" customFormat="1" ht="25.5" customHeight="1">
      <c r="A10" s="22" t="str">
        <f>$A$9&amp;".C"</f>
        <v>17A.C</v>
      </c>
      <c r="B10" s="23" t="s">
        <v>1</v>
      </c>
      <c r="C10" s="23" t="s">
        <v>515</v>
      </c>
      <c r="D10" s="22"/>
      <c r="E10" s="25"/>
      <c r="F10" s="25">
        <f>_xlfn.XLOOKUP(B10, Rate_Master!$A:$A, Rate_Master!$C:$C, "")</f>
        <v>0</v>
      </c>
      <c r="G10" s="25">
        <f>_xlfn.XLOOKUP(B10, Rate_Master!$A:$A, Rate_Master!$D:$D, "")</f>
        <v>0</v>
      </c>
      <c r="H10" s="26"/>
      <c r="I10" s="26"/>
      <c r="J10" s="26"/>
    </row>
    <row r="11" spans="1:10" s="3" customFormat="1" ht="25.5" customHeight="1">
      <c r="A11" s="22" t="str">
        <f>$A$10&amp;1</f>
        <v>17A.C1</v>
      </c>
      <c r="B11" s="23" t="s">
        <v>2</v>
      </c>
      <c r="C11" s="23" t="s">
        <v>515</v>
      </c>
      <c r="D11" s="22"/>
      <c r="E11" s="25"/>
      <c r="F11" s="25">
        <f>_xlfn.XLOOKUP(B11, Rate_Master!$A:$A, Rate_Master!$C:$C, "")</f>
        <v>0</v>
      </c>
      <c r="G11" s="25">
        <f>_xlfn.XLOOKUP(B11, Rate_Master!$A:$A, Rate_Master!$D:$D, "")</f>
        <v>0</v>
      </c>
      <c r="H11" s="26"/>
      <c r="I11" s="26">
        <f>SUBTOTAL(9,I12:I22)</f>
        <v>308602499.99999994</v>
      </c>
      <c r="J11" s="26"/>
    </row>
    <row r="12" spans="1:10" s="4" customFormat="1" ht="25.5" customHeight="1" outlineLevel="1">
      <c r="A12" s="27" t="str">
        <f t="shared" ref="A12:A22" si="0">$A$11&amp;"."&amp;ROW()-ROW($A$11)</f>
        <v>17A.C1.1</v>
      </c>
      <c r="B12" s="28" t="s">
        <v>3</v>
      </c>
      <c r="C12" s="28" t="s">
        <v>515</v>
      </c>
      <c r="D12" s="29" t="s">
        <v>516</v>
      </c>
      <c r="E12" s="31">
        <v>0</v>
      </c>
      <c r="F12" s="31">
        <f>_xlfn.XLOOKUP(B12, Rate_Master!$A:$A, Rate_Master!$C:$C, "")</f>
        <v>0</v>
      </c>
      <c r="G12" s="31">
        <f>_xlfn.XLOOKUP(B12, Rate_Master!$A:$A, Rate_Master!$D:$D, "")</f>
        <v>114999999.99999999</v>
      </c>
      <c r="H12" s="32">
        <f t="shared" ref="H12:H22" si="1">+G12+F12</f>
        <v>114999999.99999999</v>
      </c>
      <c r="I12" s="32">
        <f t="shared" ref="I12:I22" si="2">H12*E12</f>
        <v>0</v>
      </c>
      <c r="J12" s="32"/>
    </row>
    <row r="13" spans="1:10" s="4" customFormat="1" ht="25.5" customHeight="1" outlineLevel="1">
      <c r="A13" s="27" t="str">
        <f t="shared" si="0"/>
        <v>17A.C1.2</v>
      </c>
      <c r="B13" s="28" t="s">
        <v>4</v>
      </c>
      <c r="C13" s="28" t="s">
        <v>515</v>
      </c>
      <c r="D13" s="29" t="s">
        <v>517</v>
      </c>
      <c r="E13" s="31">
        <v>0</v>
      </c>
      <c r="F13" s="31">
        <f>_xlfn.XLOOKUP(B13, Rate_Master!$A:$A, Rate_Master!$C:$C, "")</f>
        <v>425499.99999999994</v>
      </c>
      <c r="G13" s="31">
        <f>_xlfn.XLOOKUP(B13, Rate_Master!$A:$A, Rate_Master!$D:$D, "")</f>
        <v>0</v>
      </c>
      <c r="H13" s="32">
        <f t="shared" si="1"/>
        <v>425499.99999999994</v>
      </c>
      <c r="I13" s="32">
        <f t="shared" si="2"/>
        <v>0</v>
      </c>
      <c r="J13" s="32"/>
    </row>
    <row r="14" spans="1:10" s="4" customFormat="1" ht="25.5" customHeight="1" outlineLevel="1">
      <c r="A14" s="27" t="str">
        <f t="shared" si="0"/>
        <v>17A.C1.3</v>
      </c>
      <c r="B14" s="28" t="s">
        <v>5</v>
      </c>
      <c r="C14" s="28" t="s">
        <v>515</v>
      </c>
      <c r="D14" s="29" t="s">
        <v>517</v>
      </c>
      <c r="E14" s="31">
        <v>0</v>
      </c>
      <c r="F14" s="31">
        <f>_xlfn.XLOOKUP(B14, Rate_Master!$A:$A, Rate_Master!$C:$C, "")</f>
        <v>0</v>
      </c>
      <c r="G14" s="31">
        <f>_xlfn.XLOOKUP(B14, Rate_Master!$A:$A, Rate_Master!$D:$D, "")</f>
        <v>69000</v>
      </c>
      <c r="H14" s="32">
        <f t="shared" si="1"/>
        <v>69000</v>
      </c>
      <c r="I14" s="32">
        <f t="shared" si="2"/>
        <v>0</v>
      </c>
      <c r="J14" s="32"/>
    </row>
    <row r="15" spans="1:10" s="4" customFormat="1" ht="25.5" customHeight="1" outlineLevel="1">
      <c r="A15" s="27" t="str">
        <f t="shared" si="0"/>
        <v>17A.C1.4</v>
      </c>
      <c r="B15" s="28" t="s">
        <v>6</v>
      </c>
      <c r="C15" s="28" t="s">
        <v>515</v>
      </c>
      <c r="D15" s="29" t="s">
        <v>517</v>
      </c>
      <c r="E15" s="31">
        <v>0</v>
      </c>
      <c r="F15" s="31">
        <f>_xlfn.XLOOKUP(B15, Rate_Master!$A:$A, Rate_Master!$C:$C, "")</f>
        <v>0</v>
      </c>
      <c r="G15" s="31">
        <f>_xlfn.XLOOKUP(B15, Rate_Master!$A:$A, Rate_Master!$D:$D, "")</f>
        <v>57499.999999999993</v>
      </c>
      <c r="H15" s="32">
        <f t="shared" si="1"/>
        <v>57499.999999999993</v>
      </c>
      <c r="I15" s="32">
        <f t="shared" si="2"/>
        <v>0</v>
      </c>
      <c r="J15" s="32"/>
    </row>
    <row r="16" spans="1:10" s="4" customFormat="1" ht="102" customHeight="1" outlineLevel="1">
      <c r="A16" s="27" t="str">
        <f t="shared" si="0"/>
        <v>17A.C1.5</v>
      </c>
      <c r="B16" s="28" t="s">
        <v>7</v>
      </c>
      <c r="C16" s="28" t="s">
        <v>515</v>
      </c>
      <c r="D16" s="29" t="s">
        <v>518</v>
      </c>
      <c r="E16" s="31">
        <v>0</v>
      </c>
      <c r="F16" s="31">
        <f>_xlfn.XLOOKUP(B16, Rate_Master!$A:$A, Rate_Master!$C:$C, "")</f>
        <v>0</v>
      </c>
      <c r="G16" s="31">
        <f>_xlfn.XLOOKUP(B16, Rate_Master!$A:$A, Rate_Master!$D:$D, "")</f>
        <v>13799999.999999998</v>
      </c>
      <c r="H16" s="32">
        <f t="shared" si="1"/>
        <v>13799999.999999998</v>
      </c>
      <c r="I16" s="32">
        <f t="shared" si="2"/>
        <v>0</v>
      </c>
      <c r="J16" s="32"/>
    </row>
    <row r="17" spans="1:10" s="4" customFormat="1" ht="25.5" customHeight="1" outlineLevel="1">
      <c r="A17" s="27" t="str">
        <f t="shared" si="0"/>
        <v>17A.C1.6</v>
      </c>
      <c r="B17" s="28" t="s">
        <v>8</v>
      </c>
      <c r="C17" s="28" t="s">
        <v>515</v>
      </c>
      <c r="D17" s="29" t="s">
        <v>518</v>
      </c>
      <c r="E17" s="31">
        <v>5</v>
      </c>
      <c r="F17" s="31">
        <f>_xlfn.XLOOKUP(B17, Rate_Master!$A:$A, Rate_Master!$C:$C, "")</f>
        <v>0</v>
      </c>
      <c r="G17" s="31">
        <f>_xlfn.XLOOKUP(B17, Rate_Master!$A:$A, Rate_Master!$D:$D, "")</f>
        <v>252999.99999999997</v>
      </c>
      <c r="H17" s="66">
        <f t="shared" si="1"/>
        <v>252999.99999999997</v>
      </c>
      <c r="I17" s="32">
        <f t="shared" si="2"/>
        <v>1264999.9999999998</v>
      </c>
      <c r="J17" s="32"/>
    </row>
    <row r="18" spans="1:10" s="4" customFormat="1" ht="25.5" customHeight="1" outlineLevel="1">
      <c r="A18" s="27" t="str">
        <f t="shared" si="0"/>
        <v>17A.C1.7</v>
      </c>
      <c r="B18" s="28" t="s">
        <v>9</v>
      </c>
      <c r="C18" s="28" t="s">
        <v>515</v>
      </c>
      <c r="D18" s="29" t="s">
        <v>517</v>
      </c>
      <c r="E18" s="31">
        <v>550</v>
      </c>
      <c r="F18" s="31">
        <f>_xlfn.XLOOKUP(B18, Rate_Master!$A:$A, Rate_Master!$C:$C, "")</f>
        <v>402499.99999999994</v>
      </c>
      <c r="G18" s="31">
        <f>_xlfn.XLOOKUP(B18, Rate_Master!$A:$A, Rate_Master!$D:$D, "")</f>
        <v>0</v>
      </c>
      <c r="H18" s="66">
        <f t="shared" si="1"/>
        <v>402499.99999999994</v>
      </c>
      <c r="I18" s="32">
        <f t="shared" si="2"/>
        <v>221374999.99999997</v>
      </c>
      <c r="J18" s="32"/>
    </row>
    <row r="19" spans="1:10" s="4" customFormat="1" ht="25.5" customHeight="1" outlineLevel="1">
      <c r="A19" s="27" t="str">
        <f t="shared" si="0"/>
        <v>17A.C1.8</v>
      </c>
      <c r="B19" s="28" t="s">
        <v>10</v>
      </c>
      <c r="C19" s="28" t="s">
        <v>515</v>
      </c>
      <c r="D19" s="29" t="s">
        <v>518</v>
      </c>
      <c r="E19" s="31">
        <v>25</v>
      </c>
      <c r="F19" s="31">
        <f>_xlfn.XLOOKUP(B19, Rate_Master!$A:$A, Rate_Master!$C:$C, "")</f>
        <v>80500</v>
      </c>
      <c r="G19" s="31">
        <f>_xlfn.XLOOKUP(B19, Rate_Master!$A:$A, Rate_Master!$D:$D, "")</f>
        <v>0</v>
      </c>
      <c r="H19" s="66">
        <f t="shared" si="1"/>
        <v>80500</v>
      </c>
      <c r="I19" s="32">
        <f t="shared" si="2"/>
        <v>2012500</v>
      </c>
      <c r="J19" s="32"/>
    </row>
    <row r="20" spans="1:10" s="4" customFormat="1" ht="25.5" customHeight="1" outlineLevel="1">
      <c r="A20" s="27" t="str">
        <f t="shared" si="0"/>
        <v>17A.C1.9</v>
      </c>
      <c r="B20" s="28" t="s">
        <v>11</v>
      </c>
      <c r="C20" s="28" t="s">
        <v>515</v>
      </c>
      <c r="D20" s="29" t="s">
        <v>517</v>
      </c>
      <c r="E20" s="31">
        <v>525</v>
      </c>
      <c r="F20" s="31">
        <f>_xlfn.XLOOKUP(B20, Rate_Master!$A:$A, Rate_Master!$C:$C, "")</f>
        <v>0</v>
      </c>
      <c r="G20" s="31">
        <f>_xlfn.XLOOKUP(B20, Rate_Master!$A:$A, Rate_Master!$D:$D, "")</f>
        <v>69000</v>
      </c>
      <c r="H20" s="66">
        <f t="shared" si="1"/>
        <v>69000</v>
      </c>
      <c r="I20" s="32">
        <f t="shared" si="2"/>
        <v>36225000</v>
      </c>
      <c r="J20" s="32"/>
    </row>
    <row r="21" spans="1:10" s="4" customFormat="1" ht="25.5" customHeight="1" outlineLevel="1">
      <c r="A21" s="27" t="str">
        <f t="shared" si="0"/>
        <v>17A.C1.10</v>
      </c>
      <c r="B21" s="28" t="s">
        <v>12</v>
      </c>
      <c r="C21" s="28" t="s">
        <v>515</v>
      </c>
      <c r="D21" s="29" t="s">
        <v>517</v>
      </c>
      <c r="E21" s="31">
        <v>550</v>
      </c>
      <c r="F21" s="31">
        <f>_xlfn.XLOOKUP(B21, Rate_Master!$A:$A, Rate_Master!$C:$C, "")</f>
        <v>0</v>
      </c>
      <c r="G21" s="31">
        <f>_xlfn.XLOOKUP(B21, Rate_Master!$A:$A, Rate_Master!$D:$D, "")</f>
        <v>57499.999999999993</v>
      </c>
      <c r="H21" s="66">
        <f t="shared" si="1"/>
        <v>57499.999999999993</v>
      </c>
      <c r="I21" s="32">
        <f t="shared" si="2"/>
        <v>31624999.999999996</v>
      </c>
      <c r="J21" s="32"/>
    </row>
    <row r="22" spans="1:10" s="4" customFormat="1" ht="63.75" customHeight="1" outlineLevel="1">
      <c r="A22" s="27" t="str">
        <f t="shared" si="0"/>
        <v>17A.C1.11</v>
      </c>
      <c r="B22" s="28" t="s">
        <v>13</v>
      </c>
      <c r="C22" s="28" t="s">
        <v>515</v>
      </c>
      <c r="D22" s="29" t="s">
        <v>518</v>
      </c>
      <c r="E22" s="31">
        <v>25</v>
      </c>
      <c r="F22" s="31">
        <f>_xlfn.XLOOKUP(B22, Rate_Master!$A:$A, Rate_Master!$C:$C, "")</f>
        <v>482999.99999999994</v>
      </c>
      <c r="G22" s="31">
        <f>_xlfn.XLOOKUP(B22, Rate_Master!$A:$A, Rate_Master!$D:$D, "")</f>
        <v>161000</v>
      </c>
      <c r="H22" s="66">
        <f t="shared" si="1"/>
        <v>644000</v>
      </c>
      <c r="I22" s="32">
        <f t="shared" si="2"/>
        <v>16100000</v>
      </c>
      <c r="J22" s="32"/>
    </row>
    <row r="23" spans="1:10" s="3" customFormat="1" ht="25.5" customHeight="1">
      <c r="A23" s="22" t="str">
        <f>$A$10&amp;2</f>
        <v>17A.C2</v>
      </c>
      <c r="B23" s="23" t="s">
        <v>14</v>
      </c>
      <c r="C23" s="23" t="s">
        <v>515</v>
      </c>
      <c r="D23" s="22"/>
      <c r="E23" s="25"/>
      <c r="F23" s="25">
        <f>_xlfn.XLOOKUP(B23, Rate_Master!$A:$A, Rate_Master!$C:$C, "")</f>
        <v>0</v>
      </c>
      <c r="G23" s="25">
        <f>_xlfn.XLOOKUP(B23, Rate_Master!$A:$A, Rate_Master!$D:$D, "")</f>
        <v>0</v>
      </c>
      <c r="H23" s="26"/>
      <c r="I23" s="26">
        <f>SUBTOTAL(9,I24:I31)</f>
        <v>68006217.150000006</v>
      </c>
      <c r="J23" s="26"/>
    </row>
    <row r="24" spans="1:10" s="4" customFormat="1" ht="25.5" customHeight="1" outlineLevel="1">
      <c r="A24" s="27" t="str">
        <f t="shared" ref="A24:A31" si="3">$A$23&amp;"."&amp;ROW()-ROW($A$23)</f>
        <v>17A.C2.1</v>
      </c>
      <c r="B24" s="28" t="s">
        <v>15</v>
      </c>
      <c r="C24" s="28" t="s">
        <v>515</v>
      </c>
      <c r="D24" s="29" t="s">
        <v>519</v>
      </c>
      <c r="E24" s="31">
        <v>22.975999999999999</v>
      </c>
      <c r="F24" s="31">
        <f>_xlfn.XLOOKUP(B24, Rate_Master!$A:$A, Rate_Master!$C:$C, "")</f>
        <v>0</v>
      </c>
      <c r="G24" s="31">
        <f>_xlfn.XLOOKUP(B24, Rate_Master!$A:$A, Rate_Master!$D:$D, "")</f>
        <v>32199.999999999996</v>
      </c>
      <c r="H24" s="66">
        <f t="shared" ref="H24:H31" si="4">+G24+F24</f>
        <v>32199.999999999996</v>
      </c>
      <c r="I24" s="32">
        <f t="shared" ref="I24:I31" si="5">H24*E24</f>
        <v>739827.19999999984</v>
      </c>
      <c r="J24" s="32"/>
    </row>
    <row r="25" spans="1:10" s="4" customFormat="1" ht="25.5" customHeight="1" outlineLevel="1">
      <c r="A25" s="27" t="str">
        <f t="shared" si="3"/>
        <v>17A.C2.2</v>
      </c>
      <c r="B25" s="28" t="s">
        <v>16</v>
      </c>
      <c r="C25" s="28" t="s">
        <v>515</v>
      </c>
      <c r="D25" s="29" t="s">
        <v>520</v>
      </c>
      <c r="E25" s="31">
        <v>103.878</v>
      </c>
      <c r="F25" s="31">
        <f>_xlfn.XLOOKUP(B25, Rate_Master!$A:$A, Rate_Master!$C:$C, "")</f>
        <v>0</v>
      </c>
      <c r="G25" s="31">
        <f>_xlfn.XLOOKUP(B25, Rate_Master!$A:$A, Rate_Master!$D:$D, "")</f>
        <v>17250</v>
      </c>
      <c r="H25" s="66">
        <f t="shared" si="4"/>
        <v>17250</v>
      </c>
      <c r="I25" s="32">
        <f t="shared" si="5"/>
        <v>1791895.5</v>
      </c>
      <c r="J25" s="32"/>
    </row>
    <row r="26" spans="1:10" s="4" customFormat="1" ht="25.5" customHeight="1" outlineLevel="1">
      <c r="A26" s="27" t="str">
        <f t="shared" si="3"/>
        <v>17A.C2.3</v>
      </c>
      <c r="B26" s="28" t="s">
        <v>17</v>
      </c>
      <c r="C26" s="28" t="s">
        <v>515</v>
      </c>
      <c r="D26" s="29" t="s">
        <v>519</v>
      </c>
      <c r="E26" s="31">
        <v>14.215999999999999</v>
      </c>
      <c r="F26" s="31">
        <f>_xlfn.XLOOKUP(B26, Rate_Master!$A:$A, Rate_Master!$C:$C, "")</f>
        <v>0</v>
      </c>
      <c r="G26" s="31">
        <f>_xlfn.XLOOKUP(B26, Rate_Master!$A:$A, Rate_Master!$D:$D, "")</f>
        <v>37950</v>
      </c>
      <c r="H26" s="66">
        <f t="shared" si="4"/>
        <v>37950</v>
      </c>
      <c r="I26" s="32">
        <f t="shared" si="5"/>
        <v>539497.19999999995</v>
      </c>
      <c r="J26" s="32"/>
    </row>
    <row r="27" spans="1:10" s="4" customFormat="1" ht="25.5" customHeight="1" outlineLevel="1">
      <c r="A27" s="27" t="str">
        <f t="shared" si="3"/>
        <v>17A.C2.4</v>
      </c>
      <c r="B27" s="34" t="s">
        <v>18</v>
      </c>
      <c r="C27" s="34" t="s">
        <v>521</v>
      </c>
      <c r="D27" s="29" t="s">
        <v>519</v>
      </c>
      <c r="E27" s="31">
        <v>8.76</v>
      </c>
      <c r="F27" s="31">
        <f>_xlfn.XLOOKUP(B27, Rate_Master!$A:$A, Rate_Master!$C:$C, "")</f>
        <v>0</v>
      </c>
      <c r="G27" s="31">
        <f>_xlfn.XLOOKUP(B27, Rate_Master!$A:$A, Rate_Master!$D:$D, "")</f>
        <v>32199.999999999996</v>
      </c>
      <c r="H27" s="66">
        <f t="shared" si="4"/>
        <v>32199.999999999996</v>
      </c>
      <c r="I27" s="32">
        <f t="shared" si="5"/>
        <v>282071.99999999994</v>
      </c>
      <c r="J27" s="32"/>
    </row>
    <row r="28" spans="1:10" s="4" customFormat="1" ht="25.5" customHeight="1" outlineLevel="1">
      <c r="A28" s="27" t="str">
        <f t="shared" si="3"/>
        <v>17A.C2.5</v>
      </c>
      <c r="B28" s="28" t="s">
        <v>19</v>
      </c>
      <c r="C28" s="28" t="s">
        <v>515</v>
      </c>
      <c r="D28" s="29" t="s">
        <v>520</v>
      </c>
      <c r="E28" s="31">
        <v>103.878</v>
      </c>
      <c r="F28" s="31">
        <f>_xlfn.XLOOKUP(B28, Rate_Master!$A:$A, Rate_Master!$C:$C, "")</f>
        <v>6899.9999999999991</v>
      </c>
      <c r="G28" s="31">
        <f>_xlfn.XLOOKUP(B28, Rate_Master!$A:$A, Rate_Master!$D:$D, "")</f>
        <v>1724.9999999999998</v>
      </c>
      <c r="H28" s="66">
        <f t="shared" si="4"/>
        <v>8624.9999999999982</v>
      </c>
      <c r="I28" s="32">
        <f t="shared" si="5"/>
        <v>895947.74999999977</v>
      </c>
      <c r="J28" s="32"/>
    </row>
    <row r="29" spans="1:10" s="4" customFormat="1" ht="38.25" customHeight="1" outlineLevel="1">
      <c r="A29" s="27" t="str">
        <f t="shared" si="3"/>
        <v>17A.C2.6</v>
      </c>
      <c r="B29" s="28" t="s">
        <v>20</v>
      </c>
      <c r="C29" s="28" t="s">
        <v>515</v>
      </c>
      <c r="D29" s="29" t="s">
        <v>520</v>
      </c>
      <c r="E29" s="31">
        <v>230.96</v>
      </c>
      <c r="F29" s="31">
        <f>_xlfn.XLOOKUP(B29, Rate_Master!$A:$A, Rate_Master!$C:$C, "")</f>
        <v>34500</v>
      </c>
      <c r="G29" s="31">
        <f>_xlfn.XLOOKUP(B29, Rate_Master!$A:$A, Rate_Master!$D:$D, "")</f>
        <v>5750</v>
      </c>
      <c r="H29" s="66">
        <f t="shared" si="4"/>
        <v>40250</v>
      </c>
      <c r="I29" s="32">
        <f t="shared" si="5"/>
        <v>9296140</v>
      </c>
      <c r="J29" s="32"/>
    </row>
    <row r="30" spans="1:10" s="4" customFormat="1" ht="25.5" customHeight="1" outlineLevel="1">
      <c r="A30" s="27" t="str">
        <f t="shared" si="3"/>
        <v>17A.C2.7</v>
      </c>
      <c r="B30" s="34" t="s">
        <v>21</v>
      </c>
      <c r="C30" s="28" t="s">
        <v>515</v>
      </c>
      <c r="D30" s="29" t="s">
        <v>520</v>
      </c>
      <c r="E30" s="31">
        <v>230.96</v>
      </c>
      <c r="F30" s="31">
        <f>_xlfn.XLOOKUP(B30, Rate_Master!$A:$A, Rate_Master!$C:$C, "")</f>
        <v>0</v>
      </c>
      <c r="G30" s="31">
        <f>_xlfn.XLOOKUP(B30, Rate_Master!$A:$A, Rate_Master!$D:$D, "")</f>
        <v>13799.999999999998</v>
      </c>
      <c r="H30" s="32">
        <f t="shared" si="4"/>
        <v>13799.999999999998</v>
      </c>
      <c r="I30" s="32">
        <f t="shared" si="5"/>
        <v>3187247.9999999995</v>
      </c>
      <c r="J30" s="32"/>
    </row>
    <row r="31" spans="1:10" s="4" customFormat="1" ht="25.5" customHeight="1" outlineLevel="1">
      <c r="A31" s="27" t="str">
        <f t="shared" si="3"/>
        <v>17A.C2.8</v>
      </c>
      <c r="B31" s="28" t="s">
        <v>22</v>
      </c>
      <c r="C31" s="28" t="s">
        <v>515</v>
      </c>
      <c r="D31" s="29" t="s">
        <v>519</v>
      </c>
      <c r="E31" s="31">
        <v>83.26</v>
      </c>
      <c r="F31" s="31">
        <f>_xlfn.XLOOKUP(B31, Rate_Master!$A:$A, Rate_Master!$C:$C, "")</f>
        <v>512325</v>
      </c>
      <c r="G31" s="31">
        <f>_xlfn.XLOOKUP(B31, Rate_Master!$A:$A, Rate_Master!$D:$D, "")</f>
        <v>103499.99999999999</v>
      </c>
      <c r="H31" s="66">
        <f t="shared" si="4"/>
        <v>615825</v>
      </c>
      <c r="I31" s="32">
        <f t="shared" si="5"/>
        <v>51273589.5</v>
      </c>
      <c r="J31" s="32"/>
    </row>
    <row r="32" spans="1:10" s="3" customFormat="1" ht="25.5" customHeight="1">
      <c r="A32" s="22" t="str">
        <f>$A$10&amp;3</f>
        <v>17A.C3</v>
      </c>
      <c r="B32" s="23" t="s">
        <v>23</v>
      </c>
      <c r="C32" s="23" t="s">
        <v>515</v>
      </c>
      <c r="D32" s="22"/>
      <c r="E32" s="25"/>
      <c r="F32" s="25">
        <f>_xlfn.XLOOKUP(B32, Rate_Master!$A:$A, Rate_Master!$C:$C, "")</f>
        <v>0</v>
      </c>
      <c r="G32" s="25">
        <f>_xlfn.XLOOKUP(B32, Rate_Master!$A:$A, Rate_Master!$D:$D, "")</f>
        <v>0</v>
      </c>
      <c r="H32" s="26"/>
      <c r="I32" s="26">
        <f>SUBTOTAL(9,I33:I39)</f>
        <v>377954618.62777776</v>
      </c>
      <c r="J32" s="26"/>
    </row>
    <row r="33" spans="1:10" s="4" customFormat="1" ht="25.5" customHeight="1" outlineLevel="1">
      <c r="A33" s="27" t="str">
        <f t="shared" ref="A33:A39" si="6">$A$32&amp;"."&amp;ROW()-ROW($A$32)</f>
        <v>17A.C3.1</v>
      </c>
      <c r="B33" s="28" t="s">
        <v>24</v>
      </c>
      <c r="C33" s="28" t="s">
        <v>515</v>
      </c>
      <c r="D33" s="29" t="s">
        <v>519</v>
      </c>
      <c r="E33" s="31">
        <v>10.388</v>
      </c>
      <c r="F33" s="30">
        <f>_xlfn.XLOOKUP(B33, Rate_Master!$A:$A, Rate_Master!$C:$C, "")</f>
        <v>1249762.5</v>
      </c>
      <c r="G33" s="30">
        <f>_xlfn.XLOOKUP(B33, Rate_Master!$A:$A, Rate_Master!$D:$D, "")</f>
        <v>206999.99999999997</v>
      </c>
      <c r="H33" s="66">
        <f t="shared" ref="H33:H39" si="7">+G33+F33</f>
        <v>1456762.5</v>
      </c>
      <c r="I33" s="32">
        <f t="shared" ref="I33:I39" si="8">H33*E33</f>
        <v>15132848.85</v>
      </c>
      <c r="J33" s="32"/>
    </row>
    <row r="34" spans="1:10" s="4" customFormat="1" ht="51" customHeight="1" outlineLevel="1">
      <c r="A34" s="27" t="str">
        <f t="shared" si="6"/>
        <v>17A.C3.2</v>
      </c>
      <c r="B34" s="28" t="s">
        <v>25</v>
      </c>
      <c r="C34" s="28" t="s">
        <v>515</v>
      </c>
      <c r="D34" s="29" t="s">
        <v>519</v>
      </c>
      <c r="E34" s="31">
        <v>111.07</v>
      </c>
      <c r="F34" s="30">
        <f>_xlfn.XLOOKUP(B34, Rate_Master!$A:$A, Rate_Master!$C:$C, "")</f>
        <v>1607444.4444444443</v>
      </c>
      <c r="G34" s="30">
        <f>_xlfn.XLOOKUP(B34, Rate_Master!$A:$A, Rate_Master!$D:$D, "")</f>
        <v>149500</v>
      </c>
      <c r="H34" s="66">
        <f t="shared" si="7"/>
        <v>1756944.4444444443</v>
      </c>
      <c r="I34" s="32">
        <f t="shared" si="8"/>
        <v>195143819.44444442</v>
      </c>
      <c r="J34" s="32"/>
    </row>
    <row r="35" spans="1:10" s="4" customFormat="1" ht="25.5" customHeight="1" outlineLevel="1">
      <c r="A35" s="27" t="str">
        <f t="shared" si="6"/>
        <v>17A.C3.3</v>
      </c>
      <c r="B35" s="28" t="s">
        <v>26</v>
      </c>
      <c r="C35" s="28" t="s">
        <v>515</v>
      </c>
      <c r="D35" s="29" t="s">
        <v>519</v>
      </c>
      <c r="E35" s="31">
        <v>11.96</v>
      </c>
      <c r="F35" s="30">
        <f>_xlfn.XLOOKUP(B35, Rate_Master!$A:$A, Rate_Master!$C:$C, "")</f>
        <v>1520555.5555555553</v>
      </c>
      <c r="G35" s="30">
        <f>_xlfn.XLOOKUP(B35, Rate_Master!$A:$A, Rate_Master!$D:$D, "")</f>
        <v>252999.99999999997</v>
      </c>
      <c r="H35" s="66">
        <f t="shared" si="7"/>
        <v>1773555.5555555553</v>
      </c>
      <c r="I35" s="32">
        <f t="shared" si="8"/>
        <v>21211724.444444444</v>
      </c>
      <c r="J35" s="32"/>
    </row>
    <row r="36" spans="1:10" s="4" customFormat="1" ht="25.5" customHeight="1" outlineLevel="1">
      <c r="A36" s="27" t="str">
        <f t="shared" si="6"/>
        <v>17A.C3.4</v>
      </c>
      <c r="B36" s="28" t="s">
        <v>27</v>
      </c>
      <c r="C36" s="28" t="s">
        <v>515</v>
      </c>
      <c r="D36" s="29" t="s">
        <v>519</v>
      </c>
      <c r="E36" s="31">
        <v>74.137</v>
      </c>
      <c r="F36" s="30">
        <f>_xlfn.XLOOKUP(B36, Rate_Master!$A:$A, Rate_Master!$C:$C, "")</f>
        <v>1520555.5555555553</v>
      </c>
      <c r="G36" s="30">
        <f>_xlfn.XLOOKUP(B36, Rate_Master!$A:$A, Rate_Master!$D:$D, "")</f>
        <v>149500</v>
      </c>
      <c r="H36" s="66">
        <f t="shared" si="7"/>
        <v>1670055.5555555553</v>
      </c>
      <c r="I36" s="32">
        <f t="shared" si="8"/>
        <v>123812908.72222221</v>
      </c>
      <c r="J36" s="32"/>
    </row>
    <row r="37" spans="1:10" s="4" customFormat="1" ht="25.5" customHeight="1" outlineLevel="1">
      <c r="A37" s="27" t="str">
        <f t="shared" si="6"/>
        <v>17A.C3.5</v>
      </c>
      <c r="B37" s="28" t="s">
        <v>28</v>
      </c>
      <c r="C37" s="28" t="s">
        <v>515</v>
      </c>
      <c r="D37" s="29" t="s">
        <v>519</v>
      </c>
      <c r="E37" s="31">
        <v>14.7126</v>
      </c>
      <c r="F37" s="30">
        <f>_xlfn.XLOOKUP(B37, Rate_Master!$A:$A, Rate_Master!$C:$C, "")</f>
        <v>1390222.2222222222</v>
      </c>
      <c r="G37" s="30">
        <f>_xlfn.XLOOKUP(B37, Rate_Master!$A:$A, Rate_Master!$D:$D, "")</f>
        <v>149500</v>
      </c>
      <c r="H37" s="66">
        <f t="shared" si="7"/>
        <v>1539722.2222222222</v>
      </c>
      <c r="I37" s="32">
        <f t="shared" si="8"/>
        <v>22653317.166666668</v>
      </c>
      <c r="J37" s="32"/>
    </row>
    <row r="38" spans="1:10" s="4" customFormat="1" ht="25.5" customHeight="1" outlineLevel="1">
      <c r="A38" s="27" t="str">
        <f t="shared" si="6"/>
        <v>17A.C3.6</v>
      </c>
      <c r="B38" s="28" t="s">
        <v>29</v>
      </c>
      <c r="C38" s="28" t="s">
        <v>515</v>
      </c>
      <c r="D38" s="29" t="s">
        <v>519</v>
      </c>
      <c r="E38" s="31">
        <v>0</v>
      </c>
      <c r="F38" s="30">
        <f>_xlfn.XLOOKUP(B38, Rate_Master!$A:$A, Rate_Master!$C:$C, "")</f>
        <v>1390222.2222222222</v>
      </c>
      <c r="G38" s="30">
        <f>_xlfn.XLOOKUP(B38, Rate_Master!$A:$A, Rate_Master!$D:$D, "")</f>
        <v>149500</v>
      </c>
      <c r="H38" s="32">
        <f t="shared" si="7"/>
        <v>1539722.2222222222</v>
      </c>
      <c r="I38" s="32">
        <f t="shared" si="8"/>
        <v>0</v>
      </c>
      <c r="J38" s="32"/>
    </row>
    <row r="39" spans="1:10" s="4" customFormat="1" ht="38.25" customHeight="1" outlineLevel="1">
      <c r="A39" s="27" t="str">
        <f t="shared" si="6"/>
        <v>17A.C3.7</v>
      </c>
      <c r="B39" s="28" t="s">
        <v>30</v>
      </c>
      <c r="C39" s="28" t="s">
        <v>515</v>
      </c>
      <c r="D39" s="29" t="s">
        <v>519</v>
      </c>
      <c r="E39" s="31">
        <v>0</v>
      </c>
      <c r="F39" s="30">
        <f>_xlfn.XLOOKUP(B39, Rate_Master!$A:$A, Rate_Master!$C:$C, "")</f>
        <v>22425000</v>
      </c>
      <c r="G39" s="30">
        <f>_xlfn.XLOOKUP(B39, Rate_Master!$A:$A, Rate_Master!$D:$D, "")</f>
        <v>8003999.9999999991</v>
      </c>
      <c r="H39" s="32">
        <f t="shared" si="7"/>
        <v>30429000</v>
      </c>
      <c r="I39" s="32">
        <f t="shared" si="8"/>
        <v>0</v>
      </c>
      <c r="J39" s="32"/>
    </row>
    <row r="40" spans="1:10" s="3" customFormat="1" ht="25.5" customHeight="1">
      <c r="A40" s="22" t="str">
        <f>$A$10&amp;4</f>
        <v>17A.C4</v>
      </c>
      <c r="B40" s="23" t="s">
        <v>31</v>
      </c>
      <c r="C40" s="23" t="s">
        <v>515</v>
      </c>
      <c r="D40" s="22"/>
      <c r="E40" s="25"/>
      <c r="F40" s="25">
        <f>_xlfn.XLOOKUP(B40, Rate_Master!$A:$A, Rate_Master!$C:$C, "")</f>
        <v>0</v>
      </c>
      <c r="G40" s="25">
        <f>_xlfn.XLOOKUP(B40, Rate_Master!$A:$A, Rate_Master!$D:$D, "")</f>
        <v>0</v>
      </c>
      <c r="H40" s="26"/>
      <c r="I40" s="26">
        <f>SUBTOTAL(9,I41:I45)</f>
        <v>194364030</v>
      </c>
      <c r="J40" s="26"/>
    </row>
    <row r="41" spans="1:10" s="4" customFormat="1" ht="25.5" customHeight="1" outlineLevel="1">
      <c r="A41" s="27" t="str">
        <f>$A$40&amp;"."&amp;ROW()-ROW($A$40)</f>
        <v>17A.C4.1</v>
      </c>
      <c r="B41" s="28" t="s">
        <v>32</v>
      </c>
      <c r="C41" s="28" t="s">
        <v>515</v>
      </c>
      <c r="D41" s="29" t="s">
        <v>520</v>
      </c>
      <c r="E41" s="31">
        <v>37.299999999999997</v>
      </c>
      <c r="F41" s="30">
        <f>_xlfn.XLOOKUP(B41, Rate_Master!$A:$A, Rate_Master!$C:$C, "")</f>
        <v>80500</v>
      </c>
      <c r="G41" s="30">
        <f>_xlfn.XLOOKUP(B41, Rate_Master!$A:$A, Rate_Master!$D:$D, "")</f>
        <v>92000</v>
      </c>
      <c r="H41" s="66">
        <f>+G41+F41</f>
        <v>172500</v>
      </c>
      <c r="I41" s="32">
        <f>H41*E41</f>
        <v>6434249.9999999991</v>
      </c>
      <c r="J41" s="32"/>
    </row>
    <row r="42" spans="1:10" s="4" customFormat="1" ht="38.25" customHeight="1" outlineLevel="1">
      <c r="A42" s="27" t="str">
        <f>$A$40&amp;"."&amp;ROW()-ROW($A$40)</f>
        <v>17A.C4.2</v>
      </c>
      <c r="B42" s="28" t="s">
        <v>33</v>
      </c>
      <c r="C42" s="28" t="s">
        <v>515</v>
      </c>
      <c r="D42" s="29" t="s">
        <v>520</v>
      </c>
      <c r="E42" s="31">
        <v>178.47</v>
      </c>
      <c r="F42" s="30">
        <f>_xlfn.XLOOKUP(B42, Rate_Master!$A:$A, Rate_Master!$C:$C, "")</f>
        <v>126499.99999999999</v>
      </c>
      <c r="G42" s="30">
        <f>_xlfn.XLOOKUP(B42, Rate_Master!$A:$A, Rate_Master!$D:$D, "")</f>
        <v>103499.99999999999</v>
      </c>
      <c r="H42" s="66">
        <f>+G42+F42</f>
        <v>229999.99999999997</v>
      </c>
      <c r="I42" s="32">
        <f>H42*E42</f>
        <v>41048099.999999993</v>
      </c>
      <c r="J42" s="32"/>
    </row>
    <row r="43" spans="1:10" s="4" customFormat="1" ht="25.5" customHeight="1" outlineLevel="1">
      <c r="A43" s="27" t="str">
        <f>$A$40&amp;"."&amp;ROW()-ROW($A$40)</f>
        <v>17A.C4.3</v>
      </c>
      <c r="B43" s="28" t="s">
        <v>34</v>
      </c>
      <c r="C43" s="28" t="s">
        <v>515</v>
      </c>
      <c r="D43" s="29" t="s">
        <v>520</v>
      </c>
      <c r="E43" s="31">
        <v>118.48</v>
      </c>
      <c r="F43" s="30">
        <f>_xlfn.XLOOKUP(B43, Rate_Master!$A:$A, Rate_Master!$C:$C, "")</f>
        <v>126499.99999999999</v>
      </c>
      <c r="G43" s="30">
        <f>_xlfn.XLOOKUP(B43, Rate_Master!$A:$A, Rate_Master!$D:$D, "")</f>
        <v>149500</v>
      </c>
      <c r="H43" s="66">
        <f>+G43+F43</f>
        <v>276000</v>
      </c>
      <c r="I43" s="32">
        <f>H43*E43</f>
        <v>32700480</v>
      </c>
      <c r="J43" s="32"/>
    </row>
    <row r="44" spans="1:10" s="4" customFormat="1" ht="25.5" customHeight="1" outlineLevel="1">
      <c r="A44" s="27" t="str">
        <f>$A$40&amp;"."&amp;ROW()-ROW($A$40)</f>
        <v>17A.C4.4</v>
      </c>
      <c r="B44" s="28" t="s">
        <v>35</v>
      </c>
      <c r="C44" s="28" t="s">
        <v>515</v>
      </c>
      <c r="D44" s="29" t="s">
        <v>520</v>
      </c>
      <c r="E44" s="31">
        <v>472.8</v>
      </c>
      <c r="F44" s="30">
        <f>_xlfn.XLOOKUP(B44, Rate_Master!$A:$A, Rate_Master!$C:$C, "")</f>
        <v>126499.99999999999</v>
      </c>
      <c r="G44" s="30">
        <f>_xlfn.XLOOKUP(B44, Rate_Master!$A:$A, Rate_Master!$D:$D, "")</f>
        <v>114999.99999999999</v>
      </c>
      <c r="H44" s="66">
        <f>+G44+F44</f>
        <v>241499.99999999997</v>
      </c>
      <c r="I44" s="32">
        <f>H44*E44</f>
        <v>114181199.99999999</v>
      </c>
      <c r="J44" s="32"/>
    </row>
    <row r="45" spans="1:10" s="4" customFormat="1" ht="25.5" customHeight="1" outlineLevel="1">
      <c r="A45" s="27" t="str">
        <f>$A$40&amp;"."&amp;ROW()-ROW($A$40)</f>
        <v>17A.C4.5</v>
      </c>
      <c r="B45" s="28" t="s">
        <v>36</v>
      </c>
      <c r="C45" s="28" t="s">
        <v>515</v>
      </c>
      <c r="D45" s="29" t="s">
        <v>520</v>
      </c>
      <c r="E45" s="31">
        <v>0</v>
      </c>
      <c r="F45" s="30">
        <f>_xlfn.XLOOKUP(B45, Rate_Master!$A:$A, Rate_Master!$C:$C, "")</f>
        <v>126499.99999999999</v>
      </c>
      <c r="G45" s="30">
        <f>_xlfn.XLOOKUP(B45, Rate_Master!$A:$A, Rate_Master!$D:$D, "")</f>
        <v>97749.999999999985</v>
      </c>
      <c r="H45" s="32">
        <f>+G45+F45</f>
        <v>224249.99999999997</v>
      </c>
      <c r="I45" s="32">
        <f>H45*E45</f>
        <v>0</v>
      </c>
      <c r="J45" s="32"/>
    </row>
    <row r="46" spans="1:10" s="3" customFormat="1" ht="25.5" customHeight="1">
      <c r="A46" s="22" t="str">
        <f>$A$10&amp;5</f>
        <v>17A.C5</v>
      </c>
      <c r="B46" s="23" t="s">
        <v>37</v>
      </c>
      <c r="C46" s="23" t="s">
        <v>515</v>
      </c>
      <c r="D46" s="22"/>
      <c r="E46" s="25"/>
      <c r="F46" s="25">
        <f>_xlfn.XLOOKUP(B46, Rate_Master!$A:$A, Rate_Master!$C:$C, "")</f>
        <v>0</v>
      </c>
      <c r="G46" s="25">
        <f>_xlfn.XLOOKUP(B46, Rate_Master!$A:$A, Rate_Master!$D:$D, "")</f>
        <v>0</v>
      </c>
      <c r="H46" s="26"/>
      <c r="I46" s="26">
        <f>SUBTOTAL(9,I47:I51)</f>
        <v>593498042.83190131</v>
      </c>
      <c r="J46" s="26"/>
    </row>
    <row r="47" spans="1:10" s="4" customFormat="1" ht="38.25" customHeight="1" outlineLevel="1">
      <c r="A47" s="27" t="str">
        <f>$A$46&amp;"."&amp;ROW()-ROW($A$46)</f>
        <v>17A.C5.1</v>
      </c>
      <c r="B47" s="28" t="s">
        <v>38</v>
      </c>
      <c r="C47" s="28" t="s">
        <v>522</v>
      </c>
      <c r="D47" s="29" t="s">
        <v>523</v>
      </c>
      <c r="E47" s="31">
        <v>14076.070777777801</v>
      </c>
      <c r="F47" s="30">
        <f>_xlfn.XLOOKUP(B47, Rate_Master!$A:$A, Rate_Master!$C:$C, "")</f>
        <v>16770.564999999999</v>
      </c>
      <c r="G47" s="30">
        <f>_xlfn.XLOOKUP(B47, Rate_Master!$A:$A, Rate_Master!$D:$D, "")</f>
        <v>2875</v>
      </c>
      <c r="H47" s="66">
        <f>+G47+F47</f>
        <v>19645.564999999999</v>
      </c>
      <c r="I47" s="32">
        <f>H47*E47</f>
        <v>276532363.40943432</v>
      </c>
      <c r="J47" s="32"/>
    </row>
    <row r="48" spans="1:10" s="4" customFormat="1" ht="25.5" customHeight="1" outlineLevel="1">
      <c r="A48" s="27" t="str">
        <f>$A$46&amp;"."&amp;ROW()-ROW($A$46)</f>
        <v>17A.C5.2</v>
      </c>
      <c r="B48" s="28" t="s">
        <v>39</v>
      </c>
      <c r="C48" s="28" t="s">
        <v>522</v>
      </c>
      <c r="D48" s="29" t="s">
        <v>523</v>
      </c>
      <c r="E48" s="31">
        <v>3279.9560000000001</v>
      </c>
      <c r="F48" s="30">
        <f>_xlfn.XLOOKUP(B48, Rate_Master!$A:$A, Rate_Master!$C:$C, "")</f>
        <v>16770.564999999999</v>
      </c>
      <c r="G48" s="30">
        <f>_xlfn.XLOOKUP(B48, Rate_Master!$A:$A, Rate_Master!$D:$D, "")</f>
        <v>3679.9999999999995</v>
      </c>
      <c r="H48" s="66">
        <f>+G48+F48</f>
        <v>20450.564999999999</v>
      </c>
      <c r="I48" s="32">
        <f>H48*E48</f>
        <v>67076953.375139996</v>
      </c>
      <c r="J48" s="32"/>
    </row>
    <row r="49" spans="1:11" s="4" customFormat="1" ht="25.5" customHeight="1" outlineLevel="1">
      <c r="A49" s="27" t="str">
        <f>$A$46&amp;"."&amp;ROW()-ROW($A$46)</f>
        <v>17A.C5.3</v>
      </c>
      <c r="B49" s="28" t="s">
        <v>40</v>
      </c>
      <c r="C49" s="28" t="s">
        <v>522</v>
      </c>
      <c r="D49" s="29" t="s">
        <v>523</v>
      </c>
      <c r="E49" s="31">
        <v>10231.832</v>
      </c>
      <c r="F49" s="30">
        <f>_xlfn.XLOOKUP(B49, Rate_Master!$A:$A, Rate_Master!$C:$C, "")</f>
        <v>16770.564999999999</v>
      </c>
      <c r="G49" s="30">
        <f>_xlfn.XLOOKUP(B49, Rate_Master!$A:$A, Rate_Master!$D:$D, "")</f>
        <v>3449.9999999999995</v>
      </c>
      <c r="H49" s="66">
        <f>+G49+F49</f>
        <v>20220.564999999999</v>
      </c>
      <c r="I49" s="32">
        <f>H49*E49</f>
        <v>206893424.02508</v>
      </c>
      <c r="J49" s="32"/>
    </row>
    <row r="50" spans="1:11" s="4" customFormat="1" ht="25.5" customHeight="1" outlineLevel="1">
      <c r="A50" s="27" t="str">
        <f>$A$46&amp;"."&amp;ROW()-ROW($A$46)</f>
        <v>17A.C5.4</v>
      </c>
      <c r="B50" s="28" t="s">
        <v>41</v>
      </c>
      <c r="C50" s="28" t="s">
        <v>522</v>
      </c>
      <c r="D50" s="29" t="s">
        <v>523</v>
      </c>
      <c r="E50" s="31">
        <v>1765.5229999999999</v>
      </c>
      <c r="F50" s="30">
        <f>_xlfn.XLOOKUP(B50, Rate_Master!$A:$A, Rate_Master!$C:$C, "")</f>
        <v>16770.564999999999</v>
      </c>
      <c r="G50" s="30">
        <f>_xlfn.XLOOKUP(B50, Rate_Master!$A:$A, Rate_Master!$D:$D, "")</f>
        <v>3679.9999999999995</v>
      </c>
      <c r="H50" s="66">
        <f>+G50+F50</f>
        <v>20450.564999999999</v>
      </c>
      <c r="I50" s="32">
        <f>H50*E50</f>
        <v>36105942.870494999</v>
      </c>
      <c r="J50" s="32"/>
    </row>
    <row r="51" spans="1:11" s="4" customFormat="1" ht="25.5" customHeight="1" outlineLevel="1">
      <c r="A51" s="27" t="str">
        <f>$A$46&amp;"."&amp;ROW()-ROW($A$46)</f>
        <v>17A.C5.5</v>
      </c>
      <c r="B51" s="28" t="s">
        <v>42</v>
      </c>
      <c r="C51" s="28" t="s">
        <v>524</v>
      </c>
      <c r="D51" s="29" t="s">
        <v>523</v>
      </c>
      <c r="E51" s="31">
        <v>323.67720000000003</v>
      </c>
      <c r="F51" s="30">
        <f>_xlfn.XLOOKUP(B51, Rate_Master!$A:$A, Rate_Master!$C:$C, "")</f>
        <v>17834.66</v>
      </c>
      <c r="G51" s="30">
        <f>_xlfn.XLOOKUP(B51, Rate_Master!$A:$A, Rate_Master!$D:$D, "")</f>
        <v>3449.9999999999995</v>
      </c>
      <c r="H51" s="66">
        <f>+G51+F51</f>
        <v>21284.66</v>
      </c>
      <c r="I51" s="32">
        <f>H51*E51</f>
        <v>6889359.1517520007</v>
      </c>
      <c r="J51" s="32"/>
    </row>
    <row r="52" spans="1:11" s="3" customFormat="1" ht="25.5" customHeight="1">
      <c r="A52" s="22" t="str">
        <f>$A$10&amp;6</f>
        <v>17A.C6</v>
      </c>
      <c r="B52" s="23" t="s">
        <v>43</v>
      </c>
      <c r="C52" s="23" t="s">
        <v>515</v>
      </c>
      <c r="D52" s="22"/>
      <c r="E52" s="25"/>
      <c r="F52" s="25">
        <f>_xlfn.XLOOKUP(B52, Rate_Master!$A:$A, Rate_Master!$C:$C, "")</f>
        <v>0</v>
      </c>
      <c r="G52" s="25">
        <f>_xlfn.XLOOKUP(B52, Rate_Master!$A:$A, Rate_Master!$D:$D, "")</f>
        <v>0</v>
      </c>
      <c r="H52" s="26"/>
      <c r="I52" s="26">
        <f>SUBTOTAL(9,I53:I55)</f>
        <v>17231411.399999999</v>
      </c>
      <c r="J52" s="26"/>
    </row>
    <row r="53" spans="1:11" s="4" customFormat="1" ht="25.5" customHeight="1" outlineLevel="1">
      <c r="A53" s="27" t="str">
        <f>$A$52&amp;"."&amp;ROW()-ROW($A$52)</f>
        <v>17A.C6.1</v>
      </c>
      <c r="B53" s="28" t="s">
        <v>44</v>
      </c>
      <c r="C53" s="28" t="s">
        <v>515</v>
      </c>
      <c r="D53" s="29" t="s">
        <v>520</v>
      </c>
      <c r="E53" s="31">
        <v>535.13699999999994</v>
      </c>
      <c r="F53" s="30">
        <f>_xlfn.XLOOKUP(B53, Rate_Master!$A:$A, Rate_Master!$C:$C, "")</f>
        <v>14949.999999999998</v>
      </c>
      <c r="G53" s="30">
        <f>_xlfn.XLOOKUP(B53, Rate_Master!$A:$A, Rate_Master!$D:$D, "")</f>
        <v>17250</v>
      </c>
      <c r="H53" s="32">
        <f>+G53+F53</f>
        <v>32200</v>
      </c>
      <c r="I53" s="32">
        <f>H53*E53</f>
        <v>17231411.399999999</v>
      </c>
      <c r="J53" s="32"/>
    </row>
    <row r="54" spans="1:11" s="4" customFormat="1" ht="51" customHeight="1" outlineLevel="1">
      <c r="A54" s="27" t="str">
        <f>$A$52&amp;"."&amp;ROW()-ROW($A$52)</f>
        <v>17A.C6.2</v>
      </c>
      <c r="B54" s="34" t="s">
        <v>45</v>
      </c>
      <c r="C54" s="28" t="s">
        <v>515</v>
      </c>
      <c r="D54" s="29" t="s">
        <v>517</v>
      </c>
      <c r="E54" s="31">
        <v>0</v>
      </c>
      <c r="F54" s="30">
        <f>_xlfn.XLOOKUP(B54, Rate_Master!$A:$A, Rate_Master!$C:$C, "")</f>
        <v>5750</v>
      </c>
      <c r="G54" s="30">
        <f>_xlfn.XLOOKUP(B54, Rate_Master!$A:$A, Rate_Master!$D:$D, "")</f>
        <v>23000</v>
      </c>
      <c r="H54" s="32">
        <f>+G54+F54</f>
        <v>28750</v>
      </c>
      <c r="I54" s="32">
        <f>H54*E54</f>
        <v>0</v>
      </c>
      <c r="J54" s="32"/>
    </row>
    <row r="55" spans="1:11" s="4" customFormat="1" ht="38.25" customHeight="1" outlineLevel="1">
      <c r="A55" s="27" t="str">
        <f>$A$52&amp;"."&amp;ROW()-ROW($A$52)</f>
        <v>17A.C6.3</v>
      </c>
      <c r="B55" s="28" t="s">
        <v>46</v>
      </c>
      <c r="C55" s="28" t="s">
        <v>515</v>
      </c>
      <c r="D55" s="29" t="s">
        <v>517</v>
      </c>
      <c r="E55" s="31">
        <v>0</v>
      </c>
      <c r="F55" s="30">
        <f>_xlfn.XLOOKUP(B55, Rate_Master!$A:$A, Rate_Master!$C:$C, "")</f>
        <v>172500</v>
      </c>
      <c r="G55" s="30">
        <f>_xlfn.XLOOKUP(B55, Rate_Master!$A:$A, Rate_Master!$D:$D, "")</f>
        <v>57499.999999999993</v>
      </c>
      <c r="H55" s="32">
        <f>+G55+F55</f>
        <v>230000</v>
      </c>
      <c r="I55" s="32">
        <f>H55*E55</f>
        <v>0</v>
      </c>
      <c r="J55" s="32"/>
    </row>
    <row r="56" spans="1:11" s="3" customFormat="1" ht="25.5" customHeight="1">
      <c r="A56" s="22" t="str">
        <f>$A$9&amp;".S"</f>
        <v>17A.S</v>
      </c>
      <c r="B56" s="23" t="s">
        <v>47</v>
      </c>
      <c r="C56" s="23" t="s">
        <v>515</v>
      </c>
      <c r="D56" s="22"/>
      <c r="E56" s="25"/>
      <c r="F56" s="25">
        <f>_xlfn.XLOOKUP(B56, Rate_Master!$A:$A, Rate_Master!$C:$C, "")</f>
        <v>0</v>
      </c>
      <c r="G56" s="25">
        <f>_xlfn.XLOOKUP(B56, Rate_Master!$A:$A, Rate_Master!$D:$D, "")</f>
        <v>0</v>
      </c>
      <c r="H56" s="26"/>
      <c r="I56" s="26"/>
      <c r="J56" s="26"/>
    </row>
    <row r="57" spans="1:11" s="3" customFormat="1" ht="25.5" customHeight="1">
      <c r="A57" s="22" t="str">
        <f>$A$56&amp;1</f>
        <v>17A.S1</v>
      </c>
      <c r="B57" s="23" t="s">
        <v>48</v>
      </c>
      <c r="C57" s="23" t="s">
        <v>515</v>
      </c>
      <c r="D57" s="22"/>
      <c r="E57" s="25"/>
      <c r="F57" s="25">
        <f>_xlfn.XLOOKUP(B57, Rate_Master!$A:$A, Rate_Master!$C:$C, "")</f>
        <v>0</v>
      </c>
      <c r="G57" s="25">
        <f>_xlfn.XLOOKUP(B57, Rate_Master!$A:$A, Rate_Master!$D:$D, "")</f>
        <v>0</v>
      </c>
      <c r="H57" s="26"/>
      <c r="I57" s="26">
        <f>SUBTOTAL(9,I58:I72)</f>
        <v>198201369.03306651</v>
      </c>
      <c r="J57" s="26"/>
      <c r="K57" s="94" t="s">
        <v>579</v>
      </c>
    </row>
    <row r="58" spans="1:11" s="4" customFormat="1" ht="51" customHeight="1" outlineLevel="1">
      <c r="A58" s="27" t="str">
        <f t="shared" ref="A58:A72" si="9">$A$57&amp;"."&amp;ROW()-ROW($A$57)</f>
        <v>17A.S1.1</v>
      </c>
      <c r="B58" s="28" t="s">
        <v>49</v>
      </c>
      <c r="C58" s="28" t="s">
        <v>525</v>
      </c>
      <c r="D58" s="29" t="s">
        <v>523</v>
      </c>
      <c r="E58" s="31">
        <v>541.80071999999996</v>
      </c>
      <c r="F58" s="30">
        <f>_xlfn.XLOOKUP(B58, Rate_Master!$A:$A, Rate_Master!$C:$C, "")</f>
        <v>20475</v>
      </c>
      <c r="G58" s="30">
        <f>_xlfn.XLOOKUP(B58, Rate_Master!$A:$A, Rate_Master!$D:$D, "")</f>
        <v>0</v>
      </c>
      <c r="H58" s="67">
        <f t="shared" ref="H58:H72" si="10">F58+G58</f>
        <v>20475</v>
      </c>
      <c r="I58" s="32">
        <f t="shared" ref="I58:I72" si="11">H58*E58</f>
        <v>11093369.741999999</v>
      </c>
      <c r="J58" s="32"/>
    </row>
    <row r="59" spans="1:11" s="4" customFormat="1" ht="76.5" customHeight="1" outlineLevel="1">
      <c r="A59" s="27" t="str">
        <f t="shared" si="9"/>
        <v>17A.S1.2</v>
      </c>
      <c r="B59" s="28" t="s">
        <v>50</v>
      </c>
      <c r="C59" s="28" t="s">
        <v>526</v>
      </c>
      <c r="D59" s="29" t="s">
        <v>523</v>
      </c>
      <c r="E59" s="31">
        <v>3088.6768936500798</v>
      </c>
      <c r="F59" s="30">
        <f>_xlfn.XLOOKUP(B59, Rate_Master!$A:$A, Rate_Master!$C:$C, "")</f>
        <v>26775</v>
      </c>
      <c r="G59" s="30">
        <f>_xlfn.XLOOKUP(B59, Rate_Master!$A:$A, Rate_Master!$D:$D, "")</f>
        <v>0</v>
      </c>
      <c r="H59" s="67">
        <f t="shared" si="10"/>
        <v>26775</v>
      </c>
      <c r="I59" s="32">
        <f t="shared" si="11"/>
        <v>82699323.827480882</v>
      </c>
      <c r="J59" s="32"/>
    </row>
    <row r="60" spans="1:11" s="4" customFormat="1" ht="76.5" customHeight="1" outlineLevel="1">
      <c r="A60" s="27" t="str">
        <f t="shared" si="9"/>
        <v>17A.S1.3</v>
      </c>
      <c r="B60" s="28" t="s">
        <v>51</v>
      </c>
      <c r="C60" s="28" t="s">
        <v>527</v>
      </c>
      <c r="D60" s="29" t="s">
        <v>523</v>
      </c>
      <c r="E60" s="31">
        <v>233.120249231451</v>
      </c>
      <c r="F60" s="30">
        <f>_xlfn.XLOOKUP(B60, Rate_Master!$A:$A, Rate_Master!$C:$C, "")</f>
        <v>36750</v>
      </c>
      <c r="G60" s="30">
        <f>_xlfn.XLOOKUP(B60, Rate_Master!$A:$A, Rate_Master!$D:$D, "")</f>
        <v>0</v>
      </c>
      <c r="H60" s="67">
        <f t="shared" si="10"/>
        <v>36750</v>
      </c>
      <c r="I60" s="32">
        <f t="shared" si="11"/>
        <v>8567169.159255825</v>
      </c>
      <c r="J60" s="32"/>
    </row>
    <row r="61" spans="1:11" s="4" customFormat="1" ht="76.5" customHeight="1" outlineLevel="1">
      <c r="A61" s="27" t="str">
        <f t="shared" si="9"/>
        <v>17A.S1.4</v>
      </c>
      <c r="B61" s="28" t="s">
        <v>52</v>
      </c>
      <c r="C61" s="28" t="s">
        <v>527</v>
      </c>
      <c r="D61" s="29" t="s">
        <v>523</v>
      </c>
      <c r="E61" s="31">
        <v>0</v>
      </c>
      <c r="F61" s="30">
        <f>_xlfn.XLOOKUP(B61, Rate_Master!$A:$A, Rate_Master!$C:$C, "")</f>
        <v>26775</v>
      </c>
      <c r="G61" s="30">
        <f>_xlfn.XLOOKUP(B61, Rate_Master!$A:$A, Rate_Master!$D:$D, "")</f>
        <v>0</v>
      </c>
      <c r="H61" s="67">
        <f t="shared" si="10"/>
        <v>26775</v>
      </c>
      <c r="I61" s="32">
        <f t="shared" si="11"/>
        <v>0</v>
      </c>
      <c r="J61" s="32"/>
    </row>
    <row r="62" spans="1:11" s="4" customFormat="1" ht="25.5" customHeight="1" outlineLevel="1">
      <c r="A62" s="27" t="str">
        <f t="shared" si="9"/>
        <v>17A.S1.5</v>
      </c>
      <c r="B62" s="28" t="s">
        <v>53</v>
      </c>
      <c r="C62" s="28" t="s">
        <v>528</v>
      </c>
      <c r="D62" s="29" t="s">
        <v>523</v>
      </c>
      <c r="E62" s="31">
        <v>2195.8020000000001</v>
      </c>
      <c r="F62" s="30">
        <f>_xlfn.XLOOKUP(B62, Rate_Master!$A:$A, Rate_Master!$C:$C, "")</f>
        <v>22365</v>
      </c>
      <c r="G62" s="30">
        <f>_xlfn.XLOOKUP(B62, Rate_Master!$A:$A, Rate_Master!$D:$D, "")</f>
        <v>0</v>
      </c>
      <c r="H62" s="67">
        <f t="shared" si="10"/>
        <v>22365</v>
      </c>
      <c r="I62" s="32">
        <f t="shared" si="11"/>
        <v>49109111.730000004</v>
      </c>
      <c r="J62" s="32"/>
    </row>
    <row r="63" spans="1:11" s="4" customFormat="1" ht="38.25" customHeight="1" outlineLevel="1">
      <c r="A63" s="27" t="str">
        <f t="shared" si="9"/>
        <v>17A.S1.6</v>
      </c>
      <c r="B63" s="28" t="s">
        <v>54</v>
      </c>
      <c r="C63" s="28" t="s">
        <v>529</v>
      </c>
      <c r="D63" s="29" t="s">
        <v>523</v>
      </c>
      <c r="E63" s="31">
        <v>109.46529796236899</v>
      </c>
      <c r="F63" s="30">
        <f>_xlfn.XLOOKUP(B63, Rate_Master!$A:$A, Rate_Master!$C:$C, "")</f>
        <v>36750</v>
      </c>
      <c r="G63" s="30">
        <f>_xlfn.XLOOKUP(B63, Rate_Master!$A:$A, Rate_Master!$D:$D, "")</f>
        <v>0</v>
      </c>
      <c r="H63" s="67">
        <f t="shared" si="10"/>
        <v>36750</v>
      </c>
      <c r="I63" s="32">
        <f t="shared" si="11"/>
        <v>4022849.7001170604</v>
      </c>
      <c r="J63" s="32"/>
    </row>
    <row r="64" spans="1:11" s="4" customFormat="1" ht="25.5" customHeight="1" outlineLevel="1">
      <c r="A64" s="27" t="str">
        <f t="shared" si="9"/>
        <v>17A.S1.7</v>
      </c>
      <c r="B64" s="28" t="s">
        <v>55</v>
      </c>
      <c r="C64" s="28" t="s">
        <v>530</v>
      </c>
      <c r="D64" s="29" t="s">
        <v>523</v>
      </c>
      <c r="E64" s="31">
        <v>68.0595</v>
      </c>
      <c r="F64" s="30">
        <f>_xlfn.XLOOKUP(B64, Rate_Master!$A:$A, Rate_Master!$C:$C, "")</f>
        <v>27930</v>
      </c>
      <c r="G64" s="30">
        <f>_xlfn.XLOOKUP(B64, Rate_Master!$A:$A, Rate_Master!$D:$D, "")</f>
        <v>0</v>
      </c>
      <c r="H64" s="67">
        <f t="shared" si="10"/>
        <v>27930</v>
      </c>
      <c r="I64" s="32">
        <f t="shared" si="11"/>
        <v>1900901.835</v>
      </c>
      <c r="J64" s="32"/>
    </row>
    <row r="65" spans="1:10" s="4" customFormat="1" ht="25.5" customHeight="1" outlineLevel="1">
      <c r="A65" s="27" t="str">
        <f t="shared" si="9"/>
        <v>17A.S1.8</v>
      </c>
      <c r="B65" s="28" t="s">
        <v>56</v>
      </c>
      <c r="C65" s="28" t="s">
        <v>531</v>
      </c>
      <c r="D65" s="29" t="s">
        <v>523</v>
      </c>
      <c r="E65" s="31">
        <v>88</v>
      </c>
      <c r="F65" s="30">
        <f>_xlfn.XLOOKUP(B65, Rate_Master!$A:$A, Rate_Master!$C:$C, "")</f>
        <v>52500</v>
      </c>
      <c r="G65" s="30">
        <f>_xlfn.XLOOKUP(B65, Rate_Master!$A:$A, Rate_Master!$D:$D, "")</f>
        <v>0</v>
      </c>
      <c r="H65" s="67">
        <f t="shared" si="10"/>
        <v>52500</v>
      </c>
      <c r="I65" s="32">
        <f t="shared" si="11"/>
        <v>4620000</v>
      </c>
      <c r="J65" s="32"/>
    </row>
    <row r="66" spans="1:10" s="4" customFormat="1" ht="25.5" customHeight="1" outlineLevel="1">
      <c r="A66" s="27" t="str">
        <f t="shared" si="9"/>
        <v>17A.S1.9</v>
      </c>
      <c r="B66" s="28" t="s">
        <v>57</v>
      </c>
      <c r="C66" s="28" t="s">
        <v>532</v>
      </c>
      <c r="D66" s="29" t="s">
        <v>523</v>
      </c>
      <c r="E66" s="31">
        <v>27.52</v>
      </c>
      <c r="F66" s="30">
        <f>_xlfn.XLOOKUP(B66, Rate_Master!$A:$A, Rate_Master!$C:$C, "")</f>
        <v>60900</v>
      </c>
      <c r="G66" s="30">
        <f>_xlfn.XLOOKUP(B66, Rate_Master!$A:$A, Rate_Master!$D:$D, "")</f>
        <v>0</v>
      </c>
      <c r="H66" s="67">
        <f t="shared" si="10"/>
        <v>60900</v>
      </c>
      <c r="I66" s="32">
        <f t="shared" si="11"/>
        <v>1675968</v>
      </c>
      <c r="J66" s="32"/>
    </row>
    <row r="67" spans="1:10" s="4" customFormat="1" ht="25.5" customHeight="1" outlineLevel="1">
      <c r="A67" s="27" t="str">
        <f t="shared" si="9"/>
        <v>17A.S1.10</v>
      </c>
      <c r="B67" s="28" t="s">
        <v>58</v>
      </c>
      <c r="C67" s="28" t="s">
        <v>533</v>
      </c>
      <c r="D67" s="29" t="s">
        <v>523</v>
      </c>
      <c r="E67" s="31">
        <v>26.46</v>
      </c>
      <c r="F67" s="30">
        <f>_xlfn.XLOOKUP(B67, Rate_Master!$A:$A, Rate_Master!$C:$C, "")</f>
        <v>60900</v>
      </c>
      <c r="G67" s="30">
        <f>_xlfn.XLOOKUP(B67, Rate_Master!$A:$A, Rate_Master!$D:$D, "")</f>
        <v>0</v>
      </c>
      <c r="H67" s="67">
        <f t="shared" si="10"/>
        <v>60900</v>
      </c>
      <c r="I67" s="32">
        <f t="shared" si="11"/>
        <v>1611414</v>
      </c>
      <c r="J67" s="32"/>
    </row>
    <row r="68" spans="1:10" s="4" customFormat="1" ht="25.5" customHeight="1" outlineLevel="1">
      <c r="A68" s="27" t="str">
        <f t="shared" si="9"/>
        <v>17A.S1.11</v>
      </c>
      <c r="B68" s="28" t="s">
        <v>59</v>
      </c>
      <c r="C68" s="28" t="s">
        <v>534</v>
      </c>
      <c r="D68" s="29" t="s">
        <v>518</v>
      </c>
      <c r="E68" s="31">
        <v>0</v>
      </c>
      <c r="F68" s="30">
        <f>_xlfn.XLOOKUP(B68, Rate_Master!$A:$A, Rate_Master!$C:$C, "")</f>
        <v>21000</v>
      </c>
      <c r="G68" s="30">
        <f>_xlfn.XLOOKUP(B68, Rate_Master!$A:$A, Rate_Master!$D:$D, "")</f>
        <v>0</v>
      </c>
      <c r="H68" s="67">
        <f t="shared" si="10"/>
        <v>21000</v>
      </c>
      <c r="I68" s="32">
        <f t="shared" si="11"/>
        <v>0</v>
      </c>
      <c r="J68" s="32"/>
    </row>
    <row r="69" spans="1:10" s="4" customFormat="1" ht="25.5" customHeight="1" outlineLevel="1">
      <c r="A69" s="27" t="str">
        <f t="shared" si="9"/>
        <v>17A.S1.12</v>
      </c>
      <c r="B69" s="28" t="s">
        <v>60</v>
      </c>
      <c r="C69" s="28" t="s">
        <v>515</v>
      </c>
      <c r="D69" s="29" t="s">
        <v>523</v>
      </c>
      <c r="E69" s="31">
        <v>88</v>
      </c>
      <c r="F69" s="30">
        <f>_xlfn.XLOOKUP(B69, Rate_Master!$A:$A, Rate_Master!$C:$C, "")</f>
        <v>630</v>
      </c>
      <c r="G69" s="30">
        <f>_xlfn.XLOOKUP(B69, Rate_Master!$A:$A, Rate_Master!$D:$D, "")</f>
        <v>0</v>
      </c>
      <c r="H69" s="67">
        <f t="shared" si="10"/>
        <v>630</v>
      </c>
      <c r="I69" s="32">
        <f t="shared" si="11"/>
        <v>55440</v>
      </c>
      <c r="J69" s="32"/>
    </row>
    <row r="70" spans="1:10" s="4" customFormat="1" ht="25.5" customHeight="1" outlineLevel="1">
      <c r="A70" s="27" t="str">
        <f t="shared" si="9"/>
        <v>17A.S1.13</v>
      </c>
      <c r="B70" s="28" t="s">
        <v>61</v>
      </c>
      <c r="C70" s="28" t="s">
        <v>515</v>
      </c>
      <c r="D70" s="29" t="s">
        <v>523</v>
      </c>
      <c r="E70" s="31">
        <v>6236.9246608438998</v>
      </c>
      <c r="F70" s="30">
        <f>_xlfn.XLOOKUP(B70, Rate_Master!$A:$A, Rate_Master!$C:$C, "")</f>
        <v>630</v>
      </c>
      <c r="G70" s="30">
        <f>_xlfn.XLOOKUP(B70, Rate_Master!$A:$A, Rate_Master!$D:$D, "")</f>
        <v>0</v>
      </c>
      <c r="H70" s="67">
        <f t="shared" si="10"/>
        <v>630</v>
      </c>
      <c r="I70" s="32">
        <f t="shared" si="11"/>
        <v>3929262.5363316569</v>
      </c>
      <c r="J70" s="32"/>
    </row>
    <row r="71" spans="1:10" s="4" customFormat="1" ht="25.5" customHeight="1" outlineLevel="1">
      <c r="A71" s="27" t="str">
        <f t="shared" si="9"/>
        <v>17A.S1.14</v>
      </c>
      <c r="B71" s="28" t="s">
        <v>62</v>
      </c>
      <c r="C71" s="28" t="s">
        <v>515</v>
      </c>
      <c r="D71" s="29" t="s">
        <v>518</v>
      </c>
      <c r="E71" s="31">
        <v>40</v>
      </c>
      <c r="F71" s="30">
        <f>_xlfn.XLOOKUP(B71, Rate_Master!$A:$A, Rate_Master!$C:$C, "")</f>
        <v>0</v>
      </c>
      <c r="G71" s="30">
        <f>_xlfn.XLOOKUP(B71, Rate_Master!$A:$A, Rate_Master!$D:$D, "")</f>
        <v>264500</v>
      </c>
      <c r="H71" s="67">
        <f t="shared" si="10"/>
        <v>264500</v>
      </c>
      <c r="I71" s="32">
        <f t="shared" si="11"/>
        <v>10580000</v>
      </c>
      <c r="J71" s="32"/>
    </row>
    <row r="72" spans="1:10" s="4" customFormat="1" ht="25.5" customHeight="1" outlineLevel="1">
      <c r="A72" s="27" t="str">
        <f t="shared" si="9"/>
        <v>17A.S1.15</v>
      </c>
      <c r="B72" s="28" t="s">
        <v>63</v>
      </c>
      <c r="C72" s="28" t="s">
        <v>515</v>
      </c>
      <c r="D72" s="29" t="s">
        <v>523</v>
      </c>
      <c r="E72" s="31">
        <v>6236.9246608438998</v>
      </c>
      <c r="F72" s="30">
        <f>_xlfn.XLOOKUP(B72, Rate_Master!$A:$A, Rate_Master!$C:$C, "")</f>
        <v>2940</v>
      </c>
      <c r="G72" s="30">
        <f>_xlfn.XLOOKUP(B72, Rate_Master!$A:$A, Rate_Master!$D:$D, "")</f>
        <v>0</v>
      </c>
      <c r="H72" s="67">
        <f t="shared" si="10"/>
        <v>2940</v>
      </c>
      <c r="I72" s="32">
        <f t="shared" si="11"/>
        <v>18336558.502881065</v>
      </c>
      <c r="J72" s="32"/>
    </row>
    <row r="73" spans="1:10" s="3" customFormat="1" ht="25.5" customHeight="1">
      <c r="A73" s="22" t="str">
        <f>$A$56&amp;2</f>
        <v>17A.S2</v>
      </c>
      <c r="B73" s="23" t="s">
        <v>64</v>
      </c>
      <c r="C73" s="23" t="s">
        <v>515</v>
      </c>
      <c r="D73" s="22"/>
      <c r="E73" s="25"/>
      <c r="F73" s="25">
        <f>_xlfn.XLOOKUP(B73, Rate_Master!$A:$A, Rate_Master!$C:$C, "")</f>
        <v>0</v>
      </c>
      <c r="G73" s="25">
        <f>_xlfn.XLOOKUP(B73, Rate_Master!$A:$A, Rate_Master!$D:$D, "")</f>
        <v>0</v>
      </c>
      <c r="H73" s="68"/>
      <c r="I73" s="26">
        <f>SUBTOTAL(9,I74:I78)</f>
        <v>0</v>
      </c>
      <c r="J73" s="26"/>
    </row>
    <row r="74" spans="1:10" s="4" customFormat="1" ht="25.5" customHeight="1" outlineLevel="1">
      <c r="A74" s="37" t="str">
        <f>$A$73&amp;"."&amp;ROW()-ROW($A$73)</f>
        <v>17A.S2.1</v>
      </c>
      <c r="B74" s="38" t="s">
        <v>65</v>
      </c>
      <c r="C74" s="38" t="s">
        <v>535</v>
      </c>
      <c r="D74" s="39" t="s">
        <v>520</v>
      </c>
      <c r="E74" s="40">
        <v>0</v>
      </c>
      <c r="F74" s="42">
        <f>_xlfn.XLOOKUP(B74, Rate_Master!$A:$A, Rate_Master!$C:$C, "")</f>
        <v>0</v>
      </c>
      <c r="G74" s="42">
        <f>_xlfn.XLOOKUP(B74, Rate_Master!$A:$A, Rate_Master!$D:$D, "")</f>
        <v>0</v>
      </c>
      <c r="H74" s="69"/>
      <c r="I74" s="41">
        <f>H74*E74</f>
        <v>0</v>
      </c>
      <c r="J74" s="41"/>
    </row>
    <row r="75" spans="1:10" s="4" customFormat="1" ht="25.5" customHeight="1" outlineLevel="1">
      <c r="A75" s="37" t="str">
        <f>$A$73&amp;"."&amp;ROW()-ROW($A$73)</f>
        <v>17A.S2.2</v>
      </c>
      <c r="B75" s="38" t="s">
        <v>66</v>
      </c>
      <c r="C75" s="38" t="s">
        <v>536</v>
      </c>
      <c r="D75" s="39" t="s">
        <v>518</v>
      </c>
      <c r="E75" s="40">
        <v>0</v>
      </c>
      <c r="F75" s="42">
        <f>_xlfn.XLOOKUP(B75, Rate_Master!$A:$A, Rate_Master!$C:$C, "")</f>
        <v>0</v>
      </c>
      <c r="G75" s="42">
        <f>_xlfn.XLOOKUP(B75, Rate_Master!$A:$A, Rate_Master!$D:$D, "")</f>
        <v>0</v>
      </c>
      <c r="H75" s="69"/>
      <c r="I75" s="41">
        <f>H75*E75</f>
        <v>0</v>
      </c>
      <c r="J75" s="41"/>
    </row>
    <row r="76" spans="1:10" s="4" customFormat="1" ht="25.5" customHeight="1" outlineLevel="1">
      <c r="A76" s="37" t="str">
        <f>$A$73&amp;"."&amp;ROW()-ROW($A$73)</f>
        <v>17A.S2.3</v>
      </c>
      <c r="B76" s="38" t="s">
        <v>67</v>
      </c>
      <c r="C76" s="38" t="s">
        <v>515</v>
      </c>
      <c r="D76" s="39" t="s">
        <v>520</v>
      </c>
      <c r="E76" s="40">
        <v>0</v>
      </c>
      <c r="F76" s="42">
        <f>_xlfn.XLOOKUP(B76, Rate_Master!$A:$A, Rate_Master!$C:$C, "")</f>
        <v>0</v>
      </c>
      <c r="G76" s="42">
        <f>_xlfn.XLOOKUP(B76, Rate_Master!$A:$A, Rate_Master!$D:$D, "")</f>
        <v>0</v>
      </c>
      <c r="H76" s="69"/>
      <c r="I76" s="41">
        <f>H76*E76</f>
        <v>0</v>
      </c>
      <c r="J76" s="41"/>
    </row>
    <row r="77" spans="1:10" s="4" customFormat="1" ht="25.5" customHeight="1" outlineLevel="1">
      <c r="A77" s="37" t="str">
        <f>$A$73&amp;"."&amp;ROW()-ROW($A$73)</f>
        <v>17A.S2.4</v>
      </c>
      <c r="B77" s="38" t="s">
        <v>68</v>
      </c>
      <c r="C77" s="38" t="s">
        <v>515</v>
      </c>
      <c r="D77" s="39" t="s">
        <v>457</v>
      </c>
      <c r="E77" s="40">
        <v>0</v>
      </c>
      <c r="F77" s="42">
        <f>_xlfn.XLOOKUP(B77, Rate_Master!$A:$A, Rate_Master!$C:$C, "")</f>
        <v>0</v>
      </c>
      <c r="G77" s="42">
        <f>_xlfn.XLOOKUP(B77, Rate_Master!$A:$A, Rate_Master!$D:$D, "")</f>
        <v>0</v>
      </c>
      <c r="H77" s="69"/>
      <c r="I77" s="41">
        <f>H77*E77</f>
        <v>0</v>
      </c>
      <c r="J77" s="41"/>
    </row>
    <row r="78" spans="1:10" s="4" customFormat="1" ht="25.5" customHeight="1" outlineLevel="1">
      <c r="A78" s="37" t="str">
        <f>$A$73&amp;"."&amp;ROW()-ROW($A$73)</f>
        <v>17A.S2.5</v>
      </c>
      <c r="B78" s="38" t="s">
        <v>69</v>
      </c>
      <c r="C78" s="38" t="s">
        <v>515</v>
      </c>
      <c r="D78" s="39" t="s">
        <v>520</v>
      </c>
      <c r="E78" s="40">
        <v>0</v>
      </c>
      <c r="F78" s="42">
        <f>_xlfn.XLOOKUP(B78, Rate_Master!$A:$A, Rate_Master!$C:$C, "")</f>
        <v>0</v>
      </c>
      <c r="G78" s="42">
        <f>_xlfn.XLOOKUP(B78, Rate_Master!$A:$A, Rate_Master!$D:$D, "")</f>
        <v>0</v>
      </c>
      <c r="H78" s="69"/>
      <c r="I78" s="41">
        <f>H78*E78</f>
        <v>0</v>
      </c>
      <c r="J78" s="41"/>
    </row>
    <row r="79" spans="1:10" s="3" customFormat="1" ht="25.5" customHeight="1">
      <c r="A79" s="22" t="str">
        <f>$A$56&amp;3</f>
        <v>17A.S3</v>
      </c>
      <c r="B79" s="23" t="s">
        <v>70</v>
      </c>
      <c r="C79" s="23" t="s">
        <v>515</v>
      </c>
      <c r="D79" s="22"/>
      <c r="E79" s="25"/>
      <c r="F79" s="25">
        <f>_xlfn.XLOOKUP(B79, Rate_Master!$A:$A, Rate_Master!$C:$C, "")</f>
        <v>0</v>
      </c>
      <c r="G79" s="25">
        <f>_xlfn.XLOOKUP(B79, Rate_Master!$A:$A, Rate_Master!$D:$D, "")</f>
        <v>0</v>
      </c>
      <c r="H79" s="68"/>
      <c r="I79" s="26">
        <f>SUBTOTAL(9,I80:I93)</f>
        <v>360548117.14236712</v>
      </c>
      <c r="J79" s="26"/>
    </row>
    <row r="80" spans="1:10" s="4" customFormat="1" ht="51" customHeight="1" outlineLevel="1">
      <c r="A80" s="27" t="str">
        <f t="shared" ref="A80:A93" si="12">$A$79&amp;"."&amp;ROW()-ROW($A$79)</f>
        <v>17A.S3.1</v>
      </c>
      <c r="B80" s="28" t="s">
        <v>71</v>
      </c>
      <c r="C80" s="28" t="str">
        <f>+'16A'!C80</f>
        <v xml:space="preserve">Tôn liên doanh Việt hàn, AZ170
</v>
      </c>
      <c r="D80" s="29" t="s">
        <v>520</v>
      </c>
      <c r="E80" s="31">
        <v>0</v>
      </c>
      <c r="F80" s="30">
        <f>_xlfn.XLOOKUP(B80, Rate_Master!$A:$A, Rate_Master!$C:$C, "")</f>
        <v>248399.99999999997</v>
      </c>
      <c r="G80" s="30">
        <f>_xlfn.XLOOKUP(B80, Rate_Master!$A:$A, Rate_Master!$D:$D, "")</f>
        <v>34500</v>
      </c>
      <c r="H80" s="67">
        <f t="shared" ref="H80:H93" si="13">F80+G80</f>
        <v>282900</v>
      </c>
      <c r="I80" s="32">
        <f t="shared" ref="I80:I93" si="14">H80*E80</f>
        <v>0</v>
      </c>
      <c r="J80" s="32"/>
    </row>
    <row r="81" spans="1:10" s="4" customFormat="1" ht="51" customHeight="1" outlineLevel="1">
      <c r="A81" s="27" t="str">
        <f t="shared" si="12"/>
        <v>17A.S3.2</v>
      </c>
      <c r="B81" s="28" t="s">
        <v>72</v>
      </c>
      <c r="C81" s="28" t="str">
        <f>+'16A'!C81</f>
        <v xml:space="preserve">Tôn liên doanh Việt hàn, AZ170
</v>
      </c>
      <c r="D81" s="29" t="s">
        <v>520</v>
      </c>
      <c r="E81" s="31">
        <v>0</v>
      </c>
      <c r="F81" s="30">
        <f>_xlfn.XLOOKUP(B81, Rate_Master!$A:$A, Rate_Master!$C:$C, "")</f>
        <v>206999.99999999997</v>
      </c>
      <c r="G81" s="30">
        <f>_xlfn.XLOOKUP(B81, Rate_Master!$A:$A, Rate_Master!$D:$D, "")</f>
        <v>34500</v>
      </c>
      <c r="H81" s="67">
        <f t="shared" si="13"/>
        <v>241499.99999999997</v>
      </c>
      <c r="I81" s="32">
        <f t="shared" si="14"/>
        <v>0</v>
      </c>
      <c r="J81" s="32"/>
    </row>
    <row r="82" spans="1:10" s="4" customFormat="1" ht="63.75" customHeight="1" outlineLevel="1">
      <c r="A82" s="27" t="str">
        <f t="shared" si="12"/>
        <v>17A.S3.3</v>
      </c>
      <c r="B82" s="28" t="s">
        <v>73</v>
      </c>
      <c r="C82" s="28" t="str">
        <f>+'16A'!C82</f>
        <v xml:space="preserve">Tôn liên doanh Việt hàn, AZ170
</v>
      </c>
      <c r="D82" s="29" t="s">
        <v>520</v>
      </c>
      <c r="E82" s="31">
        <v>406.8</v>
      </c>
      <c r="F82" s="30">
        <f>_xlfn.XLOOKUP(B82, Rate_Master!$A:$A, Rate_Master!$C:$C, "")</f>
        <v>195499.99999999997</v>
      </c>
      <c r="G82" s="30">
        <f>_xlfn.XLOOKUP(B82, Rate_Master!$A:$A, Rate_Master!$D:$D, "")</f>
        <v>34500</v>
      </c>
      <c r="H82" s="67">
        <f t="shared" si="13"/>
        <v>229999.99999999997</v>
      </c>
      <c r="I82" s="32">
        <f t="shared" si="14"/>
        <v>93563999.999999985</v>
      </c>
      <c r="J82" s="32"/>
    </row>
    <row r="83" spans="1:10" s="4" customFormat="1" ht="25.5" customHeight="1" outlineLevel="1">
      <c r="A83" s="27" t="str">
        <f t="shared" si="12"/>
        <v>17A.S3.4</v>
      </c>
      <c r="B83" s="28" t="s">
        <v>74</v>
      </c>
      <c r="C83" s="28" t="s">
        <v>515</v>
      </c>
      <c r="D83" s="29" t="s">
        <v>520</v>
      </c>
      <c r="E83" s="31">
        <v>0</v>
      </c>
      <c r="F83" s="30">
        <f>_xlfn.XLOOKUP(B83, Rate_Master!$A:$A, Rate_Master!$C:$C, "")</f>
        <v>23000</v>
      </c>
      <c r="G83" s="30">
        <f>_xlfn.XLOOKUP(B83, Rate_Master!$A:$A, Rate_Master!$D:$D, "")</f>
        <v>11500</v>
      </c>
      <c r="H83" s="67">
        <f t="shared" si="13"/>
        <v>34500</v>
      </c>
      <c r="I83" s="32">
        <f t="shared" si="14"/>
        <v>0</v>
      </c>
      <c r="J83" s="32"/>
    </row>
    <row r="84" spans="1:10" s="4" customFormat="1" ht="25.5" customHeight="1" outlineLevel="1">
      <c r="A84" s="27" t="str">
        <f t="shared" si="12"/>
        <v>17A.S3.5</v>
      </c>
      <c r="B84" s="28" t="s">
        <v>75</v>
      </c>
      <c r="C84" s="28" t="s">
        <v>538</v>
      </c>
      <c r="D84" s="29" t="s">
        <v>517</v>
      </c>
      <c r="E84" s="31">
        <v>57.9</v>
      </c>
      <c r="F84" s="30">
        <f>_xlfn.XLOOKUP(B84, Rate_Master!$A:$A, Rate_Master!$C:$C, "")</f>
        <v>110399.99999999999</v>
      </c>
      <c r="G84" s="30">
        <f>_xlfn.XLOOKUP(B84, Rate_Master!$A:$A, Rate_Master!$D:$D, "")</f>
        <v>17250</v>
      </c>
      <c r="H84" s="67">
        <f t="shared" si="13"/>
        <v>127649.99999999999</v>
      </c>
      <c r="I84" s="32">
        <f t="shared" si="14"/>
        <v>7390934.9999999991</v>
      </c>
      <c r="J84" s="32"/>
    </row>
    <row r="85" spans="1:10" s="4" customFormat="1" ht="25.5" customHeight="1" outlineLevel="1">
      <c r="A85" s="27" t="str">
        <f t="shared" si="12"/>
        <v>17A.S3.6</v>
      </c>
      <c r="B85" s="28" t="s">
        <v>75</v>
      </c>
      <c r="C85" s="28" t="s">
        <v>539</v>
      </c>
      <c r="D85" s="29" t="s">
        <v>517</v>
      </c>
      <c r="E85" s="31">
        <v>24</v>
      </c>
      <c r="F85" s="30">
        <f>_xlfn.XLOOKUP(B85, Rate_Master!$A:$A, Rate_Master!$C:$C, "")</f>
        <v>110399.99999999999</v>
      </c>
      <c r="G85" s="30">
        <f>_xlfn.XLOOKUP(B85, Rate_Master!$A:$A, Rate_Master!$D:$D, "")</f>
        <v>17250</v>
      </c>
      <c r="H85" s="67">
        <f t="shared" si="13"/>
        <v>127649.99999999999</v>
      </c>
      <c r="I85" s="32">
        <f t="shared" si="14"/>
        <v>3063599.9999999995</v>
      </c>
      <c r="J85" s="32"/>
    </row>
    <row r="86" spans="1:10" s="4" customFormat="1" ht="25.5" customHeight="1" outlineLevel="1">
      <c r="A86" s="27" t="str">
        <f t="shared" si="12"/>
        <v>17A.S3.7</v>
      </c>
      <c r="B86" s="28" t="s">
        <v>76</v>
      </c>
      <c r="C86" s="28" t="s">
        <v>540</v>
      </c>
      <c r="D86" s="29" t="s">
        <v>517</v>
      </c>
      <c r="E86" s="31">
        <v>0</v>
      </c>
      <c r="F86" s="30">
        <f>_xlfn.XLOOKUP(B86, Rate_Master!$A:$A, Rate_Master!$C:$C, "")</f>
        <v>1976115.3983999996</v>
      </c>
      <c r="G86" s="30">
        <f>_xlfn.XLOOKUP(B86, Rate_Master!$A:$A, Rate_Master!$D:$D, "")</f>
        <v>28749.999999999996</v>
      </c>
      <c r="H86" s="67">
        <f t="shared" si="13"/>
        <v>2004865.3983999996</v>
      </c>
      <c r="I86" s="32">
        <f t="shared" si="14"/>
        <v>0</v>
      </c>
      <c r="J86" s="32"/>
    </row>
    <row r="87" spans="1:10" s="4" customFormat="1" ht="25.5" customHeight="1" outlineLevel="1">
      <c r="A87" s="27" t="str">
        <f t="shared" si="12"/>
        <v>17A.S3.8</v>
      </c>
      <c r="B87" s="28" t="s">
        <v>77</v>
      </c>
      <c r="C87" s="28" t="s">
        <v>541</v>
      </c>
      <c r="D87" s="29" t="s">
        <v>517</v>
      </c>
      <c r="E87" s="31">
        <v>24</v>
      </c>
      <c r="F87" s="30">
        <f>_xlfn.XLOOKUP(B87, Rate_Master!$A:$A, Rate_Master!$C:$C, "")</f>
        <v>1077881.1263999997</v>
      </c>
      <c r="G87" s="30">
        <f>_xlfn.XLOOKUP(B87, Rate_Master!$A:$A, Rate_Master!$D:$D, "")</f>
        <v>23000</v>
      </c>
      <c r="H87" s="67">
        <f t="shared" si="13"/>
        <v>1100881.1263999997</v>
      </c>
      <c r="I87" s="32">
        <f t="shared" si="14"/>
        <v>26421147.033599995</v>
      </c>
      <c r="J87" s="32"/>
    </row>
    <row r="88" spans="1:10" s="4" customFormat="1" ht="25.5" customHeight="1" outlineLevel="1">
      <c r="A88" s="27" t="str">
        <f t="shared" si="12"/>
        <v>17A.S3.9</v>
      </c>
      <c r="B88" s="28" t="s">
        <v>205</v>
      </c>
      <c r="C88" s="28" t="s">
        <v>515</v>
      </c>
      <c r="D88" s="29" t="s">
        <v>518</v>
      </c>
      <c r="E88" s="31">
        <v>4</v>
      </c>
      <c r="F88" s="30">
        <f>_xlfn.XLOOKUP(B88, Rate_Master!$A:$A, Rate_Master!$C:$C, "")</f>
        <v>112699.99999999999</v>
      </c>
      <c r="G88" s="30">
        <f>_xlfn.XLOOKUP(B88, Rate_Master!$A:$A, Rate_Master!$D:$D, "")</f>
        <v>0</v>
      </c>
      <c r="H88" s="67">
        <f t="shared" si="13"/>
        <v>112699.99999999999</v>
      </c>
      <c r="I88" s="32">
        <f t="shared" si="14"/>
        <v>450799.99999999994</v>
      </c>
      <c r="J88" s="32"/>
    </row>
    <row r="89" spans="1:10" s="4" customFormat="1" ht="63.75" customHeight="1" outlineLevel="1">
      <c r="A89" s="27" t="str">
        <f t="shared" si="12"/>
        <v>17A.S3.10</v>
      </c>
      <c r="B89" s="28" t="s">
        <v>206</v>
      </c>
      <c r="C89" s="28" t="s">
        <v>542</v>
      </c>
      <c r="D89" s="29" t="s">
        <v>517</v>
      </c>
      <c r="E89" s="31">
        <v>40</v>
      </c>
      <c r="F89" s="30">
        <f>_xlfn.XLOOKUP(B89, Rate_Master!$A:$A, Rate_Master!$C:$C, "")</f>
        <v>162150</v>
      </c>
      <c r="G89" s="30">
        <f>_xlfn.XLOOKUP(B89, Rate_Master!$A:$A, Rate_Master!$D:$D, "")</f>
        <v>0</v>
      </c>
      <c r="H89" s="67">
        <f t="shared" si="13"/>
        <v>162150</v>
      </c>
      <c r="I89" s="32">
        <f t="shared" si="14"/>
        <v>6486000</v>
      </c>
      <c r="J89" s="32"/>
    </row>
    <row r="90" spans="1:10" s="4" customFormat="1" ht="25.5" customHeight="1" outlineLevel="1">
      <c r="A90" s="27" t="str">
        <f t="shared" si="12"/>
        <v>17A.S3.11</v>
      </c>
      <c r="B90" s="28" t="s">
        <v>80</v>
      </c>
      <c r="C90" s="28" t="s">
        <v>515</v>
      </c>
      <c r="D90" s="29" t="s">
        <v>457</v>
      </c>
      <c r="E90" s="31">
        <v>1</v>
      </c>
      <c r="F90" s="30">
        <f>_xlfn.XLOOKUP(B90, Rate_Master!$A:$A, Rate_Master!$C:$C, "")</f>
        <v>0</v>
      </c>
      <c r="G90" s="30">
        <f>_xlfn.XLOOKUP(B90, Rate_Master!$A:$A, Rate_Master!$D:$D, "")</f>
        <v>57499999.999999993</v>
      </c>
      <c r="H90" s="67">
        <f t="shared" si="13"/>
        <v>57499999.999999993</v>
      </c>
      <c r="I90" s="32">
        <f t="shared" si="14"/>
        <v>57499999.999999993</v>
      </c>
      <c r="J90" s="32"/>
    </row>
    <row r="91" spans="1:10" s="4" customFormat="1" ht="25.5" customHeight="1" outlineLevel="1">
      <c r="A91" s="27" t="str">
        <f t="shared" si="12"/>
        <v>17A.S3.12</v>
      </c>
      <c r="B91" s="28" t="s">
        <v>81</v>
      </c>
      <c r="C91" s="28" t="s">
        <v>515</v>
      </c>
      <c r="D91" s="29" t="s">
        <v>520</v>
      </c>
      <c r="E91" s="31">
        <v>406.8</v>
      </c>
      <c r="F91" s="30">
        <f>_xlfn.XLOOKUP(B91, Rate_Master!$A:$A, Rate_Master!$C:$C, "")</f>
        <v>0</v>
      </c>
      <c r="G91" s="30">
        <f>_xlfn.XLOOKUP(B91, Rate_Master!$A:$A, Rate_Master!$D:$D, "")</f>
        <v>40250</v>
      </c>
      <c r="H91" s="67">
        <f t="shared" si="13"/>
        <v>40250</v>
      </c>
      <c r="I91" s="32">
        <f t="shared" si="14"/>
        <v>16373700</v>
      </c>
      <c r="J91" s="32"/>
    </row>
    <row r="92" spans="1:10" s="4" customFormat="1" ht="38.25" customHeight="1" outlineLevel="1">
      <c r="A92" s="27" t="str">
        <f t="shared" si="12"/>
        <v>17A.S3.13</v>
      </c>
      <c r="B92" s="28" t="s">
        <v>82</v>
      </c>
      <c r="C92" s="28" t="s">
        <v>515</v>
      </c>
      <c r="D92" s="29" t="s">
        <v>517</v>
      </c>
      <c r="E92" s="31">
        <v>145.9</v>
      </c>
      <c r="F92" s="30">
        <f>_xlfn.XLOOKUP(B92, Rate_Master!$A:$A, Rate_Master!$C:$C, "")</f>
        <v>0</v>
      </c>
      <c r="G92" s="30">
        <f>_xlfn.XLOOKUP(B92, Rate_Master!$A:$A, Rate_Master!$D:$D, "")</f>
        <v>23000</v>
      </c>
      <c r="H92" s="67">
        <f t="shared" si="13"/>
        <v>23000</v>
      </c>
      <c r="I92" s="32">
        <f t="shared" si="14"/>
        <v>3355700</v>
      </c>
      <c r="J92" s="32"/>
    </row>
    <row r="93" spans="1:10" s="4" customFormat="1" ht="25.5" customHeight="1" outlineLevel="1">
      <c r="A93" s="27" t="str">
        <f t="shared" si="12"/>
        <v>17A.S3.14</v>
      </c>
      <c r="B93" s="28" t="s">
        <v>83</v>
      </c>
      <c r="C93" s="28" t="s">
        <v>543</v>
      </c>
      <c r="D93" s="29" t="s">
        <v>457</v>
      </c>
      <c r="E93" s="31">
        <v>1</v>
      </c>
      <c r="F93" s="30">
        <f>_xlfn.XLOOKUP(B93, Rate_Master!$A:$A, Rate_Master!$C:$C, "")</f>
        <v>145942235.10876715</v>
      </c>
      <c r="G93" s="30">
        <f>_xlfn.XLOOKUP(B93, Rate_Master!$A:$A, Rate_Master!$D:$D, "")</f>
        <v>0</v>
      </c>
      <c r="H93" s="67">
        <f t="shared" si="13"/>
        <v>145942235.10876715</v>
      </c>
      <c r="I93" s="32">
        <f t="shared" si="14"/>
        <v>145942235.10876715</v>
      </c>
      <c r="J93" s="32"/>
    </row>
    <row r="94" spans="1:10" s="3" customFormat="1" ht="25.5" customHeight="1">
      <c r="A94" s="22" t="str">
        <f>$A$56&amp;4</f>
        <v>17A.S4</v>
      </c>
      <c r="B94" s="23" t="s">
        <v>84</v>
      </c>
      <c r="C94" s="23" t="s">
        <v>515</v>
      </c>
      <c r="D94" s="22"/>
      <c r="E94" s="25"/>
      <c r="F94" s="25">
        <f>_xlfn.XLOOKUP(B94, Rate_Master!$A:$A, Rate_Master!$C:$C, "")</f>
        <v>0</v>
      </c>
      <c r="G94" s="25">
        <f>_xlfn.XLOOKUP(B94, Rate_Master!$A:$A, Rate_Master!$D:$D, "")</f>
        <v>0</v>
      </c>
      <c r="H94" s="68"/>
      <c r="I94" s="26">
        <f>SUBTOTAL(9,I95:I102)</f>
        <v>0</v>
      </c>
      <c r="J94" s="26"/>
    </row>
    <row r="95" spans="1:10" s="4" customFormat="1" ht="38.25" customHeight="1" outlineLevel="1">
      <c r="A95" s="27" t="str">
        <f t="shared" ref="A95:A102" si="15">$A$94&amp;"."&amp;ROW()-ROW($A$94)</f>
        <v>17A.S4.1</v>
      </c>
      <c r="B95" s="28" t="s">
        <v>85</v>
      </c>
      <c r="C95" s="28" t="s">
        <v>544</v>
      </c>
      <c r="D95" s="29" t="s">
        <v>517</v>
      </c>
      <c r="E95" s="31">
        <v>0</v>
      </c>
      <c r="F95" s="30">
        <f>_xlfn.XLOOKUP(B95, Rate_Master!$A:$A, Rate_Master!$C:$C, "")</f>
        <v>5175000</v>
      </c>
      <c r="G95" s="30">
        <f>_xlfn.XLOOKUP(B95, Rate_Master!$A:$A, Rate_Master!$D:$D, "")</f>
        <v>0</v>
      </c>
      <c r="H95" s="67"/>
      <c r="I95" s="32">
        <f t="shared" ref="I95:I102" si="16">H95*E95</f>
        <v>0</v>
      </c>
      <c r="J95" s="32"/>
    </row>
    <row r="96" spans="1:10" s="4" customFormat="1" ht="38.25" customHeight="1" outlineLevel="1">
      <c r="A96" s="27" t="str">
        <f t="shared" si="15"/>
        <v>17A.S4.2</v>
      </c>
      <c r="B96" s="28" t="s">
        <v>86</v>
      </c>
      <c r="C96" s="28" t="s">
        <v>545</v>
      </c>
      <c r="D96" s="29" t="s">
        <v>517</v>
      </c>
      <c r="E96" s="31">
        <v>0</v>
      </c>
      <c r="F96" s="30">
        <f>_xlfn.XLOOKUP(B96, Rate_Master!$A:$A, Rate_Master!$C:$C, "")</f>
        <v>0</v>
      </c>
      <c r="G96" s="30">
        <f>_xlfn.XLOOKUP(B96, Rate_Master!$A:$A, Rate_Master!$D:$D, "")</f>
        <v>0</v>
      </c>
      <c r="H96" s="67"/>
      <c r="I96" s="32">
        <f t="shared" si="16"/>
        <v>0</v>
      </c>
      <c r="J96" s="32"/>
    </row>
    <row r="97" spans="1:10" s="4" customFormat="1" ht="38.25" customHeight="1" outlineLevel="1">
      <c r="A97" s="27" t="str">
        <f t="shared" si="15"/>
        <v>17A.S4.3</v>
      </c>
      <c r="B97" s="28" t="s">
        <v>87</v>
      </c>
      <c r="C97" s="28" t="s">
        <v>546</v>
      </c>
      <c r="D97" s="29" t="s">
        <v>517</v>
      </c>
      <c r="E97" s="31">
        <v>0</v>
      </c>
      <c r="F97" s="30">
        <f>_xlfn.XLOOKUP(B97, Rate_Master!$A:$A, Rate_Master!$C:$C, "")</f>
        <v>0</v>
      </c>
      <c r="G97" s="30">
        <f>_xlfn.XLOOKUP(B97, Rate_Master!$A:$A, Rate_Master!$D:$D, "")</f>
        <v>0</v>
      </c>
      <c r="H97" s="67"/>
      <c r="I97" s="32">
        <f t="shared" si="16"/>
        <v>0</v>
      </c>
      <c r="J97" s="32"/>
    </row>
    <row r="98" spans="1:10" s="4" customFormat="1" ht="25.5" customHeight="1" outlineLevel="1">
      <c r="A98" s="27" t="str">
        <f t="shared" si="15"/>
        <v>17A.S4.4</v>
      </c>
      <c r="B98" s="28" t="s">
        <v>88</v>
      </c>
      <c r="C98" s="28" t="s">
        <v>546</v>
      </c>
      <c r="D98" s="29" t="s">
        <v>517</v>
      </c>
      <c r="E98" s="31">
        <v>0</v>
      </c>
      <c r="F98" s="30">
        <f>_xlfn.XLOOKUP(B98, Rate_Master!$A:$A, Rate_Master!$C:$C, "")</f>
        <v>0</v>
      </c>
      <c r="G98" s="30">
        <f>_xlfn.XLOOKUP(B98, Rate_Master!$A:$A, Rate_Master!$D:$D, "")</f>
        <v>0</v>
      </c>
      <c r="H98" s="67"/>
      <c r="I98" s="32">
        <f t="shared" si="16"/>
        <v>0</v>
      </c>
      <c r="J98" s="32"/>
    </row>
    <row r="99" spans="1:10" s="4" customFormat="1" ht="51" customHeight="1" outlineLevel="1">
      <c r="A99" s="27" t="str">
        <f t="shared" si="15"/>
        <v>17A.S4.5</v>
      </c>
      <c r="B99" s="28" t="s">
        <v>89</v>
      </c>
      <c r="C99" s="28" t="s">
        <v>547</v>
      </c>
      <c r="D99" s="29" t="s">
        <v>520</v>
      </c>
      <c r="E99" s="31">
        <v>0</v>
      </c>
      <c r="F99" s="30">
        <f>_xlfn.XLOOKUP(B99, Rate_Master!$A:$A, Rate_Master!$C:$C, "")</f>
        <v>17250</v>
      </c>
      <c r="G99" s="30">
        <f>_xlfn.XLOOKUP(B99, Rate_Master!$A:$A, Rate_Master!$D:$D, "")</f>
        <v>5750</v>
      </c>
      <c r="H99" s="67"/>
      <c r="I99" s="32">
        <f t="shared" si="16"/>
        <v>0</v>
      </c>
      <c r="J99" s="32"/>
    </row>
    <row r="100" spans="1:10" s="4" customFormat="1" ht="38.25" customHeight="1" outlineLevel="1">
      <c r="A100" s="27" t="str">
        <f t="shared" si="15"/>
        <v>17A.S4.6</v>
      </c>
      <c r="B100" s="28" t="s">
        <v>90</v>
      </c>
      <c r="C100" s="28" t="s">
        <v>548</v>
      </c>
      <c r="D100" s="29" t="s">
        <v>520</v>
      </c>
      <c r="E100" s="31">
        <v>0</v>
      </c>
      <c r="F100" s="30">
        <f>_xlfn.XLOOKUP(B100, Rate_Master!$A:$A, Rate_Master!$C:$C, "")</f>
        <v>0</v>
      </c>
      <c r="G100" s="30">
        <f>_xlfn.XLOOKUP(B100, Rate_Master!$A:$A, Rate_Master!$D:$D, "")</f>
        <v>0</v>
      </c>
      <c r="H100" s="67"/>
      <c r="I100" s="32">
        <f t="shared" si="16"/>
        <v>0</v>
      </c>
      <c r="J100" s="32"/>
    </row>
    <row r="101" spans="1:10" s="4" customFormat="1" ht="25.5" customHeight="1" outlineLevel="1">
      <c r="A101" s="27" t="str">
        <f t="shared" si="15"/>
        <v>17A.S4.7</v>
      </c>
      <c r="B101" s="28" t="s">
        <v>91</v>
      </c>
      <c r="C101" s="28" t="s">
        <v>515</v>
      </c>
      <c r="D101" s="29" t="s">
        <v>457</v>
      </c>
      <c r="E101" s="31">
        <v>0</v>
      </c>
      <c r="F101" s="30">
        <f>_xlfn.XLOOKUP(B101, Rate_Master!$A:$A, Rate_Master!$C:$C, "")</f>
        <v>0</v>
      </c>
      <c r="G101" s="30">
        <f>_xlfn.XLOOKUP(B101, Rate_Master!$A:$A, Rate_Master!$D:$D, "")</f>
        <v>0</v>
      </c>
      <c r="H101" s="67"/>
      <c r="I101" s="32">
        <f t="shared" si="16"/>
        <v>0</v>
      </c>
      <c r="J101" s="32"/>
    </row>
    <row r="102" spans="1:10" s="4" customFormat="1" ht="51" customHeight="1" outlineLevel="1">
      <c r="A102" s="27" t="str">
        <f t="shared" si="15"/>
        <v>17A.S4.8</v>
      </c>
      <c r="B102" s="28" t="s">
        <v>92</v>
      </c>
      <c r="C102" s="28" t="s">
        <v>550</v>
      </c>
      <c r="D102" s="29" t="s">
        <v>520</v>
      </c>
      <c r="E102" s="31">
        <v>0</v>
      </c>
      <c r="F102" s="30">
        <f>_xlfn.XLOOKUP(B102, Rate_Master!$A:$A, Rate_Master!$C:$C, "")</f>
        <v>16099.999999999998</v>
      </c>
      <c r="G102" s="30">
        <f>_xlfn.XLOOKUP(B102, Rate_Master!$A:$A, Rate_Master!$D:$D, "")</f>
        <v>3449.9999999999995</v>
      </c>
      <c r="H102" s="67">
        <f>F102+G102</f>
        <v>19549.999999999996</v>
      </c>
      <c r="I102" s="32">
        <f t="shared" si="16"/>
        <v>0</v>
      </c>
      <c r="J102" s="32"/>
    </row>
    <row r="103" spans="1:10" s="3" customFormat="1" ht="25.5" customHeight="1">
      <c r="A103" s="22" t="str">
        <f>$A$9&amp;".F"</f>
        <v>17A.F</v>
      </c>
      <c r="B103" s="23" t="s">
        <v>93</v>
      </c>
      <c r="C103" s="23" t="s">
        <v>515</v>
      </c>
      <c r="D103" s="22"/>
      <c r="E103" s="25"/>
      <c r="F103" s="25">
        <f>_xlfn.XLOOKUP(B103, Rate_Master!$A:$A, Rate_Master!$C:$C, "")</f>
        <v>0</v>
      </c>
      <c r="G103" s="25">
        <f>_xlfn.XLOOKUP(B103, Rate_Master!$A:$A, Rate_Master!$D:$D, "")</f>
        <v>0</v>
      </c>
      <c r="H103" s="26">
        <f>F103+G103</f>
        <v>0</v>
      </c>
      <c r="I103" s="26"/>
      <c r="J103" s="26"/>
    </row>
    <row r="104" spans="1:10" s="3" customFormat="1" ht="25.5" customHeight="1">
      <c r="A104" s="22" t="str">
        <f>$A$103&amp;1</f>
        <v>17A.F1</v>
      </c>
      <c r="B104" s="23" t="s">
        <v>94</v>
      </c>
      <c r="C104" s="23" t="s">
        <v>515</v>
      </c>
      <c r="D104" s="22"/>
      <c r="E104" s="25"/>
      <c r="F104" s="25">
        <f>_xlfn.XLOOKUP(B104, Rate_Master!$A:$A, Rate_Master!$C:$C, "")</f>
        <v>0</v>
      </c>
      <c r="G104" s="25">
        <f>_xlfn.XLOOKUP(B104, Rate_Master!$A:$A, Rate_Master!$D:$D, "")</f>
        <v>0</v>
      </c>
      <c r="H104" s="26">
        <f>F104+G104</f>
        <v>0</v>
      </c>
      <c r="I104" s="26">
        <f>SUBTOTAL(9,I105:I122)</f>
        <v>684830194.75514376</v>
      </c>
      <c r="J104" s="26"/>
    </row>
    <row r="105" spans="1:10" s="4" customFormat="1" ht="25.5" customHeight="1" outlineLevel="1">
      <c r="A105" s="27" t="str">
        <f t="shared" ref="A105:A122" si="17">$A$104&amp;"."&amp;ROW()-ROW($A$104)</f>
        <v>17A.F1.1</v>
      </c>
      <c r="B105" s="35" t="s">
        <v>95</v>
      </c>
      <c r="C105" s="34" t="s">
        <v>551</v>
      </c>
      <c r="D105" s="29" t="s">
        <v>519</v>
      </c>
      <c r="E105" s="31">
        <v>109.461</v>
      </c>
      <c r="F105" s="30">
        <f>_xlfn.XLOOKUP(B105, Rate_Master!$A:$A, Rate_Master!$C:$C, "")</f>
        <v>1587600.0077618286</v>
      </c>
      <c r="G105" s="30">
        <f>_xlfn.XLOOKUP(B105, Rate_Master!$A:$A, Rate_Master!$D:$D, "")</f>
        <v>1086539.80861244</v>
      </c>
      <c r="H105" s="32">
        <f>+G105+F105</f>
        <v>2674139.8163742684</v>
      </c>
      <c r="I105" s="32">
        <f t="shared" ref="I105:I122" si="18">H105*E105</f>
        <v>292714018.44014376</v>
      </c>
      <c r="J105" s="32"/>
    </row>
    <row r="106" spans="1:10" s="4" customFormat="1" ht="25.5" customHeight="1" outlineLevel="1">
      <c r="A106" s="27" t="str">
        <f t="shared" si="17"/>
        <v>17A.F1.2</v>
      </c>
      <c r="B106" s="35" t="s">
        <v>96</v>
      </c>
      <c r="C106" s="34" t="s">
        <v>551</v>
      </c>
      <c r="D106" s="29" t="s">
        <v>519</v>
      </c>
      <c r="E106" s="31">
        <v>0</v>
      </c>
      <c r="F106" s="30">
        <f>_xlfn.XLOOKUP(B106, Rate_Master!$A:$A, Rate_Master!$C:$C, "")</f>
        <v>1368500</v>
      </c>
      <c r="G106" s="30">
        <f>_xlfn.XLOOKUP(B106, Rate_Master!$A:$A, Rate_Master!$D:$D, "")</f>
        <v>948749.99999999988</v>
      </c>
      <c r="H106" s="32">
        <v>0</v>
      </c>
      <c r="I106" s="32">
        <f t="shared" si="18"/>
        <v>0</v>
      </c>
      <c r="J106" s="32"/>
    </row>
    <row r="107" spans="1:10" s="4" customFormat="1" ht="63.75" customHeight="1" outlineLevel="1">
      <c r="A107" s="27" t="str">
        <f t="shared" si="17"/>
        <v>17A.F1.3</v>
      </c>
      <c r="B107" s="28" t="s">
        <v>97</v>
      </c>
      <c r="C107" s="34" t="s">
        <v>552</v>
      </c>
      <c r="D107" s="29" t="s">
        <v>520</v>
      </c>
      <c r="E107" s="31">
        <v>0</v>
      </c>
      <c r="F107" s="31">
        <f>_xlfn.XLOOKUP(B107, Rate_Master!$A:$A, Rate_Master!$C:$C, "")</f>
        <v>229999.99999999997</v>
      </c>
      <c r="G107" s="31">
        <f>_xlfn.XLOOKUP(B107, Rate_Master!$A:$A, Rate_Master!$D:$D, "")</f>
        <v>46000</v>
      </c>
      <c r="H107" s="32">
        <v>0</v>
      </c>
      <c r="I107" s="32">
        <f t="shared" si="18"/>
        <v>0</v>
      </c>
      <c r="J107" s="32"/>
    </row>
    <row r="108" spans="1:10" s="4" customFormat="1" ht="51" customHeight="1" outlineLevel="1">
      <c r="A108" s="27" t="str">
        <f t="shared" si="17"/>
        <v>17A.F1.4</v>
      </c>
      <c r="B108" s="28" t="s">
        <v>98</v>
      </c>
      <c r="C108" s="34" t="s">
        <v>553</v>
      </c>
      <c r="D108" s="29" t="s">
        <v>520</v>
      </c>
      <c r="E108" s="31">
        <v>0</v>
      </c>
      <c r="F108" s="31">
        <f>_xlfn.XLOOKUP(B108, Rate_Master!$A:$A, Rate_Master!$C:$C, "")</f>
        <v>0</v>
      </c>
      <c r="G108" s="31">
        <f>_xlfn.XLOOKUP(B108, Rate_Master!$A:$A, Rate_Master!$D:$D, "")</f>
        <v>0</v>
      </c>
      <c r="H108" s="32">
        <v>0</v>
      </c>
      <c r="I108" s="32">
        <f t="shared" si="18"/>
        <v>0</v>
      </c>
      <c r="J108" s="32"/>
    </row>
    <row r="109" spans="1:10" s="4" customFormat="1" ht="51" customHeight="1" outlineLevel="1">
      <c r="A109" s="27" t="str">
        <f t="shared" si="17"/>
        <v>17A.F1.5</v>
      </c>
      <c r="B109" s="28" t="s">
        <v>99</v>
      </c>
      <c r="C109" s="34" t="s">
        <v>553</v>
      </c>
      <c r="D109" s="29" t="s">
        <v>520</v>
      </c>
      <c r="E109" s="31">
        <v>0</v>
      </c>
      <c r="F109" s="31">
        <f>_xlfn.XLOOKUP(B109, Rate_Master!$A:$A, Rate_Master!$C:$C, "")</f>
        <v>931499.99999999988</v>
      </c>
      <c r="G109" s="31">
        <f>_xlfn.XLOOKUP(B109, Rate_Master!$A:$A, Rate_Master!$D:$D, "")</f>
        <v>114999.99999999999</v>
      </c>
      <c r="H109" s="32">
        <v>0</v>
      </c>
      <c r="I109" s="32">
        <f t="shared" si="18"/>
        <v>0</v>
      </c>
      <c r="J109" s="32"/>
    </row>
    <row r="110" spans="1:10" s="4" customFormat="1" ht="25.5" customHeight="1" outlineLevel="1">
      <c r="A110" s="27" t="str">
        <f t="shared" si="17"/>
        <v>17A.F1.6</v>
      </c>
      <c r="B110" s="28" t="s">
        <v>100</v>
      </c>
      <c r="C110" s="34" t="s">
        <v>554</v>
      </c>
      <c r="D110" s="29" t="s">
        <v>520</v>
      </c>
      <c r="E110" s="31">
        <v>0</v>
      </c>
      <c r="F110" s="31">
        <f>_xlfn.XLOOKUP(B110, Rate_Master!$A:$A, Rate_Master!$C:$C, "")</f>
        <v>1586790</v>
      </c>
      <c r="G110" s="31">
        <f>_xlfn.XLOOKUP(B110, Rate_Master!$A:$A, Rate_Master!$D:$D, "")</f>
        <v>372210</v>
      </c>
      <c r="H110" s="32">
        <v>0</v>
      </c>
      <c r="I110" s="32">
        <f t="shared" si="18"/>
        <v>0</v>
      </c>
      <c r="J110" s="32"/>
    </row>
    <row r="111" spans="1:10" s="4" customFormat="1" ht="51" customHeight="1" outlineLevel="1">
      <c r="A111" s="27" t="str">
        <f t="shared" si="17"/>
        <v>17A.F1.7</v>
      </c>
      <c r="B111" s="28" t="s">
        <v>101</v>
      </c>
      <c r="C111" s="28" t="s">
        <v>515</v>
      </c>
      <c r="D111" s="29" t="s">
        <v>520</v>
      </c>
      <c r="E111" s="31">
        <v>0</v>
      </c>
      <c r="F111" s="31">
        <f>_xlfn.XLOOKUP(B111, Rate_Master!$A:$A, Rate_Master!$C:$C, "")</f>
        <v>1121250</v>
      </c>
      <c r="G111" s="31">
        <f>_xlfn.XLOOKUP(B111, Rate_Master!$A:$A, Rate_Master!$D:$D, "")</f>
        <v>114999.99999999999</v>
      </c>
      <c r="H111" s="32">
        <v>0</v>
      </c>
      <c r="I111" s="32">
        <f t="shared" si="18"/>
        <v>0</v>
      </c>
      <c r="J111" s="32"/>
    </row>
    <row r="112" spans="1:10" s="4" customFormat="1" ht="51" customHeight="1" outlineLevel="1">
      <c r="A112" s="27" t="str">
        <f t="shared" si="17"/>
        <v>17A.F1.8</v>
      </c>
      <c r="B112" s="28" t="s">
        <v>102</v>
      </c>
      <c r="C112" s="34" t="s">
        <v>555</v>
      </c>
      <c r="D112" s="29" t="s">
        <v>520</v>
      </c>
      <c r="E112" s="31">
        <v>0</v>
      </c>
      <c r="F112" s="31">
        <f>_xlfn.XLOOKUP(B112, Rate_Master!$A:$A, Rate_Master!$C:$C, "")</f>
        <v>0</v>
      </c>
      <c r="G112" s="31">
        <f>_xlfn.XLOOKUP(B112, Rate_Master!$A:$A, Rate_Master!$D:$D, "")</f>
        <v>0</v>
      </c>
      <c r="H112" s="32">
        <v>0</v>
      </c>
      <c r="I112" s="32">
        <f t="shared" si="18"/>
        <v>0</v>
      </c>
      <c r="J112" s="32"/>
    </row>
    <row r="113" spans="1:10" s="4" customFormat="1" ht="51" customHeight="1" outlineLevel="1">
      <c r="A113" s="27" t="str">
        <f t="shared" si="17"/>
        <v>17A.F1.9</v>
      </c>
      <c r="B113" s="28" t="s">
        <v>103</v>
      </c>
      <c r="C113" s="34" t="s">
        <v>555</v>
      </c>
      <c r="D113" s="29" t="s">
        <v>520</v>
      </c>
      <c r="E113" s="31">
        <v>0</v>
      </c>
      <c r="F113" s="31">
        <f>_xlfn.XLOOKUP(B113, Rate_Master!$A:$A, Rate_Master!$C:$C, "")</f>
        <v>0</v>
      </c>
      <c r="G113" s="31">
        <f>_xlfn.XLOOKUP(B113, Rate_Master!$A:$A, Rate_Master!$D:$D, "")</f>
        <v>0</v>
      </c>
      <c r="H113" s="32">
        <v>0</v>
      </c>
      <c r="I113" s="32">
        <f t="shared" si="18"/>
        <v>0</v>
      </c>
      <c r="J113" s="32"/>
    </row>
    <row r="114" spans="1:10" s="4" customFormat="1" ht="25.5" customHeight="1" outlineLevel="1">
      <c r="A114" s="27" t="str">
        <f t="shared" si="17"/>
        <v>17A.F1.10</v>
      </c>
      <c r="B114" s="28" t="s">
        <v>104</v>
      </c>
      <c r="C114" s="28" t="s">
        <v>515</v>
      </c>
      <c r="D114" s="29" t="s">
        <v>520</v>
      </c>
      <c r="E114" s="31">
        <v>479.7</v>
      </c>
      <c r="F114" s="30">
        <f>_xlfn.XLOOKUP(B114, Rate_Master!$A:$A, Rate_Master!$C:$C, "")</f>
        <v>46000</v>
      </c>
      <c r="G114" s="30">
        <f>_xlfn.XLOOKUP(B114, Rate_Master!$A:$A, Rate_Master!$D:$D, "")</f>
        <v>34500</v>
      </c>
      <c r="H114" s="32">
        <f t="shared" ref="H114:H122" si="19">+G114+F114</f>
        <v>80500</v>
      </c>
      <c r="I114" s="32">
        <f t="shared" si="18"/>
        <v>38615850</v>
      </c>
      <c r="J114" s="32"/>
    </row>
    <row r="115" spans="1:10" s="4" customFormat="1" ht="25.5" customHeight="1" outlineLevel="1">
      <c r="A115" s="27" t="str">
        <f t="shared" si="17"/>
        <v>17A.F1.11</v>
      </c>
      <c r="B115" s="28" t="s">
        <v>105</v>
      </c>
      <c r="C115" s="34" t="s">
        <v>556</v>
      </c>
      <c r="D115" s="29" t="s">
        <v>520</v>
      </c>
      <c r="E115" s="31">
        <v>524.91999999999996</v>
      </c>
      <c r="F115" s="30">
        <f>_xlfn.XLOOKUP(B115, Rate_Master!$A:$A, Rate_Master!$C:$C, "")</f>
        <v>26565.000000000004</v>
      </c>
      <c r="G115" s="30">
        <f>_xlfn.XLOOKUP(B115, Rate_Master!$A:$A, Rate_Master!$D:$D, "")</f>
        <v>132250</v>
      </c>
      <c r="H115" s="32">
        <f t="shared" si="19"/>
        <v>158815</v>
      </c>
      <c r="I115" s="32">
        <f t="shared" si="18"/>
        <v>83365169.799999997</v>
      </c>
      <c r="J115" s="32"/>
    </row>
    <row r="116" spans="1:10" s="4" customFormat="1" ht="25.5" customHeight="1" outlineLevel="1">
      <c r="A116" s="27" t="str">
        <f t="shared" si="17"/>
        <v>17A.F1.12</v>
      </c>
      <c r="B116" s="28" t="s">
        <v>106</v>
      </c>
      <c r="C116" s="34" t="s">
        <v>556</v>
      </c>
      <c r="D116" s="29" t="s">
        <v>520</v>
      </c>
      <c r="E116" s="31">
        <v>632.36099999999999</v>
      </c>
      <c r="F116" s="30">
        <f>_xlfn.XLOOKUP(B116, Rate_Master!$A:$A, Rate_Master!$C:$C, "")</f>
        <v>26565.000000000004</v>
      </c>
      <c r="G116" s="30">
        <f>_xlfn.XLOOKUP(B116, Rate_Master!$A:$A, Rate_Master!$D:$D, "")</f>
        <v>117299.99999999999</v>
      </c>
      <c r="H116" s="32">
        <f t="shared" si="19"/>
        <v>143865</v>
      </c>
      <c r="I116" s="32">
        <f t="shared" si="18"/>
        <v>90974615.265000001</v>
      </c>
      <c r="J116" s="32"/>
    </row>
    <row r="117" spans="1:10" s="4" customFormat="1" ht="53.25" customHeight="1" outlineLevel="1">
      <c r="A117" s="27" t="str">
        <f t="shared" si="17"/>
        <v>17A.F1.13</v>
      </c>
      <c r="B117" s="28" t="s">
        <v>107</v>
      </c>
      <c r="C117" s="28" t="s">
        <v>515</v>
      </c>
      <c r="D117" s="29" t="s">
        <v>520</v>
      </c>
      <c r="E117" s="31">
        <v>0</v>
      </c>
      <c r="F117" s="31">
        <f>_xlfn.XLOOKUP(B117, Rate_Master!$A:$A, Rate_Master!$C:$C, "")</f>
        <v>218499.99999999997</v>
      </c>
      <c r="G117" s="31">
        <f>_xlfn.XLOOKUP(B117, Rate_Master!$A:$A, Rate_Master!$D:$D, "")</f>
        <v>138000</v>
      </c>
      <c r="H117" s="32">
        <f t="shared" si="19"/>
        <v>356500</v>
      </c>
      <c r="I117" s="32">
        <f t="shared" si="18"/>
        <v>0</v>
      </c>
      <c r="J117" s="32"/>
    </row>
    <row r="118" spans="1:10" s="4" customFormat="1" ht="25.5" customHeight="1" outlineLevel="1">
      <c r="A118" s="27" t="str">
        <f t="shared" si="17"/>
        <v>17A.F1.14</v>
      </c>
      <c r="B118" s="34" t="s">
        <v>108</v>
      </c>
      <c r="C118" s="28" t="s">
        <v>515</v>
      </c>
      <c r="D118" s="29" t="s">
        <v>520</v>
      </c>
      <c r="E118" s="31">
        <v>524.91999999999996</v>
      </c>
      <c r="F118" s="30">
        <f>_xlfn.XLOOKUP(B118, Rate_Master!$A:$A, Rate_Master!$C:$C, "")</f>
        <v>51749.999999999993</v>
      </c>
      <c r="G118" s="30">
        <f>_xlfn.XLOOKUP(B118, Rate_Master!$A:$A, Rate_Master!$D:$D, "")</f>
        <v>34500</v>
      </c>
      <c r="H118" s="32">
        <f t="shared" si="19"/>
        <v>86250</v>
      </c>
      <c r="I118" s="32">
        <f t="shared" si="18"/>
        <v>45274350</v>
      </c>
      <c r="J118" s="32"/>
    </row>
    <row r="119" spans="1:10" s="4" customFormat="1" ht="25.5" customHeight="1" outlineLevel="1">
      <c r="A119" s="27" t="str">
        <f t="shared" si="17"/>
        <v>17A.F1.15</v>
      </c>
      <c r="B119" s="34" t="s">
        <v>109</v>
      </c>
      <c r="C119" s="28" t="s">
        <v>515</v>
      </c>
      <c r="D119" s="29" t="s">
        <v>520</v>
      </c>
      <c r="E119" s="31">
        <v>0</v>
      </c>
      <c r="F119" s="31">
        <f>_xlfn.XLOOKUP(B119, Rate_Master!$A:$A, Rate_Master!$C:$C, "")</f>
        <v>46000</v>
      </c>
      <c r="G119" s="31">
        <f>_xlfn.XLOOKUP(B119, Rate_Master!$A:$A, Rate_Master!$D:$D, "")</f>
        <v>19550</v>
      </c>
      <c r="H119" s="32">
        <f t="shared" si="19"/>
        <v>65550</v>
      </c>
      <c r="I119" s="32">
        <f t="shared" si="18"/>
        <v>0</v>
      </c>
      <c r="J119" s="32"/>
    </row>
    <row r="120" spans="1:10" s="4" customFormat="1" ht="38.25" customHeight="1" outlineLevel="1">
      <c r="A120" s="27" t="str">
        <f t="shared" si="17"/>
        <v>17A.F1.16</v>
      </c>
      <c r="B120" s="34" t="s">
        <v>110</v>
      </c>
      <c r="C120" s="28" t="s">
        <v>515</v>
      </c>
      <c r="D120" s="29" t="s">
        <v>520</v>
      </c>
      <c r="E120" s="31">
        <v>0</v>
      </c>
      <c r="F120" s="31">
        <f>_xlfn.XLOOKUP(B120, Rate_Master!$A:$A, Rate_Master!$C:$C, "")</f>
        <v>51749.999999999993</v>
      </c>
      <c r="G120" s="31">
        <f>_xlfn.XLOOKUP(B120, Rate_Master!$A:$A, Rate_Master!$D:$D, "")</f>
        <v>17250</v>
      </c>
      <c r="H120" s="32">
        <f t="shared" si="19"/>
        <v>69000</v>
      </c>
      <c r="I120" s="32">
        <f t="shared" si="18"/>
        <v>0</v>
      </c>
      <c r="J120" s="32"/>
    </row>
    <row r="121" spans="1:10" s="4" customFormat="1" ht="25.5" customHeight="1" outlineLevel="1">
      <c r="A121" s="27" t="str">
        <f t="shared" si="17"/>
        <v>17A.F1.17</v>
      </c>
      <c r="B121" s="34" t="s">
        <v>111</v>
      </c>
      <c r="C121" s="28" t="s">
        <v>515</v>
      </c>
      <c r="D121" s="29" t="s">
        <v>520</v>
      </c>
      <c r="E121" s="31">
        <v>632.36099999999999</v>
      </c>
      <c r="F121" s="31">
        <f>_xlfn.XLOOKUP(B121, Rate_Master!$A:$A, Rate_Master!$C:$C, "")</f>
        <v>172500</v>
      </c>
      <c r="G121" s="31">
        <f>_xlfn.XLOOKUP(B121, Rate_Master!$A:$A, Rate_Master!$D:$D, "")</f>
        <v>28749.999999999996</v>
      </c>
      <c r="H121" s="32">
        <f t="shared" si="19"/>
        <v>201250</v>
      </c>
      <c r="I121" s="32">
        <f t="shared" si="18"/>
        <v>127262651.25</v>
      </c>
      <c r="J121" s="32"/>
    </row>
    <row r="122" spans="1:10" s="4" customFormat="1" ht="38.25" customHeight="1" outlineLevel="1">
      <c r="A122" s="27" t="str">
        <f t="shared" si="17"/>
        <v>17A.F1.18</v>
      </c>
      <c r="B122" s="34" t="s">
        <v>112</v>
      </c>
      <c r="C122" s="34" t="s">
        <v>557</v>
      </c>
      <c r="D122" s="29" t="s">
        <v>517</v>
      </c>
      <c r="E122" s="31">
        <v>30.8</v>
      </c>
      <c r="F122" s="31">
        <f>_xlfn.XLOOKUP(B122, Rate_Master!$A:$A, Rate_Master!$C:$C, "")</f>
        <v>163300</v>
      </c>
      <c r="G122" s="31">
        <f>_xlfn.XLOOKUP(B122, Rate_Master!$A:$A, Rate_Master!$D:$D, "")</f>
        <v>51749.999999999993</v>
      </c>
      <c r="H122" s="32">
        <f t="shared" si="19"/>
        <v>215050</v>
      </c>
      <c r="I122" s="32">
        <f t="shared" si="18"/>
        <v>6623540</v>
      </c>
      <c r="J122" s="32"/>
    </row>
    <row r="123" spans="1:10" s="3" customFormat="1" ht="25.5" customHeight="1">
      <c r="A123" s="22" t="str">
        <f>$A$103&amp;2</f>
        <v>17A.F2</v>
      </c>
      <c r="B123" s="23" t="s">
        <v>113</v>
      </c>
      <c r="C123" s="23" t="s">
        <v>515</v>
      </c>
      <c r="D123" s="22"/>
      <c r="E123" s="25"/>
      <c r="F123" s="25">
        <f>_xlfn.XLOOKUP(B123, Rate_Master!$A:$A, Rate_Master!$C:$C, "")</f>
        <v>0</v>
      </c>
      <c r="G123" s="25">
        <f>_xlfn.XLOOKUP(B123, Rate_Master!$A:$A, Rate_Master!$D:$D, "")</f>
        <v>0</v>
      </c>
      <c r="H123" s="26">
        <v>0</v>
      </c>
      <c r="I123" s="26">
        <f>SUBTOTAL(9,I124:I128)</f>
        <v>22672291.399999999</v>
      </c>
      <c r="J123" s="26"/>
    </row>
    <row r="124" spans="1:10" s="4" customFormat="1" ht="51" customHeight="1" outlineLevel="1">
      <c r="A124" s="27" t="str">
        <f>$A$123&amp;"."&amp;ROW()-ROW($A$123)</f>
        <v>17A.F2.1</v>
      </c>
      <c r="B124" s="34" t="s">
        <v>114</v>
      </c>
      <c r="C124" s="28" t="s">
        <v>515</v>
      </c>
      <c r="D124" s="29" t="s">
        <v>520</v>
      </c>
      <c r="E124" s="31">
        <v>0</v>
      </c>
      <c r="F124" s="30">
        <f>_xlfn.XLOOKUP(B124, Rate_Master!$A:$A, Rate_Master!$C:$C, "")</f>
        <v>206999.99999999997</v>
      </c>
      <c r="G124" s="30">
        <f>_xlfn.XLOOKUP(B124, Rate_Master!$A:$A, Rate_Master!$D:$D, "")</f>
        <v>126499.99999999999</v>
      </c>
      <c r="H124" s="32">
        <v>0</v>
      </c>
      <c r="I124" s="32">
        <f>H124*E124</f>
        <v>0</v>
      </c>
      <c r="J124" s="32"/>
    </row>
    <row r="125" spans="1:10" s="4" customFormat="1" ht="51" customHeight="1" outlineLevel="1">
      <c r="A125" s="27" t="str">
        <f>$A$123&amp;"."&amp;ROW()-ROW($A$123)</f>
        <v>17A.F2.2</v>
      </c>
      <c r="B125" s="28" t="s">
        <v>115</v>
      </c>
      <c r="C125" s="28" t="s">
        <v>515</v>
      </c>
      <c r="D125" s="29" t="s">
        <v>520</v>
      </c>
      <c r="E125" s="31">
        <v>289.92700000000002</v>
      </c>
      <c r="F125" s="30">
        <f>_xlfn.XLOOKUP(B125, Rate_Master!$A:$A, Rate_Master!$C:$C, "")</f>
        <v>28749.999999999996</v>
      </c>
      <c r="G125" s="30">
        <f>_xlfn.XLOOKUP(B125, Rate_Master!$A:$A, Rate_Master!$D:$D, "")</f>
        <v>49449.999999999993</v>
      </c>
      <c r="H125" s="32">
        <f>+G125+F125</f>
        <v>78199.999999999985</v>
      </c>
      <c r="I125" s="32">
        <f>H125*E125</f>
        <v>22672291.399999999</v>
      </c>
      <c r="J125" s="32"/>
    </row>
    <row r="126" spans="1:10" s="4" customFormat="1" ht="51" customHeight="1" outlineLevel="1">
      <c r="A126" s="27" t="str">
        <f>$A$123&amp;"."&amp;ROW()-ROW($A$123)</f>
        <v>17A.F2.3</v>
      </c>
      <c r="B126" s="34" t="s">
        <v>116</v>
      </c>
      <c r="C126" s="28" t="s">
        <v>515</v>
      </c>
      <c r="D126" s="29" t="s">
        <v>520</v>
      </c>
      <c r="E126" s="31">
        <v>0</v>
      </c>
      <c r="F126" s="31">
        <f>_xlfn.XLOOKUP(B126, Rate_Master!$A:$A, Rate_Master!$C:$C, "")</f>
        <v>0</v>
      </c>
      <c r="G126" s="31">
        <f>_xlfn.XLOOKUP(B126, Rate_Master!$A:$A, Rate_Master!$D:$D, "")</f>
        <v>0</v>
      </c>
      <c r="H126" s="32">
        <v>0</v>
      </c>
      <c r="I126" s="32">
        <f>H126*E126</f>
        <v>0</v>
      </c>
      <c r="J126" s="32"/>
    </row>
    <row r="127" spans="1:10" s="4" customFormat="1" ht="51" customHeight="1" outlineLevel="1">
      <c r="A127" s="27" t="str">
        <f>$A$123&amp;"."&amp;ROW()-ROW($A$123)</f>
        <v>17A.F2.4</v>
      </c>
      <c r="B127" s="34" t="s">
        <v>117</v>
      </c>
      <c r="C127" s="28" t="s">
        <v>515</v>
      </c>
      <c r="D127" s="29" t="s">
        <v>520</v>
      </c>
      <c r="E127" s="31">
        <v>0</v>
      </c>
      <c r="F127" s="31">
        <f>_xlfn.XLOOKUP(B127, Rate_Master!$A:$A, Rate_Master!$C:$C, "")</f>
        <v>0</v>
      </c>
      <c r="G127" s="31">
        <f>_xlfn.XLOOKUP(B127, Rate_Master!$A:$A, Rate_Master!$D:$D, "")</f>
        <v>0</v>
      </c>
      <c r="H127" s="32">
        <v>0</v>
      </c>
      <c r="I127" s="32">
        <f>H127*E127</f>
        <v>0</v>
      </c>
      <c r="J127" s="32"/>
    </row>
    <row r="128" spans="1:10" s="4" customFormat="1" ht="38.25" customHeight="1" outlineLevel="1">
      <c r="A128" s="27" t="str">
        <f>$A$123&amp;"."&amp;ROW()-ROW($A$123)</f>
        <v>17A.F2.5</v>
      </c>
      <c r="B128" s="34" t="s">
        <v>118</v>
      </c>
      <c r="C128" s="28" t="s">
        <v>515</v>
      </c>
      <c r="D128" s="29" t="s">
        <v>520</v>
      </c>
      <c r="E128" s="31">
        <v>0</v>
      </c>
      <c r="F128" s="31">
        <f>_xlfn.XLOOKUP(B128, Rate_Master!$A:$A, Rate_Master!$C:$C, "")</f>
        <v>0</v>
      </c>
      <c r="G128" s="31">
        <f>_xlfn.XLOOKUP(B128, Rate_Master!$A:$A, Rate_Master!$D:$D, "")</f>
        <v>0</v>
      </c>
      <c r="H128" s="32">
        <v>0</v>
      </c>
      <c r="I128" s="32">
        <f>H128*E128</f>
        <v>0</v>
      </c>
      <c r="J128" s="32"/>
    </row>
    <row r="129" spans="1:10" s="3" customFormat="1" ht="25.5" customHeight="1">
      <c r="A129" s="22" t="str">
        <f>$A$103&amp;3</f>
        <v>17A.F3</v>
      </c>
      <c r="B129" s="23" t="s">
        <v>119</v>
      </c>
      <c r="C129" s="23" t="s">
        <v>515</v>
      </c>
      <c r="D129" s="22"/>
      <c r="E129" s="25"/>
      <c r="F129" s="25">
        <f>_xlfn.XLOOKUP(B129, Rate_Master!$A:$A, Rate_Master!$C:$C, "")</f>
        <v>0</v>
      </c>
      <c r="G129" s="25">
        <f>_xlfn.XLOOKUP(B129, Rate_Master!$A:$A, Rate_Master!$D:$D, "")</f>
        <v>0</v>
      </c>
      <c r="H129" s="26">
        <v>0</v>
      </c>
      <c r="I129" s="26">
        <f>SUBTOTAL(9,I130:I137)</f>
        <v>70044861.25</v>
      </c>
      <c r="J129" s="26"/>
    </row>
    <row r="130" spans="1:10" s="4" customFormat="1" ht="25.5" customHeight="1" outlineLevel="1">
      <c r="A130" s="27" t="str">
        <f t="shared" ref="A130:A137" si="20">$A$129&amp;"."&amp;ROW()-ROW($A$129)</f>
        <v>17A.F3.1</v>
      </c>
      <c r="B130" s="34" t="s">
        <v>120</v>
      </c>
      <c r="C130" s="28" t="s">
        <v>515</v>
      </c>
      <c r="D130" s="29" t="s">
        <v>520</v>
      </c>
      <c r="E130" s="31">
        <v>297.11500000000001</v>
      </c>
      <c r="F130" s="31">
        <f>_xlfn.XLOOKUP(B130, Rate_Master!$A:$A, Rate_Master!$C:$C, "")</f>
        <v>28749.999999999996</v>
      </c>
      <c r="G130" s="31">
        <f>_xlfn.XLOOKUP(B130, Rate_Master!$A:$A, Rate_Master!$D:$D, "")</f>
        <v>0</v>
      </c>
      <c r="H130" s="32">
        <f>+G130+F130</f>
        <v>28749.999999999996</v>
      </c>
      <c r="I130" s="32">
        <f t="shared" ref="I130:I137" si="21">H130*E130</f>
        <v>8542056.25</v>
      </c>
      <c r="J130" s="32"/>
    </row>
    <row r="131" spans="1:10" s="4" customFormat="1" ht="25.5" customHeight="1" outlineLevel="1">
      <c r="A131" s="27" t="str">
        <f t="shared" si="20"/>
        <v>17A.F3.2</v>
      </c>
      <c r="B131" s="34" t="s">
        <v>121</v>
      </c>
      <c r="C131" s="28" t="s">
        <v>515</v>
      </c>
      <c r="D131" s="29" t="s">
        <v>520</v>
      </c>
      <c r="E131" s="31">
        <v>0</v>
      </c>
      <c r="F131" s="31">
        <f>_xlfn.XLOOKUP(B131, Rate_Master!$A:$A, Rate_Master!$C:$C, "")</f>
        <v>0</v>
      </c>
      <c r="G131" s="31">
        <f>_xlfn.XLOOKUP(B131, Rate_Master!$A:$A, Rate_Master!$D:$D, "")</f>
        <v>0</v>
      </c>
      <c r="H131" s="32">
        <f>+G131+F131</f>
        <v>0</v>
      </c>
      <c r="I131" s="32">
        <f t="shared" si="21"/>
        <v>0</v>
      </c>
      <c r="J131" s="32"/>
    </row>
    <row r="132" spans="1:10" s="4" customFormat="1" ht="38.25" customHeight="1" outlineLevel="1">
      <c r="A132" s="27" t="str">
        <f t="shared" si="20"/>
        <v>17A.F3.3</v>
      </c>
      <c r="B132" s="34" t="s">
        <v>122</v>
      </c>
      <c r="C132" s="28" t="s">
        <v>515</v>
      </c>
      <c r="D132" s="29" t="s">
        <v>520</v>
      </c>
      <c r="E132" s="31">
        <v>0</v>
      </c>
      <c r="F132" s="31">
        <f>_xlfn.XLOOKUP(B132, Rate_Master!$A:$A, Rate_Master!$C:$C, "")</f>
        <v>51749.999999999993</v>
      </c>
      <c r="G132" s="31">
        <f>_xlfn.XLOOKUP(B132, Rate_Master!$A:$A, Rate_Master!$D:$D, "")</f>
        <v>23000</v>
      </c>
      <c r="H132" s="32">
        <f>+G132+F132</f>
        <v>74750</v>
      </c>
      <c r="I132" s="32">
        <f t="shared" si="21"/>
        <v>0</v>
      </c>
      <c r="J132" s="32"/>
    </row>
    <row r="133" spans="1:10" s="4" customFormat="1" ht="25.5" customHeight="1" outlineLevel="1">
      <c r="A133" s="27" t="str">
        <f t="shared" si="20"/>
        <v>17A.F3.4</v>
      </c>
      <c r="B133" s="34" t="s">
        <v>123</v>
      </c>
      <c r="C133" s="28" t="s">
        <v>515</v>
      </c>
      <c r="D133" s="29" t="s">
        <v>520</v>
      </c>
      <c r="E133" s="31">
        <v>297.11500000000001</v>
      </c>
      <c r="F133" s="31">
        <f>_xlfn.XLOOKUP(B133, Rate_Master!$A:$A, Rate_Master!$C:$C, "")</f>
        <v>172500</v>
      </c>
      <c r="G133" s="31">
        <f>_xlfn.XLOOKUP(B133, Rate_Master!$A:$A, Rate_Master!$D:$D, "")</f>
        <v>34500</v>
      </c>
      <c r="H133" s="32">
        <f>+G133+F133</f>
        <v>207000</v>
      </c>
      <c r="I133" s="32">
        <f t="shared" si="21"/>
        <v>61502805</v>
      </c>
      <c r="J133" s="32"/>
    </row>
    <row r="134" spans="1:10" s="4" customFormat="1" ht="51" customHeight="1" outlineLevel="1">
      <c r="A134" s="27" t="str">
        <f t="shared" si="20"/>
        <v>17A.F3.5</v>
      </c>
      <c r="B134" s="28" t="s">
        <v>124</v>
      </c>
      <c r="C134" s="34" t="s">
        <v>553</v>
      </c>
      <c r="D134" s="29" t="s">
        <v>520</v>
      </c>
      <c r="E134" s="31">
        <v>0</v>
      </c>
      <c r="F134" s="30">
        <f>_xlfn.XLOOKUP(B134, Rate_Master!$A:$A, Rate_Master!$C:$C, "")</f>
        <v>1069500</v>
      </c>
      <c r="G134" s="30">
        <f>_xlfn.XLOOKUP(B134, Rate_Master!$A:$A, Rate_Master!$D:$D, "")</f>
        <v>172500</v>
      </c>
      <c r="H134" s="32">
        <v>0</v>
      </c>
      <c r="I134" s="32">
        <f t="shared" si="21"/>
        <v>0</v>
      </c>
      <c r="J134" s="32"/>
    </row>
    <row r="135" spans="1:10" s="4" customFormat="1" ht="51" customHeight="1" outlineLevel="1">
      <c r="A135" s="27" t="str">
        <f t="shared" si="20"/>
        <v>17A.F3.6</v>
      </c>
      <c r="B135" s="34" t="s">
        <v>125</v>
      </c>
      <c r="C135" s="28" t="s">
        <v>515</v>
      </c>
      <c r="D135" s="29" t="s">
        <v>520</v>
      </c>
      <c r="E135" s="31">
        <v>0</v>
      </c>
      <c r="F135" s="30">
        <f>_xlfn.XLOOKUP(B135, Rate_Master!$A:$A, Rate_Master!$C:$C, "")</f>
        <v>965999.99999999988</v>
      </c>
      <c r="G135" s="30">
        <f>_xlfn.XLOOKUP(B135, Rate_Master!$A:$A, Rate_Master!$D:$D, "")</f>
        <v>138000</v>
      </c>
      <c r="H135" s="32">
        <v>0</v>
      </c>
      <c r="I135" s="32">
        <f t="shared" si="21"/>
        <v>0</v>
      </c>
      <c r="J135" s="32"/>
    </row>
    <row r="136" spans="1:10" s="4" customFormat="1" ht="25.5" customHeight="1" outlineLevel="1">
      <c r="A136" s="27" t="str">
        <f t="shared" si="20"/>
        <v>17A.F3.7</v>
      </c>
      <c r="B136" s="28" t="s">
        <v>126</v>
      </c>
      <c r="C136" s="28" t="s">
        <v>515</v>
      </c>
      <c r="D136" s="29" t="s">
        <v>520</v>
      </c>
      <c r="E136" s="31">
        <v>0</v>
      </c>
      <c r="F136" s="30">
        <f>_xlfn.XLOOKUP(B136, Rate_Master!$A:$A, Rate_Master!$C:$C, "")</f>
        <v>0</v>
      </c>
      <c r="G136" s="30">
        <f>_xlfn.XLOOKUP(B136, Rate_Master!$A:$A, Rate_Master!$D:$D, "")</f>
        <v>0</v>
      </c>
      <c r="H136" s="32">
        <v>0</v>
      </c>
      <c r="I136" s="32">
        <f t="shared" si="21"/>
        <v>0</v>
      </c>
      <c r="J136" s="32"/>
    </row>
    <row r="137" spans="1:10" s="4" customFormat="1" ht="25.5" customHeight="1" outlineLevel="1">
      <c r="A137" s="27" t="str">
        <f t="shared" si="20"/>
        <v>17A.F3.8</v>
      </c>
      <c r="B137" s="34" t="s">
        <v>127</v>
      </c>
      <c r="C137" s="28" t="s">
        <v>515</v>
      </c>
      <c r="D137" s="29" t="s">
        <v>520</v>
      </c>
      <c r="E137" s="31">
        <v>0</v>
      </c>
      <c r="F137" s="30">
        <f>_xlfn.XLOOKUP(B137, Rate_Master!$A:$A, Rate_Master!$C:$C, "")</f>
        <v>0</v>
      </c>
      <c r="G137" s="30">
        <f>_xlfn.XLOOKUP(B137, Rate_Master!$A:$A, Rate_Master!$D:$D, "")</f>
        <v>0</v>
      </c>
      <c r="H137" s="32">
        <v>0</v>
      </c>
      <c r="I137" s="32">
        <f t="shared" si="21"/>
        <v>0</v>
      </c>
      <c r="J137" s="32"/>
    </row>
    <row r="138" spans="1:10" s="3" customFormat="1" ht="25.5" customHeight="1">
      <c r="A138" s="22" t="str">
        <f>$A$103&amp;4</f>
        <v>17A.F4</v>
      </c>
      <c r="B138" s="23" t="s">
        <v>128</v>
      </c>
      <c r="C138" s="23" t="s">
        <v>515</v>
      </c>
      <c r="D138" s="22"/>
      <c r="E138" s="25"/>
      <c r="F138" s="25">
        <f>_xlfn.XLOOKUP(B138, Rate_Master!$A:$A, Rate_Master!$C:$C, "")</f>
        <v>0</v>
      </c>
      <c r="G138" s="25">
        <f>_xlfn.XLOOKUP(B138, Rate_Master!$A:$A, Rate_Master!$D:$D, "")</f>
        <v>0</v>
      </c>
      <c r="H138" s="26">
        <v>0</v>
      </c>
      <c r="I138" s="26">
        <f>SUBTOTAL(9,I139:I140)</f>
        <v>56162549.999999993</v>
      </c>
      <c r="J138" s="26"/>
    </row>
    <row r="139" spans="1:10" s="4" customFormat="1" ht="76.5" customHeight="1" outlineLevel="1">
      <c r="A139" s="27" t="str">
        <f>$A$138&amp;"."&amp;ROW()-ROW($A$138)</f>
        <v>17A.F4.1</v>
      </c>
      <c r="B139" s="28" t="s">
        <v>214</v>
      </c>
      <c r="C139" s="28" t="s">
        <v>515</v>
      </c>
      <c r="D139" s="29" t="s">
        <v>516</v>
      </c>
      <c r="E139" s="31">
        <v>7</v>
      </c>
      <c r="F139" s="31">
        <f>_xlfn.XLOOKUP(B139, Rate_Master!$A:$A, Rate_Master!$C:$C, "")</f>
        <v>6623999.9999999991</v>
      </c>
      <c r="G139" s="31">
        <f>_xlfn.XLOOKUP(B139, Rate_Master!$A:$A, Rate_Master!$D:$D, "")</f>
        <v>413999.99999999994</v>
      </c>
      <c r="H139" s="32">
        <f>+G139+F139</f>
        <v>7037999.9999999991</v>
      </c>
      <c r="I139" s="32">
        <f>H139*E139</f>
        <v>49265999.999999993</v>
      </c>
      <c r="J139" s="32"/>
    </row>
    <row r="140" spans="1:10" s="4" customFormat="1" ht="38.25" customHeight="1" outlineLevel="1">
      <c r="A140" s="27" t="str">
        <f>$A$138&amp;"."&amp;ROW()-ROW($A$138)</f>
        <v>17A.F4.2</v>
      </c>
      <c r="B140" s="28" t="s">
        <v>279</v>
      </c>
      <c r="C140" s="28" t="s">
        <v>515</v>
      </c>
      <c r="D140" s="29" t="s">
        <v>516</v>
      </c>
      <c r="E140" s="31">
        <v>1</v>
      </c>
      <c r="F140" s="31">
        <f>_xlfn.XLOOKUP(B140, Rate_Master!$A:$A, Rate_Master!$C:$C, "")</f>
        <v>4965700</v>
      </c>
      <c r="G140" s="31">
        <f>_xlfn.XLOOKUP(B140, Rate_Master!$A:$A, Rate_Master!$D:$D, "")</f>
        <v>1930849.9999999998</v>
      </c>
      <c r="H140" s="32">
        <f>+G140+F140</f>
        <v>6896550</v>
      </c>
      <c r="I140" s="32">
        <f>H140*E140</f>
        <v>6896550</v>
      </c>
      <c r="J140" s="71" t="s">
        <v>559</v>
      </c>
    </row>
    <row r="141" spans="1:10" s="3" customFormat="1" ht="25.5" customHeight="1">
      <c r="A141" s="22" t="str">
        <f>$A$103&amp;5</f>
        <v>17A.F5</v>
      </c>
      <c r="B141" s="23" t="s">
        <v>143</v>
      </c>
      <c r="C141" s="23" t="s">
        <v>515</v>
      </c>
      <c r="D141" s="22"/>
      <c r="E141" s="25"/>
      <c r="F141" s="25">
        <f>_xlfn.XLOOKUP(B141, Rate_Master!$A:$A, Rate_Master!$C:$C, "")</f>
        <v>0</v>
      </c>
      <c r="G141" s="25">
        <f>_xlfn.XLOOKUP(B141, Rate_Master!$A:$A, Rate_Master!$D:$D, "")</f>
        <v>0</v>
      </c>
      <c r="H141" s="26">
        <v>0</v>
      </c>
      <c r="I141" s="26">
        <f>SUBTOTAL(9,I142:I144)</f>
        <v>0</v>
      </c>
      <c r="J141" s="26"/>
    </row>
    <row r="142" spans="1:10" s="4" customFormat="1" ht="51" customHeight="1" outlineLevel="1">
      <c r="A142" s="37" t="str">
        <f>$A$141&amp;"."&amp;ROW()-ROW($A$141)</f>
        <v>17A.F5.1</v>
      </c>
      <c r="B142" s="43" t="s">
        <v>144</v>
      </c>
      <c r="C142" s="38" t="s">
        <v>515</v>
      </c>
      <c r="D142" s="39" t="s">
        <v>517</v>
      </c>
      <c r="E142" s="40">
        <v>0</v>
      </c>
      <c r="F142" s="40">
        <f>_xlfn.XLOOKUP(B142, Rate_Master!$A:$A, Rate_Master!$C:$C, "")</f>
        <v>161000</v>
      </c>
      <c r="G142" s="40">
        <f>_xlfn.XLOOKUP(B142, Rate_Master!$A:$A, Rate_Master!$D:$D, "")</f>
        <v>34500</v>
      </c>
      <c r="H142" s="41">
        <v>0</v>
      </c>
      <c r="I142" s="41">
        <f>H142*E142</f>
        <v>0</v>
      </c>
      <c r="J142" s="41"/>
    </row>
    <row r="143" spans="1:10" s="4" customFormat="1" ht="38.25" customHeight="1" outlineLevel="1">
      <c r="A143" s="37" t="str">
        <f>$A$141&amp;"."&amp;ROW()-ROW($A$141)</f>
        <v>17A.F5.2</v>
      </c>
      <c r="B143" s="43" t="s">
        <v>145</v>
      </c>
      <c r="C143" s="38" t="s">
        <v>515</v>
      </c>
      <c r="D143" s="39" t="s">
        <v>517</v>
      </c>
      <c r="E143" s="40">
        <v>0</v>
      </c>
      <c r="F143" s="40">
        <f>_xlfn.XLOOKUP(B143, Rate_Master!$A:$A, Rate_Master!$C:$C, "")</f>
        <v>517499.99999999994</v>
      </c>
      <c r="G143" s="40">
        <f>_xlfn.XLOOKUP(B143, Rate_Master!$A:$A, Rate_Master!$D:$D, "")</f>
        <v>57499.999999999993</v>
      </c>
      <c r="H143" s="41">
        <v>0</v>
      </c>
      <c r="I143" s="41">
        <f>H143*E143</f>
        <v>0</v>
      </c>
      <c r="J143" s="41"/>
    </row>
    <row r="144" spans="1:10" s="4" customFormat="1" ht="38.25" customHeight="1" outlineLevel="1">
      <c r="A144" s="37" t="str">
        <f>$A$141&amp;"."&amp;ROW()-ROW($A$141)</f>
        <v>17A.F5.3</v>
      </c>
      <c r="B144" s="43" t="s">
        <v>146</v>
      </c>
      <c r="C144" s="38" t="s">
        <v>515</v>
      </c>
      <c r="D144" s="39" t="s">
        <v>517</v>
      </c>
      <c r="E144" s="40">
        <v>0</v>
      </c>
      <c r="F144" s="40">
        <f>_xlfn.XLOOKUP(B144, Rate_Master!$A:$A, Rate_Master!$C:$C, "")</f>
        <v>632500</v>
      </c>
      <c r="G144" s="40">
        <f>_xlfn.XLOOKUP(B144, Rate_Master!$A:$A, Rate_Master!$D:$D, "")</f>
        <v>57499.999999999993</v>
      </c>
      <c r="H144" s="41">
        <v>0</v>
      </c>
      <c r="I144" s="41">
        <f>H144*E144</f>
        <v>0</v>
      </c>
      <c r="J144" s="41"/>
    </row>
    <row r="145" spans="1:10" s="3" customFormat="1" ht="25.5" customHeight="1">
      <c r="A145" s="22" t="str">
        <f>$A$103&amp;6</f>
        <v>17A.F6</v>
      </c>
      <c r="B145" s="23" t="s">
        <v>147</v>
      </c>
      <c r="C145" s="23" t="s">
        <v>515</v>
      </c>
      <c r="D145" s="22"/>
      <c r="E145" s="25"/>
      <c r="F145" s="25">
        <f>_xlfn.XLOOKUP(B145, Rate_Master!$A:$A, Rate_Master!$C:$C, "")</f>
        <v>0</v>
      </c>
      <c r="G145" s="25">
        <f>_xlfn.XLOOKUP(B145, Rate_Master!$A:$A, Rate_Master!$D:$D, "")</f>
        <v>0</v>
      </c>
      <c r="H145" s="26">
        <v>0</v>
      </c>
      <c r="I145" s="26">
        <f>SUBTOTAL(9,I146:I150)</f>
        <v>208673710</v>
      </c>
      <c r="J145" s="26"/>
    </row>
    <row r="146" spans="1:10" s="4" customFormat="1" ht="51" customHeight="1" outlineLevel="1">
      <c r="A146" s="27" t="str">
        <f>$A$145&amp;"."&amp;ROW()-ROW($A$145)</f>
        <v>17A.F6.1</v>
      </c>
      <c r="B146" s="34" t="s">
        <v>148</v>
      </c>
      <c r="C146" s="34" t="s">
        <v>515</v>
      </c>
      <c r="D146" s="29" t="s">
        <v>520</v>
      </c>
      <c r="E146" s="31">
        <v>0</v>
      </c>
      <c r="F146" s="31">
        <f>_xlfn.XLOOKUP(B146, Rate_Master!$A:$A, Rate_Master!$C:$C, "")</f>
        <v>155000</v>
      </c>
      <c r="G146" s="31">
        <f>_xlfn.XLOOKUP(B146, Rate_Master!$A:$A, Rate_Master!$D:$D, "")</f>
        <v>45000</v>
      </c>
      <c r="H146" s="32">
        <v>0</v>
      </c>
      <c r="I146" s="32">
        <f>H146*E146</f>
        <v>0</v>
      </c>
      <c r="J146" s="32"/>
    </row>
    <row r="147" spans="1:10" s="4" customFormat="1" ht="25.5" customHeight="1" outlineLevel="1">
      <c r="A147" s="27" t="str">
        <f>$A$145&amp;"."&amp;ROW()-ROW($A$145)</f>
        <v>17A.F6.2</v>
      </c>
      <c r="B147" s="34" t="s">
        <v>149</v>
      </c>
      <c r="C147" s="34" t="s">
        <v>515</v>
      </c>
      <c r="D147" s="29" t="s">
        <v>520</v>
      </c>
      <c r="E147" s="31">
        <v>245.21</v>
      </c>
      <c r="F147" s="31">
        <f>_xlfn.XLOOKUP(B147, Rate_Master!$A:$A, Rate_Master!$C:$C, "")</f>
        <v>310500</v>
      </c>
      <c r="G147" s="31">
        <f>_xlfn.XLOOKUP(B147, Rate_Master!$A:$A, Rate_Master!$D:$D, "")</f>
        <v>34500</v>
      </c>
      <c r="H147" s="32">
        <f>+G147+F147</f>
        <v>345000</v>
      </c>
      <c r="I147" s="32">
        <f>H147*E147</f>
        <v>84597450</v>
      </c>
      <c r="J147" s="32"/>
    </row>
    <row r="148" spans="1:10" s="4" customFormat="1" ht="51" customHeight="1" outlineLevel="1">
      <c r="A148" s="27" t="str">
        <f>$A$145&amp;"."&amp;ROW()-ROW($A$145)</f>
        <v>17A.F6.3</v>
      </c>
      <c r="B148" s="34" t="s">
        <v>150</v>
      </c>
      <c r="C148" s="34" t="s">
        <v>515</v>
      </c>
      <c r="D148" s="29" t="s">
        <v>520</v>
      </c>
      <c r="E148" s="31">
        <v>245.21</v>
      </c>
      <c r="F148" s="31">
        <f>_xlfn.XLOOKUP(B148, Rate_Master!$A:$A, Rate_Master!$C:$C, "")</f>
        <v>287500</v>
      </c>
      <c r="G148" s="31">
        <f>_xlfn.XLOOKUP(B148, Rate_Master!$A:$A, Rate_Master!$D:$D, "")</f>
        <v>69000</v>
      </c>
      <c r="H148" s="32">
        <f>+G148+F148</f>
        <v>356500</v>
      </c>
      <c r="I148" s="32">
        <f>H148*E148</f>
        <v>87417365</v>
      </c>
      <c r="J148" s="32"/>
    </row>
    <row r="149" spans="1:10" s="4" customFormat="1" ht="51" customHeight="1" outlineLevel="1">
      <c r="A149" s="27" t="str">
        <f>$A$145&amp;"."&amp;ROW()-ROW($A$145)</f>
        <v>17A.F6.4</v>
      </c>
      <c r="B149" s="34" t="s">
        <v>151</v>
      </c>
      <c r="C149" s="34" t="s">
        <v>515</v>
      </c>
      <c r="D149" s="29" t="s">
        <v>520</v>
      </c>
      <c r="E149" s="31">
        <v>245.21</v>
      </c>
      <c r="F149" s="31">
        <f>_xlfn.XLOOKUP(B149, Rate_Master!$A:$A, Rate_Master!$C:$C, "")</f>
        <v>23000</v>
      </c>
      <c r="G149" s="31">
        <f>_xlfn.XLOOKUP(B149, Rate_Master!$A:$A, Rate_Master!$D:$D, "")</f>
        <v>126499.99999999999</v>
      </c>
      <c r="H149" s="32">
        <f>+G149+F149</f>
        <v>149500</v>
      </c>
      <c r="I149" s="32">
        <f>H149*E149</f>
        <v>36658895</v>
      </c>
      <c r="J149" s="32"/>
    </row>
    <row r="150" spans="1:10" s="4" customFormat="1" ht="63.75" customHeight="1" outlineLevel="1">
      <c r="A150" s="27" t="str">
        <f>$A$145&amp;"."&amp;ROW()-ROW($A$145)</f>
        <v>17A.F6.5</v>
      </c>
      <c r="B150" s="34" t="s">
        <v>152</v>
      </c>
      <c r="C150" s="34" t="s">
        <v>560</v>
      </c>
      <c r="D150" s="29" t="s">
        <v>517</v>
      </c>
      <c r="E150" s="31">
        <v>0</v>
      </c>
      <c r="F150" s="31">
        <f>_xlfn.XLOOKUP(B150, Rate_Master!$A:$A, Rate_Master!$C:$C, "")</f>
        <v>155250</v>
      </c>
      <c r="G150" s="31">
        <f>_xlfn.XLOOKUP(B150, Rate_Master!$A:$A, Rate_Master!$D:$D, "")</f>
        <v>57499.999999999993</v>
      </c>
      <c r="H150" s="32"/>
      <c r="I150" s="32"/>
      <c r="J150" s="32"/>
    </row>
    <row r="151" spans="1:10" s="3" customFormat="1" ht="25.5" customHeight="1">
      <c r="A151" s="22" t="str">
        <f>$A$103&amp;7</f>
        <v>17A.F7</v>
      </c>
      <c r="B151" s="23" t="s">
        <v>84</v>
      </c>
      <c r="C151" s="23" t="s">
        <v>515</v>
      </c>
      <c r="D151" s="22"/>
      <c r="E151" s="25"/>
      <c r="F151" s="25">
        <f>_xlfn.XLOOKUP(B151, Rate_Master!$A:$A, Rate_Master!$C:$C, "")</f>
        <v>0</v>
      </c>
      <c r="G151" s="25">
        <f>_xlfn.XLOOKUP(B151, Rate_Master!$A:$A, Rate_Master!$D:$D, "")</f>
        <v>0</v>
      </c>
      <c r="H151" s="26">
        <v>0</v>
      </c>
      <c r="I151" s="26">
        <f>SUBTOTAL(9,I152:I163)</f>
        <v>0</v>
      </c>
      <c r="J151" s="26"/>
    </row>
    <row r="152" spans="1:10" s="4" customFormat="1" ht="38.25" customHeight="1" outlineLevel="1">
      <c r="A152" s="37" t="str">
        <f t="shared" ref="A152:A163" si="22">$A$151&amp;"."&amp;ROW()-ROW($A$151)</f>
        <v>17A.F7.1</v>
      </c>
      <c r="B152" s="44" t="s">
        <v>153</v>
      </c>
      <c r="C152" s="43" t="s">
        <v>561</v>
      </c>
      <c r="D152" s="39" t="s">
        <v>517</v>
      </c>
      <c r="E152" s="40">
        <v>0</v>
      </c>
      <c r="F152" s="40">
        <f>_xlfn.XLOOKUP(B152, Rate_Master!$A:$A, Rate_Master!$C:$C, "")</f>
        <v>4024999.9999999995</v>
      </c>
      <c r="G152" s="40">
        <f>_xlfn.XLOOKUP(B152, Rate_Master!$A:$A, Rate_Master!$D:$D, "")</f>
        <v>1380000</v>
      </c>
      <c r="H152" s="41">
        <v>0</v>
      </c>
      <c r="I152" s="41">
        <f t="shared" ref="I152:I163" si="23">H152*E152</f>
        <v>0</v>
      </c>
      <c r="J152" s="41"/>
    </row>
    <row r="153" spans="1:10" s="4" customFormat="1" ht="38.25" customHeight="1" outlineLevel="1">
      <c r="A153" s="37" t="str">
        <f t="shared" si="22"/>
        <v>17A.F7.2</v>
      </c>
      <c r="B153" s="44" t="s">
        <v>167</v>
      </c>
      <c r="C153" s="43"/>
      <c r="D153" s="39" t="s">
        <v>517</v>
      </c>
      <c r="E153" s="40">
        <v>0</v>
      </c>
      <c r="F153" s="40">
        <f>_xlfn.XLOOKUP(B153, Rate_Master!$A:$A, Rate_Master!$C:$C, "")</f>
        <v>0</v>
      </c>
      <c r="G153" s="40">
        <f>_xlfn.XLOOKUP(B153, Rate_Master!$A:$A, Rate_Master!$D:$D, "")</f>
        <v>0</v>
      </c>
      <c r="H153" s="41">
        <v>0</v>
      </c>
      <c r="I153" s="41">
        <f t="shared" si="23"/>
        <v>0</v>
      </c>
      <c r="J153" s="41"/>
    </row>
    <row r="154" spans="1:10" s="4" customFormat="1" ht="38.25" customHeight="1" outlineLevel="1">
      <c r="A154" s="37" t="str">
        <f t="shared" si="22"/>
        <v>17A.F7.3</v>
      </c>
      <c r="B154" s="44" t="s">
        <v>154</v>
      </c>
      <c r="C154" s="38" t="s">
        <v>515</v>
      </c>
      <c r="D154" s="45" t="s">
        <v>517</v>
      </c>
      <c r="E154" s="40">
        <v>0</v>
      </c>
      <c r="F154" s="40">
        <f>_xlfn.XLOOKUP(B154, Rate_Master!$A:$A, Rate_Master!$C:$C, "")</f>
        <v>359375</v>
      </c>
      <c r="G154" s="40">
        <f>_xlfn.XLOOKUP(B154, Rate_Master!$A:$A, Rate_Master!$D:$D, "")</f>
        <v>71875</v>
      </c>
      <c r="H154" s="41">
        <v>0</v>
      </c>
      <c r="I154" s="41">
        <f t="shared" si="23"/>
        <v>0</v>
      </c>
      <c r="J154" s="41"/>
    </row>
    <row r="155" spans="1:10" s="4" customFormat="1" ht="25.5" customHeight="1" outlineLevel="1">
      <c r="A155" s="37" t="str">
        <f t="shared" si="22"/>
        <v>17A.F7.4</v>
      </c>
      <c r="B155" s="46" t="s">
        <v>155</v>
      </c>
      <c r="C155" s="38" t="s">
        <v>515</v>
      </c>
      <c r="D155" s="45" t="s">
        <v>517</v>
      </c>
      <c r="E155" s="40">
        <v>0</v>
      </c>
      <c r="F155" s="40">
        <f>_xlfn.XLOOKUP(B155, Rate_Master!$A:$A, Rate_Master!$C:$C, "")</f>
        <v>1954999.9999999998</v>
      </c>
      <c r="G155" s="40">
        <f>_xlfn.XLOOKUP(B155, Rate_Master!$A:$A, Rate_Master!$D:$D, "")</f>
        <v>114999.99999999999</v>
      </c>
      <c r="H155" s="41">
        <v>0</v>
      </c>
      <c r="I155" s="41">
        <f t="shared" si="23"/>
        <v>0</v>
      </c>
      <c r="J155" s="41"/>
    </row>
    <row r="156" spans="1:10" s="4" customFormat="1" ht="51" customHeight="1" outlineLevel="1">
      <c r="A156" s="37" t="str">
        <f t="shared" si="22"/>
        <v>17A.F7.5</v>
      </c>
      <c r="B156" s="46" t="s">
        <v>168</v>
      </c>
      <c r="C156" s="38"/>
      <c r="D156" s="45" t="s">
        <v>517</v>
      </c>
      <c r="E156" s="40">
        <v>0</v>
      </c>
      <c r="F156" s="40">
        <f>_xlfn.XLOOKUP(B156, Rate_Master!$A:$A, Rate_Master!$C:$C, "")</f>
        <v>0</v>
      </c>
      <c r="G156" s="40">
        <f>_xlfn.XLOOKUP(B156, Rate_Master!$A:$A, Rate_Master!$D:$D, "")</f>
        <v>0</v>
      </c>
      <c r="H156" s="41">
        <v>0</v>
      </c>
      <c r="I156" s="41">
        <f t="shared" si="23"/>
        <v>0</v>
      </c>
      <c r="J156" s="41"/>
    </row>
    <row r="157" spans="1:10" s="4" customFormat="1" ht="51" customHeight="1" outlineLevel="1">
      <c r="A157" s="37" t="str">
        <f t="shared" si="22"/>
        <v>17A.F7.6</v>
      </c>
      <c r="B157" s="44" t="s">
        <v>156</v>
      </c>
      <c r="C157" s="38" t="s">
        <v>515</v>
      </c>
      <c r="D157" s="47" t="s">
        <v>518</v>
      </c>
      <c r="E157" s="40">
        <v>0</v>
      </c>
      <c r="F157" s="40">
        <f>_xlfn.XLOOKUP(B157, Rate_Master!$A:$A, Rate_Master!$C:$C, "")</f>
        <v>1724999.9999999998</v>
      </c>
      <c r="G157" s="40">
        <f>_xlfn.XLOOKUP(B157, Rate_Master!$A:$A, Rate_Master!$D:$D, "")</f>
        <v>287500</v>
      </c>
      <c r="H157" s="41">
        <v>0</v>
      </c>
      <c r="I157" s="41">
        <f t="shared" si="23"/>
        <v>0</v>
      </c>
      <c r="J157" s="41"/>
    </row>
    <row r="158" spans="1:10" s="4" customFormat="1" ht="25.5" customHeight="1" outlineLevel="1">
      <c r="A158" s="37" t="str">
        <f t="shared" si="22"/>
        <v>17A.F7.7</v>
      </c>
      <c r="B158" s="44" t="s">
        <v>157</v>
      </c>
      <c r="C158" s="38" t="s">
        <v>515</v>
      </c>
      <c r="D158" s="39" t="s">
        <v>517</v>
      </c>
      <c r="E158" s="40">
        <v>0</v>
      </c>
      <c r="F158" s="40">
        <f>_xlfn.XLOOKUP(B158, Rate_Master!$A:$A, Rate_Master!$C:$C, "")</f>
        <v>632500</v>
      </c>
      <c r="G158" s="40">
        <f>_xlfn.XLOOKUP(B158, Rate_Master!$A:$A, Rate_Master!$D:$D, "")</f>
        <v>57499.999999999993</v>
      </c>
      <c r="H158" s="41">
        <v>0</v>
      </c>
      <c r="I158" s="41">
        <f t="shared" si="23"/>
        <v>0</v>
      </c>
      <c r="J158" s="41"/>
    </row>
    <row r="159" spans="1:10" s="4" customFormat="1" ht="25.5" customHeight="1" outlineLevel="1">
      <c r="A159" s="37" t="str">
        <f t="shared" si="22"/>
        <v>17A.F7.8</v>
      </c>
      <c r="B159" s="43" t="s">
        <v>158</v>
      </c>
      <c r="C159" s="38" t="s">
        <v>562</v>
      </c>
      <c r="D159" s="39" t="s">
        <v>516</v>
      </c>
      <c r="E159" s="40">
        <v>0</v>
      </c>
      <c r="F159" s="40">
        <f>_xlfn.XLOOKUP(B159, Rate_Master!$A:$A, Rate_Master!$C:$C, "")</f>
        <v>68400000</v>
      </c>
      <c r="G159" s="40">
        <f>_xlfn.XLOOKUP(B159, Rate_Master!$A:$A, Rate_Master!$D:$D, "")</f>
        <v>26600000</v>
      </c>
      <c r="H159" s="41">
        <v>0</v>
      </c>
      <c r="I159" s="41">
        <f t="shared" si="23"/>
        <v>0</v>
      </c>
      <c r="J159" s="41"/>
    </row>
    <row r="160" spans="1:10" s="4" customFormat="1" ht="25.5" customHeight="1" outlineLevel="1">
      <c r="A160" s="37" t="str">
        <f t="shared" si="22"/>
        <v>17A.F7.9</v>
      </c>
      <c r="B160" s="43" t="s">
        <v>159</v>
      </c>
      <c r="C160" s="38" t="s">
        <v>515</v>
      </c>
      <c r="D160" s="39" t="s">
        <v>516</v>
      </c>
      <c r="E160" s="40">
        <v>0</v>
      </c>
      <c r="F160" s="40">
        <f>_xlfn.XLOOKUP(B160, Rate_Master!$A:$A, Rate_Master!$C:$C, "")</f>
        <v>25200000</v>
      </c>
      <c r="G160" s="40">
        <f>_xlfn.XLOOKUP(B160, Rate_Master!$A:$A, Rate_Master!$D:$D, "")</f>
        <v>9800000.0000000019</v>
      </c>
      <c r="H160" s="41">
        <v>0</v>
      </c>
      <c r="I160" s="41">
        <f t="shared" si="23"/>
        <v>0</v>
      </c>
      <c r="J160" s="41"/>
    </row>
    <row r="161" spans="1:10" s="4" customFormat="1" ht="25.5" customHeight="1" outlineLevel="1">
      <c r="A161" s="37" t="str">
        <f t="shared" si="22"/>
        <v>17A.F7.10</v>
      </c>
      <c r="B161" s="43" t="s">
        <v>160</v>
      </c>
      <c r="C161" s="38" t="s">
        <v>515</v>
      </c>
      <c r="D161" s="39" t="s">
        <v>518</v>
      </c>
      <c r="E161" s="40">
        <v>0</v>
      </c>
      <c r="F161" s="40">
        <f>_xlfn.XLOOKUP(B161, Rate_Master!$A:$A, Rate_Master!$C:$C, "")</f>
        <v>1440000</v>
      </c>
      <c r="G161" s="40">
        <f>_xlfn.XLOOKUP(B161, Rate_Master!$A:$A, Rate_Master!$D:$D, "")</f>
        <v>560000</v>
      </c>
      <c r="H161" s="41">
        <v>0</v>
      </c>
      <c r="I161" s="41">
        <f t="shared" si="23"/>
        <v>0</v>
      </c>
      <c r="J161" s="41"/>
    </row>
    <row r="162" spans="1:10" s="4" customFormat="1" ht="25.5" customHeight="1" outlineLevel="1">
      <c r="A162" s="37" t="str">
        <f t="shared" si="22"/>
        <v>17A.F7.11</v>
      </c>
      <c r="B162" s="44" t="s">
        <v>161</v>
      </c>
      <c r="C162" s="38" t="s">
        <v>515</v>
      </c>
      <c r="D162" s="39" t="s">
        <v>517</v>
      </c>
      <c r="E162" s="40">
        <v>0</v>
      </c>
      <c r="F162" s="40">
        <f>_xlfn.XLOOKUP(B162, Rate_Master!$A:$A, Rate_Master!$C:$C, "")</f>
        <v>149500</v>
      </c>
      <c r="G162" s="40">
        <f>_xlfn.XLOOKUP(B162, Rate_Master!$A:$A, Rate_Master!$D:$D, "")</f>
        <v>34500</v>
      </c>
      <c r="H162" s="41">
        <v>0</v>
      </c>
      <c r="I162" s="41">
        <f t="shared" si="23"/>
        <v>0</v>
      </c>
      <c r="J162" s="41"/>
    </row>
    <row r="163" spans="1:10" s="4" customFormat="1" ht="38.25" customHeight="1" outlineLevel="1">
      <c r="A163" s="37" t="str">
        <f t="shared" si="22"/>
        <v>17A.F7.12</v>
      </c>
      <c r="B163" s="43" t="s">
        <v>162</v>
      </c>
      <c r="C163" s="38" t="s">
        <v>515</v>
      </c>
      <c r="D163" s="39" t="s">
        <v>517</v>
      </c>
      <c r="E163" s="40">
        <v>0</v>
      </c>
      <c r="F163" s="40">
        <f>_xlfn.XLOOKUP(B163, Rate_Master!$A:$A, Rate_Master!$C:$C, "")</f>
        <v>252000</v>
      </c>
      <c r="G163" s="40">
        <f>_xlfn.XLOOKUP(B163, Rate_Master!$A:$A, Rate_Master!$D:$D, "")</f>
        <v>98000</v>
      </c>
      <c r="H163" s="41">
        <v>0</v>
      </c>
      <c r="I163" s="41">
        <f t="shared" si="23"/>
        <v>0</v>
      </c>
      <c r="J163" s="41"/>
    </row>
  </sheetData>
  <mergeCells count="5">
    <mergeCell ref="C4:J4"/>
    <mergeCell ref="C3:J3"/>
    <mergeCell ref="C7:J7"/>
    <mergeCell ref="C6:J6"/>
    <mergeCell ref="C5:J5"/>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pageSetUpPr fitToPage="1"/>
  </sheetPr>
  <dimension ref="A1:J169"/>
  <sheetViews>
    <sheetView topLeftCell="A8" workbookViewId="0">
      <pane ySplit="1" topLeftCell="A111" activePane="bottomLeft" state="frozen"/>
      <selection activeCell="A8" sqref="A8"/>
      <selection pane="bottomLeft" activeCell="A10" sqref="A10"/>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7" width="14" style="8" customWidth="1" outlineLevel="1"/>
    <col min="8" max="10" width="14" style="9" customWidth="1"/>
    <col min="11" max="229" width="9.125" style="6" customWidth="1"/>
    <col min="230" max="230" width="6.375" style="6" customWidth="1"/>
    <col min="231" max="231" width="34.25" style="6" customWidth="1"/>
    <col min="232" max="232" width="7.375" style="6" customWidth="1"/>
    <col min="233" max="233" width="6.375" style="6" customWidth="1"/>
    <col min="234" max="234" width="13.125" style="6" customWidth="1"/>
    <col min="235" max="235" width="15.375" style="6" customWidth="1"/>
    <col min="236" max="236" width="21.25" style="6" customWidth="1"/>
    <col min="237" max="485" width="9.125" style="6" customWidth="1"/>
    <col min="486" max="486" width="6.375" style="6" customWidth="1"/>
    <col min="487" max="487" width="34.25" style="6" customWidth="1"/>
    <col min="488" max="488" width="7.375" style="6" customWidth="1"/>
    <col min="489" max="489" width="6.375" style="6" customWidth="1"/>
    <col min="490" max="490" width="13.125" style="6" customWidth="1"/>
    <col min="491" max="491" width="15.375" style="6" customWidth="1"/>
    <col min="492" max="492" width="21.25" style="6" customWidth="1"/>
    <col min="493" max="741" width="9.125" style="6" customWidth="1"/>
    <col min="742" max="742" width="6.375" style="6" customWidth="1"/>
    <col min="743" max="743" width="34.25" style="6" customWidth="1"/>
    <col min="744" max="744" width="7.375" style="6" customWidth="1"/>
    <col min="745" max="745" width="6.375" style="6" customWidth="1"/>
    <col min="746" max="746" width="13.125" style="6" customWidth="1"/>
    <col min="747" max="747" width="15.375" style="6" customWidth="1"/>
    <col min="748" max="748" width="21.25" style="6" customWidth="1"/>
    <col min="749" max="997" width="9.125" style="6" customWidth="1"/>
    <col min="998" max="998" width="6.375" style="6" customWidth="1"/>
    <col min="999" max="999" width="34.25" style="6" customWidth="1"/>
    <col min="1000" max="1000" width="7.375" style="6" customWidth="1"/>
    <col min="1001" max="1001" width="6.375" style="6" customWidth="1"/>
    <col min="1002" max="1002" width="13.125" style="6" customWidth="1"/>
    <col min="1003" max="1003" width="15.375" style="6" customWidth="1"/>
    <col min="1004" max="1004" width="21.25" style="6" customWidth="1"/>
    <col min="1005" max="1253" width="9.125" style="6" customWidth="1"/>
    <col min="1254" max="1254" width="6.375" style="6" customWidth="1"/>
    <col min="1255" max="1255" width="34.25" style="6" customWidth="1"/>
    <col min="1256" max="1256" width="7.375" style="6" customWidth="1"/>
    <col min="1257" max="1257" width="6.375" style="6" customWidth="1"/>
    <col min="1258" max="1258" width="13.125" style="6" customWidth="1"/>
    <col min="1259" max="1259" width="15.375" style="6" customWidth="1"/>
    <col min="1260" max="1260" width="21.25" style="6" customWidth="1"/>
    <col min="1261" max="1509" width="9.125" style="6" customWidth="1"/>
    <col min="1510" max="1510" width="6.375" style="6" customWidth="1"/>
    <col min="1511" max="1511" width="34.25" style="6" customWidth="1"/>
    <col min="1512" max="1512" width="7.375" style="6" customWidth="1"/>
    <col min="1513" max="1513" width="6.375" style="6" customWidth="1"/>
    <col min="1514" max="1514" width="13.125" style="6" customWidth="1"/>
    <col min="1515" max="1515" width="15.375" style="6" customWidth="1"/>
    <col min="1516" max="1516" width="21.25" style="6" customWidth="1"/>
    <col min="1517" max="1765" width="9.125" style="6" customWidth="1"/>
    <col min="1766" max="1766" width="6.375" style="6" customWidth="1"/>
    <col min="1767" max="1767" width="34.25" style="6" customWidth="1"/>
    <col min="1768" max="1768" width="7.375" style="6" customWidth="1"/>
    <col min="1769" max="1769" width="6.375" style="6" customWidth="1"/>
    <col min="1770" max="1770" width="13.125" style="6" customWidth="1"/>
    <col min="1771" max="1771" width="15.375" style="6" customWidth="1"/>
    <col min="1772" max="1772" width="21.25" style="6" customWidth="1"/>
    <col min="1773" max="2021" width="9.125" style="6" customWidth="1"/>
    <col min="2022" max="2022" width="6.375" style="6" customWidth="1"/>
    <col min="2023" max="2023" width="34.25" style="6" customWidth="1"/>
    <col min="2024" max="2024" width="7.375" style="6" customWidth="1"/>
    <col min="2025" max="2025" width="6.375" style="6" customWidth="1"/>
    <col min="2026" max="2026" width="13.125" style="6" customWidth="1"/>
    <col min="2027" max="2027" width="15.375" style="6" customWidth="1"/>
    <col min="2028" max="2028" width="21.25" style="6" customWidth="1"/>
    <col min="2029" max="2277" width="9.125" style="6" customWidth="1"/>
    <col min="2278" max="2278" width="6.375" style="6" customWidth="1"/>
    <col min="2279" max="2279" width="34.25" style="6" customWidth="1"/>
    <col min="2280" max="2280" width="7.375" style="6" customWidth="1"/>
    <col min="2281" max="2281" width="6.375" style="6" customWidth="1"/>
    <col min="2282" max="2282" width="13.125" style="6" customWidth="1"/>
    <col min="2283" max="2283" width="15.375" style="6" customWidth="1"/>
    <col min="2284" max="2284" width="21.25" style="6" customWidth="1"/>
    <col min="2285" max="2533" width="9.125" style="6" customWidth="1"/>
    <col min="2534" max="2534" width="6.375" style="6" customWidth="1"/>
    <col min="2535" max="2535" width="34.25" style="6" customWidth="1"/>
    <col min="2536" max="2536" width="7.375" style="6" customWidth="1"/>
    <col min="2537" max="2537" width="6.375" style="6" customWidth="1"/>
    <col min="2538" max="2538" width="13.125" style="6" customWidth="1"/>
    <col min="2539" max="2539" width="15.375" style="6" customWidth="1"/>
    <col min="2540" max="2540" width="21.25" style="6" customWidth="1"/>
    <col min="2541" max="2789" width="9.125" style="6" customWidth="1"/>
    <col min="2790" max="2790" width="6.375" style="6" customWidth="1"/>
    <col min="2791" max="2791" width="34.25" style="6" customWidth="1"/>
    <col min="2792" max="2792" width="7.375" style="6" customWidth="1"/>
    <col min="2793" max="2793" width="6.375" style="6" customWidth="1"/>
    <col min="2794" max="2794" width="13.125" style="6" customWidth="1"/>
    <col min="2795" max="2795" width="15.375" style="6" customWidth="1"/>
    <col min="2796" max="2796" width="21.25" style="6" customWidth="1"/>
    <col min="2797" max="3045" width="9.125" style="6" customWidth="1"/>
    <col min="3046" max="3046" width="6.375" style="6" customWidth="1"/>
    <col min="3047" max="3047" width="34.25" style="6" customWidth="1"/>
    <col min="3048" max="3048" width="7.375" style="6" customWidth="1"/>
    <col min="3049" max="3049" width="6.375" style="6" customWidth="1"/>
    <col min="3050" max="3050" width="13.125" style="6" customWidth="1"/>
    <col min="3051" max="3051" width="15.375" style="6" customWidth="1"/>
    <col min="3052" max="3052" width="21.25" style="6" customWidth="1"/>
    <col min="3053" max="3301" width="9.125" style="6" customWidth="1"/>
    <col min="3302" max="3302" width="6.375" style="6" customWidth="1"/>
    <col min="3303" max="3303" width="34.25" style="6" customWidth="1"/>
    <col min="3304" max="3304" width="7.375" style="6" customWidth="1"/>
    <col min="3305" max="3305" width="6.375" style="6" customWidth="1"/>
    <col min="3306" max="3306" width="13.125" style="6" customWidth="1"/>
    <col min="3307" max="3307" width="15.375" style="6" customWidth="1"/>
    <col min="3308" max="3308" width="21.25" style="6" customWidth="1"/>
    <col min="3309" max="3557" width="9.125" style="6" customWidth="1"/>
    <col min="3558" max="3558" width="6.375" style="6" customWidth="1"/>
    <col min="3559" max="3559" width="34.25" style="6" customWidth="1"/>
    <col min="3560" max="3560" width="7.375" style="6" customWidth="1"/>
    <col min="3561" max="3561" width="6.375" style="6" customWidth="1"/>
    <col min="3562" max="3562" width="13.125" style="6" customWidth="1"/>
    <col min="3563" max="3563" width="15.375" style="6" customWidth="1"/>
    <col min="3564" max="3564" width="21.25" style="6" customWidth="1"/>
    <col min="3565" max="3813" width="9.125" style="6" customWidth="1"/>
    <col min="3814" max="3814" width="6.375" style="6" customWidth="1"/>
    <col min="3815" max="3815" width="34.25" style="6" customWidth="1"/>
    <col min="3816" max="3816" width="7.375" style="6" customWidth="1"/>
    <col min="3817" max="3817" width="6.375" style="6" customWidth="1"/>
    <col min="3818" max="3818" width="13.125" style="6" customWidth="1"/>
    <col min="3819" max="3819" width="15.375" style="6" customWidth="1"/>
    <col min="3820" max="3820" width="21.25" style="6" customWidth="1"/>
    <col min="3821" max="4069" width="9.125" style="6" customWidth="1"/>
    <col min="4070" max="4070" width="6.375" style="6" customWidth="1"/>
    <col min="4071" max="4071" width="34.25" style="6" customWidth="1"/>
    <col min="4072" max="4072" width="7.375" style="6" customWidth="1"/>
    <col min="4073" max="4073" width="6.375" style="6" customWidth="1"/>
    <col min="4074" max="4074" width="13.125" style="6" customWidth="1"/>
    <col min="4075" max="4075" width="15.375" style="6" customWidth="1"/>
    <col min="4076" max="4076" width="21.25" style="6" customWidth="1"/>
    <col min="4077" max="4325" width="9.125" style="6" customWidth="1"/>
    <col min="4326" max="4326" width="6.375" style="6" customWidth="1"/>
    <col min="4327" max="4327" width="34.25" style="6" customWidth="1"/>
    <col min="4328" max="4328" width="7.375" style="6" customWidth="1"/>
    <col min="4329" max="4329" width="6.375" style="6" customWidth="1"/>
    <col min="4330" max="4330" width="13.125" style="6" customWidth="1"/>
    <col min="4331" max="4331" width="15.375" style="6" customWidth="1"/>
    <col min="4332" max="4332" width="21.25" style="6" customWidth="1"/>
    <col min="4333" max="4581" width="9.125" style="6" customWidth="1"/>
    <col min="4582" max="4582" width="6.375" style="6" customWidth="1"/>
    <col min="4583" max="4583" width="34.25" style="6" customWidth="1"/>
    <col min="4584" max="4584" width="7.375" style="6" customWidth="1"/>
    <col min="4585" max="4585" width="6.375" style="6" customWidth="1"/>
    <col min="4586" max="4586" width="13.125" style="6" customWidth="1"/>
    <col min="4587" max="4587" width="15.375" style="6" customWidth="1"/>
    <col min="4588" max="4588" width="21.25" style="6" customWidth="1"/>
    <col min="4589" max="4837" width="9.125" style="6" customWidth="1"/>
    <col min="4838" max="4838" width="6.375" style="6" customWidth="1"/>
    <col min="4839" max="4839" width="34.25" style="6" customWidth="1"/>
    <col min="4840" max="4840" width="7.375" style="6" customWidth="1"/>
    <col min="4841" max="4841" width="6.375" style="6" customWidth="1"/>
    <col min="4842" max="4842" width="13.125" style="6" customWidth="1"/>
    <col min="4843" max="4843" width="15.375" style="6" customWidth="1"/>
    <col min="4844" max="4844" width="21.25" style="6" customWidth="1"/>
    <col min="4845" max="5093" width="9.125" style="6" customWidth="1"/>
    <col min="5094" max="5094" width="6.375" style="6" customWidth="1"/>
    <col min="5095" max="5095" width="34.25" style="6" customWidth="1"/>
    <col min="5096" max="5096" width="7.375" style="6" customWidth="1"/>
    <col min="5097" max="5097" width="6.375" style="6" customWidth="1"/>
    <col min="5098" max="5098" width="13.125" style="6" customWidth="1"/>
    <col min="5099" max="5099" width="15.375" style="6" customWidth="1"/>
    <col min="5100" max="5100" width="21.25" style="6" customWidth="1"/>
    <col min="5101" max="5349" width="9.125" style="6" customWidth="1"/>
    <col min="5350" max="5350" width="6.375" style="6" customWidth="1"/>
    <col min="5351" max="5351" width="34.25" style="6" customWidth="1"/>
    <col min="5352" max="5352" width="7.375" style="6" customWidth="1"/>
    <col min="5353" max="5353" width="6.375" style="6" customWidth="1"/>
    <col min="5354" max="5354" width="13.125" style="6" customWidth="1"/>
    <col min="5355" max="5355" width="15.375" style="6" customWidth="1"/>
    <col min="5356" max="5356" width="21.25" style="6" customWidth="1"/>
    <col min="5357" max="5605" width="9.125" style="6" customWidth="1"/>
    <col min="5606" max="5606" width="6.375" style="6" customWidth="1"/>
    <col min="5607" max="5607" width="34.25" style="6" customWidth="1"/>
    <col min="5608" max="5608" width="7.375" style="6" customWidth="1"/>
    <col min="5609" max="5609" width="6.375" style="6" customWidth="1"/>
    <col min="5610" max="5610" width="13.125" style="6" customWidth="1"/>
    <col min="5611" max="5611" width="15.375" style="6" customWidth="1"/>
    <col min="5612" max="5612" width="21.25" style="6" customWidth="1"/>
    <col min="5613" max="5861" width="9.125" style="6" customWidth="1"/>
    <col min="5862" max="5862" width="6.375" style="6" customWidth="1"/>
    <col min="5863" max="5863" width="34.25" style="6" customWidth="1"/>
    <col min="5864" max="5864" width="7.375" style="6" customWidth="1"/>
    <col min="5865" max="5865" width="6.375" style="6" customWidth="1"/>
    <col min="5866" max="5866" width="13.125" style="6" customWidth="1"/>
    <col min="5867" max="5867" width="15.375" style="6" customWidth="1"/>
    <col min="5868" max="5868" width="21.25" style="6" customWidth="1"/>
    <col min="5869" max="6117" width="9.125" style="6" customWidth="1"/>
    <col min="6118" max="6118" width="6.375" style="6" customWidth="1"/>
    <col min="6119" max="6119" width="34.25" style="6" customWidth="1"/>
    <col min="6120" max="6120" width="7.375" style="6" customWidth="1"/>
    <col min="6121" max="6121" width="6.375" style="6" customWidth="1"/>
    <col min="6122" max="6122" width="13.125" style="6" customWidth="1"/>
    <col min="6123" max="6123" width="15.375" style="6" customWidth="1"/>
    <col min="6124" max="6124" width="21.25" style="6" customWidth="1"/>
    <col min="6125" max="6373" width="9.125" style="6" customWidth="1"/>
    <col min="6374" max="6374" width="6.375" style="6" customWidth="1"/>
    <col min="6375" max="6375" width="34.25" style="6" customWidth="1"/>
    <col min="6376" max="6376" width="7.375" style="6" customWidth="1"/>
    <col min="6377" max="6377" width="6.375" style="6" customWidth="1"/>
    <col min="6378" max="6378" width="13.125" style="6" customWidth="1"/>
    <col min="6379" max="6379" width="15.375" style="6" customWidth="1"/>
    <col min="6380" max="6380" width="21.25" style="6" customWidth="1"/>
    <col min="6381" max="6629" width="9.125" style="6" customWidth="1"/>
    <col min="6630" max="6630" width="6.375" style="6" customWidth="1"/>
    <col min="6631" max="6631" width="34.25" style="6" customWidth="1"/>
    <col min="6632" max="6632" width="7.375" style="6" customWidth="1"/>
    <col min="6633" max="6633" width="6.375" style="6" customWidth="1"/>
    <col min="6634" max="6634" width="13.125" style="6" customWidth="1"/>
    <col min="6635" max="6635" width="15.375" style="6" customWidth="1"/>
    <col min="6636" max="6636" width="21.25" style="6" customWidth="1"/>
    <col min="6637" max="6885" width="9.125" style="6" customWidth="1"/>
    <col min="6886" max="6886" width="6.375" style="6" customWidth="1"/>
    <col min="6887" max="6887" width="34.25" style="6" customWidth="1"/>
    <col min="6888" max="6888" width="7.375" style="6" customWidth="1"/>
    <col min="6889" max="6889" width="6.375" style="6" customWidth="1"/>
    <col min="6890" max="6890" width="13.125" style="6" customWidth="1"/>
    <col min="6891" max="6891" width="15.375" style="6" customWidth="1"/>
    <col min="6892" max="6892" width="21.25" style="6" customWidth="1"/>
    <col min="6893" max="7141" width="9.125" style="6" customWidth="1"/>
    <col min="7142" max="7142" width="6.375" style="6" customWidth="1"/>
    <col min="7143" max="7143" width="34.25" style="6" customWidth="1"/>
    <col min="7144" max="7144" width="7.375" style="6" customWidth="1"/>
    <col min="7145" max="7145" width="6.375" style="6" customWidth="1"/>
    <col min="7146" max="7146" width="13.125" style="6" customWidth="1"/>
    <col min="7147" max="7147" width="15.375" style="6" customWidth="1"/>
    <col min="7148" max="7148" width="21.25" style="6" customWidth="1"/>
    <col min="7149" max="7397" width="9.125" style="6" customWidth="1"/>
    <col min="7398" max="7398" width="6.375" style="6" customWidth="1"/>
    <col min="7399" max="7399" width="34.25" style="6" customWidth="1"/>
    <col min="7400" max="7400" width="7.375" style="6" customWidth="1"/>
    <col min="7401" max="7401" width="6.375" style="6" customWidth="1"/>
    <col min="7402" max="7402" width="13.125" style="6" customWidth="1"/>
    <col min="7403" max="7403" width="15.375" style="6" customWidth="1"/>
    <col min="7404" max="7404" width="21.25" style="6" customWidth="1"/>
    <col min="7405" max="7653" width="9.125" style="6" customWidth="1"/>
    <col min="7654" max="7654" width="6.375" style="6" customWidth="1"/>
    <col min="7655" max="7655" width="34.25" style="6" customWidth="1"/>
    <col min="7656" max="7656" width="7.375" style="6" customWidth="1"/>
    <col min="7657" max="7657" width="6.375" style="6" customWidth="1"/>
    <col min="7658" max="7658" width="13.125" style="6" customWidth="1"/>
    <col min="7659" max="7659" width="15.375" style="6" customWidth="1"/>
    <col min="7660" max="7660" width="21.25" style="6" customWidth="1"/>
    <col min="7661" max="7909" width="9.125" style="6" customWidth="1"/>
    <col min="7910" max="7910" width="6.375" style="6" customWidth="1"/>
    <col min="7911" max="7911" width="34.25" style="6" customWidth="1"/>
    <col min="7912" max="7912" width="7.375" style="6" customWidth="1"/>
    <col min="7913" max="7913" width="6.375" style="6" customWidth="1"/>
    <col min="7914" max="7914" width="13.125" style="6" customWidth="1"/>
    <col min="7915" max="7915" width="15.375" style="6" customWidth="1"/>
    <col min="7916" max="7916" width="21.25" style="6" customWidth="1"/>
    <col min="7917" max="8165" width="9.125" style="6" customWidth="1"/>
    <col min="8166" max="8166" width="6.375" style="6" customWidth="1"/>
    <col min="8167" max="8167" width="34.25" style="6" customWidth="1"/>
    <col min="8168" max="8168" width="7.375" style="6" customWidth="1"/>
    <col min="8169" max="8169" width="6.375" style="6" customWidth="1"/>
    <col min="8170" max="8170" width="13.125" style="6" customWidth="1"/>
    <col min="8171" max="8171" width="15.375" style="6" customWidth="1"/>
    <col min="8172" max="8172" width="21.25" style="6" customWidth="1"/>
    <col min="8173" max="8421" width="9.125" style="6" customWidth="1"/>
    <col min="8422" max="8422" width="6.375" style="6" customWidth="1"/>
    <col min="8423" max="8423" width="34.25" style="6" customWidth="1"/>
    <col min="8424" max="8424" width="7.375" style="6" customWidth="1"/>
    <col min="8425" max="8425" width="6.375" style="6" customWidth="1"/>
    <col min="8426" max="8426" width="13.125" style="6" customWidth="1"/>
    <col min="8427" max="8427" width="15.375" style="6" customWidth="1"/>
    <col min="8428" max="8428" width="21.25" style="6" customWidth="1"/>
    <col min="8429" max="8677" width="9.125" style="6" customWidth="1"/>
    <col min="8678" max="8678" width="6.375" style="6" customWidth="1"/>
    <col min="8679" max="8679" width="34.25" style="6" customWidth="1"/>
    <col min="8680" max="8680" width="7.375" style="6" customWidth="1"/>
    <col min="8681" max="8681" width="6.375" style="6" customWidth="1"/>
    <col min="8682" max="8682" width="13.125" style="6" customWidth="1"/>
    <col min="8683" max="8683" width="15.375" style="6" customWidth="1"/>
    <col min="8684" max="8684" width="21.25" style="6" customWidth="1"/>
    <col min="8685" max="8933" width="9.125" style="6" customWidth="1"/>
    <col min="8934" max="8934" width="6.375" style="6" customWidth="1"/>
    <col min="8935" max="8935" width="34.25" style="6" customWidth="1"/>
    <col min="8936" max="8936" width="7.375" style="6" customWidth="1"/>
    <col min="8937" max="8937" width="6.375" style="6" customWidth="1"/>
    <col min="8938" max="8938" width="13.125" style="6" customWidth="1"/>
    <col min="8939" max="8939" width="15.375" style="6" customWidth="1"/>
    <col min="8940" max="8940" width="21.25" style="6" customWidth="1"/>
    <col min="8941" max="9189" width="9.125" style="6" customWidth="1"/>
    <col min="9190" max="9190" width="6.375" style="6" customWidth="1"/>
    <col min="9191" max="9191" width="34.25" style="6" customWidth="1"/>
    <col min="9192" max="9192" width="7.375" style="6" customWidth="1"/>
    <col min="9193" max="9193" width="6.375" style="6" customWidth="1"/>
    <col min="9194" max="9194" width="13.125" style="6" customWidth="1"/>
    <col min="9195" max="9195" width="15.375" style="6" customWidth="1"/>
    <col min="9196" max="9196" width="21.25" style="6" customWidth="1"/>
    <col min="9197" max="9445" width="9.125" style="6" customWidth="1"/>
    <col min="9446" max="9446" width="6.375" style="6" customWidth="1"/>
    <col min="9447" max="9447" width="34.25" style="6" customWidth="1"/>
    <col min="9448" max="9448" width="7.375" style="6" customWidth="1"/>
    <col min="9449" max="9449" width="6.375" style="6" customWidth="1"/>
    <col min="9450" max="9450" width="13.125" style="6" customWidth="1"/>
    <col min="9451" max="9451" width="15.375" style="6" customWidth="1"/>
    <col min="9452" max="9452" width="21.25" style="6" customWidth="1"/>
    <col min="9453" max="9701" width="9.125" style="6" customWidth="1"/>
    <col min="9702" max="9702" width="6.375" style="6" customWidth="1"/>
    <col min="9703" max="9703" width="34.25" style="6" customWidth="1"/>
    <col min="9704" max="9704" width="7.375" style="6" customWidth="1"/>
    <col min="9705" max="9705" width="6.375" style="6" customWidth="1"/>
    <col min="9706" max="9706" width="13.125" style="6" customWidth="1"/>
    <col min="9707" max="9707" width="15.375" style="6" customWidth="1"/>
    <col min="9708" max="9708" width="21.25" style="6" customWidth="1"/>
    <col min="9709" max="9957" width="9.125" style="6" customWidth="1"/>
    <col min="9958" max="9958" width="6.375" style="6" customWidth="1"/>
    <col min="9959" max="9959" width="34.25" style="6" customWidth="1"/>
    <col min="9960" max="9960" width="7.375" style="6" customWidth="1"/>
    <col min="9961" max="9961" width="6.375" style="6" customWidth="1"/>
    <col min="9962" max="9962" width="13.125" style="6" customWidth="1"/>
    <col min="9963" max="9963" width="15.375" style="6" customWidth="1"/>
    <col min="9964" max="9964" width="21.25" style="6" customWidth="1"/>
    <col min="9965" max="10213" width="9.125" style="6" customWidth="1"/>
    <col min="10214" max="10214" width="6.375" style="6" customWidth="1"/>
    <col min="10215" max="10215" width="34.25" style="6" customWidth="1"/>
    <col min="10216" max="10216" width="7.375" style="6" customWidth="1"/>
    <col min="10217" max="10217" width="6.375" style="6" customWidth="1"/>
    <col min="10218" max="10218" width="13.125" style="6" customWidth="1"/>
    <col min="10219" max="10219" width="15.375" style="6" customWidth="1"/>
    <col min="10220" max="10220" width="21.25" style="6" customWidth="1"/>
    <col min="10221" max="10469" width="9.125" style="6" customWidth="1"/>
    <col min="10470" max="10470" width="6.375" style="6" customWidth="1"/>
    <col min="10471" max="10471" width="34.25" style="6" customWidth="1"/>
    <col min="10472" max="10472" width="7.375" style="6" customWidth="1"/>
    <col min="10473" max="10473" width="6.375" style="6" customWidth="1"/>
    <col min="10474" max="10474" width="13.125" style="6" customWidth="1"/>
    <col min="10475" max="10475" width="15.375" style="6" customWidth="1"/>
    <col min="10476" max="10476" width="21.25" style="6" customWidth="1"/>
    <col min="10477" max="10725" width="9.125" style="6" customWidth="1"/>
    <col min="10726" max="10726" width="6.375" style="6" customWidth="1"/>
    <col min="10727" max="10727" width="34.25" style="6" customWidth="1"/>
    <col min="10728" max="10728" width="7.375" style="6" customWidth="1"/>
    <col min="10729" max="10729" width="6.375" style="6" customWidth="1"/>
    <col min="10730" max="10730" width="13.125" style="6" customWidth="1"/>
    <col min="10731" max="10731" width="15.375" style="6" customWidth="1"/>
    <col min="10732" max="10732" width="21.25" style="6" customWidth="1"/>
    <col min="10733" max="10981" width="9.125" style="6" customWidth="1"/>
    <col min="10982" max="10982" width="6.375" style="6" customWidth="1"/>
    <col min="10983" max="10983" width="34.25" style="6" customWidth="1"/>
    <col min="10984" max="10984" width="7.375" style="6" customWidth="1"/>
    <col min="10985" max="10985" width="6.375" style="6" customWidth="1"/>
    <col min="10986" max="10986" width="13.125" style="6" customWidth="1"/>
    <col min="10987" max="10987" width="15.375" style="6" customWidth="1"/>
    <col min="10988" max="10988" width="21.25" style="6" customWidth="1"/>
    <col min="10989" max="11237" width="9.125" style="6" customWidth="1"/>
    <col min="11238" max="11238" width="6.375" style="6" customWidth="1"/>
    <col min="11239" max="11239" width="34.25" style="6" customWidth="1"/>
    <col min="11240" max="11240" width="7.375" style="6" customWidth="1"/>
    <col min="11241" max="11241" width="6.375" style="6" customWidth="1"/>
    <col min="11242" max="11242" width="13.125" style="6" customWidth="1"/>
    <col min="11243" max="11243" width="15.375" style="6" customWidth="1"/>
    <col min="11244" max="11244" width="21.25" style="6" customWidth="1"/>
    <col min="11245" max="11493" width="9.125" style="6" customWidth="1"/>
    <col min="11494" max="11494" width="6.375" style="6" customWidth="1"/>
    <col min="11495" max="11495" width="34.25" style="6" customWidth="1"/>
    <col min="11496" max="11496" width="7.375" style="6" customWidth="1"/>
    <col min="11497" max="11497" width="6.375" style="6" customWidth="1"/>
    <col min="11498" max="11498" width="13.125" style="6" customWidth="1"/>
    <col min="11499" max="11499" width="15.375" style="6" customWidth="1"/>
    <col min="11500" max="11500" width="21.25" style="6" customWidth="1"/>
    <col min="11501" max="11749" width="9.125" style="6" customWidth="1"/>
    <col min="11750" max="11750" width="6.375" style="6" customWidth="1"/>
    <col min="11751" max="11751" width="34.25" style="6" customWidth="1"/>
    <col min="11752" max="11752" width="7.375" style="6" customWidth="1"/>
    <col min="11753" max="11753" width="6.375" style="6" customWidth="1"/>
    <col min="11754" max="11754" width="13.125" style="6" customWidth="1"/>
    <col min="11755" max="11755" width="15.375" style="6" customWidth="1"/>
    <col min="11756" max="11756" width="21.25" style="6" customWidth="1"/>
    <col min="11757" max="12005" width="9.125" style="6" customWidth="1"/>
    <col min="12006" max="12006" width="6.375" style="6" customWidth="1"/>
    <col min="12007" max="12007" width="34.25" style="6" customWidth="1"/>
    <col min="12008" max="12008" width="7.375" style="6" customWidth="1"/>
    <col min="12009" max="12009" width="6.375" style="6" customWidth="1"/>
    <col min="12010" max="12010" width="13.125" style="6" customWidth="1"/>
    <col min="12011" max="12011" width="15.375" style="6" customWidth="1"/>
    <col min="12012" max="12012" width="21.25" style="6" customWidth="1"/>
    <col min="12013" max="12261" width="9.125" style="6" customWidth="1"/>
    <col min="12262" max="12262" width="6.375" style="6" customWidth="1"/>
    <col min="12263" max="12263" width="34.25" style="6" customWidth="1"/>
    <col min="12264" max="12264" width="7.375" style="6" customWidth="1"/>
    <col min="12265" max="12265" width="6.375" style="6" customWidth="1"/>
    <col min="12266" max="12266" width="13.125" style="6" customWidth="1"/>
    <col min="12267" max="12267" width="15.375" style="6" customWidth="1"/>
    <col min="12268" max="12268" width="21.25" style="6" customWidth="1"/>
    <col min="12269" max="12517" width="9.125" style="6" customWidth="1"/>
    <col min="12518" max="12518" width="6.375" style="6" customWidth="1"/>
    <col min="12519" max="12519" width="34.25" style="6" customWidth="1"/>
    <col min="12520" max="12520" width="7.375" style="6" customWidth="1"/>
    <col min="12521" max="12521" width="6.375" style="6" customWidth="1"/>
    <col min="12522" max="12522" width="13.125" style="6" customWidth="1"/>
    <col min="12523" max="12523" width="15.375" style="6" customWidth="1"/>
    <col min="12524" max="12524" width="21.25" style="6" customWidth="1"/>
    <col min="12525" max="12773" width="9.125" style="6" customWidth="1"/>
    <col min="12774" max="12774" width="6.375" style="6" customWidth="1"/>
    <col min="12775" max="12775" width="34.25" style="6" customWidth="1"/>
    <col min="12776" max="12776" width="7.375" style="6" customWidth="1"/>
    <col min="12777" max="12777" width="6.375" style="6" customWidth="1"/>
    <col min="12778" max="12778" width="13.125" style="6" customWidth="1"/>
    <col min="12779" max="12779" width="15.375" style="6" customWidth="1"/>
    <col min="12780" max="12780" width="21.25" style="6" customWidth="1"/>
    <col min="12781" max="13029" width="9.125" style="6" customWidth="1"/>
    <col min="13030" max="13030" width="6.375" style="6" customWidth="1"/>
    <col min="13031" max="13031" width="34.25" style="6" customWidth="1"/>
    <col min="13032" max="13032" width="7.375" style="6" customWidth="1"/>
    <col min="13033" max="13033" width="6.375" style="6" customWidth="1"/>
    <col min="13034" max="13034" width="13.125" style="6" customWidth="1"/>
    <col min="13035" max="13035" width="15.375" style="6" customWidth="1"/>
    <col min="13036" max="13036" width="21.25" style="6" customWidth="1"/>
    <col min="13037" max="13285" width="9.125" style="6" customWidth="1"/>
    <col min="13286" max="13286" width="6.375" style="6" customWidth="1"/>
    <col min="13287" max="13287" width="34.25" style="6" customWidth="1"/>
    <col min="13288" max="13288" width="7.375" style="6" customWidth="1"/>
    <col min="13289" max="13289" width="6.375" style="6" customWidth="1"/>
    <col min="13290" max="13290" width="13.125" style="6" customWidth="1"/>
    <col min="13291" max="13291" width="15.375" style="6" customWidth="1"/>
    <col min="13292" max="13292" width="21.25" style="6" customWidth="1"/>
    <col min="13293" max="13541" width="9.125" style="6" customWidth="1"/>
    <col min="13542" max="13542" width="6.375" style="6" customWidth="1"/>
    <col min="13543" max="13543" width="34.25" style="6" customWidth="1"/>
    <col min="13544" max="13544" width="7.375" style="6" customWidth="1"/>
    <col min="13545" max="13545" width="6.375" style="6" customWidth="1"/>
    <col min="13546" max="13546" width="13.125" style="6" customWidth="1"/>
    <col min="13547" max="13547" width="15.375" style="6" customWidth="1"/>
    <col min="13548" max="13548" width="21.25" style="6" customWidth="1"/>
    <col min="13549" max="13797" width="9.125" style="6" customWidth="1"/>
    <col min="13798" max="13798" width="6.375" style="6" customWidth="1"/>
    <col min="13799" max="13799" width="34.25" style="6" customWidth="1"/>
    <col min="13800" max="13800" width="7.375" style="6" customWidth="1"/>
    <col min="13801" max="13801" width="6.375" style="6" customWidth="1"/>
    <col min="13802" max="13802" width="13.125" style="6" customWidth="1"/>
    <col min="13803" max="13803" width="15.375" style="6" customWidth="1"/>
    <col min="13804" max="13804" width="21.25" style="6" customWidth="1"/>
    <col min="13805" max="14053" width="9.125" style="6" customWidth="1"/>
    <col min="14054" max="14054" width="6.375" style="6" customWidth="1"/>
    <col min="14055" max="14055" width="34.25" style="6" customWidth="1"/>
    <col min="14056" max="14056" width="7.375" style="6" customWidth="1"/>
    <col min="14057" max="14057" width="6.375" style="6" customWidth="1"/>
    <col min="14058" max="14058" width="13.125" style="6" customWidth="1"/>
    <col min="14059" max="14059" width="15.375" style="6" customWidth="1"/>
    <col min="14060" max="14060" width="21.25" style="6" customWidth="1"/>
    <col min="14061" max="14309" width="9.125" style="6" customWidth="1"/>
    <col min="14310" max="14310" width="6.375" style="6" customWidth="1"/>
    <col min="14311" max="14311" width="34.25" style="6" customWidth="1"/>
    <col min="14312" max="14312" width="7.375" style="6" customWidth="1"/>
    <col min="14313" max="14313" width="6.375" style="6" customWidth="1"/>
    <col min="14314" max="14314" width="13.125" style="6" customWidth="1"/>
    <col min="14315" max="14315" width="15.375" style="6" customWidth="1"/>
    <col min="14316" max="14316" width="21.25" style="6" customWidth="1"/>
    <col min="14317" max="14565" width="9.125" style="6" customWidth="1"/>
    <col min="14566" max="14566" width="6.375" style="6" customWidth="1"/>
    <col min="14567" max="14567" width="34.25" style="6" customWidth="1"/>
    <col min="14568" max="14568" width="7.375" style="6" customWidth="1"/>
    <col min="14569" max="14569" width="6.375" style="6" customWidth="1"/>
    <col min="14570" max="14570" width="13.125" style="6" customWidth="1"/>
    <col min="14571" max="14571" width="15.375" style="6" customWidth="1"/>
    <col min="14572" max="14572" width="21.25" style="6" customWidth="1"/>
    <col min="14573" max="14821" width="9.125" style="6" customWidth="1"/>
    <col min="14822" max="14822" width="6.375" style="6" customWidth="1"/>
    <col min="14823" max="14823" width="34.25" style="6" customWidth="1"/>
    <col min="14824" max="14824" width="7.375" style="6" customWidth="1"/>
    <col min="14825" max="14825" width="6.375" style="6" customWidth="1"/>
    <col min="14826" max="14826" width="13.125" style="6" customWidth="1"/>
    <col min="14827" max="14827" width="15.375" style="6" customWidth="1"/>
    <col min="14828" max="14828" width="21.25" style="6" customWidth="1"/>
    <col min="14829" max="15077" width="9.125" style="6" customWidth="1"/>
    <col min="15078" max="15078" width="6.375" style="6" customWidth="1"/>
    <col min="15079" max="15079" width="34.25" style="6" customWidth="1"/>
    <col min="15080" max="15080" width="7.375" style="6" customWidth="1"/>
    <col min="15081" max="15081" width="6.375" style="6" customWidth="1"/>
    <col min="15082" max="15082" width="13.125" style="6" customWidth="1"/>
    <col min="15083" max="15083" width="15.375" style="6" customWidth="1"/>
    <col min="15084" max="15084" width="21.25" style="6" customWidth="1"/>
    <col min="15085" max="15333" width="9.125" style="6" customWidth="1"/>
    <col min="15334" max="15334" width="6.375" style="6" customWidth="1"/>
    <col min="15335" max="15335" width="34.25" style="6" customWidth="1"/>
    <col min="15336" max="15336" width="7.375" style="6" customWidth="1"/>
    <col min="15337" max="15337" width="6.375" style="6" customWidth="1"/>
    <col min="15338" max="15338" width="13.125" style="6" customWidth="1"/>
    <col min="15339" max="15339" width="15.375" style="6" customWidth="1"/>
    <col min="15340" max="15340" width="21.25" style="6" customWidth="1"/>
    <col min="15341" max="15589" width="9.125" style="6" customWidth="1"/>
    <col min="15590" max="15590" width="6.375" style="6" customWidth="1"/>
    <col min="15591" max="15591" width="34.25" style="6" customWidth="1"/>
    <col min="15592" max="15592" width="7.375" style="6" customWidth="1"/>
    <col min="15593" max="15593" width="6.375" style="6" customWidth="1"/>
    <col min="15594" max="15594" width="13.125" style="6" customWidth="1"/>
    <col min="15595" max="15595" width="15.375" style="6" customWidth="1"/>
    <col min="15596" max="15596" width="21.25" style="6" customWidth="1"/>
    <col min="15597" max="15845" width="9.125" style="6" customWidth="1"/>
    <col min="15846" max="15846" width="6.375" style="6" customWidth="1"/>
    <col min="15847" max="15847" width="34.25" style="6" customWidth="1"/>
    <col min="15848" max="15848" width="7.375" style="6" customWidth="1"/>
    <col min="15849" max="15849" width="6.375" style="6" customWidth="1"/>
    <col min="15850" max="15850" width="13.125" style="6" customWidth="1"/>
    <col min="15851" max="15851" width="15.375" style="6" customWidth="1"/>
    <col min="15852" max="15852" width="21.25" style="6" customWidth="1"/>
    <col min="15853" max="16101" width="9.125" style="6" customWidth="1"/>
    <col min="16102" max="16102" width="6.375" style="6" customWidth="1"/>
    <col min="16103" max="16103" width="34.25" style="6" customWidth="1"/>
    <col min="16104" max="16104" width="7.375" style="6" customWidth="1"/>
    <col min="16105" max="16105" width="6.375" style="6" customWidth="1"/>
    <col min="16106" max="16106" width="13.125" style="6" customWidth="1"/>
    <col min="16107" max="16107" width="15.375" style="6" customWidth="1"/>
    <col min="16108" max="16108" width="21.25" style="6" customWidth="1"/>
    <col min="16109" max="16384" width="9.125" style="6" customWidth="1"/>
  </cols>
  <sheetData>
    <row r="1" spans="1:10" ht="48" customHeight="1"/>
    <row r="2" spans="1:10" s="1" customFormat="1" ht="51" customHeight="1">
      <c r="A2" s="10" t="s">
        <v>507</v>
      </c>
      <c r="B2" s="11"/>
      <c r="C2" s="12"/>
      <c r="D2" s="11"/>
      <c r="E2" s="14"/>
      <c r="F2" s="14"/>
      <c r="G2" s="14"/>
      <c r="H2" s="15"/>
      <c r="I2" s="15"/>
      <c r="J2" s="15"/>
    </row>
    <row r="3" spans="1:10" ht="26.25" customHeight="1">
      <c r="A3" s="16"/>
      <c r="B3" s="17" t="s">
        <v>440</v>
      </c>
      <c r="C3" s="213"/>
      <c r="D3" s="217"/>
      <c r="E3" s="214"/>
      <c r="F3" s="214"/>
      <c r="G3" s="214"/>
      <c r="H3" s="220"/>
      <c r="I3" s="220"/>
      <c r="J3" s="220"/>
    </row>
    <row r="4" spans="1:10" ht="26.25" customHeight="1">
      <c r="A4" s="18"/>
      <c r="B4" s="5" t="s">
        <v>441</v>
      </c>
      <c r="C4" s="222"/>
      <c r="D4" s="217"/>
      <c r="E4" s="214"/>
      <c r="F4" s="214"/>
      <c r="G4" s="214"/>
      <c r="H4" s="220"/>
      <c r="I4" s="220"/>
      <c r="J4" s="220"/>
    </row>
    <row r="5" spans="1:10" ht="26.25" customHeight="1">
      <c r="A5" s="18"/>
      <c r="B5" s="5" t="s">
        <v>442</v>
      </c>
      <c r="C5" s="216"/>
      <c r="D5" s="217"/>
      <c r="E5" s="214"/>
      <c r="F5" s="214"/>
      <c r="G5" s="214"/>
      <c r="H5" s="220"/>
      <c r="I5" s="220"/>
      <c r="J5" s="220"/>
    </row>
    <row r="6" spans="1:10" ht="26.25" customHeight="1">
      <c r="A6" s="18"/>
      <c r="B6" s="5" t="s">
        <v>443</v>
      </c>
      <c r="C6" s="213" t="str">
        <f>INDEX(總表!$B$9:$B$47,MATCH('18A'!A9,總表!$A$9:$A$48,0))</f>
        <v>Nhà bảo vệ số 1
一號警衛室</v>
      </c>
      <c r="D6" s="217"/>
      <c r="E6" s="214"/>
      <c r="F6" s="214"/>
      <c r="G6" s="214"/>
      <c r="H6" s="220"/>
      <c r="I6" s="220"/>
      <c r="J6" s="220"/>
    </row>
    <row r="7" spans="1:10" ht="26.25" customHeight="1">
      <c r="A7" s="18"/>
      <c r="B7" s="5" t="s">
        <v>444</v>
      </c>
      <c r="C7" s="223" t="s">
        <v>445</v>
      </c>
      <c r="D7" s="224"/>
      <c r="E7" s="224"/>
      <c r="F7" s="224"/>
      <c r="G7" s="224"/>
      <c r="H7" s="224"/>
      <c r="I7" s="224"/>
      <c r="J7" s="224"/>
    </row>
    <row r="8" spans="1:10" s="2" customFormat="1" ht="41.25" customHeight="1">
      <c r="A8" s="19" t="s">
        <v>446</v>
      </c>
      <c r="B8" s="19" t="s">
        <v>508</v>
      </c>
      <c r="C8" s="19" t="s">
        <v>509</v>
      </c>
      <c r="D8" s="19" t="s">
        <v>448</v>
      </c>
      <c r="E8" s="19" t="s">
        <v>449</v>
      </c>
      <c r="F8" s="19" t="s">
        <v>511</v>
      </c>
      <c r="G8" s="19" t="s">
        <v>512</v>
      </c>
      <c r="H8" s="21" t="s">
        <v>450</v>
      </c>
      <c r="I8" s="21" t="s">
        <v>452</v>
      </c>
      <c r="J8" s="21" t="s">
        <v>514</v>
      </c>
    </row>
    <row r="9" spans="1:10" s="3" customFormat="1" ht="36" customHeight="1">
      <c r="A9" s="22" t="s">
        <v>475</v>
      </c>
      <c r="B9" s="23" t="str">
        <f>C6</f>
        <v>Nhà bảo vệ số 1
一號警衛室</v>
      </c>
      <c r="C9" s="23" t="s">
        <v>515</v>
      </c>
      <c r="D9" s="22"/>
      <c r="E9" s="25"/>
      <c r="F9" s="25">
        <f>_xlfn.XLOOKUP(B9, Rate_Master!$A:$A, Rate_Master!$C:$C, "")</f>
        <v>0</v>
      </c>
      <c r="G9" s="25">
        <f>_xlfn.XLOOKUP(B9, Rate_Master!$A:$A, Rate_Master!$D:$D, "")</f>
        <v>0</v>
      </c>
      <c r="H9" s="26"/>
      <c r="I9" s="26">
        <f>SUBTOTAL(9,I10:I111)</f>
        <v>1473155808.489702</v>
      </c>
      <c r="J9" s="26"/>
    </row>
    <row r="10" spans="1:10" s="3" customFormat="1" ht="25.5" customHeight="1">
      <c r="A10" s="22" t="str">
        <f>$A$9&amp;".C"</f>
        <v>18A.C</v>
      </c>
      <c r="B10" s="23" t="s">
        <v>1</v>
      </c>
      <c r="C10" s="23" t="s">
        <v>515</v>
      </c>
      <c r="D10" s="22"/>
      <c r="E10" s="25"/>
      <c r="F10" s="25">
        <f>_xlfn.XLOOKUP(B10, Rate_Master!$A:$A, Rate_Master!$C:$C, "")</f>
        <v>0</v>
      </c>
      <c r="G10" s="25">
        <f>_xlfn.XLOOKUP(B10, Rate_Master!$A:$A, Rate_Master!$D:$D, "")</f>
        <v>0</v>
      </c>
      <c r="H10" s="26"/>
      <c r="I10" s="26"/>
      <c r="J10" s="26"/>
    </row>
    <row r="11" spans="1:10" s="3" customFormat="1" ht="25.5" customHeight="1">
      <c r="A11" s="22" t="str">
        <f>$A$10&amp;1</f>
        <v>18A.C1</v>
      </c>
      <c r="B11" s="23" t="s">
        <v>2</v>
      </c>
      <c r="C11" s="23" t="s">
        <v>515</v>
      </c>
      <c r="D11" s="22"/>
      <c r="E11" s="25"/>
      <c r="F11" s="25">
        <f>_xlfn.XLOOKUP(B11, Rate_Master!$A:$A, Rate_Master!$C:$C, "")</f>
        <v>0</v>
      </c>
      <c r="G11" s="25">
        <f>_xlfn.XLOOKUP(B11, Rate_Master!$A:$A, Rate_Master!$D:$D, "")</f>
        <v>0</v>
      </c>
      <c r="H11" s="26"/>
      <c r="I11" s="26">
        <f>SUBTOTAL(9,I12:I22)</f>
        <v>126097499.99999999</v>
      </c>
      <c r="J11" s="26"/>
    </row>
    <row r="12" spans="1:10" s="4" customFormat="1" ht="25.5" customHeight="1" outlineLevel="1">
      <c r="A12" s="27" t="str">
        <f t="shared" ref="A12:A22" si="0">$A$11&amp;"."&amp;ROW()-ROW($A$11)</f>
        <v>18A.C1.1</v>
      </c>
      <c r="B12" s="28" t="s">
        <v>3</v>
      </c>
      <c r="C12" s="28" t="s">
        <v>515</v>
      </c>
      <c r="D12" s="29" t="s">
        <v>516</v>
      </c>
      <c r="E12" s="31">
        <v>0</v>
      </c>
      <c r="F12" s="31">
        <f>_xlfn.XLOOKUP(B12, Rate_Master!$A:$A, Rate_Master!$C:$C, "")</f>
        <v>0</v>
      </c>
      <c r="G12" s="31">
        <f>_xlfn.XLOOKUP(B12, Rate_Master!$A:$A, Rate_Master!$D:$D, "")</f>
        <v>114999999.99999999</v>
      </c>
      <c r="H12" s="32">
        <v>0</v>
      </c>
      <c r="I12" s="32">
        <f t="shared" ref="I12:I22" si="1">H12*E12</f>
        <v>0</v>
      </c>
      <c r="J12" s="32"/>
    </row>
    <row r="13" spans="1:10" s="4" customFormat="1" ht="25.5" customHeight="1" outlineLevel="1">
      <c r="A13" s="27" t="str">
        <f t="shared" si="0"/>
        <v>18A.C1.2</v>
      </c>
      <c r="B13" s="28" t="s">
        <v>4</v>
      </c>
      <c r="C13" s="28" t="s">
        <v>515</v>
      </c>
      <c r="D13" s="29" t="s">
        <v>517</v>
      </c>
      <c r="E13" s="31">
        <v>0</v>
      </c>
      <c r="F13" s="31">
        <f>_xlfn.XLOOKUP(B13, Rate_Master!$A:$A, Rate_Master!$C:$C, "")</f>
        <v>425499.99999999994</v>
      </c>
      <c r="G13" s="31">
        <f>_xlfn.XLOOKUP(B13, Rate_Master!$A:$A, Rate_Master!$D:$D, "")</f>
        <v>0</v>
      </c>
      <c r="H13" s="32">
        <v>0</v>
      </c>
      <c r="I13" s="32">
        <f t="shared" si="1"/>
        <v>0</v>
      </c>
      <c r="J13" s="32"/>
    </row>
    <row r="14" spans="1:10" s="4" customFormat="1" ht="25.5" customHeight="1" outlineLevel="1">
      <c r="A14" s="27" t="str">
        <f t="shared" si="0"/>
        <v>18A.C1.3</v>
      </c>
      <c r="B14" s="28" t="s">
        <v>5</v>
      </c>
      <c r="C14" s="28" t="s">
        <v>515</v>
      </c>
      <c r="D14" s="29" t="s">
        <v>517</v>
      </c>
      <c r="E14" s="31">
        <v>0</v>
      </c>
      <c r="F14" s="31">
        <f>_xlfn.XLOOKUP(B14, Rate_Master!$A:$A, Rate_Master!$C:$C, "")</f>
        <v>0</v>
      </c>
      <c r="G14" s="31">
        <f>_xlfn.XLOOKUP(B14, Rate_Master!$A:$A, Rate_Master!$D:$D, "")</f>
        <v>69000</v>
      </c>
      <c r="H14" s="32">
        <v>0</v>
      </c>
      <c r="I14" s="32">
        <f t="shared" si="1"/>
        <v>0</v>
      </c>
      <c r="J14" s="32"/>
    </row>
    <row r="15" spans="1:10" s="4" customFormat="1" ht="25.5" customHeight="1" outlineLevel="1">
      <c r="A15" s="27" t="str">
        <f t="shared" si="0"/>
        <v>18A.C1.4</v>
      </c>
      <c r="B15" s="28" t="s">
        <v>6</v>
      </c>
      <c r="C15" s="28" t="s">
        <v>515</v>
      </c>
      <c r="D15" s="29" t="s">
        <v>517</v>
      </c>
      <c r="E15" s="31">
        <v>0</v>
      </c>
      <c r="F15" s="31">
        <f>_xlfn.XLOOKUP(B15, Rate_Master!$A:$A, Rate_Master!$C:$C, "")</f>
        <v>0</v>
      </c>
      <c r="G15" s="31">
        <f>_xlfn.XLOOKUP(B15, Rate_Master!$A:$A, Rate_Master!$D:$D, "")</f>
        <v>57499.999999999993</v>
      </c>
      <c r="H15" s="32">
        <v>0</v>
      </c>
      <c r="I15" s="32">
        <f t="shared" si="1"/>
        <v>0</v>
      </c>
      <c r="J15" s="32"/>
    </row>
    <row r="16" spans="1:10" s="4" customFormat="1" ht="102" customHeight="1" outlineLevel="1">
      <c r="A16" s="27" t="str">
        <f t="shared" si="0"/>
        <v>18A.C1.5</v>
      </c>
      <c r="B16" s="28" t="s">
        <v>7</v>
      </c>
      <c r="C16" s="28" t="s">
        <v>515</v>
      </c>
      <c r="D16" s="29" t="s">
        <v>518</v>
      </c>
      <c r="E16" s="31">
        <v>0</v>
      </c>
      <c r="F16" s="31">
        <f>_xlfn.XLOOKUP(B16, Rate_Master!$A:$A, Rate_Master!$C:$C, "")</f>
        <v>0</v>
      </c>
      <c r="G16" s="31">
        <f>_xlfn.XLOOKUP(B16, Rate_Master!$A:$A, Rate_Master!$D:$D, "")</f>
        <v>13799999.999999998</v>
      </c>
      <c r="H16" s="32">
        <v>0</v>
      </c>
      <c r="I16" s="32">
        <f t="shared" si="1"/>
        <v>0</v>
      </c>
      <c r="J16" s="32"/>
    </row>
    <row r="17" spans="1:10" s="4" customFormat="1" ht="25.5" customHeight="1" outlineLevel="1">
      <c r="A17" s="27" t="str">
        <f t="shared" si="0"/>
        <v>18A.C1.6</v>
      </c>
      <c r="B17" s="28" t="s">
        <v>8</v>
      </c>
      <c r="C17" s="28" t="s">
        <v>515</v>
      </c>
      <c r="D17" s="29" t="s">
        <v>518</v>
      </c>
      <c r="E17" s="31">
        <v>2</v>
      </c>
      <c r="F17" s="31">
        <f>_xlfn.XLOOKUP(B17, Rate_Master!$A:$A, Rate_Master!$C:$C, "")</f>
        <v>0</v>
      </c>
      <c r="G17" s="31">
        <f>_xlfn.XLOOKUP(B17, Rate_Master!$A:$A, Rate_Master!$D:$D, "")</f>
        <v>252999.99999999997</v>
      </c>
      <c r="H17" s="66">
        <f t="shared" ref="H17:H22" si="2">F17+G17</f>
        <v>252999.99999999997</v>
      </c>
      <c r="I17" s="32">
        <f t="shared" si="1"/>
        <v>505999.99999999994</v>
      </c>
      <c r="J17" s="32"/>
    </row>
    <row r="18" spans="1:10" s="4" customFormat="1" ht="25.5" customHeight="1" outlineLevel="1">
      <c r="A18" s="27" t="str">
        <f t="shared" si="0"/>
        <v>18A.C1.7</v>
      </c>
      <c r="B18" s="28" t="s">
        <v>9</v>
      </c>
      <c r="C18" s="28" t="s">
        <v>515</v>
      </c>
      <c r="D18" s="29" t="s">
        <v>517</v>
      </c>
      <c r="E18" s="31">
        <v>220</v>
      </c>
      <c r="F18" s="31">
        <f>_xlfn.XLOOKUP(B18, Rate_Master!$A:$A, Rate_Master!$C:$C, "")</f>
        <v>402499.99999999994</v>
      </c>
      <c r="G18" s="31">
        <f>_xlfn.XLOOKUP(B18, Rate_Master!$A:$A, Rate_Master!$D:$D, "")</f>
        <v>0</v>
      </c>
      <c r="H18" s="66">
        <f t="shared" si="2"/>
        <v>402499.99999999994</v>
      </c>
      <c r="I18" s="32">
        <f t="shared" si="1"/>
        <v>88549999.999999985</v>
      </c>
      <c r="J18" s="32"/>
    </row>
    <row r="19" spans="1:10" s="4" customFormat="1" ht="25.5" customHeight="1" outlineLevel="1">
      <c r="A19" s="27" t="str">
        <f t="shared" si="0"/>
        <v>18A.C1.8</v>
      </c>
      <c r="B19" s="28" t="s">
        <v>10</v>
      </c>
      <c r="C19" s="28" t="s">
        <v>515</v>
      </c>
      <c r="D19" s="29" t="s">
        <v>518</v>
      </c>
      <c r="E19" s="31">
        <v>10</v>
      </c>
      <c r="F19" s="31">
        <f>_xlfn.XLOOKUP(B19, Rate_Master!$A:$A, Rate_Master!$C:$C, "")</f>
        <v>80500</v>
      </c>
      <c r="G19" s="31">
        <f>_xlfn.XLOOKUP(B19, Rate_Master!$A:$A, Rate_Master!$D:$D, "")</f>
        <v>0</v>
      </c>
      <c r="H19" s="66">
        <f t="shared" si="2"/>
        <v>80500</v>
      </c>
      <c r="I19" s="32">
        <f t="shared" si="1"/>
        <v>805000</v>
      </c>
      <c r="J19" s="32"/>
    </row>
    <row r="20" spans="1:10" s="4" customFormat="1" ht="25.5" customHeight="1" outlineLevel="1">
      <c r="A20" s="27" t="str">
        <f t="shared" si="0"/>
        <v>18A.C1.9</v>
      </c>
      <c r="B20" s="28" t="s">
        <v>11</v>
      </c>
      <c r="C20" s="28" t="s">
        <v>515</v>
      </c>
      <c r="D20" s="29" t="s">
        <v>517</v>
      </c>
      <c r="E20" s="31">
        <v>231</v>
      </c>
      <c r="F20" s="31">
        <f>_xlfn.XLOOKUP(B20, Rate_Master!$A:$A, Rate_Master!$C:$C, "")</f>
        <v>0</v>
      </c>
      <c r="G20" s="31">
        <f>_xlfn.XLOOKUP(B20, Rate_Master!$A:$A, Rate_Master!$D:$D, "")</f>
        <v>69000</v>
      </c>
      <c r="H20" s="66">
        <f t="shared" si="2"/>
        <v>69000</v>
      </c>
      <c r="I20" s="32">
        <f t="shared" si="1"/>
        <v>15939000</v>
      </c>
      <c r="J20" s="32"/>
    </row>
    <row r="21" spans="1:10" s="4" customFormat="1" ht="25.5" customHeight="1" outlineLevel="1">
      <c r="A21" s="27" t="str">
        <f t="shared" si="0"/>
        <v>18A.C1.10</v>
      </c>
      <c r="B21" s="28" t="s">
        <v>12</v>
      </c>
      <c r="C21" s="28" t="s">
        <v>515</v>
      </c>
      <c r="D21" s="29" t="s">
        <v>517</v>
      </c>
      <c r="E21" s="31">
        <v>241</v>
      </c>
      <c r="F21" s="31">
        <f>_xlfn.XLOOKUP(B21, Rate_Master!$A:$A, Rate_Master!$C:$C, "")</f>
        <v>0</v>
      </c>
      <c r="G21" s="31">
        <f>_xlfn.XLOOKUP(B21, Rate_Master!$A:$A, Rate_Master!$D:$D, "")</f>
        <v>57499.999999999993</v>
      </c>
      <c r="H21" s="66">
        <f t="shared" si="2"/>
        <v>57499.999999999993</v>
      </c>
      <c r="I21" s="32">
        <f t="shared" si="1"/>
        <v>13857499.999999998</v>
      </c>
      <c r="J21" s="32"/>
    </row>
    <row r="22" spans="1:10" s="4" customFormat="1" ht="63.75" customHeight="1" outlineLevel="1">
      <c r="A22" s="27" t="str">
        <f t="shared" si="0"/>
        <v>18A.C1.11</v>
      </c>
      <c r="B22" s="28" t="s">
        <v>13</v>
      </c>
      <c r="C22" s="28" t="s">
        <v>515</v>
      </c>
      <c r="D22" s="29" t="s">
        <v>518</v>
      </c>
      <c r="E22" s="31">
        <v>10</v>
      </c>
      <c r="F22" s="31">
        <f>_xlfn.XLOOKUP(B22, Rate_Master!$A:$A, Rate_Master!$C:$C, "")</f>
        <v>482999.99999999994</v>
      </c>
      <c r="G22" s="31">
        <f>_xlfn.XLOOKUP(B22, Rate_Master!$A:$A, Rate_Master!$D:$D, "")</f>
        <v>161000</v>
      </c>
      <c r="H22" s="66">
        <f t="shared" si="2"/>
        <v>644000</v>
      </c>
      <c r="I22" s="32">
        <f t="shared" si="1"/>
        <v>6440000</v>
      </c>
      <c r="J22" s="32"/>
    </row>
    <row r="23" spans="1:10" s="3" customFormat="1" ht="25.5" customHeight="1">
      <c r="A23" s="22" t="str">
        <f>$A$10&amp;2</f>
        <v>18A.C2</v>
      </c>
      <c r="B23" s="23" t="s">
        <v>14</v>
      </c>
      <c r="C23" s="23" t="s">
        <v>515</v>
      </c>
      <c r="D23" s="22"/>
      <c r="E23" s="25"/>
      <c r="F23" s="25">
        <f>_xlfn.XLOOKUP(B23, Rate_Master!$A:$A, Rate_Master!$C:$C, "")</f>
        <v>0</v>
      </c>
      <c r="G23" s="25">
        <f>_xlfn.XLOOKUP(B23, Rate_Master!$A:$A, Rate_Master!$D:$D, "")</f>
        <v>0</v>
      </c>
      <c r="H23" s="26"/>
      <c r="I23" s="26">
        <f>SUBTOTAL(9,I24:I31)</f>
        <v>57782724.625</v>
      </c>
      <c r="J23" s="26"/>
    </row>
    <row r="24" spans="1:10" s="4" customFormat="1" ht="25.5" customHeight="1" outlineLevel="1">
      <c r="A24" s="27" t="str">
        <f t="shared" ref="A24:A31" si="3">$A$23&amp;"."&amp;ROW()-ROW($A$23)</f>
        <v>18A.C2.1</v>
      </c>
      <c r="B24" s="28" t="s">
        <v>15</v>
      </c>
      <c r="C24" s="28" t="s">
        <v>515</v>
      </c>
      <c r="D24" s="29" t="s">
        <v>519</v>
      </c>
      <c r="E24" s="31">
        <v>782.5</v>
      </c>
      <c r="F24" s="31">
        <f>_xlfn.XLOOKUP(B24, Rate_Master!$A:$A, Rate_Master!$C:$C, "")</f>
        <v>0</v>
      </c>
      <c r="G24" s="31">
        <f>_xlfn.XLOOKUP(B24, Rate_Master!$A:$A, Rate_Master!$D:$D, "")</f>
        <v>32199.999999999996</v>
      </c>
      <c r="H24" s="66">
        <f>F24+G24</f>
        <v>32199.999999999996</v>
      </c>
      <c r="I24" s="32">
        <f t="shared" ref="I24:I31" si="4">H24*E24</f>
        <v>25196499.999999996</v>
      </c>
      <c r="J24" s="32"/>
    </row>
    <row r="25" spans="1:10" s="4" customFormat="1" ht="25.5" customHeight="1" outlineLevel="1">
      <c r="A25" s="27" t="str">
        <f t="shared" si="3"/>
        <v>18A.C2.2</v>
      </c>
      <c r="B25" s="28" t="s">
        <v>16</v>
      </c>
      <c r="C25" s="28" t="s">
        <v>515</v>
      </c>
      <c r="D25" s="29" t="s">
        <v>520</v>
      </c>
      <c r="E25" s="31">
        <v>142.411</v>
      </c>
      <c r="F25" s="31">
        <f>_xlfn.XLOOKUP(B25, Rate_Master!$A:$A, Rate_Master!$C:$C, "")</f>
        <v>0</v>
      </c>
      <c r="G25" s="31">
        <f>_xlfn.XLOOKUP(B25, Rate_Master!$A:$A, Rate_Master!$D:$D, "")</f>
        <v>17250</v>
      </c>
      <c r="H25" s="66">
        <f>F25+G25</f>
        <v>17250</v>
      </c>
      <c r="I25" s="32">
        <f t="shared" si="4"/>
        <v>2456589.75</v>
      </c>
      <c r="J25" s="32"/>
    </row>
    <row r="26" spans="1:10" s="4" customFormat="1" ht="25.5" customHeight="1" outlineLevel="1">
      <c r="A26" s="27" t="str">
        <f t="shared" si="3"/>
        <v>18A.C2.3</v>
      </c>
      <c r="B26" s="28" t="s">
        <v>17</v>
      </c>
      <c r="C26" s="28" t="s">
        <v>515</v>
      </c>
      <c r="D26" s="29" t="s">
        <v>519</v>
      </c>
      <c r="E26" s="31">
        <v>644.32000000000005</v>
      </c>
      <c r="F26" s="31">
        <f>_xlfn.XLOOKUP(B26, Rate_Master!$A:$A, Rate_Master!$C:$C, "")</f>
        <v>0</v>
      </c>
      <c r="G26" s="31">
        <f>_xlfn.XLOOKUP(B26, Rate_Master!$A:$A, Rate_Master!$D:$D, "")</f>
        <v>37950</v>
      </c>
      <c r="H26" s="66">
        <f>F26+G26</f>
        <v>37950</v>
      </c>
      <c r="I26" s="32">
        <f t="shared" si="4"/>
        <v>24451944.000000004</v>
      </c>
      <c r="J26" s="32"/>
    </row>
    <row r="27" spans="1:10" s="4" customFormat="1" ht="25.5" customHeight="1" outlineLevel="1">
      <c r="A27" s="27" t="str">
        <f t="shared" si="3"/>
        <v>18A.C2.4</v>
      </c>
      <c r="B27" s="34" t="s">
        <v>18</v>
      </c>
      <c r="C27" s="34" t="s">
        <v>521</v>
      </c>
      <c r="D27" s="29" t="s">
        <v>519</v>
      </c>
      <c r="E27" s="31">
        <v>138.18</v>
      </c>
      <c r="F27" s="31">
        <f>_xlfn.XLOOKUP(B27, Rate_Master!$A:$A, Rate_Master!$C:$C, "")</f>
        <v>0</v>
      </c>
      <c r="G27" s="31">
        <f>_xlfn.XLOOKUP(B27, Rate_Master!$A:$A, Rate_Master!$D:$D, "")</f>
        <v>32199.999999999996</v>
      </c>
      <c r="H27" s="66">
        <f>F27+G27</f>
        <v>32199.999999999996</v>
      </c>
      <c r="I27" s="32">
        <f t="shared" si="4"/>
        <v>4449396</v>
      </c>
      <c r="J27" s="32"/>
    </row>
    <row r="28" spans="1:10" s="4" customFormat="1" ht="25.5" customHeight="1" outlineLevel="1">
      <c r="A28" s="27" t="str">
        <f t="shared" si="3"/>
        <v>18A.C2.5</v>
      </c>
      <c r="B28" s="28" t="s">
        <v>19</v>
      </c>
      <c r="C28" s="28" t="s">
        <v>515</v>
      </c>
      <c r="D28" s="29" t="s">
        <v>520</v>
      </c>
      <c r="E28" s="31">
        <v>142.411</v>
      </c>
      <c r="F28" s="31">
        <f>_xlfn.XLOOKUP(B28, Rate_Master!$A:$A, Rate_Master!$C:$C, "")</f>
        <v>6899.9999999999991</v>
      </c>
      <c r="G28" s="31">
        <f>_xlfn.XLOOKUP(B28, Rate_Master!$A:$A, Rate_Master!$D:$D, "")</f>
        <v>1724.9999999999998</v>
      </c>
      <c r="H28" s="66">
        <f>F28+G28</f>
        <v>8624.9999999999982</v>
      </c>
      <c r="I28" s="32">
        <f t="shared" si="4"/>
        <v>1228294.8749999998</v>
      </c>
      <c r="J28" s="32"/>
    </row>
    <row r="29" spans="1:10" s="4" customFormat="1" ht="38.25" customHeight="1" outlineLevel="1">
      <c r="A29" s="27" t="str">
        <f t="shared" si="3"/>
        <v>18A.C2.6</v>
      </c>
      <c r="B29" s="28" t="s">
        <v>20</v>
      </c>
      <c r="C29" s="28" t="s">
        <v>515</v>
      </c>
      <c r="D29" s="29" t="s">
        <v>520</v>
      </c>
      <c r="E29" s="31">
        <v>0</v>
      </c>
      <c r="F29" s="31">
        <f>_xlfn.XLOOKUP(B29, Rate_Master!$A:$A, Rate_Master!$C:$C, "")</f>
        <v>34500</v>
      </c>
      <c r="G29" s="31">
        <f>_xlfn.XLOOKUP(B29, Rate_Master!$A:$A, Rate_Master!$D:$D, "")</f>
        <v>5750</v>
      </c>
      <c r="H29" s="32">
        <v>0</v>
      </c>
      <c r="I29" s="32">
        <f t="shared" si="4"/>
        <v>0</v>
      </c>
      <c r="J29" s="32"/>
    </row>
    <row r="30" spans="1:10" s="4" customFormat="1" ht="25.5" customHeight="1" outlineLevel="1">
      <c r="A30" s="27" t="str">
        <f t="shared" si="3"/>
        <v>18A.C2.7</v>
      </c>
      <c r="B30" s="34" t="s">
        <v>21</v>
      </c>
      <c r="C30" s="28" t="s">
        <v>515</v>
      </c>
      <c r="D30" s="29" t="s">
        <v>520</v>
      </c>
      <c r="E30" s="31">
        <v>0</v>
      </c>
      <c r="F30" s="31">
        <f>_xlfn.XLOOKUP(B30, Rate_Master!$A:$A, Rate_Master!$C:$C, "")</f>
        <v>0</v>
      </c>
      <c r="G30" s="31">
        <f>_xlfn.XLOOKUP(B30, Rate_Master!$A:$A, Rate_Master!$D:$D, "")</f>
        <v>13799.999999999998</v>
      </c>
      <c r="H30" s="32">
        <v>0</v>
      </c>
      <c r="I30" s="32">
        <f t="shared" si="4"/>
        <v>0</v>
      </c>
      <c r="J30" s="32"/>
    </row>
    <row r="31" spans="1:10" s="4" customFormat="1" ht="25.5" customHeight="1" outlineLevel="1">
      <c r="A31" s="27" t="str">
        <f t="shared" si="3"/>
        <v>18A.C2.8</v>
      </c>
      <c r="B31" s="28" t="s">
        <v>22</v>
      </c>
      <c r="C31" s="28" t="s">
        <v>515</v>
      </c>
      <c r="D31" s="29" t="s">
        <v>519</v>
      </c>
      <c r="E31" s="31">
        <v>0</v>
      </c>
      <c r="F31" s="31">
        <f>_xlfn.XLOOKUP(B31, Rate_Master!$A:$A, Rate_Master!$C:$C, "")</f>
        <v>512325</v>
      </c>
      <c r="G31" s="31">
        <f>_xlfn.XLOOKUP(B31, Rate_Master!$A:$A, Rate_Master!$D:$D, "")</f>
        <v>103499.99999999999</v>
      </c>
      <c r="H31" s="32">
        <v>0</v>
      </c>
      <c r="I31" s="32">
        <f t="shared" si="4"/>
        <v>0</v>
      </c>
      <c r="J31" s="32"/>
    </row>
    <row r="32" spans="1:10" s="3" customFormat="1" ht="25.5" customHeight="1">
      <c r="A32" s="22" t="str">
        <f>$A$10&amp;3</f>
        <v>18A.C3</v>
      </c>
      <c r="B32" s="23" t="s">
        <v>23</v>
      </c>
      <c r="C32" s="23" t="s">
        <v>515</v>
      </c>
      <c r="D32" s="22"/>
      <c r="E32" s="25"/>
      <c r="F32" s="25">
        <f>_xlfn.XLOOKUP(B32, Rate_Master!$A:$A, Rate_Master!$C:$C, "")</f>
        <v>0</v>
      </c>
      <c r="G32" s="25">
        <f>_xlfn.XLOOKUP(B32, Rate_Master!$A:$A, Rate_Master!$D:$D, "")</f>
        <v>0</v>
      </c>
      <c r="H32" s="26"/>
      <c r="I32" s="26">
        <f>SUBTOTAL(9,I33:I39)</f>
        <v>159073645.43944439</v>
      </c>
      <c r="J32" s="26"/>
    </row>
    <row r="33" spans="1:10" s="4" customFormat="1" ht="25.5" customHeight="1" outlineLevel="1">
      <c r="A33" s="27" t="str">
        <f t="shared" ref="A33:A39" si="5">$A$32&amp;"."&amp;ROW()-ROW($A$32)</f>
        <v>18A.C3.1</v>
      </c>
      <c r="B33" s="28" t="s">
        <v>24</v>
      </c>
      <c r="C33" s="28" t="s">
        <v>515</v>
      </c>
      <c r="D33" s="29" t="s">
        <v>519</v>
      </c>
      <c r="E33" s="31">
        <v>14.286</v>
      </c>
      <c r="F33" s="30">
        <f>_xlfn.XLOOKUP(B33, Rate_Master!$A:$A, Rate_Master!$C:$C, "")</f>
        <v>1249762.5</v>
      </c>
      <c r="G33" s="30">
        <f>_xlfn.XLOOKUP(B33, Rate_Master!$A:$A, Rate_Master!$D:$D, "")</f>
        <v>206999.99999999997</v>
      </c>
      <c r="H33" s="66">
        <f>F33+G33</f>
        <v>1456762.5</v>
      </c>
      <c r="I33" s="32">
        <f t="shared" ref="I33:I39" si="6">H33*E33</f>
        <v>20811309.074999999</v>
      </c>
      <c r="J33" s="32"/>
    </row>
    <row r="34" spans="1:10" s="4" customFormat="1" ht="51" customHeight="1" outlineLevel="1">
      <c r="A34" s="27" t="str">
        <f t="shared" si="5"/>
        <v>18A.C3.2</v>
      </c>
      <c r="B34" s="28" t="s">
        <v>25</v>
      </c>
      <c r="C34" s="28" t="s">
        <v>515</v>
      </c>
      <c r="D34" s="29" t="s">
        <v>519</v>
      </c>
      <c r="E34" s="31">
        <v>33.162999999999997</v>
      </c>
      <c r="F34" s="30">
        <f>_xlfn.XLOOKUP(B34, Rate_Master!$A:$A, Rate_Master!$C:$C, "")</f>
        <v>1607444.4444444443</v>
      </c>
      <c r="G34" s="30">
        <f>_xlfn.XLOOKUP(B34, Rate_Master!$A:$A, Rate_Master!$D:$D, "")</f>
        <v>149500</v>
      </c>
      <c r="H34" s="66">
        <f>F34+G34</f>
        <v>1756944.4444444443</v>
      </c>
      <c r="I34" s="32">
        <f t="shared" si="6"/>
        <v>58265548.611111097</v>
      </c>
      <c r="J34" s="32"/>
    </row>
    <row r="35" spans="1:10" s="4" customFormat="1" ht="25.5" customHeight="1" outlineLevel="1">
      <c r="A35" s="27" t="str">
        <f t="shared" si="5"/>
        <v>18A.C3.3</v>
      </c>
      <c r="B35" s="28" t="s">
        <v>26</v>
      </c>
      <c r="C35" s="28" t="s">
        <v>515</v>
      </c>
      <c r="D35" s="29" t="s">
        <v>519</v>
      </c>
      <c r="E35" s="31">
        <v>6.38</v>
      </c>
      <c r="F35" s="30">
        <f>_xlfn.XLOOKUP(B35, Rate_Master!$A:$A, Rate_Master!$C:$C, "")</f>
        <v>1520555.5555555553</v>
      </c>
      <c r="G35" s="30">
        <f>_xlfn.XLOOKUP(B35, Rate_Master!$A:$A, Rate_Master!$D:$D, "")</f>
        <v>252999.99999999997</v>
      </c>
      <c r="H35" s="66">
        <f>F35+G35</f>
        <v>1773555.5555555553</v>
      </c>
      <c r="I35" s="32">
        <f t="shared" si="6"/>
        <v>11315284.444444442</v>
      </c>
      <c r="J35" s="32"/>
    </row>
    <row r="36" spans="1:10" s="4" customFormat="1" ht="25.5" customHeight="1" outlineLevel="1">
      <c r="A36" s="27" t="str">
        <f t="shared" si="5"/>
        <v>18A.C3.4</v>
      </c>
      <c r="B36" s="28" t="s">
        <v>27</v>
      </c>
      <c r="C36" s="28" t="s">
        <v>515</v>
      </c>
      <c r="D36" s="29" t="s">
        <v>519</v>
      </c>
      <c r="E36" s="31">
        <v>35.737000000000002</v>
      </c>
      <c r="F36" s="30">
        <f>_xlfn.XLOOKUP(B36, Rate_Master!$A:$A, Rate_Master!$C:$C, "")</f>
        <v>1520555.5555555553</v>
      </c>
      <c r="G36" s="30">
        <f>_xlfn.XLOOKUP(B36, Rate_Master!$A:$A, Rate_Master!$D:$D, "")</f>
        <v>149500</v>
      </c>
      <c r="H36" s="66">
        <f>F36+G36</f>
        <v>1670055.5555555553</v>
      </c>
      <c r="I36" s="32">
        <f t="shared" si="6"/>
        <v>59682775.388888881</v>
      </c>
      <c r="J36" s="32"/>
    </row>
    <row r="37" spans="1:10" s="4" customFormat="1" ht="25.5" customHeight="1" outlineLevel="1">
      <c r="A37" s="27" t="str">
        <f t="shared" si="5"/>
        <v>18A.C3.5</v>
      </c>
      <c r="B37" s="28" t="s">
        <v>28</v>
      </c>
      <c r="C37" s="28" t="s">
        <v>515</v>
      </c>
      <c r="D37" s="29" t="s">
        <v>519</v>
      </c>
      <c r="E37" s="31">
        <v>5.8443839999999998</v>
      </c>
      <c r="F37" s="30">
        <f>_xlfn.XLOOKUP(B37, Rate_Master!$A:$A, Rate_Master!$C:$C, "")</f>
        <v>1390222.2222222222</v>
      </c>
      <c r="G37" s="30">
        <f>_xlfn.XLOOKUP(B37, Rate_Master!$A:$A, Rate_Master!$D:$D, "")</f>
        <v>149500</v>
      </c>
      <c r="H37" s="66">
        <f>F37+G37</f>
        <v>1539722.2222222222</v>
      </c>
      <c r="I37" s="32">
        <f t="shared" si="6"/>
        <v>8998727.9199999999</v>
      </c>
      <c r="J37" s="32"/>
    </row>
    <row r="38" spans="1:10" s="4" customFormat="1" ht="25.5" customHeight="1" outlineLevel="1">
      <c r="A38" s="27" t="str">
        <f t="shared" si="5"/>
        <v>18A.C3.6</v>
      </c>
      <c r="B38" s="28" t="s">
        <v>29</v>
      </c>
      <c r="C38" s="28" t="s">
        <v>515</v>
      </c>
      <c r="D38" s="29" t="s">
        <v>519</v>
      </c>
      <c r="E38" s="31">
        <v>0</v>
      </c>
      <c r="F38" s="30">
        <f>_xlfn.XLOOKUP(B38, Rate_Master!$A:$A, Rate_Master!$C:$C, "")</f>
        <v>1390222.2222222222</v>
      </c>
      <c r="G38" s="30">
        <f>_xlfn.XLOOKUP(B38, Rate_Master!$A:$A, Rate_Master!$D:$D, "")</f>
        <v>149500</v>
      </c>
      <c r="H38" s="32">
        <v>0</v>
      </c>
      <c r="I38" s="32">
        <f t="shared" si="6"/>
        <v>0</v>
      </c>
      <c r="J38" s="32"/>
    </row>
    <row r="39" spans="1:10" s="4" customFormat="1" ht="38.25" customHeight="1" outlineLevel="1">
      <c r="A39" s="27" t="str">
        <f t="shared" si="5"/>
        <v>18A.C3.7</v>
      </c>
      <c r="B39" s="28" t="s">
        <v>30</v>
      </c>
      <c r="C39" s="28" t="s">
        <v>515</v>
      </c>
      <c r="D39" s="29" t="s">
        <v>519</v>
      </c>
      <c r="E39" s="31">
        <v>0</v>
      </c>
      <c r="F39" s="30">
        <f>_xlfn.XLOOKUP(B39, Rate_Master!$A:$A, Rate_Master!$C:$C, "")</f>
        <v>22425000</v>
      </c>
      <c r="G39" s="30">
        <f>_xlfn.XLOOKUP(B39, Rate_Master!$A:$A, Rate_Master!$D:$D, "")</f>
        <v>8003999.9999999991</v>
      </c>
      <c r="H39" s="32">
        <v>0</v>
      </c>
      <c r="I39" s="32">
        <f t="shared" si="6"/>
        <v>0</v>
      </c>
      <c r="J39" s="32"/>
    </row>
    <row r="40" spans="1:10" s="3" customFormat="1" ht="25.5" customHeight="1">
      <c r="A40" s="22" t="str">
        <f>$A$10&amp;4</f>
        <v>18A.C4</v>
      </c>
      <c r="B40" s="23" t="s">
        <v>31</v>
      </c>
      <c r="C40" s="23" t="s">
        <v>515</v>
      </c>
      <c r="D40" s="22"/>
      <c r="E40" s="25"/>
      <c r="F40" s="25">
        <f>_xlfn.XLOOKUP(B40, Rate_Master!$A:$A, Rate_Master!$C:$C, "")</f>
        <v>0</v>
      </c>
      <c r="G40" s="25">
        <f>_xlfn.XLOOKUP(B40, Rate_Master!$A:$A, Rate_Master!$D:$D, "")</f>
        <v>0</v>
      </c>
      <c r="H40" s="26"/>
      <c r="I40" s="26">
        <f>SUBTOTAL(9,I41:I45)</f>
        <v>128944968.99999999</v>
      </c>
      <c r="J40" s="26"/>
    </row>
    <row r="41" spans="1:10" s="4" customFormat="1" ht="25.5" customHeight="1" outlineLevel="1">
      <c r="A41" s="27" t="str">
        <f>$A$40&amp;"."&amp;ROW()-ROW($A$40)</f>
        <v>18A.C4.1</v>
      </c>
      <c r="B41" s="28" t="s">
        <v>32</v>
      </c>
      <c r="C41" s="28" t="s">
        <v>515</v>
      </c>
      <c r="D41" s="29" t="s">
        <v>520</v>
      </c>
      <c r="E41" s="31">
        <v>32.889000000000003</v>
      </c>
      <c r="F41" s="30">
        <f>_xlfn.XLOOKUP(B41, Rate_Master!$A:$A, Rate_Master!$C:$C, "")</f>
        <v>80500</v>
      </c>
      <c r="G41" s="30">
        <f>_xlfn.XLOOKUP(B41, Rate_Master!$A:$A, Rate_Master!$D:$D, "")</f>
        <v>92000</v>
      </c>
      <c r="H41" s="66">
        <f>F41+G41</f>
        <v>172500</v>
      </c>
      <c r="I41" s="32">
        <f>H41*E41</f>
        <v>5673352.5000000009</v>
      </c>
      <c r="J41" s="32"/>
    </row>
    <row r="42" spans="1:10" s="4" customFormat="1" ht="38.25" customHeight="1" outlineLevel="1">
      <c r="A42" s="27" t="str">
        <f>$A$40&amp;"."&amp;ROW()-ROW($A$40)</f>
        <v>18A.C4.2</v>
      </c>
      <c r="B42" s="28" t="s">
        <v>33</v>
      </c>
      <c r="C42" s="28" t="s">
        <v>515</v>
      </c>
      <c r="D42" s="29" t="s">
        <v>520</v>
      </c>
      <c r="E42" s="31">
        <v>106.685</v>
      </c>
      <c r="F42" s="30">
        <f>_xlfn.XLOOKUP(B42, Rate_Master!$A:$A, Rate_Master!$C:$C, "")</f>
        <v>126499.99999999999</v>
      </c>
      <c r="G42" s="30">
        <f>_xlfn.XLOOKUP(B42, Rate_Master!$A:$A, Rate_Master!$D:$D, "")</f>
        <v>103499.99999999999</v>
      </c>
      <c r="H42" s="66">
        <f>F42+G42</f>
        <v>229999.99999999997</v>
      </c>
      <c r="I42" s="32">
        <f>H42*E42</f>
        <v>24537549.999999996</v>
      </c>
      <c r="J42" s="32"/>
    </row>
    <row r="43" spans="1:10" s="4" customFormat="1" ht="25.5" customHeight="1" outlineLevel="1">
      <c r="A43" s="27" t="str">
        <f>$A$40&amp;"."&amp;ROW()-ROW($A$40)</f>
        <v>18A.C4.3</v>
      </c>
      <c r="B43" s="28" t="s">
        <v>34</v>
      </c>
      <c r="C43" s="28" t="s">
        <v>515</v>
      </c>
      <c r="D43" s="29" t="s">
        <v>520</v>
      </c>
      <c r="E43" s="31">
        <v>82.751999999999995</v>
      </c>
      <c r="F43" s="30">
        <f>_xlfn.XLOOKUP(B43, Rate_Master!$A:$A, Rate_Master!$C:$C, "")</f>
        <v>126499.99999999999</v>
      </c>
      <c r="G43" s="30">
        <f>_xlfn.XLOOKUP(B43, Rate_Master!$A:$A, Rate_Master!$D:$D, "")</f>
        <v>149500</v>
      </c>
      <c r="H43" s="66">
        <f>F43+G43</f>
        <v>276000</v>
      </c>
      <c r="I43" s="32">
        <f>H43*E43</f>
        <v>22839552</v>
      </c>
      <c r="J43" s="32"/>
    </row>
    <row r="44" spans="1:10" s="4" customFormat="1" ht="25.5" customHeight="1" outlineLevel="1">
      <c r="A44" s="27" t="str">
        <f>$A$40&amp;"."&amp;ROW()-ROW($A$40)</f>
        <v>18A.C4.4</v>
      </c>
      <c r="B44" s="28" t="s">
        <v>35</v>
      </c>
      <c r="C44" s="28" t="s">
        <v>515</v>
      </c>
      <c r="D44" s="29" t="s">
        <v>520</v>
      </c>
      <c r="E44" s="31">
        <v>314.26299999999998</v>
      </c>
      <c r="F44" s="30">
        <f>_xlfn.XLOOKUP(B44, Rate_Master!$A:$A, Rate_Master!$C:$C, "")</f>
        <v>126499.99999999999</v>
      </c>
      <c r="G44" s="30">
        <f>_xlfn.XLOOKUP(B44, Rate_Master!$A:$A, Rate_Master!$D:$D, "")</f>
        <v>114999.99999999999</v>
      </c>
      <c r="H44" s="66">
        <f>F44+G44</f>
        <v>241499.99999999997</v>
      </c>
      <c r="I44" s="32">
        <f>H44*E44</f>
        <v>75894514.499999985</v>
      </c>
      <c r="J44" s="32"/>
    </row>
    <row r="45" spans="1:10" s="4" customFormat="1" ht="25.5" customHeight="1" outlineLevel="1">
      <c r="A45" s="27" t="str">
        <f>$A$40&amp;"."&amp;ROW()-ROW($A$40)</f>
        <v>18A.C4.5</v>
      </c>
      <c r="B45" s="28" t="s">
        <v>36</v>
      </c>
      <c r="C45" s="28" t="s">
        <v>515</v>
      </c>
      <c r="D45" s="29" t="s">
        <v>520</v>
      </c>
      <c r="E45" s="31">
        <v>0</v>
      </c>
      <c r="F45" s="30">
        <f>_xlfn.XLOOKUP(B45, Rate_Master!$A:$A, Rate_Master!$C:$C, "")</f>
        <v>126499.99999999999</v>
      </c>
      <c r="G45" s="30">
        <f>_xlfn.XLOOKUP(B45, Rate_Master!$A:$A, Rate_Master!$D:$D, "")</f>
        <v>97749.999999999985</v>
      </c>
      <c r="H45" s="32">
        <v>0</v>
      </c>
      <c r="I45" s="32">
        <f>H45*E45</f>
        <v>0</v>
      </c>
      <c r="J45" s="32"/>
    </row>
    <row r="46" spans="1:10" s="3" customFormat="1" ht="25.5" customHeight="1">
      <c r="A46" s="22" t="str">
        <f>$A$10&amp;5</f>
        <v>18A.C5</v>
      </c>
      <c r="B46" s="23" t="s">
        <v>37</v>
      </c>
      <c r="C46" s="23" t="s">
        <v>515</v>
      </c>
      <c r="D46" s="22"/>
      <c r="E46" s="25"/>
      <c r="F46" s="25">
        <f>_xlfn.XLOOKUP(B46, Rate_Master!$A:$A, Rate_Master!$C:$C, "")</f>
        <v>0</v>
      </c>
      <c r="G46" s="25">
        <f>_xlfn.XLOOKUP(B46, Rate_Master!$A:$A, Rate_Master!$D:$D, "")</f>
        <v>0</v>
      </c>
      <c r="H46" s="26"/>
      <c r="I46" s="26">
        <f>SUBTOTAL(9,I47:I49)</f>
        <v>181340811.11646</v>
      </c>
      <c r="J46" s="26"/>
    </row>
    <row r="47" spans="1:10" s="4" customFormat="1" ht="38.25" customHeight="1" outlineLevel="1">
      <c r="A47" s="27" t="str">
        <f>$A$46&amp;"."&amp;ROW()-ROW($A$46)</f>
        <v>18A.C5.1</v>
      </c>
      <c r="B47" s="28" t="s">
        <v>38</v>
      </c>
      <c r="C47" s="28" t="s">
        <v>522</v>
      </c>
      <c r="D47" s="29" t="s">
        <v>523</v>
      </c>
      <c r="E47" s="31">
        <v>4040.8470000000002</v>
      </c>
      <c r="F47" s="30">
        <f>_xlfn.XLOOKUP(B47, Rate_Master!$A:$A, Rate_Master!$C:$C, "")</f>
        <v>16770.564999999999</v>
      </c>
      <c r="G47" s="30">
        <f>_xlfn.XLOOKUP(B47, Rate_Master!$A:$A, Rate_Master!$D:$D, "")</f>
        <v>2875</v>
      </c>
      <c r="H47" s="66">
        <f>F47+G47</f>
        <v>19645.564999999999</v>
      </c>
      <c r="I47" s="32">
        <f>H47*E47</f>
        <v>79384722.393555</v>
      </c>
      <c r="J47" s="32"/>
    </row>
    <row r="48" spans="1:10" s="4" customFormat="1" ht="25.5" customHeight="1" outlineLevel="1">
      <c r="A48" s="27" t="str">
        <f>$A$46&amp;"."&amp;ROW()-ROW($A$46)</f>
        <v>18A.C5.2</v>
      </c>
      <c r="B48" s="28" t="s">
        <v>39</v>
      </c>
      <c r="C48" s="28" t="s">
        <v>522</v>
      </c>
      <c r="D48" s="29" t="s">
        <v>523</v>
      </c>
      <c r="E48" s="31">
        <v>1702.116</v>
      </c>
      <c r="F48" s="30">
        <f>_xlfn.XLOOKUP(B48, Rate_Master!$A:$A, Rate_Master!$C:$C, "")</f>
        <v>16770.564999999999</v>
      </c>
      <c r="G48" s="30">
        <f>_xlfn.XLOOKUP(B48, Rate_Master!$A:$A, Rate_Master!$D:$D, "")</f>
        <v>3679.9999999999995</v>
      </c>
      <c r="H48" s="66">
        <f>F48+G48</f>
        <v>20450.564999999999</v>
      </c>
      <c r="I48" s="32">
        <f>H48*E48</f>
        <v>34809233.895539999</v>
      </c>
      <c r="J48" s="32"/>
    </row>
    <row r="49" spans="1:10" s="4" customFormat="1" ht="25.5" customHeight="1" outlineLevel="1">
      <c r="A49" s="27" t="str">
        <f>$A$46&amp;"."&amp;ROW()-ROW($A$46)</f>
        <v>18A.C5.3</v>
      </c>
      <c r="B49" s="28" t="s">
        <v>40</v>
      </c>
      <c r="C49" s="28" t="s">
        <v>522</v>
      </c>
      <c r="D49" s="29" t="s">
        <v>523</v>
      </c>
      <c r="E49" s="31">
        <v>3320.721</v>
      </c>
      <c r="F49" s="30">
        <f>_xlfn.XLOOKUP(B49, Rate_Master!$A:$A, Rate_Master!$C:$C, "")</f>
        <v>16770.564999999999</v>
      </c>
      <c r="G49" s="30">
        <f>_xlfn.XLOOKUP(B49, Rate_Master!$A:$A, Rate_Master!$D:$D, "")</f>
        <v>3449.9999999999995</v>
      </c>
      <c r="H49" s="66">
        <f>F49+G49</f>
        <v>20220.564999999999</v>
      </c>
      <c r="I49" s="32">
        <f>H49*E49</f>
        <v>67146854.827364996</v>
      </c>
      <c r="J49" s="32"/>
    </row>
    <row r="50" spans="1:10" s="3" customFormat="1" ht="25.5" customHeight="1">
      <c r="A50" s="22" t="str">
        <f>$A$10&amp;6</f>
        <v>18A.C6</v>
      </c>
      <c r="B50" s="23" t="s">
        <v>43</v>
      </c>
      <c r="C50" s="23" t="s">
        <v>515</v>
      </c>
      <c r="D50" s="22"/>
      <c r="E50" s="25"/>
      <c r="F50" s="25">
        <f>_xlfn.XLOOKUP(B50, Rate_Master!$A:$A, Rate_Master!$C:$C, "")</f>
        <v>0</v>
      </c>
      <c r="G50" s="25">
        <f>_xlfn.XLOOKUP(B50, Rate_Master!$A:$A, Rate_Master!$D:$D, "")</f>
        <v>0</v>
      </c>
      <c r="H50" s="26">
        <v>0</v>
      </c>
      <c r="I50" s="26">
        <f>SUBTOTAL(9,I51:I51)</f>
        <v>4966927.28</v>
      </c>
      <c r="J50" s="26"/>
    </row>
    <row r="51" spans="1:10" s="4" customFormat="1" ht="25.5" customHeight="1" outlineLevel="1">
      <c r="A51" s="27" t="str">
        <f>$A$50&amp;"."&amp;ROW()-ROW($A$50)</f>
        <v>18A.C6.1</v>
      </c>
      <c r="B51" s="28" t="s">
        <v>44</v>
      </c>
      <c r="C51" s="28" t="s">
        <v>515</v>
      </c>
      <c r="D51" s="29" t="s">
        <v>520</v>
      </c>
      <c r="E51" s="31">
        <v>154.25239999999999</v>
      </c>
      <c r="F51" s="30">
        <f>_xlfn.XLOOKUP(B51, Rate_Master!$A:$A, Rate_Master!$C:$C, "")</f>
        <v>14949.999999999998</v>
      </c>
      <c r="G51" s="30">
        <f>_xlfn.XLOOKUP(B51, Rate_Master!$A:$A, Rate_Master!$D:$D, "")</f>
        <v>17250</v>
      </c>
      <c r="H51" s="32">
        <f>F51+G51</f>
        <v>32200</v>
      </c>
      <c r="I51" s="32">
        <f>H51*E51</f>
        <v>4966927.28</v>
      </c>
      <c r="J51" s="32"/>
    </row>
    <row r="52" spans="1:10" s="3" customFormat="1" ht="25.5" customHeight="1">
      <c r="A52" s="22" t="str">
        <f>$A$9&amp;".F"</f>
        <v>18A.F</v>
      </c>
      <c r="B52" s="23" t="s">
        <v>93</v>
      </c>
      <c r="C52" s="23" t="s">
        <v>515</v>
      </c>
      <c r="D52" s="22"/>
      <c r="E52" s="25"/>
      <c r="F52" s="25">
        <f>_xlfn.XLOOKUP(B52, Rate_Master!$A:$A, Rate_Master!$C:$C, "")</f>
        <v>0</v>
      </c>
      <c r="G52" s="25">
        <f>_xlfn.XLOOKUP(B52, Rate_Master!$A:$A, Rate_Master!$D:$D, "")</f>
        <v>0</v>
      </c>
      <c r="H52" s="26">
        <v>0</v>
      </c>
      <c r="I52" s="26"/>
      <c r="J52" s="26"/>
    </row>
    <row r="53" spans="1:10" s="3" customFormat="1" ht="25.5" customHeight="1">
      <c r="A53" s="22" t="str">
        <f>$A$52&amp;1</f>
        <v>18A.F1</v>
      </c>
      <c r="B53" s="23" t="s">
        <v>94</v>
      </c>
      <c r="C53" s="23" t="s">
        <v>515</v>
      </c>
      <c r="D53" s="22"/>
      <c r="E53" s="25"/>
      <c r="F53" s="25">
        <f>_xlfn.XLOOKUP(B53, Rate_Master!$A:$A, Rate_Master!$C:$C, "")</f>
        <v>0</v>
      </c>
      <c r="G53" s="25">
        <f>_xlfn.XLOOKUP(B53, Rate_Master!$A:$A, Rate_Master!$D:$D, "")</f>
        <v>0</v>
      </c>
      <c r="H53" s="26">
        <v>0</v>
      </c>
      <c r="I53" s="26">
        <f>SUBTOTAL(9,I54:I71)</f>
        <v>188411872.92879766</v>
      </c>
      <c r="J53" s="26"/>
    </row>
    <row r="54" spans="1:10" s="4" customFormat="1" ht="25.5" customHeight="1" outlineLevel="1">
      <c r="A54" s="27" t="str">
        <f t="shared" ref="A54:A75" si="7">$A$53&amp;"."&amp;ROW()-ROW($A$53)</f>
        <v>18A.F1.1</v>
      </c>
      <c r="B54" s="35" t="s">
        <v>95</v>
      </c>
      <c r="C54" s="34" t="s">
        <v>551</v>
      </c>
      <c r="D54" s="29" t="s">
        <v>519</v>
      </c>
      <c r="E54" s="31">
        <v>37.228999999999999</v>
      </c>
      <c r="F54" s="30">
        <f>_xlfn.XLOOKUP(B54, Rate_Master!$A:$A, Rate_Master!$C:$C, "")</f>
        <v>1587600.0077618286</v>
      </c>
      <c r="G54" s="30">
        <f>_xlfn.XLOOKUP(B54, Rate_Master!$A:$A, Rate_Master!$D:$D, "")</f>
        <v>1086539.80861244</v>
      </c>
      <c r="H54" s="32">
        <f>F54+G54</f>
        <v>2674139.8163742684</v>
      </c>
      <c r="I54" s="32">
        <f t="shared" ref="I54:I75" si="8">H54*E54</f>
        <v>99555551.223797634</v>
      </c>
      <c r="J54" s="32"/>
    </row>
    <row r="55" spans="1:10" s="4" customFormat="1" ht="25.5" customHeight="1" outlineLevel="1">
      <c r="A55" s="27" t="str">
        <f t="shared" si="7"/>
        <v>18A.F1.2</v>
      </c>
      <c r="B55" s="35" t="s">
        <v>96</v>
      </c>
      <c r="C55" s="34" t="s">
        <v>551</v>
      </c>
      <c r="D55" s="29" t="s">
        <v>519</v>
      </c>
      <c r="E55" s="31">
        <v>1.7649999999999999</v>
      </c>
      <c r="F55" s="30">
        <f>_xlfn.XLOOKUP(B55, Rate_Master!$A:$A, Rate_Master!$C:$C, "")</f>
        <v>1368500</v>
      </c>
      <c r="G55" s="30">
        <f>_xlfn.XLOOKUP(B55, Rate_Master!$A:$A, Rate_Master!$D:$D, "")</f>
        <v>948749.99999999988</v>
      </c>
      <c r="H55" s="32">
        <f>F55+G55</f>
        <v>2317250</v>
      </c>
      <c r="I55" s="32">
        <f t="shared" si="8"/>
        <v>4089946.25</v>
      </c>
      <c r="J55" s="32"/>
    </row>
    <row r="56" spans="1:10" s="4" customFormat="1" ht="51" customHeight="1" outlineLevel="1">
      <c r="A56" s="27" t="str">
        <f t="shared" si="7"/>
        <v>18A.F1.3</v>
      </c>
      <c r="B56" s="28" t="s">
        <v>97</v>
      </c>
      <c r="C56" s="34" t="s">
        <v>552</v>
      </c>
      <c r="D56" s="29" t="s">
        <v>520</v>
      </c>
      <c r="E56" s="31">
        <v>0</v>
      </c>
      <c r="F56" s="31">
        <f>_xlfn.XLOOKUP(B56, Rate_Master!$A:$A, Rate_Master!$C:$C, "")</f>
        <v>229999.99999999997</v>
      </c>
      <c r="G56" s="31">
        <f>_xlfn.XLOOKUP(B56, Rate_Master!$A:$A, Rate_Master!$D:$D, "")</f>
        <v>46000</v>
      </c>
      <c r="H56" s="32">
        <v>0</v>
      </c>
      <c r="I56" s="32">
        <f t="shared" si="8"/>
        <v>0</v>
      </c>
      <c r="J56" s="32"/>
    </row>
    <row r="57" spans="1:10" s="4" customFormat="1" ht="51" customHeight="1" outlineLevel="1">
      <c r="A57" s="27" t="str">
        <f t="shared" si="7"/>
        <v>18A.F1.4</v>
      </c>
      <c r="B57" s="28" t="s">
        <v>98</v>
      </c>
      <c r="C57" s="34" t="s">
        <v>553</v>
      </c>
      <c r="D57" s="29" t="s">
        <v>520</v>
      </c>
      <c r="E57" s="31">
        <v>0</v>
      </c>
      <c r="F57" s="31">
        <f>_xlfn.XLOOKUP(B57, Rate_Master!$A:$A, Rate_Master!$C:$C, "")</f>
        <v>0</v>
      </c>
      <c r="G57" s="31">
        <f>_xlfn.XLOOKUP(B57, Rate_Master!$A:$A, Rate_Master!$D:$D, "")</f>
        <v>0</v>
      </c>
      <c r="H57" s="32">
        <v>0</v>
      </c>
      <c r="I57" s="32">
        <f t="shared" si="8"/>
        <v>0</v>
      </c>
      <c r="J57" s="32"/>
    </row>
    <row r="58" spans="1:10" s="4" customFormat="1" ht="51" customHeight="1" outlineLevel="1">
      <c r="A58" s="27" t="str">
        <f t="shared" si="7"/>
        <v>18A.F1.5</v>
      </c>
      <c r="B58" s="28" t="s">
        <v>99</v>
      </c>
      <c r="C58" s="34" t="s">
        <v>553</v>
      </c>
      <c r="D58" s="29" t="s">
        <v>520</v>
      </c>
      <c r="E58" s="31">
        <v>0</v>
      </c>
      <c r="F58" s="31">
        <f>_xlfn.XLOOKUP(B58, Rate_Master!$A:$A, Rate_Master!$C:$C, "")</f>
        <v>931499.99999999988</v>
      </c>
      <c r="G58" s="31">
        <f>_xlfn.XLOOKUP(B58, Rate_Master!$A:$A, Rate_Master!$D:$D, "")</f>
        <v>114999.99999999999</v>
      </c>
      <c r="H58" s="32">
        <v>0</v>
      </c>
      <c r="I58" s="32">
        <f t="shared" si="8"/>
        <v>0</v>
      </c>
      <c r="J58" s="32"/>
    </row>
    <row r="59" spans="1:10" s="4" customFormat="1" ht="25.5" customHeight="1" outlineLevel="1">
      <c r="A59" s="27" t="str">
        <f t="shared" si="7"/>
        <v>18A.F1.6</v>
      </c>
      <c r="B59" s="28" t="s">
        <v>100</v>
      </c>
      <c r="C59" s="34" t="s">
        <v>554</v>
      </c>
      <c r="D59" s="29" t="s">
        <v>520</v>
      </c>
      <c r="E59" s="31">
        <v>0</v>
      </c>
      <c r="F59" s="31">
        <f>_xlfn.XLOOKUP(B59, Rate_Master!$A:$A, Rate_Master!$C:$C, "")</f>
        <v>1586790</v>
      </c>
      <c r="G59" s="31">
        <f>_xlfn.XLOOKUP(B59, Rate_Master!$A:$A, Rate_Master!$D:$D, "")</f>
        <v>372210</v>
      </c>
      <c r="H59" s="32">
        <v>0</v>
      </c>
      <c r="I59" s="32">
        <f t="shared" si="8"/>
        <v>0</v>
      </c>
      <c r="J59" s="32"/>
    </row>
    <row r="60" spans="1:10" s="4" customFormat="1" ht="51" customHeight="1" outlineLevel="1">
      <c r="A60" s="27" t="str">
        <f t="shared" si="7"/>
        <v>18A.F1.7</v>
      </c>
      <c r="B60" s="28" t="s">
        <v>101</v>
      </c>
      <c r="C60" s="28" t="s">
        <v>515</v>
      </c>
      <c r="D60" s="29" t="s">
        <v>520</v>
      </c>
      <c r="E60" s="31">
        <v>0</v>
      </c>
      <c r="F60" s="31">
        <f>_xlfn.XLOOKUP(B60, Rate_Master!$A:$A, Rate_Master!$C:$C, "")</f>
        <v>1121250</v>
      </c>
      <c r="G60" s="31">
        <f>_xlfn.XLOOKUP(B60, Rate_Master!$A:$A, Rate_Master!$D:$D, "")</f>
        <v>114999.99999999999</v>
      </c>
      <c r="H60" s="32">
        <v>0</v>
      </c>
      <c r="I60" s="32">
        <f t="shared" si="8"/>
        <v>0</v>
      </c>
      <c r="J60" s="32"/>
    </row>
    <row r="61" spans="1:10" s="4" customFormat="1" ht="51" customHeight="1" outlineLevel="1">
      <c r="A61" s="27" t="str">
        <f t="shared" si="7"/>
        <v>18A.F1.8</v>
      </c>
      <c r="B61" s="28" t="s">
        <v>102</v>
      </c>
      <c r="C61" s="34" t="s">
        <v>555</v>
      </c>
      <c r="D61" s="29" t="s">
        <v>520</v>
      </c>
      <c r="E61" s="31">
        <v>0</v>
      </c>
      <c r="F61" s="31">
        <f>_xlfn.XLOOKUP(B61, Rate_Master!$A:$A, Rate_Master!$C:$C, "")</f>
        <v>0</v>
      </c>
      <c r="G61" s="31">
        <f>_xlfn.XLOOKUP(B61, Rate_Master!$A:$A, Rate_Master!$D:$D, "")</f>
        <v>0</v>
      </c>
      <c r="H61" s="32">
        <v>0</v>
      </c>
      <c r="I61" s="32">
        <f t="shared" si="8"/>
        <v>0</v>
      </c>
      <c r="J61" s="32"/>
    </row>
    <row r="62" spans="1:10" s="4" customFormat="1" ht="51" customHeight="1" outlineLevel="1">
      <c r="A62" s="27" t="str">
        <f t="shared" si="7"/>
        <v>18A.F1.9</v>
      </c>
      <c r="B62" s="28" t="s">
        <v>103</v>
      </c>
      <c r="C62" s="34" t="s">
        <v>555</v>
      </c>
      <c r="D62" s="29" t="s">
        <v>520</v>
      </c>
      <c r="E62" s="31">
        <v>0</v>
      </c>
      <c r="F62" s="31">
        <f>_xlfn.XLOOKUP(B62, Rate_Master!$A:$A, Rate_Master!$C:$C, "")</f>
        <v>0</v>
      </c>
      <c r="G62" s="31">
        <f>_xlfn.XLOOKUP(B62, Rate_Master!$A:$A, Rate_Master!$D:$D, "")</f>
        <v>0</v>
      </c>
      <c r="H62" s="32">
        <v>0</v>
      </c>
      <c r="I62" s="32">
        <f t="shared" si="8"/>
        <v>0</v>
      </c>
      <c r="J62" s="32"/>
    </row>
    <row r="63" spans="1:10" s="4" customFormat="1" ht="25.5" customHeight="1" outlineLevel="1">
      <c r="A63" s="27" t="str">
        <f t="shared" si="7"/>
        <v>18A.F1.10</v>
      </c>
      <c r="B63" s="28" t="s">
        <v>104</v>
      </c>
      <c r="C63" s="28" t="s">
        <v>515</v>
      </c>
      <c r="D63" s="29" t="s">
        <v>520</v>
      </c>
      <c r="E63" s="31">
        <v>0</v>
      </c>
      <c r="F63" s="30">
        <f>_xlfn.XLOOKUP(B63, Rate_Master!$A:$A, Rate_Master!$C:$C, "")</f>
        <v>46000</v>
      </c>
      <c r="G63" s="30">
        <f>_xlfn.XLOOKUP(B63, Rate_Master!$A:$A, Rate_Master!$D:$D, "")</f>
        <v>34500</v>
      </c>
      <c r="H63" s="32">
        <v>0</v>
      </c>
      <c r="I63" s="32">
        <f t="shared" si="8"/>
        <v>0</v>
      </c>
      <c r="J63" s="32"/>
    </row>
    <row r="64" spans="1:10" s="4" customFormat="1" ht="25.5" customHeight="1" outlineLevel="1">
      <c r="A64" s="27" t="str">
        <f t="shared" si="7"/>
        <v>18A.F1.11</v>
      </c>
      <c r="B64" s="28" t="s">
        <v>105</v>
      </c>
      <c r="C64" s="34" t="s">
        <v>556</v>
      </c>
      <c r="D64" s="29" t="s">
        <v>520</v>
      </c>
      <c r="E64" s="31">
        <v>426.11399999999998</v>
      </c>
      <c r="F64" s="30">
        <f>_xlfn.XLOOKUP(B64, Rate_Master!$A:$A, Rate_Master!$C:$C, "")</f>
        <v>26565.000000000004</v>
      </c>
      <c r="G64" s="30">
        <f>_xlfn.XLOOKUP(B64, Rate_Master!$A:$A, Rate_Master!$D:$D, "")</f>
        <v>132250</v>
      </c>
      <c r="H64" s="32">
        <f t="shared" ref="H64:H69" si="9">+G64+F64</f>
        <v>158815</v>
      </c>
      <c r="I64" s="32">
        <f t="shared" si="8"/>
        <v>67673294.909999996</v>
      </c>
      <c r="J64" s="32"/>
    </row>
    <row r="65" spans="1:10" s="4" customFormat="1" ht="25.5" customHeight="1" outlineLevel="1">
      <c r="A65" s="27" t="str">
        <f t="shared" si="7"/>
        <v>18A.F1.12</v>
      </c>
      <c r="B65" s="28" t="s">
        <v>106</v>
      </c>
      <c r="C65" s="34" t="s">
        <v>556</v>
      </c>
      <c r="D65" s="29" t="s">
        <v>520</v>
      </c>
      <c r="E65" s="31">
        <v>81.623000000000005</v>
      </c>
      <c r="F65" s="30">
        <f>_xlfn.XLOOKUP(B65, Rate_Master!$A:$A, Rate_Master!$C:$C, "")</f>
        <v>26565.000000000004</v>
      </c>
      <c r="G65" s="30">
        <f>_xlfn.XLOOKUP(B65, Rate_Master!$A:$A, Rate_Master!$D:$D, "")</f>
        <v>117299.99999999999</v>
      </c>
      <c r="H65" s="32">
        <f t="shared" si="9"/>
        <v>143865</v>
      </c>
      <c r="I65" s="32">
        <f t="shared" si="8"/>
        <v>11742692.895000001</v>
      </c>
      <c r="J65" s="32"/>
    </row>
    <row r="66" spans="1:10" s="4" customFormat="1" ht="53.25" customHeight="1" outlineLevel="1">
      <c r="A66" s="27" t="str">
        <f t="shared" si="7"/>
        <v>18A.F1.13</v>
      </c>
      <c r="B66" s="28" t="s">
        <v>107</v>
      </c>
      <c r="C66" s="28" t="s">
        <v>515</v>
      </c>
      <c r="D66" s="29" t="s">
        <v>520</v>
      </c>
      <c r="E66" s="31">
        <v>0</v>
      </c>
      <c r="F66" s="31">
        <f>_xlfn.XLOOKUP(B66, Rate_Master!$A:$A, Rate_Master!$C:$C, "")</f>
        <v>218499.99999999997</v>
      </c>
      <c r="G66" s="31">
        <f>_xlfn.XLOOKUP(B66, Rate_Master!$A:$A, Rate_Master!$D:$D, "")</f>
        <v>138000</v>
      </c>
      <c r="H66" s="32">
        <f t="shared" si="9"/>
        <v>356500</v>
      </c>
      <c r="I66" s="32">
        <f t="shared" si="8"/>
        <v>0</v>
      </c>
      <c r="J66" s="32"/>
    </row>
    <row r="67" spans="1:10" s="4" customFormat="1" ht="25.5" customHeight="1" outlineLevel="1">
      <c r="A67" s="27" t="str">
        <f t="shared" si="7"/>
        <v>18A.F1.14</v>
      </c>
      <c r="B67" s="34" t="s">
        <v>108</v>
      </c>
      <c r="C67" s="28" t="s">
        <v>515</v>
      </c>
      <c r="D67" s="29" t="s">
        <v>520</v>
      </c>
      <c r="E67" s="31">
        <v>0</v>
      </c>
      <c r="F67" s="30">
        <f>_xlfn.XLOOKUP(B67, Rate_Master!$A:$A, Rate_Master!$C:$C, "")</f>
        <v>51749.999999999993</v>
      </c>
      <c r="G67" s="30">
        <f>_xlfn.XLOOKUP(B67, Rate_Master!$A:$A, Rate_Master!$D:$D, "")</f>
        <v>34500</v>
      </c>
      <c r="H67" s="32">
        <f t="shared" si="9"/>
        <v>86250</v>
      </c>
      <c r="I67" s="32">
        <f t="shared" si="8"/>
        <v>0</v>
      </c>
      <c r="J67" s="32"/>
    </row>
    <row r="68" spans="1:10" s="4" customFormat="1" ht="25.5" customHeight="1" outlineLevel="1">
      <c r="A68" s="27" t="str">
        <f t="shared" si="7"/>
        <v>18A.F1.15</v>
      </c>
      <c r="B68" s="34" t="s">
        <v>109</v>
      </c>
      <c r="C68" s="28" t="s">
        <v>515</v>
      </c>
      <c r="D68" s="29" t="s">
        <v>520</v>
      </c>
      <c r="E68" s="31">
        <v>81.623000000000005</v>
      </c>
      <c r="F68" s="31">
        <f>_xlfn.XLOOKUP(B68, Rate_Master!$A:$A, Rate_Master!$C:$C, "")</f>
        <v>46000</v>
      </c>
      <c r="G68" s="31">
        <f>_xlfn.XLOOKUP(B68, Rate_Master!$A:$A, Rate_Master!$D:$D, "")</f>
        <v>19550</v>
      </c>
      <c r="H68" s="32">
        <f t="shared" si="9"/>
        <v>65550</v>
      </c>
      <c r="I68" s="32">
        <f t="shared" si="8"/>
        <v>5350387.6500000004</v>
      </c>
      <c r="J68" s="32"/>
    </row>
    <row r="69" spans="1:10" s="4" customFormat="1" ht="38.25" customHeight="1" outlineLevel="1">
      <c r="A69" s="27" t="str">
        <f t="shared" si="7"/>
        <v>18A.F1.16</v>
      </c>
      <c r="B69" s="34" t="s">
        <v>110</v>
      </c>
      <c r="C69" s="28" t="s">
        <v>515</v>
      </c>
      <c r="D69" s="29" t="s">
        <v>520</v>
      </c>
      <c r="E69" s="31">
        <v>0</v>
      </c>
      <c r="F69" s="31">
        <f>_xlfn.XLOOKUP(B69, Rate_Master!$A:$A, Rate_Master!$C:$C, "")</f>
        <v>51749.999999999993</v>
      </c>
      <c r="G69" s="31">
        <f>_xlfn.XLOOKUP(B69, Rate_Master!$A:$A, Rate_Master!$D:$D, "")</f>
        <v>17250</v>
      </c>
      <c r="H69" s="32">
        <f t="shared" si="9"/>
        <v>69000</v>
      </c>
      <c r="I69" s="32">
        <f t="shared" si="8"/>
        <v>0</v>
      </c>
      <c r="J69" s="32"/>
    </row>
    <row r="70" spans="1:10" s="4" customFormat="1" ht="25.5" customHeight="1" outlineLevel="1">
      <c r="A70" s="27" t="str">
        <f t="shared" si="7"/>
        <v>18A.F1.17</v>
      </c>
      <c r="B70" s="34" t="s">
        <v>111</v>
      </c>
      <c r="C70" s="28" t="s">
        <v>515</v>
      </c>
      <c r="D70" s="29" t="s">
        <v>520</v>
      </c>
      <c r="E70" s="31">
        <v>0</v>
      </c>
      <c r="F70" s="31">
        <f>_xlfn.XLOOKUP(B70, Rate_Master!$A:$A, Rate_Master!$C:$C, "")</f>
        <v>172500</v>
      </c>
      <c r="G70" s="31">
        <f>_xlfn.XLOOKUP(B70, Rate_Master!$A:$A, Rate_Master!$D:$D, "")</f>
        <v>28749.999999999996</v>
      </c>
      <c r="H70" s="32">
        <v>0</v>
      </c>
      <c r="I70" s="32">
        <f t="shared" si="8"/>
        <v>0</v>
      </c>
      <c r="J70" s="32"/>
    </row>
    <row r="71" spans="1:10" s="4" customFormat="1" ht="38.25" customHeight="1" outlineLevel="1">
      <c r="A71" s="27" t="str">
        <f t="shared" si="7"/>
        <v>18A.F1.18</v>
      </c>
      <c r="B71" s="34" t="s">
        <v>112</v>
      </c>
      <c r="C71" s="34" t="s">
        <v>557</v>
      </c>
      <c r="D71" s="29" t="s">
        <v>517</v>
      </c>
      <c r="E71" s="31">
        <v>0</v>
      </c>
      <c r="F71" s="31">
        <f>_xlfn.XLOOKUP(B71, Rate_Master!$A:$A, Rate_Master!$C:$C, "")</f>
        <v>163300</v>
      </c>
      <c r="G71" s="31">
        <f>_xlfn.XLOOKUP(B71, Rate_Master!$A:$A, Rate_Master!$D:$D, "")</f>
        <v>51749.999999999993</v>
      </c>
      <c r="H71" s="32">
        <v>0</v>
      </c>
      <c r="I71" s="32">
        <f t="shared" si="8"/>
        <v>0</v>
      </c>
      <c r="J71" s="32"/>
    </row>
    <row r="72" spans="1:10" s="4" customFormat="1" ht="25.5" customHeight="1" outlineLevel="1">
      <c r="A72" s="27" t="str">
        <f t="shared" si="7"/>
        <v>18A.F1.19</v>
      </c>
      <c r="B72" s="34" t="s">
        <v>282</v>
      </c>
      <c r="C72" s="34"/>
      <c r="D72" s="29" t="s">
        <v>520</v>
      </c>
      <c r="E72" s="31">
        <v>204.50700000000001</v>
      </c>
      <c r="F72" s="31">
        <f>_xlfn.XLOOKUP(B72, Rate_Master!$A:$A, Rate_Master!$C:$C, "")</f>
        <v>270250</v>
      </c>
      <c r="G72" s="31">
        <f>_xlfn.XLOOKUP(B72, Rate_Master!$A:$A, Rate_Master!$D:$D, "")</f>
        <v>104649.99999999999</v>
      </c>
      <c r="H72" s="32">
        <f>+G72+F72</f>
        <v>374900</v>
      </c>
      <c r="I72" s="32">
        <f t="shared" si="8"/>
        <v>76669674.299999997</v>
      </c>
      <c r="J72" s="32"/>
    </row>
    <row r="73" spans="1:10" s="4" customFormat="1" ht="25.5" customHeight="1" outlineLevel="1">
      <c r="A73" s="27" t="str">
        <f t="shared" si="7"/>
        <v>18A.F1.20</v>
      </c>
      <c r="B73" s="34" t="s">
        <v>283</v>
      </c>
      <c r="C73" s="34"/>
      <c r="D73" s="29" t="s">
        <v>520</v>
      </c>
      <c r="E73" s="31">
        <v>99.424999999999997</v>
      </c>
      <c r="F73" s="31">
        <f>_xlfn.XLOOKUP(B73, Rate_Master!$A:$A, Rate_Master!$C:$C, "")</f>
        <v>270250</v>
      </c>
      <c r="G73" s="31">
        <f>_xlfn.XLOOKUP(B73, Rate_Master!$A:$A, Rate_Master!$D:$D, "")</f>
        <v>104649.99999999999</v>
      </c>
      <c r="H73" s="32">
        <f>+G73+F73</f>
        <v>374900</v>
      </c>
      <c r="I73" s="32">
        <f t="shared" si="8"/>
        <v>37274432.5</v>
      </c>
      <c r="J73" s="32"/>
    </row>
    <row r="74" spans="1:10" s="4" customFormat="1" ht="25.5" customHeight="1" outlineLevel="1">
      <c r="A74" s="27" t="str">
        <f t="shared" si="7"/>
        <v>18A.F1.21</v>
      </c>
      <c r="B74" s="34" t="s">
        <v>284</v>
      </c>
      <c r="C74" s="34" t="s">
        <v>580</v>
      </c>
      <c r="D74" s="29" t="s">
        <v>520</v>
      </c>
      <c r="E74" s="31">
        <v>122.182</v>
      </c>
      <c r="F74" s="31">
        <f>_xlfn.XLOOKUP(B74, Rate_Master!$A:$A, Rate_Master!$C:$C, "")</f>
        <v>611800</v>
      </c>
      <c r="G74" s="31">
        <f>_xlfn.XLOOKUP(B74, Rate_Master!$A:$A, Rate_Master!$D:$D, "")</f>
        <v>238049.99999999997</v>
      </c>
      <c r="H74" s="32">
        <f>+G74+F74</f>
        <v>849850</v>
      </c>
      <c r="I74" s="32">
        <f t="shared" si="8"/>
        <v>103836372.7</v>
      </c>
      <c r="J74" s="32"/>
    </row>
    <row r="75" spans="1:10" s="4" customFormat="1" ht="25.5" customHeight="1" outlineLevel="1">
      <c r="A75" s="27" t="str">
        <f t="shared" si="7"/>
        <v>18A.F1.22</v>
      </c>
      <c r="B75" s="34" t="s">
        <v>285</v>
      </c>
      <c r="C75" s="34"/>
      <c r="D75" s="29" t="s">
        <v>520</v>
      </c>
      <c r="E75" s="31">
        <v>9.5</v>
      </c>
      <c r="F75" s="31">
        <f>_xlfn.XLOOKUP(B75, Rate_Master!$A:$A, Rate_Master!$C:$C, "")</f>
        <v>3347649.9999999995</v>
      </c>
      <c r="G75" s="31">
        <f>_xlfn.XLOOKUP(B75, Rate_Master!$A:$A, Rate_Master!$D:$D, "")</f>
        <v>1301800</v>
      </c>
      <c r="H75" s="32">
        <f>+G75+F75</f>
        <v>4649450</v>
      </c>
      <c r="I75" s="32">
        <f t="shared" si="8"/>
        <v>44169775</v>
      </c>
      <c r="J75" s="32"/>
    </row>
    <row r="76" spans="1:10" s="3" customFormat="1" ht="25.5" customHeight="1">
      <c r="A76" s="22" t="str">
        <f>$A$52&amp;2</f>
        <v>18A.F2</v>
      </c>
      <c r="B76" s="23" t="s">
        <v>113</v>
      </c>
      <c r="C76" s="23" t="s">
        <v>515</v>
      </c>
      <c r="D76" s="22"/>
      <c r="E76" s="25"/>
      <c r="F76" s="25">
        <f>_xlfn.XLOOKUP(B76, Rate_Master!$A:$A, Rate_Master!$C:$C, "")</f>
        <v>0</v>
      </c>
      <c r="G76" s="25">
        <f>_xlfn.XLOOKUP(B76, Rate_Master!$A:$A, Rate_Master!$D:$D, "")</f>
        <v>0</v>
      </c>
      <c r="H76" s="26">
        <v>0</v>
      </c>
      <c r="I76" s="26">
        <f>SUBTOTAL(9,I77:I81)</f>
        <v>4445357.1999999993</v>
      </c>
      <c r="J76" s="26"/>
    </row>
    <row r="77" spans="1:10" s="4" customFormat="1" ht="51" customHeight="1" outlineLevel="1">
      <c r="A77" s="27" t="str">
        <f>$A$76&amp;"."&amp;ROW()-ROW($A$76)</f>
        <v>18A.F2.1</v>
      </c>
      <c r="B77" s="34" t="s">
        <v>114</v>
      </c>
      <c r="C77" s="28" t="s">
        <v>515</v>
      </c>
      <c r="D77" s="29" t="s">
        <v>520</v>
      </c>
      <c r="E77" s="31">
        <v>0</v>
      </c>
      <c r="F77" s="30">
        <f>_xlfn.XLOOKUP(B77, Rate_Master!$A:$A, Rate_Master!$C:$C, "")</f>
        <v>206999.99999999997</v>
      </c>
      <c r="G77" s="30">
        <f>_xlfn.XLOOKUP(B77, Rate_Master!$A:$A, Rate_Master!$D:$D, "")</f>
        <v>126499.99999999999</v>
      </c>
      <c r="H77" s="32">
        <v>0</v>
      </c>
      <c r="I77" s="32">
        <f>H77*E77</f>
        <v>0</v>
      </c>
      <c r="J77" s="32"/>
    </row>
    <row r="78" spans="1:10" s="4" customFormat="1" ht="51" customHeight="1" outlineLevel="1">
      <c r="A78" s="27" t="str">
        <f>$A$76&amp;"."&amp;ROW()-ROW($A$76)</f>
        <v>18A.F2.2</v>
      </c>
      <c r="B78" s="28" t="s">
        <v>115</v>
      </c>
      <c r="C78" s="28" t="s">
        <v>515</v>
      </c>
      <c r="D78" s="29" t="s">
        <v>520</v>
      </c>
      <c r="E78" s="31">
        <v>56.845999999999997</v>
      </c>
      <c r="F78" s="30">
        <f>_xlfn.XLOOKUP(B78, Rate_Master!$A:$A, Rate_Master!$C:$C, "")</f>
        <v>28749.999999999996</v>
      </c>
      <c r="G78" s="30">
        <f>_xlfn.XLOOKUP(B78, Rate_Master!$A:$A, Rate_Master!$D:$D, "")</f>
        <v>49449.999999999993</v>
      </c>
      <c r="H78" s="32">
        <f>+G78+F78</f>
        <v>78199.999999999985</v>
      </c>
      <c r="I78" s="32">
        <f>H78*E78</f>
        <v>4445357.1999999993</v>
      </c>
      <c r="J78" s="32"/>
    </row>
    <row r="79" spans="1:10" s="4" customFormat="1" ht="51" customHeight="1" outlineLevel="1">
      <c r="A79" s="27" t="str">
        <f>$A$76&amp;"."&amp;ROW()-ROW($A$76)</f>
        <v>18A.F2.3</v>
      </c>
      <c r="B79" s="34" t="s">
        <v>116</v>
      </c>
      <c r="C79" s="28" t="s">
        <v>515</v>
      </c>
      <c r="D79" s="29" t="s">
        <v>520</v>
      </c>
      <c r="E79" s="31">
        <v>0</v>
      </c>
      <c r="F79" s="31">
        <f>_xlfn.XLOOKUP(B79, Rate_Master!$A:$A, Rate_Master!$C:$C, "")</f>
        <v>0</v>
      </c>
      <c r="G79" s="31">
        <f>_xlfn.XLOOKUP(B79, Rate_Master!$A:$A, Rate_Master!$D:$D, "")</f>
        <v>0</v>
      </c>
      <c r="H79" s="32">
        <v>0</v>
      </c>
      <c r="I79" s="32">
        <f>H79*E79</f>
        <v>0</v>
      </c>
      <c r="J79" s="32"/>
    </row>
    <row r="80" spans="1:10" s="4" customFormat="1" ht="51" customHeight="1" outlineLevel="1">
      <c r="A80" s="27" t="str">
        <f>$A$76&amp;"."&amp;ROW()-ROW($A$76)</f>
        <v>18A.F2.4</v>
      </c>
      <c r="B80" s="34" t="s">
        <v>117</v>
      </c>
      <c r="C80" s="28" t="s">
        <v>515</v>
      </c>
      <c r="D80" s="29" t="s">
        <v>520</v>
      </c>
      <c r="E80" s="31">
        <v>0</v>
      </c>
      <c r="F80" s="31">
        <f>_xlfn.XLOOKUP(B80, Rate_Master!$A:$A, Rate_Master!$C:$C, "")</f>
        <v>0</v>
      </c>
      <c r="G80" s="31">
        <f>_xlfn.XLOOKUP(B80, Rate_Master!$A:$A, Rate_Master!$D:$D, "")</f>
        <v>0</v>
      </c>
      <c r="H80" s="32">
        <v>0</v>
      </c>
      <c r="I80" s="32">
        <f>H80*E80</f>
        <v>0</v>
      </c>
      <c r="J80" s="32"/>
    </row>
    <row r="81" spans="1:10" s="4" customFormat="1" ht="38.25" customHeight="1" outlineLevel="1">
      <c r="A81" s="27" t="str">
        <f>$A$76&amp;"."&amp;ROW()-ROW($A$76)</f>
        <v>18A.F2.5</v>
      </c>
      <c r="B81" s="34" t="s">
        <v>118</v>
      </c>
      <c r="C81" s="28" t="s">
        <v>515</v>
      </c>
      <c r="D81" s="29" t="s">
        <v>520</v>
      </c>
      <c r="E81" s="31">
        <v>0</v>
      </c>
      <c r="F81" s="31">
        <f>_xlfn.XLOOKUP(B81, Rate_Master!$A:$A, Rate_Master!$C:$C, "")</f>
        <v>0</v>
      </c>
      <c r="G81" s="31">
        <f>_xlfn.XLOOKUP(B81, Rate_Master!$A:$A, Rate_Master!$D:$D, "")</f>
        <v>0</v>
      </c>
      <c r="H81" s="32">
        <v>0</v>
      </c>
      <c r="I81" s="32">
        <f>H81*E81</f>
        <v>0</v>
      </c>
      <c r="J81" s="32"/>
    </row>
    <row r="82" spans="1:10" s="3" customFormat="1" ht="25.5" customHeight="1">
      <c r="A82" s="22" t="str">
        <f>$A$52&amp;3</f>
        <v>18A.F3</v>
      </c>
      <c r="B82" s="23" t="s">
        <v>119</v>
      </c>
      <c r="C82" s="23" t="s">
        <v>515</v>
      </c>
      <c r="D82" s="22"/>
      <c r="E82" s="25"/>
      <c r="F82" s="25">
        <f>_xlfn.XLOOKUP(B82, Rate_Master!$A:$A, Rate_Master!$C:$C, "")</f>
        <v>0</v>
      </c>
      <c r="G82" s="25">
        <f>_xlfn.XLOOKUP(B82, Rate_Master!$A:$A, Rate_Master!$D:$D, "")</f>
        <v>0</v>
      </c>
      <c r="H82" s="26">
        <v>0</v>
      </c>
      <c r="I82" s="26">
        <f>SUBTOTAL(9,I83:I90)</f>
        <v>1891980</v>
      </c>
      <c r="J82" s="26"/>
    </row>
    <row r="83" spans="1:10" s="4" customFormat="1" ht="25.5" customHeight="1" outlineLevel="1">
      <c r="A83" s="27" t="str">
        <f t="shared" ref="A83:A90" si="10">$A$82&amp;"."&amp;ROW()-ROW($A$82)</f>
        <v>18A.F3.1</v>
      </c>
      <c r="B83" s="34" t="s">
        <v>120</v>
      </c>
      <c r="C83" s="28" t="s">
        <v>515</v>
      </c>
      <c r="D83" s="29" t="s">
        <v>520</v>
      </c>
      <c r="E83" s="31">
        <v>65.808000000000007</v>
      </c>
      <c r="F83" s="31">
        <f>_xlfn.XLOOKUP(B83, Rate_Master!$A:$A, Rate_Master!$C:$C, "")</f>
        <v>28749.999999999996</v>
      </c>
      <c r="G83" s="31">
        <f>_xlfn.XLOOKUP(B83, Rate_Master!$A:$A, Rate_Master!$D:$D, "")</f>
        <v>0</v>
      </c>
      <c r="H83" s="32">
        <f>+G83+F83</f>
        <v>28749.999999999996</v>
      </c>
      <c r="I83" s="32">
        <f t="shared" ref="I83:I90" si="11">H83*E83</f>
        <v>1891980</v>
      </c>
      <c r="J83" s="32"/>
    </row>
    <row r="84" spans="1:10" s="4" customFormat="1" ht="25.5" customHeight="1" outlineLevel="1">
      <c r="A84" s="27" t="str">
        <f t="shared" si="10"/>
        <v>18A.F3.2</v>
      </c>
      <c r="B84" s="34" t="s">
        <v>121</v>
      </c>
      <c r="C84" s="28" t="s">
        <v>515</v>
      </c>
      <c r="D84" s="29" t="s">
        <v>520</v>
      </c>
      <c r="E84" s="31">
        <v>65.808000000000007</v>
      </c>
      <c r="F84" s="31">
        <f>_xlfn.XLOOKUP(B84, Rate_Master!$A:$A, Rate_Master!$C:$C, "")</f>
        <v>0</v>
      </c>
      <c r="G84" s="31">
        <f>_xlfn.XLOOKUP(B84, Rate_Master!$A:$A, Rate_Master!$D:$D, "")</f>
        <v>0</v>
      </c>
      <c r="H84" s="32">
        <f>+G84+F84</f>
        <v>0</v>
      </c>
      <c r="I84" s="32">
        <f t="shared" si="11"/>
        <v>0</v>
      </c>
      <c r="J84" s="32"/>
    </row>
    <row r="85" spans="1:10" s="4" customFormat="1" ht="38.25" customHeight="1" outlineLevel="1">
      <c r="A85" s="27" t="str">
        <f t="shared" si="10"/>
        <v>18A.F3.3</v>
      </c>
      <c r="B85" s="34" t="s">
        <v>122</v>
      </c>
      <c r="C85" s="28" t="s">
        <v>515</v>
      </c>
      <c r="D85" s="29" t="s">
        <v>520</v>
      </c>
      <c r="E85" s="31">
        <v>0</v>
      </c>
      <c r="F85" s="31">
        <f>_xlfn.XLOOKUP(B85, Rate_Master!$A:$A, Rate_Master!$C:$C, "")</f>
        <v>51749.999999999993</v>
      </c>
      <c r="G85" s="31">
        <f>_xlfn.XLOOKUP(B85, Rate_Master!$A:$A, Rate_Master!$D:$D, "")</f>
        <v>23000</v>
      </c>
      <c r="H85" s="32">
        <v>0</v>
      </c>
      <c r="I85" s="32">
        <f t="shared" si="11"/>
        <v>0</v>
      </c>
      <c r="J85" s="32"/>
    </row>
    <row r="86" spans="1:10" s="4" customFormat="1" ht="25.5" customHeight="1" outlineLevel="1">
      <c r="A86" s="27" t="str">
        <f t="shared" si="10"/>
        <v>18A.F3.4</v>
      </c>
      <c r="B86" s="34" t="s">
        <v>123</v>
      </c>
      <c r="C86" s="28" t="s">
        <v>515</v>
      </c>
      <c r="D86" s="29" t="s">
        <v>520</v>
      </c>
      <c r="E86" s="31">
        <v>0</v>
      </c>
      <c r="F86" s="31">
        <f>_xlfn.XLOOKUP(B86, Rate_Master!$A:$A, Rate_Master!$C:$C, "")</f>
        <v>172500</v>
      </c>
      <c r="G86" s="31">
        <f>_xlfn.XLOOKUP(B86, Rate_Master!$A:$A, Rate_Master!$D:$D, "")</f>
        <v>34500</v>
      </c>
      <c r="H86" s="32">
        <v>0</v>
      </c>
      <c r="I86" s="32">
        <f t="shared" si="11"/>
        <v>0</v>
      </c>
      <c r="J86" s="32"/>
    </row>
    <row r="87" spans="1:10" s="4" customFormat="1" ht="51" customHeight="1" outlineLevel="1">
      <c r="A87" s="27" t="str">
        <f t="shared" si="10"/>
        <v>18A.F3.5</v>
      </c>
      <c r="B87" s="28" t="s">
        <v>124</v>
      </c>
      <c r="C87" s="34" t="s">
        <v>553</v>
      </c>
      <c r="D87" s="29" t="s">
        <v>520</v>
      </c>
      <c r="E87" s="31">
        <v>0</v>
      </c>
      <c r="F87" s="30">
        <f>_xlfn.XLOOKUP(B87, Rate_Master!$A:$A, Rate_Master!$C:$C, "")</f>
        <v>1069500</v>
      </c>
      <c r="G87" s="30">
        <f>_xlfn.XLOOKUP(B87, Rate_Master!$A:$A, Rate_Master!$D:$D, "")</f>
        <v>172500</v>
      </c>
      <c r="H87" s="32">
        <v>0</v>
      </c>
      <c r="I87" s="32">
        <f t="shared" si="11"/>
        <v>0</v>
      </c>
      <c r="J87" s="32"/>
    </row>
    <row r="88" spans="1:10" s="4" customFormat="1" ht="51" customHeight="1" outlineLevel="1">
      <c r="A88" s="27" t="str">
        <f t="shared" si="10"/>
        <v>18A.F3.6</v>
      </c>
      <c r="B88" s="34" t="s">
        <v>125</v>
      </c>
      <c r="C88" s="28" t="s">
        <v>515</v>
      </c>
      <c r="D88" s="29" t="s">
        <v>520</v>
      </c>
      <c r="E88" s="31">
        <v>0</v>
      </c>
      <c r="F88" s="30">
        <f>_xlfn.XLOOKUP(B88, Rate_Master!$A:$A, Rate_Master!$C:$C, "")</f>
        <v>965999.99999999988</v>
      </c>
      <c r="G88" s="30">
        <f>_xlfn.XLOOKUP(B88, Rate_Master!$A:$A, Rate_Master!$D:$D, "")</f>
        <v>138000</v>
      </c>
      <c r="H88" s="32">
        <v>0</v>
      </c>
      <c r="I88" s="32">
        <f t="shared" si="11"/>
        <v>0</v>
      </c>
      <c r="J88" s="32"/>
    </row>
    <row r="89" spans="1:10" s="4" customFormat="1" ht="25.5" customHeight="1" outlineLevel="1">
      <c r="A89" s="27" t="str">
        <f t="shared" si="10"/>
        <v>18A.F3.7</v>
      </c>
      <c r="B89" s="28" t="s">
        <v>126</v>
      </c>
      <c r="C89" s="28" t="s">
        <v>515</v>
      </c>
      <c r="D89" s="29" t="s">
        <v>520</v>
      </c>
      <c r="E89" s="31">
        <v>0</v>
      </c>
      <c r="F89" s="30">
        <f>_xlfn.XLOOKUP(B89, Rate_Master!$A:$A, Rate_Master!$C:$C, "")</f>
        <v>0</v>
      </c>
      <c r="G89" s="30">
        <f>_xlfn.XLOOKUP(B89, Rate_Master!$A:$A, Rate_Master!$D:$D, "")</f>
        <v>0</v>
      </c>
      <c r="H89" s="32">
        <v>0</v>
      </c>
      <c r="I89" s="32">
        <f t="shared" si="11"/>
        <v>0</v>
      </c>
      <c r="J89" s="32"/>
    </row>
    <row r="90" spans="1:10" s="4" customFormat="1" ht="25.5" customHeight="1" outlineLevel="1">
      <c r="A90" s="27" t="str">
        <f t="shared" si="10"/>
        <v>18A.F3.8</v>
      </c>
      <c r="B90" s="34" t="s">
        <v>127</v>
      </c>
      <c r="C90" s="28" t="s">
        <v>515</v>
      </c>
      <c r="D90" s="29" t="s">
        <v>520</v>
      </c>
      <c r="E90" s="31">
        <v>0</v>
      </c>
      <c r="F90" s="30">
        <f>_xlfn.XLOOKUP(B90, Rate_Master!$A:$A, Rate_Master!$C:$C, "")</f>
        <v>0</v>
      </c>
      <c r="G90" s="30">
        <f>_xlfn.XLOOKUP(B90, Rate_Master!$A:$A, Rate_Master!$D:$D, "")</f>
        <v>0</v>
      </c>
      <c r="H90" s="32">
        <v>0</v>
      </c>
      <c r="I90" s="32">
        <f t="shared" si="11"/>
        <v>0</v>
      </c>
      <c r="J90" s="32"/>
    </row>
    <row r="91" spans="1:10" s="3" customFormat="1" ht="25.5" customHeight="1">
      <c r="A91" s="22" t="str">
        <f>$A$52&amp;4</f>
        <v>18A.F4</v>
      </c>
      <c r="B91" s="23" t="s">
        <v>128</v>
      </c>
      <c r="C91" s="23" t="s">
        <v>515</v>
      </c>
      <c r="D91" s="22"/>
      <c r="E91" s="25"/>
      <c r="F91" s="25">
        <f>_xlfn.XLOOKUP(B91, Rate_Master!$A:$A, Rate_Master!$C:$C, "")</f>
        <v>0</v>
      </c>
      <c r="G91" s="25">
        <f>_xlfn.XLOOKUP(B91, Rate_Master!$A:$A, Rate_Master!$D:$D, "")</f>
        <v>0</v>
      </c>
      <c r="H91" s="26">
        <v>0</v>
      </c>
      <c r="I91" s="26">
        <f>SUBTOTAL(9,I92:I96)</f>
        <v>53315149.999999993</v>
      </c>
      <c r="J91" s="26"/>
    </row>
    <row r="92" spans="1:10" s="4" customFormat="1" ht="25.5" customHeight="1" outlineLevel="1">
      <c r="A92" s="27" t="str">
        <f>$A$91&amp;"."&amp;ROW()-ROW($A$91)</f>
        <v>18A.F4.1</v>
      </c>
      <c r="B92" s="28" t="s">
        <v>286</v>
      </c>
      <c r="C92" s="28" t="s">
        <v>515</v>
      </c>
      <c r="D92" s="29" t="s">
        <v>516</v>
      </c>
      <c r="E92" s="31">
        <v>1</v>
      </c>
      <c r="F92" s="31">
        <f>_xlfn.XLOOKUP(B92, Rate_Master!$A:$A, Rate_Master!$C:$C, "")</f>
        <v>5875350</v>
      </c>
      <c r="G92" s="31">
        <f>_xlfn.XLOOKUP(B92, Rate_Master!$A:$A, Rate_Master!$D:$D, "")</f>
        <v>2285050</v>
      </c>
      <c r="H92" s="32">
        <f>+F92+G92</f>
        <v>8160400</v>
      </c>
      <c r="I92" s="32">
        <f>H92*E92</f>
        <v>8160400</v>
      </c>
      <c r="J92" s="32"/>
    </row>
    <row r="93" spans="1:10" s="4" customFormat="1" ht="76.5" customHeight="1" outlineLevel="1">
      <c r="A93" s="27" t="str">
        <f>$A$91&amp;"."&amp;ROW()-ROW($A$91)</f>
        <v>18A.F4.2</v>
      </c>
      <c r="B93" s="28" t="s">
        <v>287</v>
      </c>
      <c r="C93" s="28"/>
      <c r="D93" s="29" t="s">
        <v>516</v>
      </c>
      <c r="E93" s="31">
        <v>1</v>
      </c>
      <c r="F93" s="31">
        <f>_xlfn.XLOOKUP(B93, Rate_Master!$A:$A, Rate_Master!$C:$C, "")</f>
        <v>3311999.9999999995</v>
      </c>
      <c r="G93" s="31">
        <f>_xlfn.XLOOKUP(B93, Rate_Master!$A:$A, Rate_Master!$D:$D, "")</f>
        <v>206999.99999999997</v>
      </c>
      <c r="H93" s="32">
        <f>+F93+G93</f>
        <v>3518999.9999999995</v>
      </c>
      <c r="I93" s="32">
        <f>H93*E93</f>
        <v>3518999.9999999995</v>
      </c>
      <c r="J93" s="32"/>
    </row>
    <row r="94" spans="1:10" s="4" customFormat="1" ht="76.5" customHeight="1" outlineLevel="1">
      <c r="A94" s="27" t="str">
        <f>$A$91&amp;"."&amp;ROW()-ROW($A$91)</f>
        <v>18A.F4.3</v>
      </c>
      <c r="B94" s="28" t="s">
        <v>288</v>
      </c>
      <c r="C94" s="28"/>
      <c r="D94" s="29" t="s">
        <v>516</v>
      </c>
      <c r="E94" s="31">
        <v>4</v>
      </c>
      <c r="F94" s="31">
        <f>_xlfn.XLOOKUP(B94, Rate_Master!$A:$A, Rate_Master!$C:$C, "")</f>
        <v>3974399.9999999995</v>
      </c>
      <c r="G94" s="31">
        <f>_xlfn.XLOOKUP(B94, Rate_Master!$A:$A, Rate_Master!$D:$D, "")</f>
        <v>248399.99999999997</v>
      </c>
      <c r="H94" s="32">
        <f>+F94+G94</f>
        <v>4222799.9999999991</v>
      </c>
      <c r="I94" s="32">
        <f>H94*E94</f>
        <v>16891199.999999996</v>
      </c>
      <c r="J94" s="32"/>
    </row>
    <row r="95" spans="1:10" s="4" customFormat="1" ht="76.5" customHeight="1" outlineLevel="1">
      <c r="A95" s="27" t="str">
        <f>$A$91&amp;"."&amp;ROW()-ROW($A$91)</f>
        <v>18A.F4.4</v>
      </c>
      <c r="B95" s="28" t="s">
        <v>289</v>
      </c>
      <c r="C95" s="28"/>
      <c r="D95" s="29" t="s">
        <v>516</v>
      </c>
      <c r="E95" s="31">
        <v>3</v>
      </c>
      <c r="F95" s="31">
        <f>_xlfn.XLOOKUP(B95, Rate_Master!$A:$A, Rate_Master!$C:$C, "")</f>
        <v>6623999.9999999991</v>
      </c>
      <c r="G95" s="31">
        <f>_xlfn.XLOOKUP(B95, Rate_Master!$A:$A, Rate_Master!$D:$D, "")</f>
        <v>413999.99999999994</v>
      </c>
      <c r="H95" s="32">
        <f>+F95+G95</f>
        <v>7037999.9999999991</v>
      </c>
      <c r="I95" s="32">
        <f>H95*E95</f>
        <v>21113999.999999996</v>
      </c>
      <c r="J95" s="32"/>
    </row>
    <row r="96" spans="1:10" s="4" customFormat="1" ht="38.25" customHeight="1" outlineLevel="1">
      <c r="A96" s="27" t="str">
        <f>$A$91&amp;"."&amp;ROW()-ROW($A$91)</f>
        <v>18A.F4.5</v>
      </c>
      <c r="B96" s="28" t="s">
        <v>290</v>
      </c>
      <c r="C96" s="28" t="s">
        <v>515</v>
      </c>
      <c r="D96" s="29" t="s">
        <v>516</v>
      </c>
      <c r="E96" s="31">
        <v>1</v>
      </c>
      <c r="F96" s="31">
        <f>_xlfn.XLOOKUP(B96, Rate_Master!$A:$A, Rate_Master!$C:$C, "")</f>
        <v>2613950</v>
      </c>
      <c r="G96" s="31">
        <f>_xlfn.XLOOKUP(B96, Rate_Master!$A:$A, Rate_Master!$D:$D, "")</f>
        <v>1016599.9999999999</v>
      </c>
      <c r="H96" s="32">
        <f>+F96+G96</f>
        <v>3630550</v>
      </c>
      <c r="I96" s="32">
        <f>H96*E96</f>
        <v>3630550</v>
      </c>
      <c r="J96" s="71" t="s">
        <v>559</v>
      </c>
    </row>
    <row r="97" spans="1:10" s="3" customFormat="1" ht="25.5" customHeight="1">
      <c r="A97" s="22" t="str">
        <f>$A$52&amp;5</f>
        <v>18A.F5</v>
      </c>
      <c r="B97" s="23" t="s">
        <v>143</v>
      </c>
      <c r="C97" s="23" t="s">
        <v>515</v>
      </c>
      <c r="D97" s="22"/>
      <c r="E97" s="25"/>
      <c r="F97" s="25">
        <f>_xlfn.XLOOKUP(B97, Rate_Master!$A:$A, Rate_Master!$C:$C, "")</f>
        <v>0</v>
      </c>
      <c r="G97" s="25">
        <f>_xlfn.XLOOKUP(B97, Rate_Master!$A:$A, Rate_Master!$D:$D, "")</f>
        <v>0</v>
      </c>
      <c r="H97" s="26">
        <v>0</v>
      </c>
      <c r="I97" s="26">
        <f>SUBTOTAL(9,I98:I100)</f>
        <v>0</v>
      </c>
      <c r="J97" s="26"/>
    </row>
    <row r="98" spans="1:10" s="4" customFormat="1" ht="51" customHeight="1" outlineLevel="1">
      <c r="A98" s="37" t="str">
        <f>$A$97&amp;"."&amp;ROW()-ROW($A$97)</f>
        <v>18A.F5.1</v>
      </c>
      <c r="B98" s="43" t="s">
        <v>144</v>
      </c>
      <c r="C98" s="38" t="s">
        <v>515</v>
      </c>
      <c r="D98" s="39" t="s">
        <v>517</v>
      </c>
      <c r="E98" s="40">
        <v>0</v>
      </c>
      <c r="F98" s="40">
        <f>_xlfn.XLOOKUP(B98, Rate_Master!$A:$A, Rate_Master!$C:$C, "")</f>
        <v>161000</v>
      </c>
      <c r="G98" s="40">
        <f>_xlfn.XLOOKUP(B98, Rate_Master!$A:$A, Rate_Master!$D:$D, "")</f>
        <v>34500</v>
      </c>
      <c r="H98" s="41">
        <v>0</v>
      </c>
      <c r="I98" s="41">
        <f>H98*E98</f>
        <v>0</v>
      </c>
      <c r="J98" s="41"/>
    </row>
    <row r="99" spans="1:10" s="4" customFormat="1" ht="38.25" customHeight="1" outlineLevel="1">
      <c r="A99" s="37" t="str">
        <f>$A$97&amp;"."&amp;ROW()-ROW($A$97)</f>
        <v>18A.F5.2</v>
      </c>
      <c r="B99" s="43" t="s">
        <v>145</v>
      </c>
      <c r="C99" s="38" t="s">
        <v>515</v>
      </c>
      <c r="D99" s="39" t="s">
        <v>517</v>
      </c>
      <c r="E99" s="40">
        <v>0</v>
      </c>
      <c r="F99" s="40">
        <f>_xlfn.XLOOKUP(B99, Rate_Master!$A:$A, Rate_Master!$C:$C, "")</f>
        <v>517499.99999999994</v>
      </c>
      <c r="G99" s="40">
        <f>_xlfn.XLOOKUP(B99, Rate_Master!$A:$A, Rate_Master!$D:$D, "")</f>
        <v>57499.999999999993</v>
      </c>
      <c r="H99" s="41">
        <v>0</v>
      </c>
      <c r="I99" s="41">
        <f>H99*E99</f>
        <v>0</v>
      </c>
      <c r="J99" s="41"/>
    </row>
    <row r="100" spans="1:10" s="4" customFormat="1" ht="38.25" customHeight="1" outlineLevel="1">
      <c r="A100" s="37" t="str">
        <f>$A$97&amp;"."&amp;ROW()-ROW($A$97)</f>
        <v>18A.F5.3</v>
      </c>
      <c r="B100" s="43" t="s">
        <v>146</v>
      </c>
      <c r="C100" s="38" t="s">
        <v>515</v>
      </c>
      <c r="D100" s="39" t="s">
        <v>517</v>
      </c>
      <c r="E100" s="40">
        <v>0</v>
      </c>
      <c r="F100" s="40">
        <f>_xlfn.XLOOKUP(B100, Rate_Master!$A:$A, Rate_Master!$C:$C, "")</f>
        <v>632500</v>
      </c>
      <c r="G100" s="40">
        <f>_xlfn.XLOOKUP(B100, Rate_Master!$A:$A, Rate_Master!$D:$D, "")</f>
        <v>57499.999999999993</v>
      </c>
      <c r="H100" s="41">
        <v>0</v>
      </c>
      <c r="I100" s="41">
        <f>H100*E100</f>
        <v>0</v>
      </c>
      <c r="J100" s="41"/>
    </row>
    <row r="101" spans="1:10" s="3" customFormat="1" ht="25.5" customHeight="1">
      <c r="A101" s="22" t="str">
        <f>$A$52&amp;6</f>
        <v>18A.F6</v>
      </c>
      <c r="B101" s="23" t="s">
        <v>147</v>
      </c>
      <c r="C101" s="23" t="s">
        <v>515</v>
      </c>
      <c r="D101" s="22"/>
      <c r="E101" s="25"/>
      <c r="F101" s="25">
        <f>_xlfn.XLOOKUP(B101, Rate_Master!$A:$A, Rate_Master!$C:$C, "")</f>
        <v>0</v>
      </c>
      <c r="G101" s="25">
        <f>_xlfn.XLOOKUP(B101, Rate_Master!$A:$A, Rate_Master!$D:$D, "")</f>
        <v>0</v>
      </c>
      <c r="H101" s="26">
        <v>0</v>
      </c>
      <c r="I101" s="26">
        <f>SUBTOTAL(9,I102:I106)</f>
        <v>91334766.399999991</v>
      </c>
      <c r="J101" s="26"/>
    </row>
    <row r="102" spans="1:10" s="4" customFormat="1" ht="51" customHeight="1" outlineLevel="1">
      <c r="A102" s="27" t="str">
        <f>$A$101&amp;"."&amp;ROW()-ROW($A$101)</f>
        <v>18A.F6.1</v>
      </c>
      <c r="B102" s="34" t="s">
        <v>148</v>
      </c>
      <c r="C102" s="34" t="s">
        <v>515</v>
      </c>
      <c r="D102" s="29" t="s">
        <v>520</v>
      </c>
      <c r="E102" s="31">
        <v>0</v>
      </c>
      <c r="F102" s="31">
        <f>_xlfn.XLOOKUP(B102, Rate_Master!$A:$A, Rate_Master!$C:$C, "")</f>
        <v>155000</v>
      </c>
      <c r="G102" s="31">
        <f>_xlfn.XLOOKUP(B102, Rate_Master!$A:$A, Rate_Master!$D:$D, "")</f>
        <v>45000</v>
      </c>
      <c r="H102" s="32">
        <v>0</v>
      </c>
      <c r="I102" s="32">
        <f>H102*E102</f>
        <v>0</v>
      </c>
      <c r="J102" s="32"/>
    </row>
    <row r="103" spans="1:10" s="4" customFormat="1" ht="25.5" customHeight="1" outlineLevel="1">
      <c r="A103" s="27" t="str">
        <f>$A$101&amp;"."&amp;ROW()-ROW($A$101)</f>
        <v>18A.F6.2</v>
      </c>
      <c r="B103" s="34" t="s">
        <v>149</v>
      </c>
      <c r="C103" s="34" t="s">
        <v>515</v>
      </c>
      <c r="D103" s="29" t="s">
        <v>520</v>
      </c>
      <c r="E103" s="31">
        <v>97.406400000000005</v>
      </c>
      <c r="F103" s="31">
        <f>_xlfn.XLOOKUP(B103, Rate_Master!$A:$A, Rate_Master!$C:$C, "")</f>
        <v>310500</v>
      </c>
      <c r="G103" s="31">
        <f>_xlfn.XLOOKUP(B103, Rate_Master!$A:$A, Rate_Master!$D:$D, "")</f>
        <v>34500</v>
      </c>
      <c r="H103" s="32">
        <f>+G103+F103</f>
        <v>345000</v>
      </c>
      <c r="I103" s="32">
        <f>H103*E103</f>
        <v>33605208</v>
      </c>
      <c r="J103" s="32"/>
    </row>
    <row r="104" spans="1:10" s="4" customFormat="1" ht="51" customHeight="1" outlineLevel="1">
      <c r="A104" s="27" t="str">
        <f>$A$101&amp;"."&amp;ROW()-ROW($A$101)</f>
        <v>18A.F6.3</v>
      </c>
      <c r="B104" s="34" t="s">
        <v>150</v>
      </c>
      <c r="C104" s="34" t="s">
        <v>515</v>
      </c>
      <c r="D104" s="29" t="s">
        <v>520</v>
      </c>
      <c r="E104" s="31">
        <v>97.406400000000005</v>
      </c>
      <c r="F104" s="31">
        <f>_xlfn.XLOOKUP(B104, Rate_Master!$A:$A, Rate_Master!$C:$C, "")</f>
        <v>287500</v>
      </c>
      <c r="G104" s="31">
        <f>_xlfn.XLOOKUP(B104, Rate_Master!$A:$A, Rate_Master!$D:$D, "")</f>
        <v>69000</v>
      </c>
      <c r="H104" s="32">
        <f>+G104+F104</f>
        <v>356500</v>
      </c>
      <c r="I104" s="32">
        <f>H104*E104</f>
        <v>34725381.600000001</v>
      </c>
      <c r="J104" s="32"/>
    </row>
    <row r="105" spans="1:10" s="4" customFormat="1" ht="51" customHeight="1" outlineLevel="1">
      <c r="A105" s="27" t="str">
        <f>$A$101&amp;"."&amp;ROW()-ROW($A$101)</f>
        <v>18A.F6.4</v>
      </c>
      <c r="B105" s="34" t="s">
        <v>151</v>
      </c>
      <c r="C105" s="34" t="s">
        <v>515</v>
      </c>
      <c r="D105" s="29" t="s">
        <v>520</v>
      </c>
      <c r="E105" s="31">
        <v>97.406400000000005</v>
      </c>
      <c r="F105" s="31">
        <f>_xlfn.XLOOKUP(B105, Rate_Master!$A:$A, Rate_Master!$C:$C, "")</f>
        <v>23000</v>
      </c>
      <c r="G105" s="31">
        <f>_xlfn.XLOOKUP(B105, Rate_Master!$A:$A, Rate_Master!$D:$D, "")</f>
        <v>126499.99999999999</v>
      </c>
      <c r="H105" s="32">
        <f>+G105+F105</f>
        <v>149500</v>
      </c>
      <c r="I105" s="32">
        <f>H105*E105</f>
        <v>14562256.800000001</v>
      </c>
      <c r="J105" s="32"/>
    </row>
    <row r="106" spans="1:10" s="4" customFormat="1" ht="63.75" customHeight="1" outlineLevel="1">
      <c r="A106" s="27" t="str">
        <f>$A$101&amp;"."&amp;ROW()-ROW($A$101)</f>
        <v>18A.F6.5</v>
      </c>
      <c r="B106" s="34" t="s">
        <v>152</v>
      </c>
      <c r="C106" s="34" t="s">
        <v>560</v>
      </c>
      <c r="D106" s="29" t="s">
        <v>517</v>
      </c>
      <c r="E106" s="31">
        <v>39.68</v>
      </c>
      <c r="F106" s="31">
        <f>_xlfn.XLOOKUP(B106, Rate_Master!$A:$A, Rate_Master!$C:$C, "")</f>
        <v>155250</v>
      </c>
      <c r="G106" s="31">
        <f>_xlfn.XLOOKUP(B106, Rate_Master!$A:$A, Rate_Master!$D:$D, "")</f>
        <v>57499.999999999993</v>
      </c>
      <c r="H106" s="32">
        <f>+G106+F106</f>
        <v>212750</v>
      </c>
      <c r="I106" s="32">
        <f>H106*E106</f>
        <v>8441920</v>
      </c>
      <c r="J106" s="32"/>
    </row>
    <row r="107" spans="1:10" s="3" customFormat="1" ht="25.5" customHeight="1">
      <c r="A107" s="22" t="str">
        <f>$A$52&amp;7</f>
        <v>18A.F7</v>
      </c>
      <c r="B107" s="23" t="s">
        <v>84</v>
      </c>
      <c r="C107" s="23" t="s">
        <v>515</v>
      </c>
      <c r="D107" s="22"/>
      <c r="E107" s="25"/>
      <c r="F107" s="25">
        <f>_xlfn.XLOOKUP(B107, Rate_Master!$A:$A, Rate_Master!$C:$C, "")</f>
        <v>0</v>
      </c>
      <c r="G107" s="25">
        <f>_xlfn.XLOOKUP(B107, Rate_Master!$A:$A, Rate_Master!$D:$D, "")</f>
        <v>0</v>
      </c>
      <c r="H107" s="26">
        <v>0</v>
      </c>
      <c r="I107" s="26">
        <f>SUBTOTAL(9,I108:I110)</f>
        <v>213599850</v>
      </c>
      <c r="J107" s="26"/>
    </row>
    <row r="108" spans="1:10" s="4" customFormat="1" ht="51" customHeight="1" outlineLevel="1">
      <c r="A108" s="27" t="str">
        <f>$A$107&amp;"."&amp;ROW()-ROW($A$107)</f>
        <v>18A.F7.1</v>
      </c>
      <c r="B108" s="48" t="s">
        <v>291</v>
      </c>
      <c r="C108" s="34"/>
      <c r="D108" s="29" t="s">
        <v>516</v>
      </c>
      <c r="E108" s="31">
        <v>1</v>
      </c>
      <c r="F108" s="31">
        <f>_xlfn.XLOOKUP(B108, Rate_Master!$A:$A, Rate_Master!$C:$C, "")</f>
        <v>28799449.999999996</v>
      </c>
      <c r="G108" s="31">
        <f>_xlfn.XLOOKUP(B108, Rate_Master!$A:$A, Rate_Master!$D:$D, "")</f>
        <v>11199850</v>
      </c>
      <c r="H108" s="32">
        <f>+G108+F108</f>
        <v>39999300</v>
      </c>
      <c r="I108" s="32">
        <f>H108*E108</f>
        <v>39999300</v>
      </c>
      <c r="J108" s="32"/>
    </row>
    <row r="109" spans="1:10" s="4" customFormat="1" ht="25.5" customHeight="1" outlineLevel="1">
      <c r="A109" s="27" t="str">
        <f>$A$107&amp;"."&amp;ROW()-ROW($A$107)</f>
        <v>18A.F7.2</v>
      </c>
      <c r="B109" s="48" t="s">
        <v>292</v>
      </c>
      <c r="C109" s="34" t="s">
        <v>581</v>
      </c>
      <c r="D109" s="29" t="s">
        <v>516</v>
      </c>
      <c r="E109" s="31">
        <v>1</v>
      </c>
      <c r="F109" s="31">
        <f>_xlfn.XLOOKUP(B109, Rate_Master!$A:$A, Rate_Master!$C:$C, "")</f>
        <v>99792399.999999985</v>
      </c>
      <c r="G109" s="31">
        <f>_xlfn.XLOOKUP(B109, Rate_Master!$A:$A, Rate_Master!$D:$D, "")</f>
        <v>38807900</v>
      </c>
      <c r="H109" s="32">
        <f>+G109+F109</f>
        <v>138600300</v>
      </c>
      <c r="I109" s="32">
        <f>H109*E109</f>
        <v>138600300</v>
      </c>
      <c r="J109" s="32"/>
    </row>
    <row r="110" spans="1:10" s="4" customFormat="1" ht="25.5" customHeight="1" outlineLevel="1">
      <c r="A110" s="27" t="str">
        <f>$A$107&amp;"."&amp;ROW()-ROW($A$107)</f>
        <v>18A.F7.3</v>
      </c>
      <c r="B110" s="48" t="s">
        <v>293</v>
      </c>
      <c r="C110" s="34" t="s">
        <v>515</v>
      </c>
      <c r="D110" s="29" t="s">
        <v>516</v>
      </c>
      <c r="E110" s="31">
        <v>1</v>
      </c>
      <c r="F110" s="31">
        <f>_xlfn.XLOOKUP(B110, Rate_Master!$A:$A, Rate_Master!$C:$C, "")</f>
        <v>25199949.999999996</v>
      </c>
      <c r="G110" s="31">
        <f>_xlfn.XLOOKUP(B110, Rate_Master!$A:$A, Rate_Master!$D:$D, "")</f>
        <v>9800300</v>
      </c>
      <c r="H110" s="32">
        <f>+G110+F110</f>
        <v>35000250</v>
      </c>
      <c r="I110" s="32">
        <f>H110*E110</f>
        <v>35000250</v>
      </c>
      <c r="J110" s="32"/>
    </row>
    <row r="169" spans="3:3" ht="25.5" customHeight="1">
      <c r="C169" s="5" t="s">
        <v>565</v>
      </c>
    </row>
  </sheetData>
  <mergeCells count="5">
    <mergeCell ref="C4:J4"/>
    <mergeCell ref="C3:J3"/>
    <mergeCell ref="C7:J7"/>
    <mergeCell ref="C6:J6"/>
    <mergeCell ref="C5:J5"/>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pageSetUpPr fitToPage="1"/>
  </sheetPr>
  <dimension ref="A1:J169"/>
  <sheetViews>
    <sheetView topLeftCell="A8" workbookViewId="0">
      <pane ySplit="1" topLeftCell="A9" activePane="bottomLeft" state="frozen"/>
      <selection activeCell="A8" sqref="A8"/>
      <selection pane="bottomLeft" activeCell="I10" sqref="I10"/>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7" width="14" style="8" customWidth="1" outlineLevel="1"/>
    <col min="8" max="10" width="14" style="9" customWidth="1"/>
    <col min="11" max="229" width="9.125" style="6" customWidth="1"/>
    <col min="230" max="230" width="6.375" style="6" customWidth="1"/>
    <col min="231" max="231" width="34.25" style="6" customWidth="1"/>
    <col min="232" max="232" width="7.375" style="6" customWidth="1"/>
    <col min="233" max="233" width="6.375" style="6" customWidth="1"/>
    <col min="234" max="234" width="13.125" style="6" customWidth="1"/>
    <col min="235" max="235" width="15.375" style="6" customWidth="1"/>
    <col min="236" max="236" width="21.25" style="6" customWidth="1"/>
    <col min="237" max="485" width="9.125" style="6" customWidth="1"/>
    <col min="486" max="486" width="6.375" style="6" customWidth="1"/>
    <col min="487" max="487" width="34.25" style="6" customWidth="1"/>
    <col min="488" max="488" width="7.375" style="6" customWidth="1"/>
    <col min="489" max="489" width="6.375" style="6" customWidth="1"/>
    <col min="490" max="490" width="13.125" style="6" customWidth="1"/>
    <col min="491" max="491" width="15.375" style="6" customWidth="1"/>
    <col min="492" max="492" width="21.25" style="6" customWidth="1"/>
    <col min="493" max="741" width="9.125" style="6" customWidth="1"/>
    <col min="742" max="742" width="6.375" style="6" customWidth="1"/>
    <col min="743" max="743" width="34.25" style="6" customWidth="1"/>
    <col min="744" max="744" width="7.375" style="6" customWidth="1"/>
    <col min="745" max="745" width="6.375" style="6" customWidth="1"/>
    <col min="746" max="746" width="13.125" style="6" customWidth="1"/>
    <col min="747" max="747" width="15.375" style="6" customWidth="1"/>
    <col min="748" max="748" width="21.25" style="6" customWidth="1"/>
    <col min="749" max="997" width="9.125" style="6" customWidth="1"/>
    <col min="998" max="998" width="6.375" style="6" customWidth="1"/>
    <col min="999" max="999" width="34.25" style="6" customWidth="1"/>
    <col min="1000" max="1000" width="7.375" style="6" customWidth="1"/>
    <col min="1001" max="1001" width="6.375" style="6" customWidth="1"/>
    <col min="1002" max="1002" width="13.125" style="6" customWidth="1"/>
    <col min="1003" max="1003" width="15.375" style="6" customWidth="1"/>
    <col min="1004" max="1004" width="21.25" style="6" customWidth="1"/>
    <col min="1005" max="1253" width="9.125" style="6" customWidth="1"/>
    <col min="1254" max="1254" width="6.375" style="6" customWidth="1"/>
    <col min="1255" max="1255" width="34.25" style="6" customWidth="1"/>
    <col min="1256" max="1256" width="7.375" style="6" customWidth="1"/>
    <col min="1257" max="1257" width="6.375" style="6" customWidth="1"/>
    <col min="1258" max="1258" width="13.125" style="6" customWidth="1"/>
    <col min="1259" max="1259" width="15.375" style="6" customWidth="1"/>
    <col min="1260" max="1260" width="21.25" style="6" customWidth="1"/>
    <col min="1261" max="1509" width="9.125" style="6" customWidth="1"/>
    <col min="1510" max="1510" width="6.375" style="6" customWidth="1"/>
    <col min="1511" max="1511" width="34.25" style="6" customWidth="1"/>
    <col min="1512" max="1512" width="7.375" style="6" customWidth="1"/>
    <col min="1513" max="1513" width="6.375" style="6" customWidth="1"/>
    <col min="1514" max="1514" width="13.125" style="6" customWidth="1"/>
    <col min="1515" max="1515" width="15.375" style="6" customWidth="1"/>
    <col min="1516" max="1516" width="21.25" style="6" customWidth="1"/>
    <col min="1517" max="1765" width="9.125" style="6" customWidth="1"/>
    <col min="1766" max="1766" width="6.375" style="6" customWidth="1"/>
    <col min="1767" max="1767" width="34.25" style="6" customWidth="1"/>
    <col min="1768" max="1768" width="7.375" style="6" customWidth="1"/>
    <col min="1769" max="1769" width="6.375" style="6" customWidth="1"/>
    <col min="1770" max="1770" width="13.125" style="6" customWidth="1"/>
    <col min="1771" max="1771" width="15.375" style="6" customWidth="1"/>
    <col min="1772" max="1772" width="21.25" style="6" customWidth="1"/>
    <col min="1773" max="2021" width="9.125" style="6" customWidth="1"/>
    <col min="2022" max="2022" width="6.375" style="6" customWidth="1"/>
    <col min="2023" max="2023" width="34.25" style="6" customWidth="1"/>
    <col min="2024" max="2024" width="7.375" style="6" customWidth="1"/>
    <col min="2025" max="2025" width="6.375" style="6" customWidth="1"/>
    <col min="2026" max="2026" width="13.125" style="6" customWidth="1"/>
    <col min="2027" max="2027" width="15.375" style="6" customWidth="1"/>
    <col min="2028" max="2028" width="21.25" style="6" customWidth="1"/>
    <col min="2029" max="2277" width="9.125" style="6" customWidth="1"/>
    <col min="2278" max="2278" width="6.375" style="6" customWidth="1"/>
    <col min="2279" max="2279" width="34.25" style="6" customWidth="1"/>
    <col min="2280" max="2280" width="7.375" style="6" customWidth="1"/>
    <col min="2281" max="2281" width="6.375" style="6" customWidth="1"/>
    <col min="2282" max="2282" width="13.125" style="6" customWidth="1"/>
    <col min="2283" max="2283" width="15.375" style="6" customWidth="1"/>
    <col min="2284" max="2284" width="21.25" style="6" customWidth="1"/>
    <col min="2285" max="2533" width="9.125" style="6" customWidth="1"/>
    <col min="2534" max="2534" width="6.375" style="6" customWidth="1"/>
    <col min="2535" max="2535" width="34.25" style="6" customWidth="1"/>
    <col min="2536" max="2536" width="7.375" style="6" customWidth="1"/>
    <col min="2537" max="2537" width="6.375" style="6" customWidth="1"/>
    <col min="2538" max="2538" width="13.125" style="6" customWidth="1"/>
    <col min="2539" max="2539" width="15.375" style="6" customWidth="1"/>
    <col min="2540" max="2540" width="21.25" style="6" customWidth="1"/>
    <col min="2541" max="2789" width="9.125" style="6" customWidth="1"/>
    <col min="2790" max="2790" width="6.375" style="6" customWidth="1"/>
    <col min="2791" max="2791" width="34.25" style="6" customWidth="1"/>
    <col min="2792" max="2792" width="7.375" style="6" customWidth="1"/>
    <col min="2793" max="2793" width="6.375" style="6" customWidth="1"/>
    <col min="2794" max="2794" width="13.125" style="6" customWidth="1"/>
    <col min="2795" max="2795" width="15.375" style="6" customWidth="1"/>
    <col min="2796" max="2796" width="21.25" style="6" customWidth="1"/>
    <col min="2797" max="3045" width="9.125" style="6" customWidth="1"/>
    <col min="3046" max="3046" width="6.375" style="6" customWidth="1"/>
    <col min="3047" max="3047" width="34.25" style="6" customWidth="1"/>
    <col min="3048" max="3048" width="7.375" style="6" customWidth="1"/>
    <col min="3049" max="3049" width="6.375" style="6" customWidth="1"/>
    <col min="3050" max="3050" width="13.125" style="6" customWidth="1"/>
    <col min="3051" max="3051" width="15.375" style="6" customWidth="1"/>
    <col min="3052" max="3052" width="21.25" style="6" customWidth="1"/>
    <col min="3053" max="3301" width="9.125" style="6" customWidth="1"/>
    <col min="3302" max="3302" width="6.375" style="6" customWidth="1"/>
    <col min="3303" max="3303" width="34.25" style="6" customWidth="1"/>
    <col min="3304" max="3304" width="7.375" style="6" customWidth="1"/>
    <col min="3305" max="3305" width="6.375" style="6" customWidth="1"/>
    <col min="3306" max="3306" width="13.125" style="6" customWidth="1"/>
    <col min="3307" max="3307" width="15.375" style="6" customWidth="1"/>
    <col min="3308" max="3308" width="21.25" style="6" customWidth="1"/>
    <col min="3309" max="3557" width="9.125" style="6" customWidth="1"/>
    <col min="3558" max="3558" width="6.375" style="6" customWidth="1"/>
    <col min="3559" max="3559" width="34.25" style="6" customWidth="1"/>
    <col min="3560" max="3560" width="7.375" style="6" customWidth="1"/>
    <col min="3561" max="3561" width="6.375" style="6" customWidth="1"/>
    <col min="3562" max="3562" width="13.125" style="6" customWidth="1"/>
    <col min="3563" max="3563" width="15.375" style="6" customWidth="1"/>
    <col min="3564" max="3564" width="21.25" style="6" customWidth="1"/>
    <col min="3565" max="3813" width="9.125" style="6" customWidth="1"/>
    <col min="3814" max="3814" width="6.375" style="6" customWidth="1"/>
    <col min="3815" max="3815" width="34.25" style="6" customWidth="1"/>
    <col min="3816" max="3816" width="7.375" style="6" customWidth="1"/>
    <col min="3817" max="3817" width="6.375" style="6" customWidth="1"/>
    <col min="3818" max="3818" width="13.125" style="6" customWidth="1"/>
    <col min="3819" max="3819" width="15.375" style="6" customWidth="1"/>
    <col min="3820" max="3820" width="21.25" style="6" customWidth="1"/>
    <col min="3821" max="4069" width="9.125" style="6" customWidth="1"/>
    <col min="4070" max="4070" width="6.375" style="6" customWidth="1"/>
    <col min="4071" max="4071" width="34.25" style="6" customWidth="1"/>
    <col min="4072" max="4072" width="7.375" style="6" customWidth="1"/>
    <col min="4073" max="4073" width="6.375" style="6" customWidth="1"/>
    <col min="4074" max="4074" width="13.125" style="6" customWidth="1"/>
    <col min="4075" max="4075" width="15.375" style="6" customWidth="1"/>
    <col min="4076" max="4076" width="21.25" style="6" customWidth="1"/>
    <col min="4077" max="4325" width="9.125" style="6" customWidth="1"/>
    <col min="4326" max="4326" width="6.375" style="6" customWidth="1"/>
    <col min="4327" max="4327" width="34.25" style="6" customWidth="1"/>
    <col min="4328" max="4328" width="7.375" style="6" customWidth="1"/>
    <col min="4329" max="4329" width="6.375" style="6" customWidth="1"/>
    <col min="4330" max="4330" width="13.125" style="6" customWidth="1"/>
    <col min="4331" max="4331" width="15.375" style="6" customWidth="1"/>
    <col min="4332" max="4332" width="21.25" style="6" customWidth="1"/>
    <col min="4333" max="4581" width="9.125" style="6" customWidth="1"/>
    <col min="4582" max="4582" width="6.375" style="6" customWidth="1"/>
    <col min="4583" max="4583" width="34.25" style="6" customWidth="1"/>
    <col min="4584" max="4584" width="7.375" style="6" customWidth="1"/>
    <col min="4585" max="4585" width="6.375" style="6" customWidth="1"/>
    <col min="4586" max="4586" width="13.125" style="6" customWidth="1"/>
    <col min="4587" max="4587" width="15.375" style="6" customWidth="1"/>
    <col min="4588" max="4588" width="21.25" style="6" customWidth="1"/>
    <col min="4589" max="4837" width="9.125" style="6" customWidth="1"/>
    <col min="4838" max="4838" width="6.375" style="6" customWidth="1"/>
    <col min="4839" max="4839" width="34.25" style="6" customWidth="1"/>
    <col min="4840" max="4840" width="7.375" style="6" customWidth="1"/>
    <col min="4841" max="4841" width="6.375" style="6" customWidth="1"/>
    <col min="4842" max="4842" width="13.125" style="6" customWidth="1"/>
    <col min="4843" max="4843" width="15.375" style="6" customWidth="1"/>
    <col min="4844" max="4844" width="21.25" style="6" customWidth="1"/>
    <col min="4845" max="5093" width="9.125" style="6" customWidth="1"/>
    <col min="5094" max="5094" width="6.375" style="6" customWidth="1"/>
    <col min="5095" max="5095" width="34.25" style="6" customWidth="1"/>
    <col min="5096" max="5096" width="7.375" style="6" customWidth="1"/>
    <col min="5097" max="5097" width="6.375" style="6" customWidth="1"/>
    <col min="5098" max="5098" width="13.125" style="6" customWidth="1"/>
    <col min="5099" max="5099" width="15.375" style="6" customWidth="1"/>
    <col min="5100" max="5100" width="21.25" style="6" customWidth="1"/>
    <col min="5101" max="5349" width="9.125" style="6" customWidth="1"/>
    <col min="5350" max="5350" width="6.375" style="6" customWidth="1"/>
    <col min="5351" max="5351" width="34.25" style="6" customWidth="1"/>
    <col min="5352" max="5352" width="7.375" style="6" customWidth="1"/>
    <col min="5353" max="5353" width="6.375" style="6" customWidth="1"/>
    <col min="5354" max="5354" width="13.125" style="6" customWidth="1"/>
    <col min="5355" max="5355" width="15.375" style="6" customWidth="1"/>
    <col min="5356" max="5356" width="21.25" style="6" customWidth="1"/>
    <col min="5357" max="5605" width="9.125" style="6" customWidth="1"/>
    <col min="5606" max="5606" width="6.375" style="6" customWidth="1"/>
    <col min="5607" max="5607" width="34.25" style="6" customWidth="1"/>
    <col min="5608" max="5608" width="7.375" style="6" customWidth="1"/>
    <col min="5609" max="5609" width="6.375" style="6" customWidth="1"/>
    <col min="5610" max="5610" width="13.125" style="6" customWidth="1"/>
    <col min="5611" max="5611" width="15.375" style="6" customWidth="1"/>
    <col min="5612" max="5612" width="21.25" style="6" customWidth="1"/>
    <col min="5613" max="5861" width="9.125" style="6" customWidth="1"/>
    <col min="5862" max="5862" width="6.375" style="6" customWidth="1"/>
    <col min="5863" max="5863" width="34.25" style="6" customWidth="1"/>
    <col min="5864" max="5864" width="7.375" style="6" customWidth="1"/>
    <col min="5865" max="5865" width="6.375" style="6" customWidth="1"/>
    <col min="5866" max="5866" width="13.125" style="6" customWidth="1"/>
    <col min="5867" max="5867" width="15.375" style="6" customWidth="1"/>
    <col min="5868" max="5868" width="21.25" style="6" customWidth="1"/>
    <col min="5869" max="6117" width="9.125" style="6" customWidth="1"/>
    <col min="6118" max="6118" width="6.375" style="6" customWidth="1"/>
    <col min="6119" max="6119" width="34.25" style="6" customWidth="1"/>
    <col min="6120" max="6120" width="7.375" style="6" customWidth="1"/>
    <col min="6121" max="6121" width="6.375" style="6" customWidth="1"/>
    <col min="6122" max="6122" width="13.125" style="6" customWidth="1"/>
    <col min="6123" max="6123" width="15.375" style="6" customWidth="1"/>
    <col min="6124" max="6124" width="21.25" style="6" customWidth="1"/>
    <col min="6125" max="6373" width="9.125" style="6" customWidth="1"/>
    <col min="6374" max="6374" width="6.375" style="6" customWidth="1"/>
    <col min="6375" max="6375" width="34.25" style="6" customWidth="1"/>
    <col min="6376" max="6376" width="7.375" style="6" customWidth="1"/>
    <col min="6377" max="6377" width="6.375" style="6" customWidth="1"/>
    <col min="6378" max="6378" width="13.125" style="6" customWidth="1"/>
    <col min="6379" max="6379" width="15.375" style="6" customWidth="1"/>
    <col min="6380" max="6380" width="21.25" style="6" customWidth="1"/>
    <col min="6381" max="6629" width="9.125" style="6" customWidth="1"/>
    <col min="6630" max="6630" width="6.375" style="6" customWidth="1"/>
    <col min="6631" max="6631" width="34.25" style="6" customWidth="1"/>
    <col min="6632" max="6632" width="7.375" style="6" customWidth="1"/>
    <col min="6633" max="6633" width="6.375" style="6" customWidth="1"/>
    <col min="6634" max="6634" width="13.125" style="6" customWidth="1"/>
    <col min="6635" max="6635" width="15.375" style="6" customWidth="1"/>
    <col min="6636" max="6636" width="21.25" style="6" customWidth="1"/>
    <col min="6637" max="6885" width="9.125" style="6" customWidth="1"/>
    <col min="6886" max="6886" width="6.375" style="6" customWidth="1"/>
    <col min="6887" max="6887" width="34.25" style="6" customWidth="1"/>
    <col min="6888" max="6888" width="7.375" style="6" customWidth="1"/>
    <col min="6889" max="6889" width="6.375" style="6" customWidth="1"/>
    <col min="6890" max="6890" width="13.125" style="6" customWidth="1"/>
    <col min="6891" max="6891" width="15.375" style="6" customWidth="1"/>
    <col min="6892" max="6892" width="21.25" style="6" customWidth="1"/>
    <col min="6893" max="7141" width="9.125" style="6" customWidth="1"/>
    <col min="7142" max="7142" width="6.375" style="6" customWidth="1"/>
    <col min="7143" max="7143" width="34.25" style="6" customWidth="1"/>
    <col min="7144" max="7144" width="7.375" style="6" customWidth="1"/>
    <col min="7145" max="7145" width="6.375" style="6" customWidth="1"/>
    <col min="7146" max="7146" width="13.125" style="6" customWidth="1"/>
    <col min="7147" max="7147" width="15.375" style="6" customWidth="1"/>
    <col min="7148" max="7148" width="21.25" style="6" customWidth="1"/>
    <col min="7149" max="7397" width="9.125" style="6" customWidth="1"/>
    <col min="7398" max="7398" width="6.375" style="6" customWidth="1"/>
    <col min="7399" max="7399" width="34.25" style="6" customWidth="1"/>
    <col min="7400" max="7400" width="7.375" style="6" customWidth="1"/>
    <col min="7401" max="7401" width="6.375" style="6" customWidth="1"/>
    <col min="7402" max="7402" width="13.125" style="6" customWidth="1"/>
    <col min="7403" max="7403" width="15.375" style="6" customWidth="1"/>
    <col min="7404" max="7404" width="21.25" style="6" customWidth="1"/>
    <col min="7405" max="7653" width="9.125" style="6" customWidth="1"/>
    <col min="7654" max="7654" width="6.375" style="6" customWidth="1"/>
    <col min="7655" max="7655" width="34.25" style="6" customWidth="1"/>
    <col min="7656" max="7656" width="7.375" style="6" customWidth="1"/>
    <col min="7657" max="7657" width="6.375" style="6" customWidth="1"/>
    <col min="7658" max="7658" width="13.125" style="6" customWidth="1"/>
    <col min="7659" max="7659" width="15.375" style="6" customWidth="1"/>
    <col min="7660" max="7660" width="21.25" style="6" customWidth="1"/>
    <col min="7661" max="7909" width="9.125" style="6" customWidth="1"/>
    <col min="7910" max="7910" width="6.375" style="6" customWidth="1"/>
    <col min="7911" max="7911" width="34.25" style="6" customWidth="1"/>
    <col min="7912" max="7912" width="7.375" style="6" customWidth="1"/>
    <col min="7913" max="7913" width="6.375" style="6" customWidth="1"/>
    <col min="7914" max="7914" width="13.125" style="6" customWidth="1"/>
    <col min="7915" max="7915" width="15.375" style="6" customWidth="1"/>
    <col min="7916" max="7916" width="21.25" style="6" customWidth="1"/>
    <col min="7917" max="8165" width="9.125" style="6" customWidth="1"/>
    <col min="8166" max="8166" width="6.375" style="6" customWidth="1"/>
    <col min="8167" max="8167" width="34.25" style="6" customWidth="1"/>
    <col min="8168" max="8168" width="7.375" style="6" customWidth="1"/>
    <col min="8169" max="8169" width="6.375" style="6" customWidth="1"/>
    <col min="8170" max="8170" width="13.125" style="6" customWidth="1"/>
    <col min="8171" max="8171" width="15.375" style="6" customWidth="1"/>
    <col min="8172" max="8172" width="21.25" style="6" customWidth="1"/>
    <col min="8173" max="8421" width="9.125" style="6" customWidth="1"/>
    <col min="8422" max="8422" width="6.375" style="6" customWidth="1"/>
    <col min="8423" max="8423" width="34.25" style="6" customWidth="1"/>
    <col min="8424" max="8424" width="7.375" style="6" customWidth="1"/>
    <col min="8425" max="8425" width="6.375" style="6" customWidth="1"/>
    <col min="8426" max="8426" width="13.125" style="6" customWidth="1"/>
    <col min="8427" max="8427" width="15.375" style="6" customWidth="1"/>
    <col min="8428" max="8428" width="21.25" style="6" customWidth="1"/>
    <col min="8429" max="8677" width="9.125" style="6" customWidth="1"/>
    <col min="8678" max="8678" width="6.375" style="6" customWidth="1"/>
    <col min="8679" max="8679" width="34.25" style="6" customWidth="1"/>
    <col min="8680" max="8680" width="7.375" style="6" customWidth="1"/>
    <col min="8681" max="8681" width="6.375" style="6" customWidth="1"/>
    <col min="8682" max="8682" width="13.125" style="6" customWidth="1"/>
    <col min="8683" max="8683" width="15.375" style="6" customWidth="1"/>
    <col min="8684" max="8684" width="21.25" style="6" customWidth="1"/>
    <col min="8685" max="8933" width="9.125" style="6" customWidth="1"/>
    <col min="8934" max="8934" width="6.375" style="6" customWidth="1"/>
    <col min="8935" max="8935" width="34.25" style="6" customWidth="1"/>
    <col min="8936" max="8936" width="7.375" style="6" customWidth="1"/>
    <col min="8937" max="8937" width="6.375" style="6" customWidth="1"/>
    <col min="8938" max="8938" width="13.125" style="6" customWidth="1"/>
    <col min="8939" max="8939" width="15.375" style="6" customWidth="1"/>
    <col min="8940" max="8940" width="21.25" style="6" customWidth="1"/>
    <col min="8941" max="9189" width="9.125" style="6" customWidth="1"/>
    <col min="9190" max="9190" width="6.375" style="6" customWidth="1"/>
    <col min="9191" max="9191" width="34.25" style="6" customWidth="1"/>
    <col min="9192" max="9192" width="7.375" style="6" customWidth="1"/>
    <col min="9193" max="9193" width="6.375" style="6" customWidth="1"/>
    <col min="9194" max="9194" width="13.125" style="6" customWidth="1"/>
    <col min="9195" max="9195" width="15.375" style="6" customWidth="1"/>
    <col min="9196" max="9196" width="21.25" style="6" customWidth="1"/>
    <col min="9197" max="9445" width="9.125" style="6" customWidth="1"/>
    <col min="9446" max="9446" width="6.375" style="6" customWidth="1"/>
    <col min="9447" max="9447" width="34.25" style="6" customWidth="1"/>
    <col min="9448" max="9448" width="7.375" style="6" customWidth="1"/>
    <col min="9449" max="9449" width="6.375" style="6" customWidth="1"/>
    <col min="9450" max="9450" width="13.125" style="6" customWidth="1"/>
    <col min="9451" max="9451" width="15.375" style="6" customWidth="1"/>
    <col min="9452" max="9452" width="21.25" style="6" customWidth="1"/>
    <col min="9453" max="9701" width="9.125" style="6" customWidth="1"/>
    <col min="9702" max="9702" width="6.375" style="6" customWidth="1"/>
    <col min="9703" max="9703" width="34.25" style="6" customWidth="1"/>
    <col min="9704" max="9704" width="7.375" style="6" customWidth="1"/>
    <col min="9705" max="9705" width="6.375" style="6" customWidth="1"/>
    <col min="9706" max="9706" width="13.125" style="6" customWidth="1"/>
    <col min="9707" max="9707" width="15.375" style="6" customWidth="1"/>
    <col min="9708" max="9708" width="21.25" style="6" customWidth="1"/>
    <col min="9709" max="9957" width="9.125" style="6" customWidth="1"/>
    <col min="9958" max="9958" width="6.375" style="6" customWidth="1"/>
    <col min="9959" max="9959" width="34.25" style="6" customWidth="1"/>
    <col min="9960" max="9960" width="7.375" style="6" customWidth="1"/>
    <col min="9961" max="9961" width="6.375" style="6" customWidth="1"/>
    <col min="9962" max="9962" width="13.125" style="6" customWidth="1"/>
    <col min="9963" max="9963" width="15.375" style="6" customWidth="1"/>
    <col min="9964" max="9964" width="21.25" style="6" customWidth="1"/>
    <col min="9965" max="10213" width="9.125" style="6" customWidth="1"/>
    <col min="10214" max="10214" width="6.375" style="6" customWidth="1"/>
    <col min="10215" max="10215" width="34.25" style="6" customWidth="1"/>
    <col min="10216" max="10216" width="7.375" style="6" customWidth="1"/>
    <col min="10217" max="10217" width="6.375" style="6" customWidth="1"/>
    <col min="10218" max="10218" width="13.125" style="6" customWidth="1"/>
    <col min="10219" max="10219" width="15.375" style="6" customWidth="1"/>
    <col min="10220" max="10220" width="21.25" style="6" customWidth="1"/>
    <col min="10221" max="10469" width="9.125" style="6" customWidth="1"/>
    <col min="10470" max="10470" width="6.375" style="6" customWidth="1"/>
    <col min="10471" max="10471" width="34.25" style="6" customWidth="1"/>
    <col min="10472" max="10472" width="7.375" style="6" customWidth="1"/>
    <col min="10473" max="10473" width="6.375" style="6" customWidth="1"/>
    <col min="10474" max="10474" width="13.125" style="6" customWidth="1"/>
    <col min="10475" max="10475" width="15.375" style="6" customWidth="1"/>
    <col min="10476" max="10476" width="21.25" style="6" customWidth="1"/>
    <col min="10477" max="10725" width="9.125" style="6" customWidth="1"/>
    <col min="10726" max="10726" width="6.375" style="6" customWidth="1"/>
    <col min="10727" max="10727" width="34.25" style="6" customWidth="1"/>
    <col min="10728" max="10728" width="7.375" style="6" customWidth="1"/>
    <col min="10729" max="10729" width="6.375" style="6" customWidth="1"/>
    <col min="10730" max="10730" width="13.125" style="6" customWidth="1"/>
    <col min="10731" max="10731" width="15.375" style="6" customWidth="1"/>
    <col min="10732" max="10732" width="21.25" style="6" customWidth="1"/>
    <col min="10733" max="10981" width="9.125" style="6" customWidth="1"/>
    <col min="10982" max="10982" width="6.375" style="6" customWidth="1"/>
    <col min="10983" max="10983" width="34.25" style="6" customWidth="1"/>
    <col min="10984" max="10984" width="7.375" style="6" customWidth="1"/>
    <col min="10985" max="10985" width="6.375" style="6" customWidth="1"/>
    <col min="10986" max="10986" width="13.125" style="6" customWidth="1"/>
    <col min="10987" max="10987" width="15.375" style="6" customWidth="1"/>
    <col min="10988" max="10988" width="21.25" style="6" customWidth="1"/>
    <col min="10989" max="11237" width="9.125" style="6" customWidth="1"/>
    <col min="11238" max="11238" width="6.375" style="6" customWidth="1"/>
    <col min="11239" max="11239" width="34.25" style="6" customWidth="1"/>
    <col min="11240" max="11240" width="7.375" style="6" customWidth="1"/>
    <col min="11241" max="11241" width="6.375" style="6" customWidth="1"/>
    <col min="11242" max="11242" width="13.125" style="6" customWidth="1"/>
    <col min="11243" max="11243" width="15.375" style="6" customWidth="1"/>
    <col min="11244" max="11244" width="21.25" style="6" customWidth="1"/>
    <col min="11245" max="11493" width="9.125" style="6" customWidth="1"/>
    <col min="11494" max="11494" width="6.375" style="6" customWidth="1"/>
    <col min="11495" max="11495" width="34.25" style="6" customWidth="1"/>
    <col min="11496" max="11496" width="7.375" style="6" customWidth="1"/>
    <col min="11497" max="11497" width="6.375" style="6" customWidth="1"/>
    <col min="11498" max="11498" width="13.125" style="6" customWidth="1"/>
    <col min="11499" max="11499" width="15.375" style="6" customWidth="1"/>
    <col min="11500" max="11500" width="21.25" style="6" customWidth="1"/>
    <col min="11501" max="11749" width="9.125" style="6" customWidth="1"/>
    <col min="11750" max="11750" width="6.375" style="6" customWidth="1"/>
    <col min="11751" max="11751" width="34.25" style="6" customWidth="1"/>
    <col min="11752" max="11752" width="7.375" style="6" customWidth="1"/>
    <col min="11753" max="11753" width="6.375" style="6" customWidth="1"/>
    <col min="11754" max="11754" width="13.125" style="6" customWidth="1"/>
    <col min="11755" max="11755" width="15.375" style="6" customWidth="1"/>
    <col min="11756" max="11756" width="21.25" style="6" customWidth="1"/>
    <col min="11757" max="12005" width="9.125" style="6" customWidth="1"/>
    <col min="12006" max="12006" width="6.375" style="6" customWidth="1"/>
    <col min="12007" max="12007" width="34.25" style="6" customWidth="1"/>
    <col min="12008" max="12008" width="7.375" style="6" customWidth="1"/>
    <col min="12009" max="12009" width="6.375" style="6" customWidth="1"/>
    <col min="12010" max="12010" width="13.125" style="6" customWidth="1"/>
    <col min="12011" max="12011" width="15.375" style="6" customWidth="1"/>
    <col min="12012" max="12012" width="21.25" style="6" customWidth="1"/>
    <col min="12013" max="12261" width="9.125" style="6" customWidth="1"/>
    <col min="12262" max="12262" width="6.375" style="6" customWidth="1"/>
    <col min="12263" max="12263" width="34.25" style="6" customWidth="1"/>
    <col min="12264" max="12264" width="7.375" style="6" customWidth="1"/>
    <col min="12265" max="12265" width="6.375" style="6" customWidth="1"/>
    <col min="12266" max="12266" width="13.125" style="6" customWidth="1"/>
    <col min="12267" max="12267" width="15.375" style="6" customWidth="1"/>
    <col min="12268" max="12268" width="21.25" style="6" customWidth="1"/>
    <col min="12269" max="12517" width="9.125" style="6" customWidth="1"/>
    <col min="12518" max="12518" width="6.375" style="6" customWidth="1"/>
    <col min="12519" max="12519" width="34.25" style="6" customWidth="1"/>
    <col min="12520" max="12520" width="7.375" style="6" customWidth="1"/>
    <col min="12521" max="12521" width="6.375" style="6" customWidth="1"/>
    <col min="12522" max="12522" width="13.125" style="6" customWidth="1"/>
    <col min="12523" max="12523" width="15.375" style="6" customWidth="1"/>
    <col min="12524" max="12524" width="21.25" style="6" customWidth="1"/>
    <col min="12525" max="12773" width="9.125" style="6" customWidth="1"/>
    <col min="12774" max="12774" width="6.375" style="6" customWidth="1"/>
    <col min="12775" max="12775" width="34.25" style="6" customWidth="1"/>
    <col min="12776" max="12776" width="7.375" style="6" customWidth="1"/>
    <col min="12777" max="12777" width="6.375" style="6" customWidth="1"/>
    <col min="12778" max="12778" width="13.125" style="6" customWidth="1"/>
    <col min="12779" max="12779" width="15.375" style="6" customWidth="1"/>
    <col min="12780" max="12780" width="21.25" style="6" customWidth="1"/>
    <col min="12781" max="13029" width="9.125" style="6" customWidth="1"/>
    <col min="13030" max="13030" width="6.375" style="6" customWidth="1"/>
    <col min="13031" max="13031" width="34.25" style="6" customWidth="1"/>
    <col min="13032" max="13032" width="7.375" style="6" customWidth="1"/>
    <col min="13033" max="13033" width="6.375" style="6" customWidth="1"/>
    <col min="13034" max="13034" width="13.125" style="6" customWidth="1"/>
    <col min="13035" max="13035" width="15.375" style="6" customWidth="1"/>
    <col min="13036" max="13036" width="21.25" style="6" customWidth="1"/>
    <col min="13037" max="13285" width="9.125" style="6" customWidth="1"/>
    <col min="13286" max="13286" width="6.375" style="6" customWidth="1"/>
    <col min="13287" max="13287" width="34.25" style="6" customWidth="1"/>
    <col min="13288" max="13288" width="7.375" style="6" customWidth="1"/>
    <col min="13289" max="13289" width="6.375" style="6" customWidth="1"/>
    <col min="13290" max="13290" width="13.125" style="6" customWidth="1"/>
    <col min="13291" max="13291" width="15.375" style="6" customWidth="1"/>
    <col min="13292" max="13292" width="21.25" style="6" customWidth="1"/>
    <col min="13293" max="13541" width="9.125" style="6" customWidth="1"/>
    <col min="13542" max="13542" width="6.375" style="6" customWidth="1"/>
    <col min="13543" max="13543" width="34.25" style="6" customWidth="1"/>
    <col min="13544" max="13544" width="7.375" style="6" customWidth="1"/>
    <col min="13545" max="13545" width="6.375" style="6" customWidth="1"/>
    <col min="13546" max="13546" width="13.125" style="6" customWidth="1"/>
    <col min="13547" max="13547" width="15.375" style="6" customWidth="1"/>
    <col min="13548" max="13548" width="21.25" style="6" customWidth="1"/>
    <col min="13549" max="13797" width="9.125" style="6" customWidth="1"/>
    <col min="13798" max="13798" width="6.375" style="6" customWidth="1"/>
    <col min="13799" max="13799" width="34.25" style="6" customWidth="1"/>
    <col min="13800" max="13800" width="7.375" style="6" customWidth="1"/>
    <col min="13801" max="13801" width="6.375" style="6" customWidth="1"/>
    <col min="13802" max="13802" width="13.125" style="6" customWidth="1"/>
    <col min="13803" max="13803" width="15.375" style="6" customWidth="1"/>
    <col min="13804" max="13804" width="21.25" style="6" customWidth="1"/>
    <col min="13805" max="14053" width="9.125" style="6" customWidth="1"/>
    <col min="14054" max="14054" width="6.375" style="6" customWidth="1"/>
    <col min="14055" max="14055" width="34.25" style="6" customWidth="1"/>
    <col min="14056" max="14056" width="7.375" style="6" customWidth="1"/>
    <col min="14057" max="14057" width="6.375" style="6" customWidth="1"/>
    <col min="14058" max="14058" width="13.125" style="6" customWidth="1"/>
    <col min="14059" max="14059" width="15.375" style="6" customWidth="1"/>
    <col min="14060" max="14060" width="21.25" style="6" customWidth="1"/>
    <col min="14061" max="14309" width="9.125" style="6" customWidth="1"/>
    <col min="14310" max="14310" width="6.375" style="6" customWidth="1"/>
    <col min="14311" max="14311" width="34.25" style="6" customWidth="1"/>
    <col min="14312" max="14312" width="7.375" style="6" customWidth="1"/>
    <col min="14313" max="14313" width="6.375" style="6" customWidth="1"/>
    <col min="14314" max="14314" width="13.125" style="6" customWidth="1"/>
    <col min="14315" max="14315" width="15.375" style="6" customWidth="1"/>
    <col min="14316" max="14316" width="21.25" style="6" customWidth="1"/>
    <col min="14317" max="14565" width="9.125" style="6" customWidth="1"/>
    <col min="14566" max="14566" width="6.375" style="6" customWidth="1"/>
    <col min="14567" max="14567" width="34.25" style="6" customWidth="1"/>
    <col min="14568" max="14568" width="7.375" style="6" customWidth="1"/>
    <col min="14569" max="14569" width="6.375" style="6" customWidth="1"/>
    <col min="14570" max="14570" width="13.125" style="6" customWidth="1"/>
    <col min="14571" max="14571" width="15.375" style="6" customWidth="1"/>
    <col min="14572" max="14572" width="21.25" style="6" customWidth="1"/>
    <col min="14573" max="14821" width="9.125" style="6" customWidth="1"/>
    <col min="14822" max="14822" width="6.375" style="6" customWidth="1"/>
    <col min="14823" max="14823" width="34.25" style="6" customWidth="1"/>
    <col min="14824" max="14824" width="7.375" style="6" customWidth="1"/>
    <col min="14825" max="14825" width="6.375" style="6" customWidth="1"/>
    <col min="14826" max="14826" width="13.125" style="6" customWidth="1"/>
    <col min="14827" max="14827" width="15.375" style="6" customWidth="1"/>
    <col min="14828" max="14828" width="21.25" style="6" customWidth="1"/>
    <col min="14829" max="15077" width="9.125" style="6" customWidth="1"/>
    <col min="15078" max="15078" width="6.375" style="6" customWidth="1"/>
    <col min="15079" max="15079" width="34.25" style="6" customWidth="1"/>
    <col min="15080" max="15080" width="7.375" style="6" customWidth="1"/>
    <col min="15081" max="15081" width="6.375" style="6" customWidth="1"/>
    <col min="15082" max="15082" width="13.125" style="6" customWidth="1"/>
    <col min="15083" max="15083" width="15.375" style="6" customWidth="1"/>
    <col min="15084" max="15084" width="21.25" style="6" customWidth="1"/>
    <col min="15085" max="15333" width="9.125" style="6" customWidth="1"/>
    <col min="15334" max="15334" width="6.375" style="6" customWidth="1"/>
    <col min="15335" max="15335" width="34.25" style="6" customWidth="1"/>
    <col min="15336" max="15336" width="7.375" style="6" customWidth="1"/>
    <col min="15337" max="15337" width="6.375" style="6" customWidth="1"/>
    <col min="15338" max="15338" width="13.125" style="6" customWidth="1"/>
    <col min="15339" max="15339" width="15.375" style="6" customWidth="1"/>
    <col min="15340" max="15340" width="21.25" style="6" customWidth="1"/>
    <col min="15341" max="15589" width="9.125" style="6" customWidth="1"/>
    <col min="15590" max="15590" width="6.375" style="6" customWidth="1"/>
    <col min="15591" max="15591" width="34.25" style="6" customWidth="1"/>
    <col min="15592" max="15592" width="7.375" style="6" customWidth="1"/>
    <col min="15593" max="15593" width="6.375" style="6" customWidth="1"/>
    <col min="15594" max="15594" width="13.125" style="6" customWidth="1"/>
    <col min="15595" max="15595" width="15.375" style="6" customWidth="1"/>
    <col min="15596" max="15596" width="21.25" style="6" customWidth="1"/>
    <col min="15597" max="15845" width="9.125" style="6" customWidth="1"/>
    <col min="15846" max="15846" width="6.375" style="6" customWidth="1"/>
    <col min="15847" max="15847" width="34.25" style="6" customWidth="1"/>
    <col min="15848" max="15848" width="7.375" style="6" customWidth="1"/>
    <col min="15849" max="15849" width="6.375" style="6" customWidth="1"/>
    <col min="15850" max="15850" width="13.125" style="6" customWidth="1"/>
    <col min="15851" max="15851" width="15.375" style="6" customWidth="1"/>
    <col min="15852" max="15852" width="21.25" style="6" customWidth="1"/>
    <col min="15853" max="16101" width="9.125" style="6" customWidth="1"/>
    <col min="16102" max="16102" width="6.375" style="6" customWidth="1"/>
    <col min="16103" max="16103" width="34.25" style="6" customWidth="1"/>
    <col min="16104" max="16104" width="7.375" style="6" customWidth="1"/>
    <col min="16105" max="16105" width="6.375" style="6" customWidth="1"/>
    <col min="16106" max="16106" width="13.125" style="6" customWidth="1"/>
    <col min="16107" max="16107" width="15.375" style="6" customWidth="1"/>
    <col min="16108" max="16108" width="21.25" style="6" customWidth="1"/>
    <col min="16109" max="16384" width="9.125" style="6" customWidth="1"/>
  </cols>
  <sheetData>
    <row r="1" spans="1:10" ht="48" customHeight="1"/>
    <row r="2" spans="1:10" s="1" customFormat="1" ht="51" customHeight="1">
      <c r="A2" s="10" t="s">
        <v>507</v>
      </c>
      <c r="B2" s="11"/>
      <c r="C2" s="12"/>
      <c r="D2" s="11"/>
      <c r="E2" s="14"/>
      <c r="F2" s="14"/>
      <c r="G2" s="14"/>
      <c r="H2" s="15"/>
      <c r="I2" s="15"/>
      <c r="J2" s="15"/>
    </row>
    <row r="3" spans="1:10" ht="26.25" customHeight="1">
      <c r="A3" s="16"/>
      <c r="B3" s="17" t="s">
        <v>440</v>
      </c>
      <c r="C3" s="213"/>
      <c r="D3" s="217"/>
      <c r="E3" s="214"/>
      <c r="F3" s="214"/>
      <c r="G3" s="214"/>
      <c r="H3" s="220"/>
      <c r="I3" s="220"/>
      <c r="J3" s="220"/>
    </row>
    <row r="4" spans="1:10" ht="26.25" customHeight="1">
      <c r="A4" s="18"/>
      <c r="B4" s="5" t="s">
        <v>441</v>
      </c>
      <c r="C4" s="222"/>
      <c r="D4" s="217"/>
      <c r="E4" s="214"/>
      <c r="F4" s="214"/>
      <c r="G4" s="214"/>
      <c r="H4" s="220"/>
      <c r="I4" s="220"/>
      <c r="J4" s="220"/>
    </row>
    <row r="5" spans="1:10" ht="26.25" customHeight="1">
      <c r="A5" s="18"/>
      <c r="B5" s="5" t="s">
        <v>442</v>
      </c>
      <c r="C5" s="216"/>
      <c r="D5" s="217"/>
      <c r="E5" s="214"/>
      <c r="F5" s="214"/>
      <c r="G5" s="214"/>
      <c r="H5" s="220"/>
      <c r="I5" s="220"/>
      <c r="J5" s="220"/>
    </row>
    <row r="6" spans="1:10" ht="26.25" customHeight="1">
      <c r="A6" s="18"/>
      <c r="B6" s="5" t="s">
        <v>443</v>
      </c>
      <c r="C6" s="213" t="str">
        <f>INDEX(總表!$B$9:$B$47,MATCH('19A'!A9,總表!$A$9:$A$48,0))</f>
        <v>Nhà bảo vệ số 2
二號警衛室</v>
      </c>
      <c r="D6" s="217"/>
      <c r="E6" s="214"/>
      <c r="F6" s="214"/>
      <c r="G6" s="214"/>
      <c r="H6" s="220"/>
      <c r="I6" s="220"/>
      <c r="J6" s="220"/>
    </row>
    <row r="7" spans="1:10" ht="26.25" customHeight="1">
      <c r="A7" s="18"/>
      <c r="B7" s="5" t="s">
        <v>444</v>
      </c>
      <c r="C7" s="223" t="s">
        <v>445</v>
      </c>
      <c r="D7" s="224"/>
      <c r="E7" s="224"/>
      <c r="F7" s="224"/>
      <c r="G7" s="224"/>
      <c r="H7" s="224"/>
      <c r="I7" s="224"/>
      <c r="J7" s="224"/>
    </row>
    <row r="8" spans="1:10" s="2" customFormat="1" ht="41.25" customHeight="1">
      <c r="A8" s="19" t="s">
        <v>446</v>
      </c>
      <c r="B8" s="19" t="s">
        <v>508</v>
      </c>
      <c r="C8" s="19" t="s">
        <v>509</v>
      </c>
      <c r="D8" s="19" t="s">
        <v>448</v>
      </c>
      <c r="E8" s="19" t="s">
        <v>449</v>
      </c>
      <c r="F8" s="19" t="s">
        <v>511</v>
      </c>
      <c r="G8" s="19" t="s">
        <v>512</v>
      </c>
      <c r="H8" s="21" t="s">
        <v>450</v>
      </c>
      <c r="I8" s="21" t="s">
        <v>452</v>
      </c>
      <c r="J8" s="21" t="s">
        <v>514</v>
      </c>
    </row>
    <row r="9" spans="1:10" s="3" customFormat="1" ht="25.5" customHeight="1">
      <c r="A9" s="22" t="s">
        <v>476</v>
      </c>
      <c r="B9" s="23" t="str">
        <f>C6</f>
        <v>Nhà bảo vệ số 2
二號警衛室</v>
      </c>
      <c r="C9" s="23" t="s">
        <v>515</v>
      </c>
      <c r="D9" s="22"/>
      <c r="E9" s="25"/>
      <c r="F9" s="25">
        <f>_xlfn.XLOOKUP(B9, Rate_Master!$A:$A, Rate_Master!$C:$C, "")</f>
        <v>0</v>
      </c>
      <c r="G9" s="25">
        <f>_xlfn.XLOOKUP(B9, Rate_Master!$A:$A, Rate_Master!$D:$D, "")</f>
        <v>0</v>
      </c>
      <c r="H9" s="26"/>
      <c r="I9" s="26">
        <f>SUBTOTAL(9,I10:I112)</f>
        <v>1362703570.900537</v>
      </c>
      <c r="J9" s="26"/>
    </row>
    <row r="10" spans="1:10" s="3" customFormat="1" ht="25.5" customHeight="1">
      <c r="A10" s="22" t="str">
        <f>$A$9&amp;".C"</f>
        <v>19A.C</v>
      </c>
      <c r="B10" s="23" t="s">
        <v>1</v>
      </c>
      <c r="C10" s="23" t="s">
        <v>515</v>
      </c>
      <c r="D10" s="22"/>
      <c r="E10" s="25"/>
      <c r="F10" s="25">
        <f>_xlfn.XLOOKUP(B10, Rate_Master!$A:$A, Rate_Master!$C:$C, "")</f>
        <v>0</v>
      </c>
      <c r="G10" s="25">
        <f>_xlfn.XLOOKUP(B10, Rate_Master!$A:$A, Rate_Master!$D:$D, "")</f>
        <v>0</v>
      </c>
      <c r="H10" s="26"/>
      <c r="I10" s="26"/>
      <c r="J10" s="26"/>
    </row>
    <row r="11" spans="1:10" s="3" customFormat="1" ht="25.5" customHeight="1">
      <c r="A11" s="22" t="str">
        <f>$A$10&amp;1</f>
        <v>19A.C1</v>
      </c>
      <c r="B11" s="23" t="s">
        <v>2</v>
      </c>
      <c r="C11" s="23" t="s">
        <v>515</v>
      </c>
      <c r="D11" s="22"/>
      <c r="E11" s="25"/>
      <c r="F11" s="25">
        <f>_xlfn.XLOOKUP(B11, Rate_Master!$A:$A, Rate_Master!$C:$C, "")</f>
        <v>0</v>
      </c>
      <c r="G11" s="25">
        <f>_xlfn.XLOOKUP(B11, Rate_Master!$A:$A, Rate_Master!$D:$D, "")</f>
        <v>0</v>
      </c>
      <c r="H11" s="26"/>
      <c r="I11" s="26">
        <f>SUBTOTAL(9,I12:I22)</f>
        <v>113538349.99999999</v>
      </c>
      <c r="J11" s="26"/>
    </row>
    <row r="12" spans="1:10" s="4" customFormat="1" ht="25.5" customHeight="1" outlineLevel="1">
      <c r="A12" s="27" t="str">
        <f t="shared" ref="A12:A22" si="0">$A$11&amp;"."&amp;ROW()-ROW($A$11)</f>
        <v>19A.C1.1</v>
      </c>
      <c r="B12" s="28" t="s">
        <v>3</v>
      </c>
      <c r="C12" s="28" t="s">
        <v>515</v>
      </c>
      <c r="D12" s="29" t="s">
        <v>516</v>
      </c>
      <c r="E12" s="31">
        <v>0</v>
      </c>
      <c r="F12" s="31">
        <f>_xlfn.XLOOKUP(B12, Rate_Master!$A:$A, Rate_Master!$C:$C, "")</f>
        <v>0</v>
      </c>
      <c r="G12" s="31">
        <f>_xlfn.XLOOKUP(B12, Rate_Master!$A:$A, Rate_Master!$D:$D, "")</f>
        <v>114999999.99999999</v>
      </c>
      <c r="H12" s="32">
        <v>0</v>
      </c>
      <c r="I12" s="32">
        <f t="shared" ref="I12:I22" si="1">H12*E12</f>
        <v>0</v>
      </c>
      <c r="J12" s="32"/>
    </row>
    <row r="13" spans="1:10" s="4" customFormat="1" ht="25.5" customHeight="1" outlineLevel="1">
      <c r="A13" s="27" t="str">
        <f t="shared" si="0"/>
        <v>19A.C1.2</v>
      </c>
      <c r="B13" s="28" t="s">
        <v>4</v>
      </c>
      <c r="C13" s="28" t="s">
        <v>515</v>
      </c>
      <c r="D13" s="29" t="s">
        <v>517</v>
      </c>
      <c r="E13" s="31">
        <v>0</v>
      </c>
      <c r="F13" s="31">
        <f>_xlfn.XLOOKUP(B13, Rate_Master!$A:$A, Rate_Master!$C:$C, "")</f>
        <v>425499.99999999994</v>
      </c>
      <c r="G13" s="31">
        <f>_xlfn.XLOOKUP(B13, Rate_Master!$A:$A, Rate_Master!$D:$D, "")</f>
        <v>0</v>
      </c>
      <c r="H13" s="32">
        <v>0</v>
      </c>
      <c r="I13" s="32">
        <f t="shared" si="1"/>
        <v>0</v>
      </c>
      <c r="J13" s="32"/>
    </row>
    <row r="14" spans="1:10" s="4" customFormat="1" ht="25.5" customHeight="1" outlineLevel="1">
      <c r="A14" s="27" t="str">
        <f t="shared" si="0"/>
        <v>19A.C1.3</v>
      </c>
      <c r="B14" s="28" t="s">
        <v>5</v>
      </c>
      <c r="C14" s="28" t="s">
        <v>515</v>
      </c>
      <c r="D14" s="29" t="s">
        <v>517</v>
      </c>
      <c r="E14" s="31">
        <v>0</v>
      </c>
      <c r="F14" s="31">
        <f>_xlfn.XLOOKUP(B14, Rate_Master!$A:$A, Rate_Master!$C:$C, "")</f>
        <v>0</v>
      </c>
      <c r="G14" s="31">
        <f>_xlfn.XLOOKUP(B14, Rate_Master!$A:$A, Rate_Master!$D:$D, "")</f>
        <v>69000</v>
      </c>
      <c r="H14" s="32">
        <v>0</v>
      </c>
      <c r="I14" s="32">
        <f t="shared" si="1"/>
        <v>0</v>
      </c>
      <c r="J14" s="32"/>
    </row>
    <row r="15" spans="1:10" s="4" customFormat="1" ht="25.5" customHeight="1" outlineLevel="1">
      <c r="A15" s="27" t="str">
        <f t="shared" si="0"/>
        <v>19A.C1.4</v>
      </c>
      <c r="B15" s="28" t="s">
        <v>6</v>
      </c>
      <c r="C15" s="28" t="s">
        <v>515</v>
      </c>
      <c r="D15" s="29" t="s">
        <v>517</v>
      </c>
      <c r="E15" s="31">
        <v>0</v>
      </c>
      <c r="F15" s="31">
        <f>_xlfn.XLOOKUP(B15, Rate_Master!$A:$A, Rate_Master!$C:$C, "")</f>
        <v>0</v>
      </c>
      <c r="G15" s="31">
        <f>_xlfn.XLOOKUP(B15, Rate_Master!$A:$A, Rate_Master!$D:$D, "")</f>
        <v>57499.999999999993</v>
      </c>
      <c r="H15" s="32">
        <v>0</v>
      </c>
      <c r="I15" s="32">
        <f t="shared" si="1"/>
        <v>0</v>
      </c>
      <c r="J15" s="32"/>
    </row>
    <row r="16" spans="1:10" s="4" customFormat="1" ht="102" customHeight="1" outlineLevel="1">
      <c r="A16" s="27" t="str">
        <f t="shared" si="0"/>
        <v>19A.C1.5</v>
      </c>
      <c r="B16" s="28" t="s">
        <v>7</v>
      </c>
      <c r="C16" s="28" t="s">
        <v>515</v>
      </c>
      <c r="D16" s="29" t="s">
        <v>518</v>
      </c>
      <c r="E16" s="31">
        <v>0</v>
      </c>
      <c r="F16" s="31">
        <f>_xlfn.XLOOKUP(B16, Rate_Master!$A:$A, Rate_Master!$C:$C, "")</f>
        <v>0</v>
      </c>
      <c r="G16" s="31">
        <f>_xlfn.XLOOKUP(B16, Rate_Master!$A:$A, Rate_Master!$D:$D, "")</f>
        <v>13799999.999999998</v>
      </c>
      <c r="H16" s="32">
        <v>0</v>
      </c>
      <c r="I16" s="32">
        <f t="shared" si="1"/>
        <v>0</v>
      </c>
      <c r="J16" s="32"/>
    </row>
    <row r="17" spans="1:10" s="4" customFormat="1" ht="25.5" customHeight="1" outlineLevel="1">
      <c r="A17" s="27" t="str">
        <f t="shared" si="0"/>
        <v>19A.C1.6</v>
      </c>
      <c r="B17" s="28" t="s">
        <v>8</v>
      </c>
      <c r="C17" s="28" t="s">
        <v>515</v>
      </c>
      <c r="D17" s="29" t="s">
        <v>518</v>
      </c>
      <c r="E17" s="31">
        <v>2</v>
      </c>
      <c r="F17" s="31">
        <f>_xlfn.XLOOKUP(B17, Rate_Master!$A:$A, Rate_Master!$C:$C, "")</f>
        <v>0</v>
      </c>
      <c r="G17" s="31">
        <f>_xlfn.XLOOKUP(B17, Rate_Master!$A:$A, Rate_Master!$D:$D, "")</f>
        <v>252999.99999999997</v>
      </c>
      <c r="H17" s="66">
        <f t="shared" ref="H17:H22" si="2">F17+G17</f>
        <v>252999.99999999997</v>
      </c>
      <c r="I17" s="32">
        <f t="shared" si="1"/>
        <v>505999.99999999994</v>
      </c>
      <c r="J17" s="32"/>
    </row>
    <row r="18" spans="1:10" s="4" customFormat="1" ht="25.5" customHeight="1" outlineLevel="1">
      <c r="A18" s="27" t="str">
        <f t="shared" si="0"/>
        <v>19A.C1.7</v>
      </c>
      <c r="B18" s="28" t="s">
        <v>9</v>
      </c>
      <c r="C18" s="28" t="s">
        <v>515</v>
      </c>
      <c r="D18" s="29" t="s">
        <v>517</v>
      </c>
      <c r="E18" s="31">
        <v>198</v>
      </c>
      <c r="F18" s="31">
        <f>_xlfn.XLOOKUP(B18, Rate_Master!$A:$A, Rate_Master!$C:$C, "")</f>
        <v>402499.99999999994</v>
      </c>
      <c r="G18" s="31">
        <f>_xlfn.XLOOKUP(B18, Rate_Master!$A:$A, Rate_Master!$D:$D, "")</f>
        <v>0</v>
      </c>
      <c r="H18" s="66">
        <f t="shared" si="2"/>
        <v>402499.99999999994</v>
      </c>
      <c r="I18" s="32">
        <f t="shared" si="1"/>
        <v>79694999.999999985</v>
      </c>
      <c r="J18" s="32"/>
    </row>
    <row r="19" spans="1:10" s="4" customFormat="1" ht="25.5" customHeight="1" outlineLevel="1">
      <c r="A19" s="27" t="str">
        <f t="shared" si="0"/>
        <v>19A.C1.8</v>
      </c>
      <c r="B19" s="28" t="s">
        <v>10</v>
      </c>
      <c r="C19" s="28" t="s">
        <v>515</v>
      </c>
      <c r="D19" s="29" t="s">
        <v>518</v>
      </c>
      <c r="E19" s="31">
        <v>9</v>
      </c>
      <c r="F19" s="31">
        <f>_xlfn.XLOOKUP(B19, Rate_Master!$A:$A, Rate_Master!$C:$C, "")</f>
        <v>80500</v>
      </c>
      <c r="G19" s="31">
        <f>_xlfn.XLOOKUP(B19, Rate_Master!$A:$A, Rate_Master!$D:$D, "")</f>
        <v>0</v>
      </c>
      <c r="H19" s="66">
        <f t="shared" si="2"/>
        <v>80500</v>
      </c>
      <c r="I19" s="32">
        <f t="shared" si="1"/>
        <v>724500</v>
      </c>
      <c r="J19" s="32"/>
    </row>
    <row r="20" spans="1:10" s="4" customFormat="1" ht="25.5" customHeight="1" outlineLevel="1">
      <c r="A20" s="27" t="str">
        <f t="shared" si="0"/>
        <v>19A.C1.9</v>
      </c>
      <c r="B20" s="28" t="s">
        <v>11</v>
      </c>
      <c r="C20" s="28" t="s">
        <v>515</v>
      </c>
      <c r="D20" s="29" t="s">
        <v>517</v>
      </c>
      <c r="E20" s="31">
        <v>207.9</v>
      </c>
      <c r="F20" s="31">
        <f>_xlfn.XLOOKUP(B20, Rate_Master!$A:$A, Rate_Master!$C:$C, "")</f>
        <v>0</v>
      </c>
      <c r="G20" s="31">
        <f>_xlfn.XLOOKUP(B20, Rate_Master!$A:$A, Rate_Master!$D:$D, "")</f>
        <v>69000</v>
      </c>
      <c r="H20" s="66">
        <f t="shared" si="2"/>
        <v>69000</v>
      </c>
      <c r="I20" s="32">
        <f t="shared" si="1"/>
        <v>14345100</v>
      </c>
      <c r="J20" s="32"/>
    </row>
    <row r="21" spans="1:10" s="4" customFormat="1" ht="25.5" customHeight="1" outlineLevel="1">
      <c r="A21" s="27" t="str">
        <f t="shared" si="0"/>
        <v>19A.C1.10</v>
      </c>
      <c r="B21" s="28" t="s">
        <v>12</v>
      </c>
      <c r="C21" s="28" t="s">
        <v>515</v>
      </c>
      <c r="D21" s="29" t="s">
        <v>517</v>
      </c>
      <c r="E21" s="31">
        <v>216.9</v>
      </c>
      <c r="F21" s="31">
        <f>_xlfn.XLOOKUP(B21, Rate_Master!$A:$A, Rate_Master!$C:$C, "")</f>
        <v>0</v>
      </c>
      <c r="G21" s="31">
        <f>_xlfn.XLOOKUP(B21, Rate_Master!$A:$A, Rate_Master!$D:$D, "")</f>
        <v>57499.999999999993</v>
      </c>
      <c r="H21" s="66">
        <f t="shared" si="2"/>
        <v>57499.999999999993</v>
      </c>
      <c r="I21" s="32">
        <f t="shared" si="1"/>
        <v>12471749.999999998</v>
      </c>
      <c r="J21" s="32"/>
    </row>
    <row r="22" spans="1:10" s="4" customFormat="1" ht="63.75" customHeight="1" outlineLevel="1">
      <c r="A22" s="27" t="str">
        <f t="shared" si="0"/>
        <v>19A.C1.11</v>
      </c>
      <c r="B22" s="28" t="s">
        <v>13</v>
      </c>
      <c r="C22" s="28" t="s">
        <v>515</v>
      </c>
      <c r="D22" s="29" t="s">
        <v>518</v>
      </c>
      <c r="E22" s="31">
        <v>9</v>
      </c>
      <c r="F22" s="31">
        <f>_xlfn.XLOOKUP(B22, Rate_Master!$A:$A, Rate_Master!$C:$C, "")</f>
        <v>482999.99999999994</v>
      </c>
      <c r="G22" s="31">
        <f>_xlfn.XLOOKUP(B22, Rate_Master!$A:$A, Rate_Master!$D:$D, "")</f>
        <v>161000</v>
      </c>
      <c r="H22" s="66">
        <f t="shared" si="2"/>
        <v>644000</v>
      </c>
      <c r="I22" s="32">
        <f t="shared" si="1"/>
        <v>5796000</v>
      </c>
      <c r="J22" s="32"/>
    </row>
    <row r="23" spans="1:10" s="3" customFormat="1" ht="25.5" customHeight="1">
      <c r="A23" s="22" t="str">
        <f>$A$10&amp;2</f>
        <v>19A.C2</v>
      </c>
      <c r="B23" s="23" t="s">
        <v>14</v>
      </c>
      <c r="C23" s="23" t="s">
        <v>515</v>
      </c>
      <c r="D23" s="22"/>
      <c r="E23" s="25"/>
      <c r="F23" s="25">
        <f>_xlfn.XLOOKUP(B23, Rate_Master!$A:$A, Rate_Master!$C:$C, "")</f>
        <v>0</v>
      </c>
      <c r="G23" s="25">
        <f>_xlfn.XLOOKUP(B23, Rate_Master!$A:$A, Rate_Master!$D:$D, "")</f>
        <v>0</v>
      </c>
      <c r="H23" s="26"/>
      <c r="I23" s="26">
        <f>SUBTOTAL(9,I24:I31)</f>
        <v>48671511.524999999</v>
      </c>
      <c r="J23" s="26"/>
    </row>
    <row r="24" spans="1:10" s="4" customFormat="1" ht="25.5" customHeight="1" outlineLevel="1">
      <c r="A24" s="27" t="str">
        <f t="shared" ref="A24:A31" si="3">$A$23&amp;"."&amp;ROW()-ROW($A$23)</f>
        <v>19A.C2.1</v>
      </c>
      <c r="B24" s="28" t="s">
        <v>15</v>
      </c>
      <c r="C24" s="28" t="s">
        <v>515</v>
      </c>
      <c r="D24" s="29" t="s">
        <v>519</v>
      </c>
      <c r="E24" s="31">
        <v>660.471</v>
      </c>
      <c r="F24" s="31">
        <f>_xlfn.XLOOKUP(B24, Rate_Master!$A:$A, Rate_Master!$C:$C, "")</f>
        <v>0</v>
      </c>
      <c r="G24" s="31">
        <f>_xlfn.XLOOKUP(B24, Rate_Master!$A:$A, Rate_Master!$D:$D, "")</f>
        <v>32199.999999999996</v>
      </c>
      <c r="H24" s="66">
        <f t="shared" ref="H24:H31" si="4">F24+G24</f>
        <v>32199.999999999996</v>
      </c>
      <c r="I24" s="32">
        <f t="shared" ref="I24:I31" si="5">H24*E24</f>
        <v>21267166.199999999</v>
      </c>
      <c r="J24" s="32"/>
    </row>
    <row r="25" spans="1:10" s="4" customFormat="1" ht="25.5" customHeight="1" outlineLevel="1">
      <c r="A25" s="27" t="str">
        <f t="shared" si="3"/>
        <v>19A.C2.2</v>
      </c>
      <c r="B25" s="28" t="s">
        <v>16</v>
      </c>
      <c r="C25" s="28" t="s">
        <v>515</v>
      </c>
      <c r="D25" s="29" t="s">
        <v>520</v>
      </c>
      <c r="E25" s="31">
        <v>117.25700000000001</v>
      </c>
      <c r="F25" s="31">
        <f>_xlfn.XLOOKUP(B25, Rate_Master!$A:$A, Rate_Master!$C:$C, "")</f>
        <v>0</v>
      </c>
      <c r="G25" s="31">
        <f>_xlfn.XLOOKUP(B25, Rate_Master!$A:$A, Rate_Master!$D:$D, "")</f>
        <v>17250</v>
      </c>
      <c r="H25" s="66">
        <f t="shared" si="4"/>
        <v>17250</v>
      </c>
      <c r="I25" s="32">
        <f t="shared" si="5"/>
        <v>2022683.25</v>
      </c>
      <c r="J25" s="32"/>
    </row>
    <row r="26" spans="1:10" s="4" customFormat="1" ht="25.5" customHeight="1" outlineLevel="1">
      <c r="A26" s="27" t="str">
        <f t="shared" si="3"/>
        <v>19A.C2.3</v>
      </c>
      <c r="B26" s="28" t="s">
        <v>17</v>
      </c>
      <c r="C26" s="28" t="s">
        <v>515</v>
      </c>
      <c r="D26" s="29" t="s">
        <v>519</v>
      </c>
      <c r="E26" s="31">
        <v>539.67899999999997</v>
      </c>
      <c r="F26" s="31">
        <f>_xlfn.XLOOKUP(B26, Rate_Master!$A:$A, Rate_Master!$C:$C, "")</f>
        <v>0</v>
      </c>
      <c r="G26" s="31">
        <f>_xlfn.XLOOKUP(B26, Rate_Master!$A:$A, Rate_Master!$D:$D, "")</f>
        <v>37950</v>
      </c>
      <c r="H26" s="66">
        <f t="shared" si="4"/>
        <v>37950</v>
      </c>
      <c r="I26" s="32">
        <f t="shared" si="5"/>
        <v>20480818.050000001</v>
      </c>
      <c r="J26" s="32"/>
    </row>
    <row r="27" spans="1:10" s="4" customFormat="1" ht="25.5" customHeight="1" outlineLevel="1">
      <c r="A27" s="27" t="str">
        <f t="shared" si="3"/>
        <v>19A.C2.4</v>
      </c>
      <c r="B27" s="34" t="s">
        <v>18</v>
      </c>
      <c r="C27" s="34" t="s">
        <v>521</v>
      </c>
      <c r="D27" s="29" t="s">
        <v>519</v>
      </c>
      <c r="E27" s="31">
        <v>120.792</v>
      </c>
      <c r="F27" s="31">
        <f>_xlfn.XLOOKUP(B27, Rate_Master!$A:$A, Rate_Master!$C:$C, "")</f>
        <v>0</v>
      </c>
      <c r="G27" s="31">
        <f>_xlfn.XLOOKUP(B27, Rate_Master!$A:$A, Rate_Master!$D:$D, "")</f>
        <v>32199.999999999996</v>
      </c>
      <c r="H27" s="66">
        <f t="shared" si="4"/>
        <v>32199.999999999996</v>
      </c>
      <c r="I27" s="32">
        <f t="shared" si="5"/>
        <v>3889502.3999999994</v>
      </c>
      <c r="J27" s="32"/>
    </row>
    <row r="28" spans="1:10" s="4" customFormat="1" ht="25.5" customHeight="1" outlineLevel="1">
      <c r="A28" s="27" t="str">
        <f t="shared" si="3"/>
        <v>19A.C2.5</v>
      </c>
      <c r="B28" s="28" t="s">
        <v>19</v>
      </c>
      <c r="C28" s="28" t="s">
        <v>515</v>
      </c>
      <c r="D28" s="29" t="s">
        <v>520</v>
      </c>
      <c r="E28" s="31">
        <v>117.25700000000001</v>
      </c>
      <c r="F28" s="31">
        <f>_xlfn.XLOOKUP(B28, Rate_Master!$A:$A, Rate_Master!$C:$C, "")</f>
        <v>6899.9999999999991</v>
      </c>
      <c r="G28" s="31">
        <f>_xlfn.XLOOKUP(B28, Rate_Master!$A:$A, Rate_Master!$D:$D, "")</f>
        <v>1724.9999999999998</v>
      </c>
      <c r="H28" s="66">
        <f t="shared" si="4"/>
        <v>8624.9999999999982</v>
      </c>
      <c r="I28" s="32">
        <f t="shared" si="5"/>
        <v>1011341.6249999999</v>
      </c>
      <c r="J28" s="32"/>
    </row>
    <row r="29" spans="1:10" s="4" customFormat="1" ht="38.25" customHeight="1" outlineLevel="1">
      <c r="A29" s="27" t="str">
        <f t="shared" si="3"/>
        <v>19A.C2.6</v>
      </c>
      <c r="B29" s="28" t="s">
        <v>20</v>
      </c>
      <c r="C29" s="28" t="s">
        <v>515</v>
      </c>
      <c r="D29" s="29" t="s">
        <v>520</v>
      </c>
      <c r="E29" s="31">
        <v>0</v>
      </c>
      <c r="F29" s="31">
        <f>_xlfn.XLOOKUP(B29, Rate_Master!$A:$A, Rate_Master!$C:$C, "")</f>
        <v>34500</v>
      </c>
      <c r="G29" s="31">
        <f>_xlfn.XLOOKUP(B29, Rate_Master!$A:$A, Rate_Master!$D:$D, "")</f>
        <v>5750</v>
      </c>
      <c r="H29" s="32">
        <f t="shared" si="4"/>
        <v>40250</v>
      </c>
      <c r="I29" s="32">
        <f t="shared" si="5"/>
        <v>0</v>
      </c>
      <c r="J29" s="32"/>
    </row>
    <row r="30" spans="1:10" s="4" customFormat="1" ht="25.5" customHeight="1" outlineLevel="1">
      <c r="A30" s="27" t="str">
        <f t="shared" si="3"/>
        <v>19A.C2.7</v>
      </c>
      <c r="B30" s="34" t="s">
        <v>21</v>
      </c>
      <c r="C30" s="28" t="s">
        <v>515</v>
      </c>
      <c r="D30" s="29" t="s">
        <v>520</v>
      </c>
      <c r="E30" s="31">
        <v>0</v>
      </c>
      <c r="F30" s="31">
        <f>_xlfn.XLOOKUP(B30, Rate_Master!$A:$A, Rate_Master!$C:$C, "")</f>
        <v>0</v>
      </c>
      <c r="G30" s="31">
        <f>_xlfn.XLOOKUP(B30, Rate_Master!$A:$A, Rate_Master!$D:$D, "")</f>
        <v>13799.999999999998</v>
      </c>
      <c r="H30" s="32">
        <f t="shared" si="4"/>
        <v>13799.999999999998</v>
      </c>
      <c r="I30" s="32">
        <f t="shared" si="5"/>
        <v>0</v>
      </c>
      <c r="J30" s="32"/>
    </row>
    <row r="31" spans="1:10" s="4" customFormat="1" ht="25.5" customHeight="1" outlineLevel="1">
      <c r="A31" s="27" t="str">
        <f t="shared" si="3"/>
        <v>19A.C2.8</v>
      </c>
      <c r="B31" s="28" t="s">
        <v>22</v>
      </c>
      <c r="C31" s="28" t="s">
        <v>515</v>
      </c>
      <c r="D31" s="29" t="s">
        <v>519</v>
      </c>
      <c r="E31" s="31">
        <v>0</v>
      </c>
      <c r="F31" s="31">
        <f>_xlfn.XLOOKUP(B31, Rate_Master!$A:$A, Rate_Master!$C:$C, "")</f>
        <v>512325</v>
      </c>
      <c r="G31" s="31">
        <f>_xlfn.XLOOKUP(B31, Rate_Master!$A:$A, Rate_Master!$D:$D, "")</f>
        <v>103499.99999999999</v>
      </c>
      <c r="H31" s="32">
        <f t="shared" si="4"/>
        <v>615825</v>
      </c>
      <c r="I31" s="32">
        <f t="shared" si="5"/>
        <v>0</v>
      </c>
      <c r="J31" s="32"/>
    </row>
    <row r="32" spans="1:10" s="3" customFormat="1" ht="25.5" customHeight="1">
      <c r="A32" s="22" t="str">
        <f>$A$10&amp;3</f>
        <v>19A.C3</v>
      </c>
      <c r="B32" s="23" t="s">
        <v>23</v>
      </c>
      <c r="C32" s="23" t="s">
        <v>515</v>
      </c>
      <c r="D32" s="22"/>
      <c r="E32" s="25"/>
      <c r="F32" s="25">
        <f>_xlfn.XLOOKUP(B32, Rate_Master!$A:$A, Rate_Master!$C:$C, "")</f>
        <v>0</v>
      </c>
      <c r="G32" s="25">
        <f>_xlfn.XLOOKUP(B32, Rate_Master!$A:$A, Rate_Master!$D:$D, "")</f>
        <v>0</v>
      </c>
      <c r="H32" s="26"/>
      <c r="I32" s="26">
        <f>SUBTOTAL(9,I33:I39)</f>
        <v>138044607.22222221</v>
      </c>
      <c r="J32" s="26"/>
    </row>
    <row r="33" spans="1:10" s="4" customFormat="1" ht="25.5" customHeight="1" outlineLevel="1">
      <c r="A33" s="27" t="str">
        <f t="shared" ref="A33:A39" si="6">$A$32&amp;"."&amp;ROW()-ROW($A$32)</f>
        <v>19A.C3.1</v>
      </c>
      <c r="B33" s="28" t="s">
        <v>24</v>
      </c>
      <c r="C33" s="28" t="s">
        <v>515</v>
      </c>
      <c r="D33" s="29" t="s">
        <v>519</v>
      </c>
      <c r="E33" s="31">
        <v>12.52</v>
      </c>
      <c r="F33" s="30">
        <f>_xlfn.XLOOKUP(B33, Rate_Master!$A:$A, Rate_Master!$C:$C, "")</f>
        <v>1249762.5</v>
      </c>
      <c r="G33" s="30">
        <f>_xlfn.XLOOKUP(B33, Rate_Master!$A:$A, Rate_Master!$D:$D, "")</f>
        <v>206999.99999999997</v>
      </c>
      <c r="H33" s="66">
        <f t="shared" ref="H33:H39" si="7">F33+G33</f>
        <v>1456762.5</v>
      </c>
      <c r="I33" s="32">
        <f t="shared" ref="I33:I39" si="8">H33*E33</f>
        <v>18238666.5</v>
      </c>
      <c r="J33" s="32"/>
    </row>
    <row r="34" spans="1:10" s="4" customFormat="1" ht="51" customHeight="1" outlineLevel="1">
      <c r="A34" s="27" t="str">
        <f t="shared" si="6"/>
        <v>19A.C3.2</v>
      </c>
      <c r="B34" s="28" t="s">
        <v>25</v>
      </c>
      <c r="C34" s="28" t="s">
        <v>515</v>
      </c>
      <c r="D34" s="29" t="s">
        <v>519</v>
      </c>
      <c r="E34" s="31">
        <v>28.391999999999999</v>
      </c>
      <c r="F34" s="30">
        <f>_xlfn.XLOOKUP(B34, Rate_Master!$A:$A, Rate_Master!$C:$C, "")</f>
        <v>1607444.4444444443</v>
      </c>
      <c r="G34" s="30">
        <f>_xlfn.XLOOKUP(B34, Rate_Master!$A:$A, Rate_Master!$D:$D, "")</f>
        <v>149500</v>
      </c>
      <c r="H34" s="66">
        <f t="shared" si="7"/>
        <v>1756944.4444444443</v>
      </c>
      <c r="I34" s="32">
        <f t="shared" si="8"/>
        <v>49883166.666666664</v>
      </c>
      <c r="J34" s="32"/>
    </row>
    <row r="35" spans="1:10" s="4" customFormat="1" ht="25.5" customHeight="1" outlineLevel="1">
      <c r="A35" s="27" t="str">
        <f t="shared" si="6"/>
        <v>19A.C3.3</v>
      </c>
      <c r="B35" s="28" t="s">
        <v>26</v>
      </c>
      <c r="C35" s="28" t="s">
        <v>515</v>
      </c>
      <c r="D35" s="29" t="s">
        <v>519</v>
      </c>
      <c r="E35" s="31">
        <v>6.6829999999999998</v>
      </c>
      <c r="F35" s="30">
        <f>_xlfn.XLOOKUP(B35, Rate_Master!$A:$A, Rate_Master!$C:$C, "")</f>
        <v>1520555.5555555553</v>
      </c>
      <c r="G35" s="30">
        <f>_xlfn.XLOOKUP(B35, Rate_Master!$A:$A, Rate_Master!$D:$D, "")</f>
        <v>252999.99999999997</v>
      </c>
      <c r="H35" s="66">
        <f t="shared" si="7"/>
        <v>1773555.5555555553</v>
      </c>
      <c r="I35" s="32">
        <f t="shared" si="8"/>
        <v>11852671.777777776</v>
      </c>
      <c r="J35" s="32"/>
    </row>
    <row r="36" spans="1:10" s="4" customFormat="1" ht="25.5" customHeight="1" outlineLevel="1">
      <c r="A36" s="27" t="str">
        <f t="shared" si="6"/>
        <v>19A.C3.4</v>
      </c>
      <c r="B36" s="28" t="s">
        <v>27</v>
      </c>
      <c r="C36" s="28" t="s">
        <v>515</v>
      </c>
      <c r="D36" s="29" t="s">
        <v>519</v>
      </c>
      <c r="E36" s="31">
        <v>32.530999999999999</v>
      </c>
      <c r="F36" s="30">
        <f>_xlfn.XLOOKUP(B36, Rate_Master!$A:$A, Rate_Master!$C:$C, "")</f>
        <v>1520555.5555555553</v>
      </c>
      <c r="G36" s="30">
        <f>_xlfn.XLOOKUP(B36, Rate_Master!$A:$A, Rate_Master!$D:$D, "")</f>
        <v>149500</v>
      </c>
      <c r="H36" s="66">
        <f t="shared" si="7"/>
        <v>1670055.5555555553</v>
      </c>
      <c r="I36" s="32">
        <f t="shared" si="8"/>
        <v>54328577.277777769</v>
      </c>
      <c r="J36" s="32"/>
    </row>
    <row r="37" spans="1:10" s="4" customFormat="1" ht="25.5" customHeight="1" outlineLevel="1">
      <c r="A37" s="27" t="str">
        <f t="shared" si="6"/>
        <v>19A.C3.5</v>
      </c>
      <c r="B37" s="28" t="s">
        <v>28</v>
      </c>
      <c r="C37" s="28" t="s">
        <v>515</v>
      </c>
      <c r="D37" s="29" t="s">
        <v>519</v>
      </c>
      <c r="E37" s="31">
        <v>2.4300000000000002</v>
      </c>
      <c r="F37" s="30">
        <f>_xlfn.XLOOKUP(B37, Rate_Master!$A:$A, Rate_Master!$C:$C, "")</f>
        <v>1390222.2222222222</v>
      </c>
      <c r="G37" s="30">
        <f>_xlfn.XLOOKUP(B37, Rate_Master!$A:$A, Rate_Master!$D:$D, "")</f>
        <v>149500</v>
      </c>
      <c r="H37" s="66">
        <f t="shared" si="7"/>
        <v>1539722.2222222222</v>
      </c>
      <c r="I37" s="32">
        <f t="shared" si="8"/>
        <v>3741525.0000000005</v>
      </c>
      <c r="J37" s="32"/>
    </row>
    <row r="38" spans="1:10" s="4" customFormat="1" ht="25.5" customHeight="1" outlineLevel="1">
      <c r="A38" s="27" t="str">
        <f t="shared" si="6"/>
        <v>19A.C3.6</v>
      </c>
      <c r="B38" s="28" t="s">
        <v>29</v>
      </c>
      <c r="C38" s="28" t="s">
        <v>515</v>
      </c>
      <c r="D38" s="29" t="s">
        <v>519</v>
      </c>
      <c r="E38" s="31">
        <v>0</v>
      </c>
      <c r="F38" s="30">
        <f>_xlfn.XLOOKUP(B38, Rate_Master!$A:$A, Rate_Master!$C:$C, "")</f>
        <v>1390222.2222222222</v>
      </c>
      <c r="G38" s="30">
        <f>_xlfn.XLOOKUP(B38, Rate_Master!$A:$A, Rate_Master!$D:$D, "")</f>
        <v>149500</v>
      </c>
      <c r="H38" s="32">
        <f t="shared" si="7"/>
        <v>1539722.2222222222</v>
      </c>
      <c r="I38" s="32">
        <f t="shared" si="8"/>
        <v>0</v>
      </c>
      <c r="J38" s="32"/>
    </row>
    <row r="39" spans="1:10" s="4" customFormat="1" ht="38.25" customHeight="1" outlineLevel="1">
      <c r="A39" s="27" t="str">
        <f t="shared" si="6"/>
        <v>19A.C3.7</v>
      </c>
      <c r="B39" s="28" t="s">
        <v>30</v>
      </c>
      <c r="C39" s="28" t="s">
        <v>515</v>
      </c>
      <c r="D39" s="29" t="s">
        <v>519</v>
      </c>
      <c r="E39" s="31">
        <v>0</v>
      </c>
      <c r="F39" s="30">
        <f>_xlfn.XLOOKUP(B39, Rate_Master!$A:$A, Rate_Master!$C:$C, "")</f>
        <v>22425000</v>
      </c>
      <c r="G39" s="30">
        <f>_xlfn.XLOOKUP(B39, Rate_Master!$A:$A, Rate_Master!$D:$D, "")</f>
        <v>8003999.9999999991</v>
      </c>
      <c r="H39" s="32">
        <f t="shared" si="7"/>
        <v>30429000</v>
      </c>
      <c r="I39" s="32">
        <f t="shared" si="8"/>
        <v>0</v>
      </c>
      <c r="J39" s="32"/>
    </row>
    <row r="40" spans="1:10" s="3" customFormat="1" ht="25.5" customHeight="1">
      <c r="A40" s="22" t="str">
        <f>$A$10&amp;4</f>
        <v>19A.C4</v>
      </c>
      <c r="B40" s="23" t="s">
        <v>31</v>
      </c>
      <c r="C40" s="23" t="s">
        <v>515</v>
      </c>
      <c r="D40" s="22"/>
      <c r="E40" s="25"/>
      <c r="F40" s="25">
        <f>_xlfn.XLOOKUP(B40, Rate_Master!$A:$A, Rate_Master!$C:$C, "")</f>
        <v>0</v>
      </c>
      <c r="G40" s="25">
        <f>_xlfn.XLOOKUP(B40, Rate_Master!$A:$A, Rate_Master!$D:$D, "")</f>
        <v>0</v>
      </c>
      <c r="H40" s="26"/>
      <c r="I40" s="26">
        <f>SUBTOTAL(9,I41:I45)</f>
        <v>118796414.49999999</v>
      </c>
      <c r="J40" s="26"/>
    </row>
    <row r="41" spans="1:10" s="4" customFormat="1" ht="25.5" customHeight="1" outlineLevel="1">
      <c r="A41" s="27" t="str">
        <f>$A$40&amp;"."&amp;ROW()-ROW($A$40)</f>
        <v>19A.C4.1</v>
      </c>
      <c r="B41" s="28" t="s">
        <v>32</v>
      </c>
      <c r="C41" s="28" t="s">
        <v>515</v>
      </c>
      <c r="D41" s="29" t="s">
        <v>520</v>
      </c>
      <c r="E41" s="31">
        <v>33.524999999999999</v>
      </c>
      <c r="F41" s="30">
        <f>_xlfn.XLOOKUP(B41, Rate_Master!$A:$A, Rate_Master!$C:$C, "")</f>
        <v>80500</v>
      </c>
      <c r="G41" s="30">
        <f>_xlfn.XLOOKUP(B41, Rate_Master!$A:$A, Rate_Master!$D:$D, "")</f>
        <v>92000</v>
      </c>
      <c r="H41" s="66">
        <f>F41+G41</f>
        <v>172500</v>
      </c>
      <c r="I41" s="32">
        <f>H41*E41</f>
        <v>5783062.5</v>
      </c>
      <c r="J41" s="32"/>
    </row>
    <row r="42" spans="1:10" s="4" customFormat="1" ht="38.25" customHeight="1" outlineLevel="1">
      <c r="A42" s="27" t="str">
        <f>$A$40&amp;"."&amp;ROW()-ROW($A$40)</f>
        <v>19A.C4.2</v>
      </c>
      <c r="B42" s="28" t="s">
        <v>33</v>
      </c>
      <c r="C42" s="28" t="s">
        <v>515</v>
      </c>
      <c r="D42" s="29" t="s">
        <v>520</v>
      </c>
      <c r="E42" s="31">
        <v>89.671999999999997</v>
      </c>
      <c r="F42" s="30">
        <f>_xlfn.XLOOKUP(B42, Rate_Master!$A:$A, Rate_Master!$C:$C, "")</f>
        <v>126499.99999999999</v>
      </c>
      <c r="G42" s="30">
        <f>_xlfn.XLOOKUP(B42, Rate_Master!$A:$A, Rate_Master!$D:$D, "")</f>
        <v>103499.99999999999</v>
      </c>
      <c r="H42" s="66">
        <f>F42+G42</f>
        <v>229999.99999999997</v>
      </c>
      <c r="I42" s="32">
        <f>H42*E42</f>
        <v>20624559.999999996</v>
      </c>
      <c r="J42" s="32"/>
    </row>
    <row r="43" spans="1:10" s="4" customFormat="1" ht="25.5" customHeight="1" outlineLevel="1">
      <c r="A43" s="27" t="str">
        <f>$A$40&amp;"."&amp;ROW()-ROW($A$40)</f>
        <v>19A.C4.3</v>
      </c>
      <c r="B43" s="28" t="s">
        <v>34</v>
      </c>
      <c r="C43" s="28" t="s">
        <v>515</v>
      </c>
      <c r="D43" s="29" t="s">
        <v>520</v>
      </c>
      <c r="E43" s="31">
        <v>81.397999999999996</v>
      </c>
      <c r="F43" s="30">
        <f>_xlfn.XLOOKUP(B43, Rate_Master!$A:$A, Rate_Master!$C:$C, "")</f>
        <v>126499.99999999999</v>
      </c>
      <c r="G43" s="30">
        <f>_xlfn.XLOOKUP(B43, Rate_Master!$A:$A, Rate_Master!$D:$D, "")</f>
        <v>149500</v>
      </c>
      <c r="H43" s="66">
        <f>F43+G43</f>
        <v>276000</v>
      </c>
      <c r="I43" s="32">
        <f>H43*E43</f>
        <v>22465848</v>
      </c>
      <c r="J43" s="32"/>
    </row>
    <row r="44" spans="1:10" s="4" customFormat="1" ht="25.5" customHeight="1" outlineLevel="1">
      <c r="A44" s="27" t="str">
        <f>$A$40&amp;"."&amp;ROW()-ROW($A$40)</f>
        <v>19A.C4.4</v>
      </c>
      <c r="B44" s="28" t="s">
        <v>35</v>
      </c>
      <c r="C44" s="28" t="s">
        <v>515</v>
      </c>
      <c r="D44" s="29" t="s">
        <v>520</v>
      </c>
      <c r="E44" s="31">
        <v>289.536</v>
      </c>
      <c r="F44" s="30">
        <f>_xlfn.XLOOKUP(B44, Rate_Master!$A:$A, Rate_Master!$C:$C, "")</f>
        <v>126499.99999999999</v>
      </c>
      <c r="G44" s="30">
        <f>_xlfn.XLOOKUP(B44, Rate_Master!$A:$A, Rate_Master!$D:$D, "")</f>
        <v>114999.99999999999</v>
      </c>
      <c r="H44" s="66">
        <f>F44+G44</f>
        <v>241499.99999999997</v>
      </c>
      <c r="I44" s="32">
        <f>H44*E44</f>
        <v>69922943.999999985</v>
      </c>
      <c r="J44" s="32"/>
    </row>
    <row r="45" spans="1:10" s="4" customFormat="1" ht="25.5" customHeight="1" outlineLevel="1">
      <c r="A45" s="27" t="str">
        <f>$A$40&amp;"."&amp;ROW()-ROW($A$40)</f>
        <v>19A.C4.5</v>
      </c>
      <c r="B45" s="28" t="s">
        <v>36</v>
      </c>
      <c r="C45" s="28" t="s">
        <v>515</v>
      </c>
      <c r="D45" s="29" t="s">
        <v>520</v>
      </c>
      <c r="E45" s="31">
        <v>0</v>
      </c>
      <c r="F45" s="30">
        <f>_xlfn.XLOOKUP(B45, Rate_Master!$A:$A, Rate_Master!$C:$C, "")</f>
        <v>126499.99999999999</v>
      </c>
      <c r="G45" s="30">
        <f>_xlfn.XLOOKUP(B45, Rate_Master!$A:$A, Rate_Master!$D:$D, "")</f>
        <v>97749.999999999985</v>
      </c>
      <c r="H45" s="32">
        <f>F45+G45</f>
        <v>224249.99999999997</v>
      </c>
      <c r="I45" s="32">
        <f>H45*E45</f>
        <v>0</v>
      </c>
      <c r="J45" s="32"/>
    </row>
    <row r="46" spans="1:10" s="3" customFormat="1" ht="25.5" customHeight="1">
      <c r="A46" s="22" t="str">
        <f>$A$10&amp;5</f>
        <v>19A.C5</v>
      </c>
      <c r="B46" s="23" t="s">
        <v>37</v>
      </c>
      <c r="C46" s="23" t="s">
        <v>515</v>
      </c>
      <c r="D46" s="22"/>
      <c r="E46" s="25"/>
      <c r="F46" s="25">
        <f>_xlfn.XLOOKUP(B46, Rate_Master!$A:$A, Rate_Master!$C:$C, "")</f>
        <v>0</v>
      </c>
      <c r="G46" s="25">
        <f>_xlfn.XLOOKUP(B46, Rate_Master!$A:$A, Rate_Master!$D:$D, "")</f>
        <v>0</v>
      </c>
      <c r="H46" s="26"/>
      <c r="I46" s="26">
        <f>SUBTOTAL(9,I47:I49)</f>
        <v>172607634.30175</v>
      </c>
      <c r="J46" s="26"/>
    </row>
    <row r="47" spans="1:10" s="4" customFormat="1" ht="38.25" customHeight="1" outlineLevel="1">
      <c r="A47" s="27" t="str">
        <f>$A$46&amp;"."&amp;ROW()-ROW($A$46)</f>
        <v>19A.C5.1</v>
      </c>
      <c r="B47" s="28" t="s">
        <v>38</v>
      </c>
      <c r="C47" s="28" t="s">
        <v>522</v>
      </c>
      <c r="D47" s="29" t="s">
        <v>523</v>
      </c>
      <c r="E47" s="31">
        <v>3749.1529999999998</v>
      </c>
      <c r="F47" s="30">
        <f>_xlfn.XLOOKUP(B47, Rate_Master!$A:$A, Rate_Master!$C:$C, "")</f>
        <v>16770.564999999999</v>
      </c>
      <c r="G47" s="30">
        <f>_xlfn.XLOOKUP(B47, Rate_Master!$A:$A, Rate_Master!$D:$D, "")</f>
        <v>2875</v>
      </c>
      <c r="H47" s="66">
        <f>F47+G47</f>
        <v>19645.564999999999</v>
      </c>
      <c r="I47" s="32">
        <f>H47*E47</f>
        <v>73654228.956444994</v>
      </c>
      <c r="J47" s="32"/>
    </row>
    <row r="48" spans="1:10" s="4" customFormat="1" ht="25.5" customHeight="1" outlineLevel="1">
      <c r="A48" s="27" t="str">
        <f>$A$46&amp;"."&amp;ROW()-ROW($A$46)</f>
        <v>19A.C5.2</v>
      </c>
      <c r="B48" s="28" t="s">
        <v>39</v>
      </c>
      <c r="C48" s="28" t="s">
        <v>522</v>
      </c>
      <c r="D48" s="29" t="s">
        <v>523</v>
      </c>
      <c r="E48" s="31">
        <v>1925.7280000000001</v>
      </c>
      <c r="F48" s="30">
        <f>_xlfn.XLOOKUP(B48, Rate_Master!$A:$A, Rate_Master!$C:$C, "")</f>
        <v>16770.564999999999</v>
      </c>
      <c r="G48" s="30">
        <f>_xlfn.XLOOKUP(B48, Rate_Master!$A:$A, Rate_Master!$D:$D, "")</f>
        <v>3679.9999999999995</v>
      </c>
      <c r="H48" s="66">
        <f>F48+G48</f>
        <v>20450.564999999999</v>
      </c>
      <c r="I48" s="32">
        <f>H48*E48</f>
        <v>39382225.636320002</v>
      </c>
      <c r="J48" s="32"/>
    </row>
    <row r="49" spans="1:10" s="4" customFormat="1" ht="25.5" customHeight="1" outlineLevel="1">
      <c r="A49" s="27" t="str">
        <f>$A$46&amp;"."&amp;ROW()-ROW($A$46)</f>
        <v>19A.C5.3</v>
      </c>
      <c r="B49" s="28" t="s">
        <v>40</v>
      </c>
      <c r="C49" s="28" t="s">
        <v>522</v>
      </c>
      <c r="D49" s="29" t="s">
        <v>523</v>
      </c>
      <c r="E49" s="31">
        <v>2946.069</v>
      </c>
      <c r="F49" s="30">
        <f>_xlfn.XLOOKUP(B49, Rate_Master!$A:$A, Rate_Master!$C:$C, "")</f>
        <v>16770.564999999999</v>
      </c>
      <c r="G49" s="30">
        <f>_xlfn.XLOOKUP(B49, Rate_Master!$A:$A, Rate_Master!$D:$D, "")</f>
        <v>3449.9999999999995</v>
      </c>
      <c r="H49" s="66">
        <f>F49+G49</f>
        <v>20220.564999999999</v>
      </c>
      <c r="I49" s="32">
        <f>H49*E49</f>
        <v>59571179.708984993</v>
      </c>
      <c r="J49" s="32"/>
    </row>
    <row r="50" spans="1:10" s="3" customFormat="1" ht="25.5" customHeight="1">
      <c r="A50" s="22" t="str">
        <f>$A$10&amp;6</f>
        <v>19A.C6</v>
      </c>
      <c r="B50" s="23" t="s">
        <v>43</v>
      </c>
      <c r="C50" s="23" t="s">
        <v>515</v>
      </c>
      <c r="D50" s="22"/>
      <c r="E50" s="25"/>
      <c r="F50" s="25">
        <f>_xlfn.XLOOKUP(B50, Rate_Master!$A:$A, Rate_Master!$C:$C, "")</f>
        <v>0</v>
      </c>
      <c r="G50" s="25">
        <f>_xlfn.XLOOKUP(B50, Rate_Master!$A:$A, Rate_Master!$D:$D, "")</f>
        <v>0</v>
      </c>
      <c r="H50" s="26">
        <v>0</v>
      </c>
      <c r="I50" s="26">
        <f>SUBTOTAL(9,I51:I51)</f>
        <v>2495274.5999999996</v>
      </c>
      <c r="J50" s="26"/>
    </row>
    <row r="51" spans="1:10" s="4" customFormat="1" ht="25.5" hidden="1" customHeight="1" outlineLevel="1">
      <c r="A51" s="27" t="str">
        <f>$A$50&amp;"."&amp;ROW()-ROW($A$50)</f>
        <v>19A.C6.1</v>
      </c>
      <c r="B51" s="28" t="s">
        <v>44</v>
      </c>
      <c r="C51" s="28" t="s">
        <v>515</v>
      </c>
      <c r="D51" s="29" t="s">
        <v>520</v>
      </c>
      <c r="E51" s="31">
        <v>77.492999999999995</v>
      </c>
      <c r="F51" s="30">
        <f>_xlfn.XLOOKUP(B51, Rate_Master!$A:$A, Rate_Master!$C:$C, "")</f>
        <v>14949.999999999998</v>
      </c>
      <c r="G51" s="30">
        <f>_xlfn.XLOOKUP(B51, Rate_Master!$A:$A, Rate_Master!$D:$D, "")</f>
        <v>17250</v>
      </c>
      <c r="H51" s="32">
        <f>F51+G51</f>
        <v>32200</v>
      </c>
      <c r="I51" s="32">
        <f>H51*E51</f>
        <v>2495274.5999999996</v>
      </c>
      <c r="J51" s="32"/>
    </row>
    <row r="52" spans="1:10" s="3" customFormat="1" ht="25.5" customHeight="1" collapsed="1">
      <c r="A52" s="22" t="str">
        <f>$A$9&amp;".F"</f>
        <v>19A.F</v>
      </c>
      <c r="B52" s="23" t="s">
        <v>93</v>
      </c>
      <c r="C52" s="23" t="s">
        <v>515</v>
      </c>
      <c r="D52" s="22"/>
      <c r="E52" s="25"/>
      <c r="F52" s="25">
        <f>_xlfn.XLOOKUP(B52, Rate_Master!$A:$A, Rate_Master!$C:$C, "")</f>
        <v>0</v>
      </c>
      <c r="G52" s="25">
        <f>_xlfn.XLOOKUP(B52, Rate_Master!$A:$A, Rate_Master!$D:$D, "")</f>
        <v>0</v>
      </c>
      <c r="H52" s="26">
        <v>0</v>
      </c>
      <c r="I52" s="26"/>
      <c r="J52" s="26"/>
    </row>
    <row r="53" spans="1:10" s="3" customFormat="1" ht="25.5" customHeight="1">
      <c r="A53" s="22" t="str">
        <f>$A$52&amp;1</f>
        <v>19A.F1</v>
      </c>
      <c r="B53" s="23" t="s">
        <v>94</v>
      </c>
      <c r="C53" s="23" t="s">
        <v>515</v>
      </c>
      <c r="D53" s="22"/>
      <c r="E53" s="25"/>
      <c r="F53" s="25">
        <f>_xlfn.XLOOKUP(B53, Rate_Master!$A:$A, Rate_Master!$C:$C, "")</f>
        <v>0</v>
      </c>
      <c r="G53" s="25">
        <f>_xlfn.XLOOKUP(B53, Rate_Master!$A:$A, Rate_Master!$D:$D, "")</f>
        <v>0</v>
      </c>
      <c r="H53" s="26">
        <v>0</v>
      </c>
      <c r="I53" s="26">
        <f>SUBTOTAL(9,I54:I71)</f>
        <v>216928413.15156487</v>
      </c>
      <c r="J53" s="26"/>
    </row>
    <row r="54" spans="1:10" s="4" customFormat="1" ht="25.5" customHeight="1" outlineLevel="1">
      <c r="A54" s="27" t="str">
        <f t="shared" ref="A54:A75" si="9">$A$53&amp;"."&amp;ROW()-ROW($A$53)</f>
        <v>19A.F1.1</v>
      </c>
      <c r="B54" s="35" t="s">
        <v>95</v>
      </c>
      <c r="C54" s="34" t="s">
        <v>551</v>
      </c>
      <c r="D54" s="29" t="s">
        <v>519</v>
      </c>
      <c r="E54" s="31">
        <v>38.765999999999998</v>
      </c>
      <c r="F54" s="30">
        <f>_xlfn.XLOOKUP(B54, Rate_Master!$A:$A, Rate_Master!$C:$C, "")</f>
        <v>1587600.0077618286</v>
      </c>
      <c r="G54" s="30">
        <f>_xlfn.XLOOKUP(B54, Rate_Master!$A:$A, Rate_Master!$D:$D, "")</f>
        <v>1086539.80861244</v>
      </c>
      <c r="H54" s="32">
        <f>F54+G54</f>
        <v>2674139.8163742684</v>
      </c>
      <c r="I54" s="32">
        <f t="shared" ref="I54:I75" si="10">H54*E54</f>
        <v>103665704.12156488</v>
      </c>
      <c r="J54" s="32"/>
    </row>
    <row r="55" spans="1:10" s="4" customFormat="1" ht="25.5" customHeight="1" outlineLevel="1">
      <c r="A55" s="27" t="str">
        <f t="shared" si="9"/>
        <v>19A.F1.2</v>
      </c>
      <c r="B55" s="35" t="s">
        <v>96</v>
      </c>
      <c r="C55" s="34" t="s">
        <v>551</v>
      </c>
      <c r="D55" s="29" t="s">
        <v>519</v>
      </c>
      <c r="E55" s="31">
        <v>3.871</v>
      </c>
      <c r="F55" s="30">
        <f>_xlfn.XLOOKUP(B55, Rate_Master!$A:$A, Rate_Master!$C:$C, "")</f>
        <v>1368500</v>
      </c>
      <c r="G55" s="30">
        <f>_xlfn.XLOOKUP(B55, Rate_Master!$A:$A, Rate_Master!$D:$D, "")</f>
        <v>948749.99999999988</v>
      </c>
      <c r="H55" s="32">
        <f>F55+G55</f>
        <v>2317250</v>
      </c>
      <c r="I55" s="32">
        <f t="shared" si="10"/>
        <v>8970074.75</v>
      </c>
      <c r="J55" s="32"/>
    </row>
    <row r="56" spans="1:10" s="4" customFormat="1" ht="51" customHeight="1" outlineLevel="1">
      <c r="A56" s="27" t="str">
        <f t="shared" si="9"/>
        <v>19A.F1.3</v>
      </c>
      <c r="B56" s="28" t="s">
        <v>97</v>
      </c>
      <c r="C56" s="34" t="s">
        <v>552</v>
      </c>
      <c r="D56" s="29" t="s">
        <v>520</v>
      </c>
      <c r="E56" s="31">
        <v>0</v>
      </c>
      <c r="F56" s="31">
        <f>_xlfn.XLOOKUP(B56, Rate_Master!$A:$A, Rate_Master!$C:$C, "")</f>
        <v>229999.99999999997</v>
      </c>
      <c r="G56" s="31">
        <f>_xlfn.XLOOKUP(B56, Rate_Master!$A:$A, Rate_Master!$D:$D, "")</f>
        <v>46000</v>
      </c>
      <c r="H56" s="32">
        <v>0</v>
      </c>
      <c r="I56" s="32">
        <f t="shared" si="10"/>
        <v>0</v>
      </c>
      <c r="J56" s="32"/>
    </row>
    <row r="57" spans="1:10" s="4" customFormat="1" ht="51" customHeight="1" outlineLevel="1">
      <c r="A57" s="27" t="str">
        <f t="shared" si="9"/>
        <v>19A.F1.4</v>
      </c>
      <c r="B57" s="28" t="s">
        <v>98</v>
      </c>
      <c r="C57" s="34" t="s">
        <v>553</v>
      </c>
      <c r="D57" s="29" t="s">
        <v>520</v>
      </c>
      <c r="E57" s="31">
        <v>0</v>
      </c>
      <c r="F57" s="31">
        <f>_xlfn.XLOOKUP(B57, Rate_Master!$A:$A, Rate_Master!$C:$C, "")</f>
        <v>0</v>
      </c>
      <c r="G57" s="31">
        <f>_xlfn.XLOOKUP(B57, Rate_Master!$A:$A, Rate_Master!$D:$D, "")</f>
        <v>0</v>
      </c>
      <c r="H57" s="32">
        <v>0</v>
      </c>
      <c r="I57" s="32">
        <f t="shared" si="10"/>
        <v>0</v>
      </c>
      <c r="J57" s="32"/>
    </row>
    <row r="58" spans="1:10" s="4" customFormat="1" ht="51" customHeight="1" outlineLevel="1">
      <c r="A58" s="27" t="str">
        <f t="shared" si="9"/>
        <v>19A.F1.5</v>
      </c>
      <c r="B58" s="28" t="s">
        <v>99</v>
      </c>
      <c r="C58" s="34" t="s">
        <v>553</v>
      </c>
      <c r="D58" s="29" t="s">
        <v>520</v>
      </c>
      <c r="E58" s="31">
        <v>0</v>
      </c>
      <c r="F58" s="31">
        <f>_xlfn.XLOOKUP(B58, Rate_Master!$A:$A, Rate_Master!$C:$C, "")</f>
        <v>931499.99999999988</v>
      </c>
      <c r="G58" s="31">
        <f>_xlfn.XLOOKUP(B58, Rate_Master!$A:$A, Rate_Master!$D:$D, "")</f>
        <v>114999.99999999999</v>
      </c>
      <c r="H58" s="32">
        <v>0</v>
      </c>
      <c r="I58" s="32">
        <f t="shared" si="10"/>
        <v>0</v>
      </c>
      <c r="J58" s="32"/>
    </row>
    <row r="59" spans="1:10" s="4" customFormat="1" ht="25.5" customHeight="1" outlineLevel="1">
      <c r="A59" s="27" t="str">
        <f t="shared" si="9"/>
        <v>19A.F1.6</v>
      </c>
      <c r="B59" s="28" t="s">
        <v>100</v>
      </c>
      <c r="C59" s="34" t="s">
        <v>554</v>
      </c>
      <c r="D59" s="29" t="s">
        <v>520</v>
      </c>
      <c r="E59" s="31">
        <v>0</v>
      </c>
      <c r="F59" s="31">
        <f>_xlfn.XLOOKUP(B59, Rate_Master!$A:$A, Rate_Master!$C:$C, "")</f>
        <v>1586790</v>
      </c>
      <c r="G59" s="31">
        <f>_xlfn.XLOOKUP(B59, Rate_Master!$A:$A, Rate_Master!$D:$D, "")</f>
        <v>372210</v>
      </c>
      <c r="H59" s="32">
        <v>0</v>
      </c>
      <c r="I59" s="32">
        <f t="shared" si="10"/>
        <v>0</v>
      </c>
      <c r="J59" s="32"/>
    </row>
    <row r="60" spans="1:10" s="4" customFormat="1" ht="51" customHeight="1" outlineLevel="1">
      <c r="A60" s="27" t="str">
        <f t="shared" si="9"/>
        <v>19A.F1.7</v>
      </c>
      <c r="B60" s="28" t="s">
        <v>101</v>
      </c>
      <c r="C60" s="28" t="s">
        <v>515</v>
      </c>
      <c r="D60" s="29" t="s">
        <v>520</v>
      </c>
      <c r="E60" s="31">
        <v>0</v>
      </c>
      <c r="F60" s="31">
        <f>_xlfn.XLOOKUP(B60, Rate_Master!$A:$A, Rate_Master!$C:$C, "")</f>
        <v>1121250</v>
      </c>
      <c r="G60" s="31">
        <f>_xlfn.XLOOKUP(B60, Rate_Master!$A:$A, Rate_Master!$D:$D, "")</f>
        <v>114999.99999999999</v>
      </c>
      <c r="H60" s="32">
        <v>0</v>
      </c>
      <c r="I60" s="32">
        <f t="shared" si="10"/>
        <v>0</v>
      </c>
      <c r="J60" s="32"/>
    </row>
    <row r="61" spans="1:10" s="4" customFormat="1" ht="51" customHeight="1" outlineLevel="1">
      <c r="A61" s="27" t="str">
        <f t="shared" si="9"/>
        <v>19A.F1.8</v>
      </c>
      <c r="B61" s="28" t="s">
        <v>102</v>
      </c>
      <c r="C61" s="34" t="s">
        <v>555</v>
      </c>
      <c r="D61" s="29" t="s">
        <v>520</v>
      </c>
      <c r="E61" s="31">
        <v>0</v>
      </c>
      <c r="F61" s="31">
        <f>_xlfn.XLOOKUP(B61, Rate_Master!$A:$A, Rate_Master!$C:$C, "")</f>
        <v>0</v>
      </c>
      <c r="G61" s="31">
        <f>_xlfn.XLOOKUP(B61, Rate_Master!$A:$A, Rate_Master!$D:$D, "")</f>
        <v>0</v>
      </c>
      <c r="H61" s="32">
        <v>0</v>
      </c>
      <c r="I61" s="32">
        <f t="shared" si="10"/>
        <v>0</v>
      </c>
      <c r="J61" s="32"/>
    </row>
    <row r="62" spans="1:10" s="4" customFormat="1" ht="51" customHeight="1" outlineLevel="1">
      <c r="A62" s="27" t="str">
        <f t="shared" si="9"/>
        <v>19A.F1.9</v>
      </c>
      <c r="B62" s="28" t="s">
        <v>103</v>
      </c>
      <c r="C62" s="34" t="s">
        <v>555</v>
      </c>
      <c r="D62" s="29" t="s">
        <v>520</v>
      </c>
      <c r="E62" s="31">
        <v>0</v>
      </c>
      <c r="F62" s="31">
        <f>_xlfn.XLOOKUP(B62, Rate_Master!$A:$A, Rate_Master!$C:$C, "")</f>
        <v>0</v>
      </c>
      <c r="G62" s="31">
        <f>_xlfn.XLOOKUP(B62, Rate_Master!$A:$A, Rate_Master!$D:$D, "")</f>
        <v>0</v>
      </c>
      <c r="H62" s="32">
        <v>0</v>
      </c>
      <c r="I62" s="32">
        <f t="shared" si="10"/>
        <v>0</v>
      </c>
      <c r="J62" s="32"/>
    </row>
    <row r="63" spans="1:10" s="4" customFormat="1" ht="25.5" customHeight="1" outlineLevel="1">
      <c r="A63" s="27" t="str">
        <f t="shared" si="9"/>
        <v>19A.F1.10</v>
      </c>
      <c r="B63" s="28" t="s">
        <v>104</v>
      </c>
      <c r="C63" s="28" t="s">
        <v>515</v>
      </c>
      <c r="D63" s="29" t="s">
        <v>520</v>
      </c>
      <c r="E63" s="31">
        <v>0</v>
      </c>
      <c r="F63" s="30">
        <f>_xlfn.XLOOKUP(B63, Rate_Master!$A:$A, Rate_Master!$C:$C, "")</f>
        <v>46000</v>
      </c>
      <c r="G63" s="30">
        <f>_xlfn.XLOOKUP(B63, Rate_Master!$A:$A, Rate_Master!$D:$D, "")</f>
        <v>34500</v>
      </c>
      <c r="H63" s="32">
        <v>0</v>
      </c>
      <c r="I63" s="32">
        <f t="shared" si="10"/>
        <v>0</v>
      </c>
      <c r="J63" s="32"/>
    </row>
    <row r="64" spans="1:10" s="4" customFormat="1" ht="25.5" customHeight="1" outlineLevel="1">
      <c r="A64" s="27" t="str">
        <f t="shared" si="9"/>
        <v>19A.F1.11</v>
      </c>
      <c r="B64" s="28" t="s">
        <v>105</v>
      </c>
      <c r="C64" s="34" t="s">
        <v>556</v>
      </c>
      <c r="D64" s="29" t="s">
        <v>520</v>
      </c>
      <c r="E64" s="31">
        <v>419.14800000000002</v>
      </c>
      <c r="F64" s="30">
        <f>_xlfn.XLOOKUP(B64, Rate_Master!$A:$A, Rate_Master!$C:$C, "")</f>
        <v>26565.000000000004</v>
      </c>
      <c r="G64" s="30">
        <f>_xlfn.XLOOKUP(B64, Rate_Master!$A:$A, Rate_Master!$D:$D, "")</f>
        <v>132250</v>
      </c>
      <c r="H64" s="32">
        <f t="shared" ref="H64:H69" si="11">F64+G64</f>
        <v>158815</v>
      </c>
      <c r="I64" s="32">
        <f t="shared" si="10"/>
        <v>66566989.620000005</v>
      </c>
      <c r="J64" s="32"/>
    </row>
    <row r="65" spans="1:10" s="4" customFormat="1" ht="25.5" customHeight="1" outlineLevel="1">
      <c r="A65" s="27" t="str">
        <f t="shared" si="9"/>
        <v>19A.F1.12</v>
      </c>
      <c r="B65" s="28" t="s">
        <v>106</v>
      </c>
      <c r="C65" s="34" t="s">
        <v>556</v>
      </c>
      <c r="D65" s="29" t="s">
        <v>520</v>
      </c>
      <c r="E65" s="31">
        <v>138.34399999999999</v>
      </c>
      <c r="F65" s="30">
        <f>_xlfn.XLOOKUP(B65, Rate_Master!$A:$A, Rate_Master!$C:$C, "")</f>
        <v>26565.000000000004</v>
      </c>
      <c r="G65" s="30">
        <f>_xlfn.XLOOKUP(B65, Rate_Master!$A:$A, Rate_Master!$D:$D, "")</f>
        <v>117299.99999999999</v>
      </c>
      <c r="H65" s="32">
        <f t="shared" si="11"/>
        <v>143865</v>
      </c>
      <c r="I65" s="32">
        <f t="shared" si="10"/>
        <v>19902859.559999999</v>
      </c>
      <c r="J65" s="32"/>
    </row>
    <row r="66" spans="1:10" s="4" customFormat="1" ht="53.25" customHeight="1" outlineLevel="1">
      <c r="A66" s="27" t="str">
        <f t="shared" si="9"/>
        <v>19A.F1.13</v>
      </c>
      <c r="B66" s="28" t="s">
        <v>107</v>
      </c>
      <c r="C66" s="28" t="s">
        <v>515</v>
      </c>
      <c r="D66" s="29" t="s">
        <v>520</v>
      </c>
      <c r="E66" s="31">
        <v>29.9</v>
      </c>
      <c r="F66" s="31">
        <f>_xlfn.XLOOKUP(B66, Rate_Master!$A:$A, Rate_Master!$C:$C, "")</f>
        <v>218499.99999999997</v>
      </c>
      <c r="G66" s="31">
        <f>_xlfn.XLOOKUP(B66, Rate_Master!$A:$A, Rate_Master!$D:$D, "")</f>
        <v>138000</v>
      </c>
      <c r="H66" s="32">
        <f t="shared" si="11"/>
        <v>356500</v>
      </c>
      <c r="I66" s="32">
        <f t="shared" si="10"/>
        <v>10659350</v>
      </c>
      <c r="J66" s="32"/>
    </row>
    <row r="67" spans="1:10" s="4" customFormat="1" ht="25.5" customHeight="1" outlineLevel="1">
      <c r="A67" s="27" t="str">
        <f t="shared" si="9"/>
        <v>19A.F1.14</v>
      </c>
      <c r="B67" s="34" t="s">
        <v>108</v>
      </c>
      <c r="C67" s="28" t="s">
        <v>515</v>
      </c>
      <c r="D67" s="29" t="s">
        <v>520</v>
      </c>
      <c r="E67" s="31">
        <v>0</v>
      </c>
      <c r="F67" s="30">
        <f>_xlfn.XLOOKUP(B67, Rate_Master!$A:$A, Rate_Master!$C:$C, "")</f>
        <v>51749.999999999993</v>
      </c>
      <c r="G67" s="30">
        <f>_xlfn.XLOOKUP(B67, Rate_Master!$A:$A, Rate_Master!$D:$D, "")</f>
        <v>34500</v>
      </c>
      <c r="H67" s="32">
        <f t="shared" si="11"/>
        <v>86250</v>
      </c>
      <c r="I67" s="32">
        <f t="shared" si="10"/>
        <v>0</v>
      </c>
      <c r="J67" s="32"/>
    </row>
    <row r="68" spans="1:10" s="4" customFormat="1" ht="25.5" customHeight="1" outlineLevel="1">
      <c r="A68" s="27" t="str">
        <f t="shared" si="9"/>
        <v>19A.F1.15</v>
      </c>
      <c r="B68" s="34" t="s">
        <v>109</v>
      </c>
      <c r="C68" s="28" t="s">
        <v>515</v>
      </c>
      <c r="D68" s="29" t="s">
        <v>520</v>
      </c>
      <c r="E68" s="31">
        <v>92.522000000000006</v>
      </c>
      <c r="F68" s="31">
        <f>_xlfn.XLOOKUP(B68, Rate_Master!$A:$A, Rate_Master!$C:$C, "")</f>
        <v>46000</v>
      </c>
      <c r="G68" s="31">
        <f>_xlfn.XLOOKUP(B68, Rate_Master!$A:$A, Rate_Master!$D:$D, "")</f>
        <v>19550</v>
      </c>
      <c r="H68" s="32">
        <f t="shared" si="11"/>
        <v>65550</v>
      </c>
      <c r="I68" s="32">
        <f t="shared" si="10"/>
        <v>6064817.1000000006</v>
      </c>
      <c r="J68" s="32"/>
    </row>
    <row r="69" spans="1:10" s="4" customFormat="1" ht="38.25" customHeight="1" outlineLevel="1">
      <c r="A69" s="27" t="str">
        <f t="shared" si="9"/>
        <v>19A.F1.16</v>
      </c>
      <c r="B69" s="34" t="s">
        <v>110</v>
      </c>
      <c r="C69" s="28" t="s">
        <v>515</v>
      </c>
      <c r="D69" s="29" t="s">
        <v>520</v>
      </c>
      <c r="E69" s="31">
        <v>15.922000000000001</v>
      </c>
      <c r="F69" s="31">
        <f>_xlfn.XLOOKUP(B69, Rate_Master!$A:$A, Rate_Master!$C:$C, "")</f>
        <v>51749.999999999993</v>
      </c>
      <c r="G69" s="31">
        <f>_xlfn.XLOOKUP(B69, Rate_Master!$A:$A, Rate_Master!$D:$D, "")</f>
        <v>17250</v>
      </c>
      <c r="H69" s="32">
        <f t="shared" si="11"/>
        <v>69000</v>
      </c>
      <c r="I69" s="32">
        <f t="shared" si="10"/>
        <v>1098618</v>
      </c>
      <c r="J69" s="32"/>
    </row>
    <row r="70" spans="1:10" s="4" customFormat="1" ht="25.5" customHeight="1" outlineLevel="1">
      <c r="A70" s="27" t="str">
        <f t="shared" si="9"/>
        <v>19A.F1.17</v>
      </c>
      <c r="B70" s="34" t="s">
        <v>111</v>
      </c>
      <c r="C70" s="28" t="s">
        <v>515</v>
      </c>
      <c r="D70" s="29" t="s">
        <v>520</v>
      </c>
      <c r="E70" s="31">
        <v>0</v>
      </c>
      <c r="F70" s="31">
        <f>_xlfn.XLOOKUP(B70, Rate_Master!$A:$A, Rate_Master!$C:$C, "")</f>
        <v>172500</v>
      </c>
      <c r="G70" s="31">
        <f>_xlfn.XLOOKUP(B70, Rate_Master!$A:$A, Rate_Master!$D:$D, "")</f>
        <v>28749.999999999996</v>
      </c>
      <c r="H70" s="32">
        <v>0</v>
      </c>
      <c r="I70" s="32">
        <f t="shared" si="10"/>
        <v>0</v>
      </c>
      <c r="J70" s="32"/>
    </row>
    <row r="71" spans="1:10" s="4" customFormat="1" ht="38.25" customHeight="1" outlineLevel="1">
      <c r="A71" s="27" t="str">
        <f t="shared" si="9"/>
        <v>19A.F1.18</v>
      </c>
      <c r="B71" s="34" t="s">
        <v>112</v>
      </c>
      <c r="C71" s="34" t="s">
        <v>557</v>
      </c>
      <c r="D71" s="29" t="s">
        <v>517</v>
      </c>
      <c r="E71" s="31">
        <v>0</v>
      </c>
      <c r="F71" s="31">
        <f>_xlfn.XLOOKUP(B71, Rate_Master!$A:$A, Rate_Master!$C:$C, "")</f>
        <v>163300</v>
      </c>
      <c r="G71" s="31">
        <f>_xlfn.XLOOKUP(B71, Rate_Master!$A:$A, Rate_Master!$D:$D, "")</f>
        <v>51749.999999999993</v>
      </c>
      <c r="H71" s="32">
        <v>0</v>
      </c>
      <c r="I71" s="32">
        <f t="shared" si="10"/>
        <v>0</v>
      </c>
      <c r="J71" s="32"/>
    </row>
    <row r="72" spans="1:10" s="4" customFormat="1" ht="25.5" customHeight="1" outlineLevel="1">
      <c r="A72" s="27" t="str">
        <f t="shared" si="9"/>
        <v>19A.F1.19</v>
      </c>
      <c r="B72" s="34" t="s">
        <v>282</v>
      </c>
      <c r="C72" s="34"/>
      <c r="D72" s="29" t="s">
        <v>520</v>
      </c>
      <c r="E72" s="31">
        <v>188.49100000000001</v>
      </c>
      <c r="F72" s="31">
        <f>_xlfn.XLOOKUP(B72, Rate_Master!$A:$A, Rate_Master!$C:$C, "")</f>
        <v>270250</v>
      </c>
      <c r="G72" s="31">
        <f>_xlfn.XLOOKUP(B72, Rate_Master!$A:$A, Rate_Master!$D:$D, "")</f>
        <v>104649.99999999999</v>
      </c>
      <c r="H72" s="32">
        <f>F72+G72</f>
        <v>374900</v>
      </c>
      <c r="I72" s="32">
        <f t="shared" si="10"/>
        <v>70665275.900000006</v>
      </c>
      <c r="J72" s="32"/>
    </row>
    <row r="73" spans="1:10" s="4" customFormat="1" ht="25.5" customHeight="1" outlineLevel="1">
      <c r="A73" s="27" t="str">
        <f t="shared" si="9"/>
        <v>19A.F1.20</v>
      </c>
      <c r="B73" s="34" t="s">
        <v>283</v>
      </c>
      <c r="C73" s="34"/>
      <c r="D73" s="29" t="s">
        <v>520</v>
      </c>
      <c r="E73" s="31">
        <v>97.498000000000005</v>
      </c>
      <c r="F73" s="31">
        <f>_xlfn.XLOOKUP(B73, Rate_Master!$A:$A, Rate_Master!$C:$C, "")</f>
        <v>270250</v>
      </c>
      <c r="G73" s="31">
        <f>_xlfn.XLOOKUP(B73, Rate_Master!$A:$A, Rate_Master!$D:$D, "")</f>
        <v>104649.99999999999</v>
      </c>
      <c r="H73" s="32">
        <f>F73+G73</f>
        <v>374900</v>
      </c>
      <c r="I73" s="32">
        <f t="shared" si="10"/>
        <v>36552000.200000003</v>
      </c>
      <c r="J73" s="32"/>
    </row>
    <row r="74" spans="1:10" s="4" customFormat="1" ht="25.5" customHeight="1" outlineLevel="1">
      <c r="A74" s="27" t="str">
        <f t="shared" si="9"/>
        <v>19A.F1.21</v>
      </c>
      <c r="B74" s="34" t="s">
        <v>284</v>
      </c>
      <c r="C74" s="34" t="s">
        <v>580</v>
      </c>
      <c r="D74" s="29" t="s">
        <v>520</v>
      </c>
      <c r="E74" s="31">
        <v>133.15899999999999</v>
      </c>
      <c r="F74" s="31">
        <f>_xlfn.XLOOKUP(B74, Rate_Master!$A:$A, Rate_Master!$C:$C, "")</f>
        <v>611800</v>
      </c>
      <c r="G74" s="31">
        <f>_xlfn.XLOOKUP(B74, Rate_Master!$A:$A, Rate_Master!$D:$D, "")</f>
        <v>238049.99999999997</v>
      </c>
      <c r="H74" s="32">
        <f>F74+G74</f>
        <v>849850</v>
      </c>
      <c r="I74" s="32">
        <f t="shared" si="10"/>
        <v>113165176.14999999</v>
      </c>
      <c r="J74" s="32"/>
    </row>
    <row r="75" spans="1:10" s="4" customFormat="1" ht="25.5" customHeight="1" outlineLevel="1">
      <c r="A75" s="27" t="str">
        <f t="shared" si="9"/>
        <v>19A.F1.22</v>
      </c>
      <c r="B75" s="34" t="s">
        <v>285</v>
      </c>
      <c r="C75" s="34"/>
      <c r="D75" s="29" t="s">
        <v>520</v>
      </c>
      <c r="E75" s="31">
        <v>9.5</v>
      </c>
      <c r="F75" s="31">
        <f>_xlfn.XLOOKUP(B75, Rate_Master!$A:$A, Rate_Master!$C:$C, "")</f>
        <v>3347649.9999999995</v>
      </c>
      <c r="G75" s="31">
        <f>_xlfn.XLOOKUP(B75, Rate_Master!$A:$A, Rate_Master!$D:$D, "")</f>
        <v>1301800</v>
      </c>
      <c r="H75" s="32">
        <f>F75+G75</f>
        <v>4649450</v>
      </c>
      <c r="I75" s="32">
        <f t="shared" si="10"/>
        <v>44169775</v>
      </c>
      <c r="J75" s="32"/>
    </row>
    <row r="76" spans="1:10" s="3" customFormat="1" ht="25.5" customHeight="1">
      <c r="A76" s="22" t="str">
        <f>$A$52&amp;2</f>
        <v>19A.F2</v>
      </c>
      <c r="B76" s="23" t="s">
        <v>113</v>
      </c>
      <c r="C76" s="23" t="s">
        <v>515</v>
      </c>
      <c r="D76" s="22"/>
      <c r="E76" s="25"/>
      <c r="F76" s="25">
        <f>_xlfn.XLOOKUP(B76, Rate_Master!$A:$A, Rate_Master!$C:$C, "")</f>
        <v>0</v>
      </c>
      <c r="G76" s="25">
        <f>_xlfn.XLOOKUP(B76, Rate_Master!$A:$A, Rate_Master!$D:$D, "")</f>
        <v>0</v>
      </c>
      <c r="H76" s="26">
        <v>0</v>
      </c>
      <c r="I76" s="26">
        <f>SUBTOTAL(9,I77:I81)</f>
        <v>4585698.5999999996</v>
      </c>
      <c r="J76" s="26"/>
    </row>
    <row r="77" spans="1:10" s="4" customFormat="1" ht="51" customHeight="1" outlineLevel="1">
      <c r="A77" s="27" t="str">
        <f>$A$76&amp;"."&amp;ROW()-ROW($A$76)</f>
        <v>19A.F2.1</v>
      </c>
      <c r="B77" s="34" t="s">
        <v>114</v>
      </c>
      <c r="C77" s="28" t="s">
        <v>515</v>
      </c>
      <c r="D77" s="29" t="s">
        <v>520</v>
      </c>
      <c r="E77" s="31">
        <v>5.0759999999999996</v>
      </c>
      <c r="F77" s="30">
        <f>_xlfn.XLOOKUP(B77, Rate_Master!$A:$A, Rate_Master!$C:$C, "")</f>
        <v>206999.99999999997</v>
      </c>
      <c r="G77" s="30">
        <f>_xlfn.XLOOKUP(B77, Rate_Master!$A:$A, Rate_Master!$D:$D, "")</f>
        <v>126499.99999999999</v>
      </c>
      <c r="H77" s="32">
        <f>F77+G77</f>
        <v>333499.99999999994</v>
      </c>
      <c r="I77" s="32">
        <f>H77*E77</f>
        <v>1692845.9999999995</v>
      </c>
      <c r="J77" s="32"/>
    </row>
    <row r="78" spans="1:10" s="4" customFormat="1" ht="51" customHeight="1" outlineLevel="1">
      <c r="A78" s="27" t="str">
        <f>$A$76&amp;"."&amp;ROW()-ROW($A$76)</f>
        <v>19A.F2.2</v>
      </c>
      <c r="B78" s="28" t="s">
        <v>115</v>
      </c>
      <c r="C78" s="28" t="s">
        <v>515</v>
      </c>
      <c r="D78" s="29" t="s">
        <v>520</v>
      </c>
      <c r="E78" s="31">
        <v>36.993000000000002</v>
      </c>
      <c r="F78" s="30">
        <f>_xlfn.XLOOKUP(B78, Rate_Master!$A:$A, Rate_Master!$C:$C, "")</f>
        <v>28749.999999999996</v>
      </c>
      <c r="G78" s="30">
        <f>_xlfn.XLOOKUP(B78, Rate_Master!$A:$A, Rate_Master!$D:$D, "")</f>
        <v>49449.999999999993</v>
      </c>
      <c r="H78" s="32">
        <f>F78+G78</f>
        <v>78199.999999999985</v>
      </c>
      <c r="I78" s="32">
        <f>H78*E78</f>
        <v>2892852.5999999996</v>
      </c>
      <c r="J78" s="32"/>
    </row>
    <row r="79" spans="1:10" s="4" customFormat="1" ht="51" customHeight="1" outlineLevel="1">
      <c r="A79" s="27" t="str">
        <f>$A$76&amp;"."&amp;ROW()-ROW($A$76)</f>
        <v>19A.F2.3</v>
      </c>
      <c r="B79" s="34" t="s">
        <v>116</v>
      </c>
      <c r="C79" s="28" t="s">
        <v>515</v>
      </c>
      <c r="D79" s="29" t="s">
        <v>520</v>
      </c>
      <c r="E79" s="31">
        <v>0</v>
      </c>
      <c r="F79" s="31">
        <f>_xlfn.XLOOKUP(B79, Rate_Master!$A:$A, Rate_Master!$C:$C, "")</f>
        <v>0</v>
      </c>
      <c r="G79" s="31">
        <f>_xlfn.XLOOKUP(B79, Rate_Master!$A:$A, Rate_Master!$D:$D, "")</f>
        <v>0</v>
      </c>
      <c r="H79" s="32">
        <v>0</v>
      </c>
      <c r="I79" s="32">
        <f>H79*E79</f>
        <v>0</v>
      </c>
      <c r="J79" s="32"/>
    </row>
    <row r="80" spans="1:10" s="4" customFormat="1" ht="51" customHeight="1" outlineLevel="1">
      <c r="A80" s="27" t="str">
        <f>$A$76&amp;"."&amp;ROW()-ROW($A$76)</f>
        <v>19A.F2.4</v>
      </c>
      <c r="B80" s="34" t="s">
        <v>117</v>
      </c>
      <c r="C80" s="28" t="s">
        <v>515</v>
      </c>
      <c r="D80" s="29" t="s">
        <v>520</v>
      </c>
      <c r="E80" s="31">
        <v>0</v>
      </c>
      <c r="F80" s="31">
        <f>_xlfn.XLOOKUP(B80, Rate_Master!$A:$A, Rate_Master!$C:$C, "")</f>
        <v>0</v>
      </c>
      <c r="G80" s="31">
        <f>_xlfn.XLOOKUP(B80, Rate_Master!$A:$A, Rate_Master!$D:$D, "")</f>
        <v>0</v>
      </c>
      <c r="H80" s="32">
        <v>0</v>
      </c>
      <c r="I80" s="32">
        <f>H80*E80</f>
        <v>0</v>
      </c>
      <c r="J80" s="32"/>
    </row>
    <row r="81" spans="1:10" s="4" customFormat="1" ht="38.25" customHeight="1" outlineLevel="1">
      <c r="A81" s="27" t="str">
        <f>$A$76&amp;"."&amp;ROW()-ROW($A$76)</f>
        <v>19A.F2.5</v>
      </c>
      <c r="B81" s="34" t="s">
        <v>118</v>
      </c>
      <c r="C81" s="28" t="s">
        <v>515</v>
      </c>
      <c r="D81" s="29" t="s">
        <v>520</v>
      </c>
      <c r="E81" s="31">
        <v>0</v>
      </c>
      <c r="F81" s="31">
        <f>_xlfn.XLOOKUP(B81, Rate_Master!$A:$A, Rate_Master!$C:$C, "")</f>
        <v>0</v>
      </c>
      <c r="G81" s="31">
        <f>_xlfn.XLOOKUP(B81, Rate_Master!$A:$A, Rate_Master!$D:$D, "")</f>
        <v>0</v>
      </c>
      <c r="H81" s="32">
        <v>0</v>
      </c>
      <c r="I81" s="32">
        <f>H81*E81</f>
        <v>0</v>
      </c>
      <c r="J81" s="32"/>
    </row>
    <row r="82" spans="1:10" s="3" customFormat="1" ht="25.5" customHeight="1">
      <c r="A82" s="22" t="str">
        <f>$A$52&amp;3</f>
        <v>19A.F3</v>
      </c>
      <c r="B82" s="23" t="s">
        <v>119</v>
      </c>
      <c r="C82" s="23" t="s">
        <v>515</v>
      </c>
      <c r="D82" s="22"/>
      <c r="E82" s="25"/>
      <c r="F82" s="25">
        <f>_xlfn.XLOOKUP(B82, Rate_Master!$A:$A, Rate_Master!$C:$C, "")</f>
        <v>0</v>
      </c>
      <c r="G82" s="25">
        <f>_xlfn.XLOOKUP(B82, Rate_Master!$A:$A, Rate_Master!$D:$D, "")</f>
        <v>0</v>
      </c>
      <c r="H82" s="26">
        <v>0</v>
      </c>
      <c r="I82" s="26">
        <f>SUBTOTAL(9,I83:I90)</f>
        <v>1737839.75</v>
      </c>
      <c r="J82" s="26"/>
    </row>
    <row r="83" spans="1:10" s="4" customFormat="1" ht="25.5" customHeight="1" outlineLevel="1">
      <c r="A83" s="27" t="str">
        <f t="shared" ref="A83:A90" si="12">$A$82&amp;"."&amp;ROW()-ROW($A$82)</f>
        <v>19A.F3.1</v>
      </c>
      <c r="B83" s="34" t="s">
        <v>120</v>
      </c>
      <c r="C83" s="28" t="s">
        <v>515</v>
      </c>
      <c r="D83" s="29" t="s">
        <v>520</v>
      </c>
      <c r="E83" s="31">
        <v>47.249000000000002</v>
      </c>
      <c r="F83" s="31">
        <f>_xlfn.XLOOKUP(B83, Rate_Master!$A:$A, Rate_Master!$C:$C, "")</f>
        <v>28749.999999999996</v>
      </c>
      <c r="G83" s="31">
        <f>_xlfn.XLOOKUP(B83, Rate_Master!$A:$A, Rate_Master!$D:$D, "")</f>
        <v>0</v>
      </c>
      <c r="H83" s="32">
        <f>F83+G83</f>
        <v>28749.999999999996</v>
      </c>
      <c r="I83" s="32">
        <f t="shared" ref="I83:I90" si="13">H83*E83</f>
        <v>1358408.75</v>
      </c>
      <c r="J83" s="32"/>
    </row>
    <row r="84" spans="1:10" s="4" customFormat="1" ht="25.5" customHeight="1" outlineLevel="1">
      <c r="A84" s="27" t="str">
        <f t="shared" si="12"/>
        <v>19A.F3.2</v>
      </c>
      <c r="B84" s="34" t="s">
        <v>121</v>
      </c>
      <c r="C84" s="28" t="s">
        <v>515</v>
      </c>
      <c r="D84" s="29" t="s">
        <v>520</v>
      </c>
      <c r="E84" s="31">
        <v>42.173000000000002</v>
      </c>
      <c r="F84" s="31">
        <f>_xlfn.XLOOKUP(B84, Rate_Master!$A:$A, Rate_Master!$C:$C, "")</f>
        <v>0</v>
      </c>
      <c r="G84" s="31">
        <f>_xlfn.XLOOKUP(B84, Rate_Master!$A:$A, Rate_Master!$D:$D, "")</f>
        <v>0</v>
      </c>
      <c r="H84" s="32">
        <f>F84+G84</f>
        <v>0</v>
      </c>
      <c r="I84" s="32">
        <f t="shared" si="13"/>
        <v>0</v>
      </c>
      <c r="J84" s="32"/>
    </row>
    <row r="85" spans="1:10" s="4" customFormat="1" ht="38.25" customHeight="1" outlineLevel="1">
      <c r="A85" s="27" t="str">
        <f t="shared" si="12"/>
        <v>19A.F3.3</v>
      </c>
      <c r="B85" s="34" t="s">
        <v>122</v>
      </c>
      <c r="C85" s="28" t="s">
        <v>515</v>
      </c>
      <c r="D85" s="29" t="s">
        <v>520</v>
      </c>
      <c r="E85" s="31">
        <v>5.0759999999999996</v>
      </c>
      <c r="F85" s="31">
        <f>_xlfn.XLOOKUP(B85, Rate_Master!$A:$A, Rate_Master!$C:$C, "")</f>
        <v>51749.999999999993</v>
      </c>
      <c r="G85" s="31">
        <f>_xlfn.XLOOKUP(B85, Rate_Master!$A:$A, Rate_Master!$D:$D, "")</f>
        <v>23000</v>
      </c>
      <c r="H85" s="32">
        <f>F85+G85</f>
        <v>74750</v>
      </c>
      <c r="I85" s="32">
        <f t="shared" si="13"/>
        <v>379431</v>
      </c>
      <c r="J85" s="32"/>
    </row>
    <row r="86" spans="1:10" s="4" customFormat="1" ht="25.5" customHeight="1" outlineLevel="1">
      <c r="A86" s="27" t="str">
        <f t="shared" si="12"/>
        <v>19A.F3.4</v>
      </c>
      <c r="B86" s="34" t="s">
        <v>123</v>
      </c>
      <c r="C86" s="28" t="s">
        <v>515</v>
      </c>
      <c r="D86" s="29" t="s">
        <v>520</v>
      </c>
      <c r="E86" s="31">
        <v>0</v>
      </c>
      <c r="F86" s="31">
        <f>_xlfn.XLOOKUP(B86, Rate_Master!$A:$A, Rate_Master!$C:$C, "")</f>
        <v>172500</v>
      </c>
      <c r="G86" s="31">
        <f>_xlfn.XLOOKUP(B86, Rate_Master!$A:$A, Rate_Master!$D:$D, "")</f>
        <v>34500</v>
      </c>
      <c r="H86" s="32">
        <v>0</v>
      </c>
      <c r="I86" s="32">
        <f t="shared" si="13"/>
        <v>0</v>
      </c>
      <c r="J86" s="32"/>
    </row>
    <row r="87" spans="1:10" s="4" customFormat="1" ht="51" customHeight="1" outlineLevel="1">
      <c r="A87" s="27" t="str">
        <f t="shared" si="12"/>
        <v>19A.F3.5</v>
      </c>
      <c r="B87" s="28" t="s">
        <v>124</v>
      </c>
      <c r="C87" s="34" t="s">
        <v>553</v>
      </c>
      <c r="D87" s="29" t="s">
        <v>520</v>
      </c>
      <c r="E87" s="31">
        <v>0</v>
      </c>
      <c r="F87" s="30">
        <f>_xlfn.XLOOKUP(B87, Rate_Master!$A:$A, Rate_Master!$C:$C, "")</f>
        <v>1069500</v>
      </c>
      <c r="G87" s="30">
        <f>_xlfn.XLOOKUP(B87, Rate_Master!$A:$A, Rate_Master!$D:$D, "")</f>
        <v>172500</v>
      </c>
      <c r="H87" s="32">
        <v>0</v>
      </c>
      <c r="I87" s="32">
        <f t="shared" si="13"/>
        <v>0</v>
      </c>
      <c r="J87" s="32"/>
    </row>
    <row r="88" spans="1:10" s="4" customFormat="1" ht="51" customHeight="1" outlineLevel="1">
      <c r="A88" s="27" t="str">
        <f t="shared" si="12"/>
        <v>19A.F3.6</v>
      </c>
      <c r="B88" s="34" t="s">
        <v>125</v>
      </c>
      <c r="C88" s="28" t="s">
        <v>515</v>
      </c>
      <c r="D88" s="29" t="s">
        <v>520</v>
      </c>
      <c r="E88" s="31">
        <v>0</v>
      </c>
      <c r="F88" s="30">
        <f>_xlfn.XLOOKUP(B88, Rate_Master!$A:$A, Rate_Master!$C:$C, "")</f>
        <v>965999.99999999988</v>
      </c>
      <c r="G88" s="30">
        <f>_xlfn.XLOOKUP(B88, Rate_Master!$A:$A, Rate_Master!$D:$D, "")</f>
        <v>138000</v>
      </c>
      <c r="H88" s="32">
        <v>0</v>
      </c>
      <c r="I88" s="32">
        <f t="shared" si="13"/>
        <v>0</v>
      </c>
      <c r="J88" s="32"/>
    </row>
    <row r="89" spans="1:10" s="4" customFormat="1" ht="25.5" customHeight="1" outlineLevel="1">
      <c r="A89" s="27" t="str">
        <f t="shared" si="12"/>
        <v>19A.F3.7</v>
      </c>
      <c r="B89" s="28" t="s">
        <v>126</v>
      </c>
      <c r="C89" s="28" t="s">
        <v>515</v>
      </c>
      <c r="D89" s="29" t="s">
        <v>520</v>
      </c>
      <c r="E89" s="31">
        <v>0</v>
      </c>
      <c r="F89" s="30">
        <f>_xlfn.XLOOKUP(B89, Rate_Master!$A:$A, Rate_Master!$C:$C, "")</f>
        <v>0</v>
      </c>
      <c r="G89" s="30">
        <f>_xlfn.XLOOKUP(B89, Rate_Master!$A:$A, Rate_Master!$D:$D, "")</f>
        <v>0</v>
      </c>
      <c r="H89" s="32">
        <v>0</v>
      </c>
      <c r="I89" s="32">
        <f t="shared" si="13"/>
        <v>0</v>
      </c>
      <c r="J89" s="32"/>
    </row>
    <row r="90" spans="1:10" s="4" customFormat="1" ht="25.5" customHeight="1" outlineLevel="1">
      <c r="A90" s="27" t="str">
        <f t="shared" si="12"/>
        <v>19A.F3.8</v>
      </c>
      <c r="B90" s="34" t="s">
        <v>127</v>
      </c>
      <c r="C90" s="28" t="s">
        <v>515</v>
      </c>
      <c r="D90" s="29" t="s">
        <v>520</v>
      </c>
      <c r="E90" s="31">
        <v>0</v>
      </c>
      <c r="F90" s="30">
        <f>_xlfn.XLOOKUP(B90, Rate_Master!$A:$A, Rate_Master!$C:$C, "")</f>
        <v>0</v>
      </c>
      <c r="G90" s="30">
        <f>_xlfn.XLOOKUP(B90, Rate_Master!$A:$A, Rate_Master!$D:$D, "")</f>
        <v>0</v>
      </c>
      <c r="H90" s="32">
        <v>0</v>
      </c>
      <c r="I90" s="32">
        <f t="shared" si="13"/>
        <v>0</v>
      </c>
      <c r="J90" s="32"/>
    </row>
    <row r="91" spans="1:10" s="3" customFormat="1" ht="25.5" customHeight="1">
      <c r="A91" s="22" t="str">
        <f>$A$52&amp;4</f>
        <v>19A.F4</v>
      </c>
      <c r="B91" s="23" t="s">
        <v>128</v>
      </c>
      <c r="C91" s="23" t="s">
        <v>515</v>
      </c>
      <c r="D91" s="22"/>
      <c r="E91" s="25"/>
      <c r="F91" s="25">
        <f>_xlfn.XLOOKUP(B91, Rate_Master!$A:$A, Rate_Master!$C:$C, "")</f>
        <v>0</v>
      </c>
      <c r="G91" s="25">
        <f>_xlfn.XLOOKUP(B91, Rate_Master!$A:$A, Rate_Master!$D:$D, "")</f>
        <v>0</v>
      </c>
      <c r="H91" s="26">
        <v>0</v>
      </c>
      <c r="I91" s="26">
        <f>SUBTOTAL(9,I92:I95)</f>
        <v>37485399.999999993</v>
      </c>
      <c r="J91" s="26"/>
    </row>
    <row r="92" spans="1:10" s="4" customFormat="1" ht="25.5" customHeight="1" outlineLevel="1">
      <c r="A92" s="27" t="str">
        <f t="shared" ref="A92:A97" si="14">$A$91&amp;"."&amp;ROW()-ROW($A$91)</f>
        <v>19A.F4.1</v>
      </c>
      <c r="B92" s="28" t="s">
        <v>286</v>
      </c>
      <c r="C92" s="28" t="s">
        <v>515</v>
      </c>
      <c r="D92" s="29" t="s">
        <v>516</v>
      </c>
      <c r="E92" s="31">
        <v>1</v>
      </c>
      <c r="F92" s="31">
        <f>_xlfn.XLOOKUP(B92, Rate_Master!$A:$A, Rate_Master!$C:$C, "")</f>
        <v>5875350</v>
      </c>
      <c r="G92" s="31">
        <f>_xlfn.XLOOKUP(B92, Rate_Master!$A:$A, Rate_Master!$D:$D, "")</f>
        <v>2285050</v>
      </c>
      <c r="H92" s="32">
        <f t="shared" ref="H92:H97" si="15">F92+G92</f>
        <v>8160400</v>
      </c>
      <c r="I92" s="32">
        <f t="shared" ref="I92:I97" si="16">H92*E92</f>
        <v>8160400</v>
      </c>
      <c r="J92" s="32"/>
    </row>
    <row r="93" spans="1:10" s="4" customFormat="1" ht="63.75" customHeight="1" outlineLevel="1">
      <c r="A93" s="27" t="str">
        <f t="shared" si="14"/>
        <v>19A.F4.2</v>
      </c>
      <c r="B93" s="28" t="s">
        <v>295</v>
      </c>
      <c r="C93" s="28"/>
      <c r="D93" s="29" t="s">
        <v>516</v>
      </c>
      <c r="E93" s="31">
        <v>1</v>
      </c>
      <c r="F93" s="31">
        <f>_xlfn.XLOOKUP(B93, Rate_Master!$A:$A, Rate_Master!$C:$C, "")</f>
        <v>1104000</v>
      </c>
      <c r="G93" s="31">
        <f>_xlfn.XLOOKUP(B93, Rate_Master!$A:$A, Rate_Master!$D:$D, "")</f>
        <v>69000</v>
      </c>
      <c r="H93" s="32">
        <f t="shared" si="15"/>
        <v>1173000</v>
      </c>
      <c r="I93" s="32">
        <f t="shared" si="16"/>
        <v>1173000</v>
      </c>
      <c r="J93" s="32"/>
    </row>
    <row r="94" spans="1:10" s="4" customFormat="1" ht="76.5" customHeight="1" outlineLevel="1">
      <c r="A94" s="27" t="str">
        <f t="shared" si="14"/>
        <v>19A.F4.3</v>
      </c>
      <c r="B94" s="28" t="s">
        <v>288</v>
      </c>
      <c r="C94" s="28"/>
      <c r="D94" s="29" t="s">
        <v>516</v>
      </c>
      <c r="E94" s="31">
        <v>5</v>
      </c>
      <c r="F94" s="31">
        <f>_xlfn.XLOOKUP(B94, Rate_Master!$A:$A, Rate_Master!$C:$C, "")</f>
        <v>3974399.9999999995</v>
      </c>
      <c r="G94" s="31">
        <f>_xlfn.XLOOKUP(B94, Rate_Master!$A:$A, Rate_Master!$D:$D, "")</f>
        <v>248399.99999999997</v>
      </c>
      <c r="H94" s="32">
        <f t="shared" si="15"/>
        <v>4222799.9999999991</v>
      </c>
      <c r="I94" s="32">
        <f t="shared" si="16"/>
        <v>21113999.999999996</v>
      </c>
      <c r="J94" s="32"/>
    </row>
    <row r="95" spans="1:10" s="4" customFormat="1" ht="76.5" customHeight="1" outlineLevel="1">
      <c r="A95" s="27" t="str">
        <f t="shared" si="14"/>
        <v>19A.F4.4</v>
      </c>
      <c r="B95" s="28" t="s">
        <v>289</v>
      </c>
      <c r="C95" s="28"/>
      <c r="D95" s="29" t="s">
        <v>516</v>
      </c>
      <c r="E95" s="31">
        <v>1</v>
      </c>
      <c r="F95" s="31">
        <f>_xlfn.XLOOKUP(B95, Rate_Master!$A:$A, Rate_Master!$C:$C, "")</f>
        <v>6623999.9999999991</v>
      </c>
      <c r="G95" s="31">
        <f>_xlfn.XLOOKUP(B95, Rate_Master!$A:$A, Rate_Master!$D:$D, "")</f>
        <v>413999.99999999994</v>
      </c>
      <c r="H95" s="32">
        <f t="shared" si="15"/>
        <v>7037999.9999999991</v>
      </c>
      <c r="I95" s="32">
        <f t="shared" si="16"/>
        <v>7037999.9999999991</v>
      </c>
      <c r="J95" s="32"/>
    </row>
    <row r="96" spans="1:10" s="4" customFormat="1" ht="38.25" customHeight="1" outlineLevel="1">
      <c r="A96" s="27" t="str">
        <f t="shared" si="14"/>
        <v>19A.F4.5</v>
      </c>
      <c r="B96" s="28" t="s">
        <v>290</v>
      </c>
      <c r="C96" s="28" t="s">
        <v>515</v>
      </c>
      <c r="D96" s="29" t="s">
        <v>516</v>
      </c>
      <c r="E96" s="31">
        <v>2</v>
      </c>
      <c r="F96" s="31">
        <f>_xlfn.XLOOKUP(B96, Rate_Master!$A:$A, Rate_Master!$C:$C, "")</f>
        <v>2613950</v>
      </c>
      <c r="G96" s="31">
        <f>_xlfn.XLOOKUP(B96, Rate_Master!$A:$A, Rate_Master!$D:$D, "")</f>
        <v>1016599.9999999999</v>
      </c>
      <c r="H96" s="32">
        <f t="shared" si="15"/>
        <v>3630550</v>
      </c>
      <c r="I96" s="32">
        <f t="shared" si="16"/>
        <v>7261100</v>
      </c>
      <c r="J96" s="71" t="s">
        <v>559</v>
      </c>
    </row>
    <row r="97" spans="1:10" s="4" customFormat="1" ht="76.5" customHeight="1" outlineLevel="1">
      <c r="A97" s="27" t="str">
        <f t="shared" si="14"/>
        <v>19A.F4.6</v>
      </c>
      <c r="B97" s="28" t="s">
        <v>229</v>
      </c>
      <c r="C97" s="28" t="s">
        <v>558</v>
      </c>
      <c r="D97" s="29" t="s">
        <v>516</v>
      </c>
      <c r="E97" s="31">
        <v>1</v>
      </c>
      <c r="F97" s="31">
        <f>_xlfn.XLOOKUP(B97, Rate_Master!$A:$A, Rate_Master!$C:$C, "")</f>
        <v>5544150</v>
      </c>
      <c r="G97" s="31">
        <f>_xlfn.XLOOKUP(B97, Rate_Master!$A:$A, Rate_Master!$D:$D, "")</f>
        <v>2156250</v>
      </c>
      <c r="H97" s="32">
        <f t="shared" si="15"/>
        <v>7700400</v>
      </c>
      <c r="I97" s="32">
        <f t="shared" si="16"/>
        <v>7700400</v>
      </c>
      <c r="J97" s="71" t="s">
        <v>559</v>
      </c>
    </row>
    <row r="98" spans="1:10" s="3" customFormat="1" ht="25.5" customHeight="1">
      <c r="A98" s="22" t="str">
        <f>$A$52&amp;5</f>
        <v>19A.F5</v>
      </c>
      <c r="B98" s="23" t="s">
        <v>143</v>
      </c>
      <c r="C98" s="23" t="s">
        <v>515</v>
      </c>
      <c r="D98" s="22"/>
      <c r="E98" s="25"/>
      <c r="F98" s="25">
        <f>_xlfn.XLOOKUP(B98, Rate_Master!$A:$A, Rate_Master!$C:$C, "")</f>
        <v>0</v>
      </c>
      <c r="G98" s="25">
        <f>_xlfn.XLOOKUP(B98, Rate_Master!$A:$A, Rate_Master!$D:$D, "")</f>
        <v>0</v>
      </c>
      <c r="H98" s="26">
        <v>0</v>
      </c>
      <c r="I98" s="26">
        <f>SUBTOTAL(9,I99:I101)</f>
        <v>0</v>
      </c>
      <c r="J98" s="26"/>
    </row>
    <row r="99" spans="1:10" s="4" customFormat="1" ht="51" customHeight="1" outlineLevel="1">
      <c r="A99" s="37" t="str">
        <f>$A$98&amp;"."&amp;ROW()-ROW($A$98)</f>
        <v>19A.F5.1</v>
      </c>
      <c r="B99" s="43" t="s">
        <v>144</v>
      </c>
      <c r="C99" s="38" t="s">
        <v>515</v>
      </c>
      <c r="D99" s="39" t="s">
        <v>517</v>
      </c>
      <c r="E99" s="40">
        <v>0</v>
      </c>
      <c r="F99" s="40">
        <f>_xlfn.XLOOKUP(B99, Rate_Master!$A:$A, Rate_Master!$C:$C, "")</f>
        <v>161000</v>
      </c>
      <c r="G99" s="40">
        <f>_xlfn.XLOOKUP(B99, Rate_Master!$A:$A, Rate_Master!$D:$D, "")</f>
        <v>34500</v>
      </c>
      <c r="H99" s="41">
        <v>0</v>
      </c>
      <c r="I99" s="41">
        <f>H99*E99</f>
        <v>0</v>
      </c>
      <c r="J99" s="41"/>
    </row>
    <row r="100" spans="1:10" s="4" customFormat="1" ht="38.25" customHeight="1" outlineLevel="1">
      <c r="A100" s="37" t="str">
        <f>$A$98&amp;"."&amp;ROW()-ROW($A$98)</f>
        <v>19A.F5.2</v>
      </c>
      <c r="B100" s="43" t="s">
        <v>145</v>
      </c>
      <c r="C100" s="38" t="s">
        <v>515</v>
      </c>
      <c r="D100" s="39" t="s">
        <v>517</v>
      </c>
      <c r="E100" s="40">
        <v>0</v>
      </c>
      <c r="F100" s="40">
        <f>_xlfn.XLOOKUP(B100, Rate_Master!$A:$A, Rate_Master!$C:$C, "")</f>
        <v>517499.99999999994</v>
      </c>
      <c r="G100" s="40">
        <f>_xlfn.XLOOKUP(B100, Rate_Master!$A:$A, Rate_Master!$D:$D, "")</f>
        <v>57499.999999999993</v>
      </c>
      <c r="H100" s="41">
        <v>0</v>
      </c>
      <c r="I100" s="41">
        <f>H100*E100</f>
        <v>0</v>
      </c>
      <c r="J100" s="41"/>
    </row>
    <row r="101" spans="1:10" s="4" customFormat="1" ht="38.25" customHeight="1" outlineLevel="1">
      <c r="A101" s="37" t="str">
        <f>$A$98&amp;"."&amp;ROW()-ROW($A$98)</f>
        <v>19A.F5.3</v>
      </c>
      <c r="B101" s="43" t="s">
        <v>146</v>
      </c>
      <c r="C101" s="38" t="s">
        <v>515</v>
      </c>
      <c r="D101" s="39" t="s">
        <v>517</v>
      </c>
      <c r="E101" s="40">
        <v>0</v>
      </c>
      <c r="F101" s="40">
        <f>_xlfn.XLOOKUP(B101, Rate_Master!$A:$A, Rate_Master!$C:$C, "")</f>
        <v>632500</v>
      </c>
      <c r="G101" s="40">
        <f>_xlfn.XLOOKUP(B101, Rate_Master!$A:$A, Rate_Master!$D:$D, "")</f>
        <v>57499.999999999993</v>
      </c>
      <c r="H101" s="41">
        <v>0</v>
      </c>
      <c r="I101" s="41">
        <f>H101*E101</f>
        <v>0</v>
      </c>
      <c r="J101" s="41"/>
    </row>
    <row r="102" spans="1:10" s="3" customFormat="1" ht="25.5" customHeight="1">
      <c r="A102" s="22" t="str">
        <f>$A$52&amp;6</f>
        <v>19A.F6</v>
      </c>
      <c r="B102" s="23" t="s">
        <v>147</v>
      </c>
      <c r="C102" s="23" t="s">
        <v>515</v>
      </c>
      <c r="D102" s="22"/>
      <c r="E102" s="25"/>
      <c r="F102" s="25">
        <f>_xlfn.XLOOKUP(B102, Rate_Master!$A:$A, Rate_Master!$C:$C, "")</f>
        <v>0</v>
      </c>
      <c r="G102" s="25">
        <f>_xlfn.XLOOKUP(B102, Rate_Master!$A:$A, Rate_Master!$D:$D, "")</f>
        <v>0</v>
      </c>
      <c r="H102" s="26">
        <v>0</v>
      </c>
      <c r="I102" s="26">
        <f>SUBTOTAL(9,I103:I107)</f>
        <v>44398750</v>
      </c>
      <c r="J102" s="26"/>
    </row>
    <row r="103" spans="1:10" s="4" customFormat="1" ht="51" customHeight="1" outlineLevel="1">
      <c r="A103" s="27" t="str">
        <f>$A$102&amp;"."&amp;ROW()-ROW($A$102)</f>
        <v>19A.F6.1</v>
      </c>
      <c r="B103" s="34" t="s">
        <v>148</v>
      </c>
      <c r="C103" s="34" t="s">
        <v>515</v>
      </c>
      <c r="D103" s="29" t="s">
        <v>520</v>
      </c>
      <c r="E103" s="31">
        <v>20.945</v>
      </c>
      <c r="F103" s="31">
        <f>_xlfn.XLOOKUP(B103, Rate_Master!$A:$A, Rate_Master!$C:$C, "")</f>
        <v>155000</v>
      </c>
      <c r="G103" s="31">
        <f>_xlfn.XLOOKUP(B103, Rate_Master!$A:$A, Rate_Master!$D:$D, "")</f>
        <v>45000</v>
      </c>
      <c r="H103" s="32">
        <f>F103+G103</f>
        <v>200000</v>
      </c>
      <c r="I103" s="32">
        <f>H103*E103</f>
        <v>4189000</v>
      </c>
      <c r="J103" s="32"/>
    </row>
    <row r="104" spans="1:10" s="4" customFormat="1" ht="25.5" customHeight="1" outlineLevel="1">
      <c r="A104" s="27" t="str">
        <f>$A$102&amp;"."&amp;ROW()-ROW($A$102)</f>
        <v>19A.F6.2</v>
      </c>
      <c r="B104" s="34" t="s">
        <v>149</v>
      </c>
      <c r="C104" s="34" t="s">
        <v>515</v>
      </c>
      <c r="D104" s="29" t="s">
        <v>520</v>
      </c>
      <c r="E104" s="31">
        <v>40.5</v>
      </c>
      <c r="F104" s="31">
        <f>_xlfn.XLOOKUP(B104, Rate_Master!$A:$A, Rate_Master!$C:$C, "")</f>
        <v>310500</v>
      </c>
      <c r="G104" s="31">
        <f>_xlfn.XLOOKUP(B104, Rate_Master!$A:$A, Rate_Master!$D:$D, "")</f>
        <v>34500</v>
      </c>
      <c r="H104" s="32">
        <f>F104+G104</f>
        <v>345000</v>
      </c>
      <c r="I104" s="32">
        <f>H104*E104</f>
        <v>13972500</v>
      </c>
      <c r="J104" s="32"/>
    </row>
    <row r="105" spans="1:10" s="4" customFormat="1" ht="51" customHeight="1" outlineLevel="1">
      <c r="A105" s="27" t="str">
        <f>$A$102&amp;"."&amp;ROW()-ROW($A$102)</f>
        <v>19A.F6.3</v>
      </c>
      <c r="B105" s="34" t="s">
        <v>150</v>
      </c>
      <c r="C105" s="34" t="s">
        <v>515</v>
      </c>
      <c r="D105" s="29" t="s">
        <v>520</v>
      </c>
      <c r="E105" s="31">
        <v>40.5</v>
      </c>
      <c r="F105" s="31">
        <f>_xlfn.XLOOKUP(B105, Rate_Master!$A:$A, Rate_Master!$C:$C, "")</f>
        <v>287500</v>
      </c>
      <c r="G105" s="31">
        <f>_xlfn.XLOOKUP(B105, Rate_Master!$A:$A, Rate_Master!$D:$D, "")</f>
        <v>69000</v>
      </c>
      <c r="H105" s="32">
        <f>F105+G105</f>
        <v>356500</v>
      </c>
      <c r="I105" s="32">
        <f>H105*E105</f>
        <v>14438250</v>
      </c>
      <c r="J105" s="32"/>
    </row>
    <row r="106" spans="1:10" s="4" customFormat="1" ht="51" customHeight="1" outlineLevel="1">
      <c r="A106" s="27" t="str">
        <f>$A$102&amp;"."&amp;ROW()-ROW($A$102)</f>
        <v>19A.F6.4</v>
      </c>
      <c r="B106" s="34" t="s">
        <v>151</v>
      </c>
      <c r="C106" s="34" t="s">
        <v>515</v>
      </c>
      <c r="D106" s="29" t="s">
        <v>520</v>
      </c>
      <c r="E106" s="31">
        <v>40.5</v>
      </c>
      <c r="F106" s="31">
        <f>_xlfn.XLOOKUP(B106, Rate_Master!$A:$A, Rate_Master!$C:$C, "")</f>
        <v>23000</v>
      </c>
      <c r="G106" s="31">
        <f>_xlfn.XLOOKUP(B106, Rate_Master!$A:$A, Rate_Master!$D:$D, "")</f>
        <v>126499.99999999999</v>
      </c>
      <c r="H106" s="32">
        <f>F106+G106</f>
        <v>149500</v>
      </c>
      <c r="I106" s="32">
        <f>H106*E106</f>
        <v>6054750</v>
      </c>
      <c r="J106" s="32"/>
    </row>
    <row r="107" spans="1:10" s="4" customFormat="1" ht="63.75" customHeight="1" outlineLevel="1">
      <c r="A107" s="27" t="str">
        <f>$A$102&amp;"."&amp;ROW()-ROW($A$102)</f>
        <v>19A.F6.5</v>
      </c>
      <c r="B107" s="34" t="s">
        <v>152</v>
      </c>
      <c r="C107" s="34" t="s">
        <v>560</v>
      </c>
      <c r="D107" s="29" t="s">
        <v>517</v>
      </c>
      <c r="E107" s="31">
        <v>27</v>
      </c>
      <c r="F107" s="31">
        <f>_xlfn.XLOOKUP(B107, Rate_Master!$A:$A, Rate_Master!$C:$C, "")</f>
        <v>155250</v>
      </c>
      <c r="G107" s="31">
        <f>_xlfn.XLOOKUP(B107, Rate_Master!$A:$A, Rate_Master!$D:$D, "")</f>
        <v>57499.999999999993</v>
      </c>
      <c r="H107" s="32">
        <f>F107+G107</f>
        <v>212750</v>
      </c>
      <c r="I107" s="32">
        <f>H107*E107</f>
        <v>5744250</v>
      </c>
      <c r="J107" s="32"/>
    </row>
    <row r="108" spans="1:10" s="3" customFormat="1" ht="25.5" customHeight="1">
      <c r="A108" s="22" t="str">
        <f>$A$52&amp;7</f>
        <v>19A.F7</v>
      </c>
      <c r="B108" s="23" t="s">
        <v>84</v>
      </c>
      <c r="C108" s="23" t="s">
        <v>515</v>
      </c>
      <c r="D108" s="22"/>
      <c r="E108" s="25"/>
      <c r="F108" s="25">
        <f>_xlfn.XLOOKUP(B108, Rate_Master!$A:$A, Rate_Master!$C:$C, "")</f>
        <v>0</v>
      </c>
      <c r="G108" s="25">
        <f>_xlfn.XLOOKUP(B108, Rate_Master!$A:$A, Rate_Master!$D:$D, "")</f>
        <v>0</v>
      </c>
      <c r="H108" s="26">
        <v>0</v>
      </c>
      <c r="I108" s="26">
        <f>SUBTOTAL(9,I109:I111)</f>
        <v>183899950</v>
      </c>
      <c r="J108" s="26"/>
    </row>
    <row r="109" spans="1:10" s="4" customFormat="1" ht="51" customHeight="1" outlineLevel="1">
      <c r="A109" s="27" t="str">
        <f>$A$108&amp;"."&amp;ROW()-ROW($A$108)</f>
        <v>19A.F7.1</v>
      </c>
      <c r="B109" s="48" t="s">
        <v>291</v>
      </c>
      <c r="C109" s="34"/>
      <c r="D109" s="29" t="s">
        <v>516</v>
      </c>
      <c r="E109" s="31">
        <v>1</v>
      </c>
      <c r="F109" s="31">
        <f>_xlfn.XLOOKUP(B109, Rate_Master!$A:$A, Rate_Master!$C:$C, "")</f>
        <v>28799449.999999996</v>
      </c>
      <c r="G109" s="31">
        <f>_xlfn.XLOOKUP(B109, Rate_Master!$A:$A, Rate_Master!$D:$D, "")</f>
        <v>11199850</v>
      </c>
      <c r="H109" s="32">
        <f>F109+G109</f>
        <v>39999300</v>
      </c>
      <c r="I109" s="32">
        <f>H109*E109</f>
        <v>39999300</v>
      </c>
      <c r="J109" s="32"/>
    </row>
    <row r="110" spans="1:10" s="4" customFormat="1" ht="25.5" customHeight="1" outlineLevel="1">
      <c r="A110" s="27" t="str">
        <f>$A$108&amp;"."&amp;ROW()-ROW($A$108)</f>
        <v>19A.F7.2</v>
      </c>
      <c r="B110" s="48" t="s">
        <v>296</v>
      </c>
      <c r="C110" s="34" t="s">
        <v>581</v>
      </c>
      <c r="D110" s="29" t="s">
        <v>516</v>
      </c>
      <c r="E110" s="31">
        <v>1</v>
      </c>
      <c r="F110" s="31">
        <f>_xlfn.XLOOKUP(B110, Rate_Master!$A:$A, Rate_Master!$C:$C, "")</f>
        <v>78408150</v>
      </c>
      <c r="G110" s="31">
        <f>_xlfn.XLOOKUP(B110, Rate_Master!$A:$A, Rate_Master!$D:$D, "")</f>
        <v>30492249.999999996</v>
      </c>
      <c r="H110" s="32">
        <f>F110+G110</f>
        <v>108900400</v>
      </c>
      <c r="I110" s="32">
        <f>H110*E110</f>
        <v>108900400</v>
      </c>
      <c r="J110" s="32"/>
    </row>
    <row r="111" spans="1:10" s="4" customFormat="1" ht="25.5" customHeight="1" outlineLevel="1">
      <c r="A111" s="27" t="str">
        <f>$A$108&amp;"."&amp;ROW()-ROW($A$108)</f>
        <v>19A.F7.3</v>
      </c>
      <c r="B111" s="48" t="s">
        <v>293</v>
      </c>
      <c r="C111" s="34" t="s">
        <v>515</v>
      </c>
      <c r="D111" s="29" t="s">
        <v>516</v>
      </c>
      <c r="E111" s="31">
        <v>1</v>
      </c>
      <c r="F111" s="31">
        <f>_xlfn.XLOOKUP(B111, Rate_Master!$A:$A, Rate_Master!$C:$C, "")</f>
        <v>25199949.999999996</v>
      </c>
      <c r="G111" s="31">
        <f>_xlfn.XLOOKUP(B111, Rate_Master!$A:$A, Rate_Master!$D:$D, "")</f>
        <v>9800300</v>
      </c>
      <c r="H111" s="32">
        <f>F111+G111</f>
        <v>35000250</v>
      </c>
      <c r="I111" s="32">
        <f>H111*E111</f>
        <v>35000250</v>
      </c>
      <c r="J111" s="32"/>
    </row>
    <row r="169" spans="3:3" ht="25.5" customHeight="1">
      <c r="C169" s="5" t="s">
        <v>565</v>
      </c>
    </row>
  </sheetData>
  <mergeCells count="5">
    <mergeCell ref="C4:J4"/>
    <mergeCell ref="C3:J3"/>
    <mergeCell ref="C7:J7"/>
    <mergeCell ref="C6:J6"/>
    <mergeCell ref="C5:J5"/>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pageSetUpPr fitToPage="1"/>
  </sheetPr>
  <dimension ref="A1:P165"/>
  <sheetViews>
    <sheetView topLeftCell="A8" zoomScale="85" zoomScaleNormal="85" workbookViewId="0">
      <pane ySplit="1" topLeftCell="A9" activePane="bottomLeft" state="frozen"/>
      <selection activeCell="A8" sqref="A8"/>
      <selection pane="bottomLeft" activeCell="C139" sqref="C139"/>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6" width="9" style="85" bestFit="1" customWidth="1"/>
    <col min="7" max="8" width="14" style="8" customWidth="1" outlineLevel="1"/>
    <col min="9" max="10" width="14" style="9" customWidth="1"/>
    <col min="11" max="11" width="12.875" style="9" customWidth="1"/>
    <col min="12" max="12" width="14" style="9" customWidth="1"/>
    <col min="13" max="13" width="10.5" style="6" bestFit="1" customWidth="1"/>
    <col min="14" max="231" width="9.125" style="6" customWidth="1"/>
    <col min="232" max="232" width="6.375" style="6" customWidth="1"/>
    <col min="233" max="233" width="34.25" style="6" customWidth="1"/>
    <col min="234" max="234" width="7.375" style="6" customWidth="1"/>
    <col min="235" max="235" width="6.375" style="6" customWidth="1"/>
    <col min="236" max="236" width="13.125" style="6" customWidth="1"/>
    <col min="237" max="237" width="15.375" style="6" customWidth="1"/>
    <col min="238" max="238" width="21.25" style="6" customWidth="1"/>
    <col min="239" max="487" width="9.125" style="6" customWidth="1"/>
    <col min="488" max="488" width="6.375" style="6" customWidth="1"/>
    <col min="489" max="489" width="34.25" style="6" customWidth="1"/>
    <col min="490" max="490" width="7.375" style="6" customWidth="1"/>
    <col min="491" max="491" width="6.375" style="6" customWidth="1"/>
    <col min="492" max="492" width="13.125" style="6" customWidth="1"/>
    <col min="493" max="493" width="15.375" style="6" customWidth="1"/>
    <col min="494" max="494" width="21.25" style="6" customWidth="1"/>
    <col min="495" max="743" width="9.125" style="6" customWidth="1"/>
    <col min="744" max="744" width="6.375" style="6" customWidth="1"/>
    <col min="745" max="745" width="34.25" style="6" customWidth="1"/>
    <col min="746" max="746" width="7.375" style="6" customWidth="1"/>
    <col min="747" max="747" width="6.375" style="6" customWidth="1"/>
    <col min="748" max="748" width="13.125" style="6" customWidth="1"/>
    <col min="749" max="749" width="15.375" style="6" customWidth="1"/>
    <col min="750" max="750" width="21.25" style="6" customWidth="1"/>
    <col min="751" max="999" width="9.125" style="6" customWidth="1"/>
    <col min="1000" max="1000" width="6.375" style="6" customWidth="1"/>
    <col min="1001" max="1001" width="34.25" style="6" customWidth="1"/>
    <col min="1002" max="1002" width="7.375" style="6" customWidth="1"/>
    <col min="1003" max="1003" width="6.375" style="6" customWidth="1"/>
    <col min="1004" max="1004" width="13.125" style="6" customWidth="1"/>
    <col min="1005" max="1005" width="15.375" style="6" customWidth="1"/>
    <col min="1006" max="1006" width="21.25" style="6" customWidth="1"/>
    <col min="1007" max="1255" width="9.125" style="6" customWidth="1"/>
    <col min="1256" max="1256" width="6.375" style="6" customWidth="1"/>
    <col min="1257" max="1257" width="34.25" style="6" customWidth="1"/>
    <col min="1258" max="1258" width="7.375" style="6" customWidth="1"/>
    <col min="1259" max="1259" width="6.375" style="6" customWidth="1"/>
    <col min="1260" max="1260" width="13.125" style="6" customWidth="1"/>
    <col min="1261" max="1261" width="15.375" style="6" customWidth="1"/>
    <col min="1262" max="1262" width="21.25" style="6" customWidth="1"/>
    <col min="1263" max="1511" width="9.125" style="6" customWidth="1"/>
    <col min="1512" max="1512" width="6.375" style="6" customWidth="1"/>
    <col min="1513" max="1513" width="34.25" style="6" customWidth="1"/>
    <col min="1514" max="1514" width="7.375" style="6" customWidth="1"/>
    <col min="1515" max="1515" width="6.375" style="6" customWidth="1"/>
    <col min="1516" max="1516" width="13.125" style="6" customWidth="1"/>
    <col min="1517" max="1517" width="15.375" style="6" customWidth="1"/>
    <col min="1518" max="1518" width="21.25" style="6" customWidth="1"/>
    <col min="1519" max="1767" width="9.125" style="6" customWidth="1"/>
    <col min="1768" max="1768" width="6.375" style="6" customWidth="1"/>
    <col min="1769" max="1769" width="34.25" style="6" customWidth="1"/>
    <col min="1770" max="1770" width="7.375" style="6" customWidth="1"/>
    <col min="1771" max="1771" width="6.375" style="6" customWidth="1"/>
    <col min="1772" max="1772" width="13.125" style="6" customWidth="1"/>
    <col min="1773" max="1773" width="15.375" style="6" customWidth="1"/>
    <col min="1774" max="1774" width="21.25" style="6" customWidth="1"/>
    <col min="1775" max="2023" width="9.125" style="6" customWidth="1"/>
    <col min="2024" max="2024" width="6.375" style="6" customWidth="1"/>
    <col min="2025" max="2025" width="34.25" style="6" customWidth="1"/>
    <col min="2026" max="2026" width="7.375" style="6" customWidth="1"/>
    <col min="2027" max="2027" width="6.375" style="6" customWidth="1"/>
    <col min="2028" max="2028" width="13.125" style="6" customWidth="1"/>
    <col min="2029" max="2029" width="15.375" style="6" customWidth="1"/>
    <col min="2030" max="2030" width="21.25" style="6" customWidth="1"/>
    <col min="2031" max="2279" width="9.125" style="6" customWidth="1"/>
    <col min="2280" max="2280" width="6.375" style="6" customWidth="1"/>
    <col min="2281" max="2281" width="34.25" style="6" customWidth="1"/>
    <col min="2282" max="2282" width="7.375" style="6" customWidth="1"/>
    <col min="2283" max="2283" width="6.375" style="6" customWidth="1"/>
    <col min="2284" max="2284" width="13.125" style="6" customWidth="1"/>
    <col min="2285" max="2285" width="15.375" style="6" customWidth="1"/>
    <col min="2286" max="2286" width="21.25" style="6" customWidth="1"/>
    <col min="2287" max="2535" width="9.125" style="6" customWidth="1"/>
    <col min="2536" max="2536" width="6.375" style="6" customWidth="1"/>
    <col min="2537" max="2537" width="34.25" style="6" customWidth="1"/>
    <col min="2538" max="2538" width="7.375" style="6" customWidth="1"/>
    <col min="2539" max="2539" width="6.375" style="6" customWidth="1"/>
    <col min="2540" max="2540" width="13.125" style="6" customWidth="1"/>
    <col min="2541" max="2541" width="15.375" style="6" customWidth="1"/>
    <col min="2542" max="2542" width="21.25" style="6" customWidth="1"/>
    <col min="2543" max="2791" width="9.125" style="6" customWidth="1"/>
    <col min="2792" max="2792" width="6.375" style="6" customWidth="1"/>
    <col min="2793" max="2793" width="34.25" style="6" customWidth="1"/>
    <col min="2794" max="2794" width="7.375" style="6" customWidth="1"/>
    <col min="2795" max="2795" width="6.375" style="6" customWidth="1"/>
    <col min="2796" max="2796" width="13.125" style="6" customWidth="1"/>
    <col min="2797" max="2797" width="15.375" style="6" customWidth="1"/>
    <col min="2798" max="2798" width="21.25" style="6" customWidth="1"/>
    <col min="2799" max="3047" width="9.125" style="6" customWidth="1"/>
    <col min="3048" max="3048" width="6.375" style="6" customWidth="1"/>
    <col min="3049" max="3049" width="34.25" style="6" customWidth="1"/>
    <col min="3050" max="3050" width="7.375" style="6" customWidth="1"/>
    <col min="3051" max="3051" width="6.375" style="6" customWidth="1"/>
    <col min="3052" max="3052" width="13.125" style="6" customWidth="1"/>
    <col min="3053" max="3053" width="15.375" style="6" customWidth="1"/>
    <col min="3054" max="3054" width="21.25" style="6" customWidth="1"/>
    <col min="3055" max="3303" width="9.125" style="6" customWidth="1"/>
    <col min="3304" max="3304" width="6.375" style="6" customWidth="1"/>
    <col min="3305" max="3305" width="34.25" style="6" customWidth="1"/>
    <col min="3306" max="3306" width="7.375" style="6" customWidth="1"/>
    <col min="3307" max="3307" width="6.375" style="6" customWidth="1"/>
    <col min="3308" max="3308" width="13.125" style="6" customWidth="1"/>
    <col min="3309" max="3309" width="15.375" style="6" customWidth="1"/>
    <col min="3310" max="3310" width="21.25" style="6" customWidth="1"/>
    <col min="3311" max="3559" width="9.125" style="6" customWidth="1"/>
    <col min="3560" max="3560" width="6.375" style="6" customWidth="1"/>
    <col min="3561" max="3561" width="34.25" style="6" customWidth="1"/>
    <col min="3562" max="3562" width="7.375" style="6" customWidth="1"/>
    <col min="3563" max="3563" width="6.375" style="6" customWidth="1"/>
    <col min="3564" max="3564" width="13.125" style="6" customWidth="1"/>
    <col min="3565" max="3565" width="15.375" style="6" customWidth="1"/>
    <col min="3566" max="3566" width="21.25" style="6" customWidth="1"/>
    <col min="3567" max="3815" width="9.125" style="6" customWidth="1"/>
    <col min="3816" max="3816" width="6.375" style="6" customWidth="1"/>
    <col min="3817" max="3817" width="34.25" style="6" customWidth="1"/>
    <col min="3818" max="3818" width="7.375" style="6" customWidth="1"/>
    <col min="3819" max="3819" width="6.375" style="6" customWidth="1"/>
    <col min="3820" max="3820" width="13.125" style="6" customWidth="1"/>
    <col min="3821" max="3821" width="15.375" style="6" customWidth="1"/>
    <col min="3822" max="3822" width="21.25" style="6" customWidth="1"/>
    <col min="3823" max="4071" width="9.125" style="6" customWidth="1"/>
    <col min="4072" max="4072" width="6.375" style="6" customWidth="1"/>
    <col min="4073" max="4073" width="34.25" style="6" customWidth="1"/>
    <col min="4074" max="4074" width="7.375" style="6" customWidth="1"/>
    <col min="4075" max="4075" width="6.375" style="6" customWidth="1"/>
    <col min="4076" max="4076" width="13.125" style="6" customWidth="1"/>
    <col min="4077" max="4077" width="15.375" style="6" customWidth="1"/>
    <col min="4078" max="4078" width="21.25" style="6" customWidth="1"/>
    <col min="4079" max="4327" width="9.125" style="6" customWidth="1"/>
    <col min="4328" max="4328" width="6.375" style="6" customWidth="1"/>
    <col min="4329" max="4329" width="34.25" style="6" customWidth="1"/>
    <col min="4330" max="4330" width="7.375" style="6" customWidth="1"/>
    <col min="4331" max="4331" width="6.375" style="6" customWidth="1"/>
    <col min="4332" max="4332" width="13.125" style="6" customWidth="1"/>
    <col min="4333" max="4333" width="15.375" style="6" customWidth="1"/>
    <col min="4334" max="4334" width="21.25" style="6" customWidth="1"/>
    <col min="4335" max="4583" width="9.125" style="6" customWidth="1"/>
    <col min="4584" max="4584" width="6.375" style="6" customWidth="1"/>
    <col min="4585" max="4585" width="34.25" style="6" customWidth="1"/>
    <col min="4586" max="4586" width="7.375" style="6" customWidth="1"/>
    <col min="4587" max="4587" width="6.375" style="6" customWidth="1"/>
    <col min="4588" max="4588" width="13.125" style="6" customWidth="1"/>
    <col min="4589" max="4589" width="15.375" style="6" customWidth="1"/>
    <col min="4590" max="4590" width="21.25" style="6" customWidth="1"/>
    <col min="4591" max="4839" width="9.125" style="6" customWidth="1"/>
    <col min="4840" max="4840" width="6.375" style="6" customWidth="1"/>
    <col min="4841" max="4841" width="34.25" style="6" customWidth="1"/>
    <col min="4842" max="4842" width="7.375" style="6" customWidth="1"/>
    <col min="4843" max="4843" width="6.375" style="6" customWidth="1"/>
    <col min="4844" max="4844" width="13.125" style="6" customWidth="1"/>
    <col min="4845" max="4845" width="15.375" style="6" customWidth="1"/>
    <col min="4846" max="4846" width="21.25" style="6" customWidth="1"/>
    <col min="4847" max="5095" width="9.125" style="6" customWidth="1"/>
    <col min="5096" max="5096" width="6.375" style="6" customWidth="1"/>
    <col min="5097" max="5097" width="34.25" style="6" customWidth="1"/>
    <col min="5098" max="5098" width="7.375" style="6" customWidth="1"/>
    <col min="5099" max="5099" width="6.375" style="6" customWidth="1"/>
    <col min="5100" max="5100" width="13.125" style="6" customWidth="1"/>
    <col min="5101" max="5101" width="15.375" style="6" customWidth="1"/>
    <col min="5102" max="5102" width="21.25" style="6" customWidth="1"/>
    <col min="5103" max="5351" width="9.125" style="6" customWidth="1"/>
    <col min="5352" max="5352" width="6.375" style="6" customWidth="1"/>
    <col min="5353" max="5353" width="34.25" style="6" customWidth="1"/>
    <col min="5354" max="5354" width="7.375" style="6" customWidth="1"/>
    <col min="5355" max="5355" width="6.375" style="6" customWidth="1"/>
    <col min="5356" max="5356" width="13.125" style="6" customWidth="1"/>
    <col min="5357" max="5357" width="15.375" style="6" customWidth="1"/>
    <col min="5358" max="5358" width="21.25" style="6" customWidth="1"/>
    <col min="5359" max="5607" width="9.125" style="6" customWidth="1"/>
    <col min="5608" max="5608" width="6.375" style="6" customWidth="1"/>
    <col min="5609" max="5609" width="34.25" style="6" customWidth="1"/>
    <col min="5610" max="5610" width="7.375" style="6" customWidth="1"/>
    <col min="5611" max="5611" width="6.375" style="6" customWidth="1"/>
    <col min="5612" max="5612" width="13.125" style="6" customWidth="1"/>
    <col min="5613" max="5613" width="15.375" style="6" customWidth="1"/>
    <col min="5614" max="5614" width="21.25" style="6" customWidth="1"/>
    <col min="5615" max="5863" width="9.125" style="6" customWidth="1"/>
    <col min="5864" max="5864" width="6.375" style="6" customWidth="1"/>
    <col min="5865" max="5865" width="34.25" style="6" customWidth="1"/>
    <col min="5866" max="5866" width="7.375" style="6" customWidth="1"/>
    <col min="5867" max="5867" width="6.375" style="6" customWidth="1"/>
    <col min="5868" max="5868" width="13.125" style="6" customWidth="1"/>
    <col min="5869" max="5869" width="15.375" style="6" customWidth="1"/>
    <col min="5870" max="5870" width="21.25" style="6" customWidth="1"/>
    <col min="5871" max="6119" width="9.125" style="6" customWidth="1"/>
    <col min="6120" max="6120" width="6.375" style="6" customWidth="1"/>
    <col min="6121" max="6121" width="34.25" style="6" customWidth="1"/>
    <col min="6122" max="6122" width="7.375" style="6" customWidth="1"/>
    <col min="6123" max="6123" width="6.375" style="6" customWidth="1"/>
    <col min="6124" max="6124" width="13.125" style="6" customWidth="1"/>
    <col min="6125" max="6125" width="15.375" style="6" customWidth="1"/>
    <col min="6126" max="6126" width="21.25" style="6" customWidth="1"/>
    <col min="6127" max="6375" width="9.125" style="6" customWidth="1"/>
    <col min="6376" max="6376" width="6.375" style="6" customWidth="1"/>
    <col min="6377" max="6377" width="34.25" style="6" customWidth="1"/>
    <col min="6378" max="6378" width="7.375" style="6" customWidth="1"/>
    <col min="6379" max="6379" width="6.375" style="6" customWidth="1"/>
    <col min="6380" max="6380" width="13.125" style="6" customWidth="1"/>
    <col min="6381" max="6381" width="15.375" style="6" customWidth="1"/>
    <col min="6382" max="6382" width="21.25" style="6" customWidth="1"/>
    <col min="6383" max="6631" width="9.125" style="6" customWidth="1"/>
    <col min="6632" max="6632" width="6.375" style="6" customWidth="1"/>
    <col min="6633" max="6633" width="34.25" style="6" customWidth="1"/>
    <col min="6634" max="6634" width="7.375" style="6" customWidth="1"/>
    <col min="6635" max="6635" width="6.375" style="6" customWidth="1"/>
    <col min="6636" max="6636" width="13.125" style="6" customWidth="1"/>
    <col min="6637" max="6637" width="15.375" style="6" customWidth="1"/>
    <col min="6638" max="6638" width="21.25" style="6" customWidth="1"/>
    <col min="6639" max="6887" width="9.125" style="6" customWidth="1"/>
    <col min="6888" max="6888" width="6.375" style="6" customWidth="1"/>
    <col min="6889" max="6889" width="34.25" style="6" customWidth="1"/>
    <col min="6890" max="6890" width="7.375" style="6" customWidth="1"/>
    <col min="6891" max="6891" width="6.375" style="6" customWidth="1"/>
    <col min="6892" max="6892" width="13.125" style="6" customWidth="1"/>
    <col min="6893" max="6893" width="15.375" style="6" customWidth="1"/>
    <col min="6894" max="6894" width="21.25" style="6" customWidth="1"/>
    <col min="6895" max="7143" width="9.125" style="6" customWidth="1"/>
    <col min="7144" max="7144" width="6.375" style="6" customWidth="1"/>
    <col min="7145" max="7145" width="34.25" style="6" customWidth="1"/>
    <col min="7146" max="7146" width="7.375" style="6" customWidth="1"/>
    <col min="7147" max="7147" width="6.375" style="6" customWidth="1"/>
    <col min="7148" max="7148" width="13.125" style="6" customWidth="1"/>
    <col min="7149" max="7149" width="15.375" style="6" customWidth="1"/>
    <col min="7150" max="7150" width="21.25" style="6" customWidth="1"/>
    <col min="7151" max="7399" width="9.125" style="6" customWidth="1"/>
    <col min="7400" max="7400" width="6.375" style="6" customWidth="1"/>
    <col min="7401" max="7401" width="34.25" style="6" customWidth="1"/>
    <col min="7402" max="7402" width="7.375" style="6" customWidth="1"/>
    <col min="7403" max="7403" width="6.375" style="6" customWidth="1"/>
    <col min="7404" max="7404" width="13.125" style="6" customWidth="1"/>
    <col min="7405" max="7405" width="15.375" style="6" customWidth="1"/>
    <col min="7406" max="7406" width="21.25" style="6" customWidth="1"/>
    <col min="7407" max="7655" width="9.125" style="6" customWidth="1"/>
    <col min="7656" max="7656" width="6.375" style="6" customWidth="1"/>
    <col min="7657" max="7657" width="34.25" style="6" customWidth="1"/>
    <col min="7658" max="7658" width="7.375" style="6" customWidth="1"/>
    <col min="7659" max="7659" width="6.375" style="6" customWidth="1"/>
    <col min="7660" max="7660" width="13.125" style="6" customWidth="1"/>
    <col min="7661" max="7661" width="15.375" style="6" customWidth="1"/>
    <col min="7662" max="7662" width="21.25" style="6" customWidth="1"/>
    <col min="7663" max="7911" width="9.125" style="6" customWidth="1"/>
    <col min="7912" max="7912" width="6.375" style="6" customWidth="1"/>
    <col min="7913" max="7913" width="34.25" style="6" customWidth="1"/>
    <col min="7914" max="7914" width="7.375" style="6" customWidth="1"/>
    <col min="7915" max="7915" width="6.375" style="6" customWidth="1"/>
    <col min="7916" max="7916" width="13.125" style="6" customWidth="1"/>
    <col min="7917" max="7917" width="15.375" style="6" customWidth="1"/>
    <col min="7918" max="7918" width="21.25" style="6" customWidth="1"/>
    <col min="7919" max="8167" width="9.125" style="6" customWidth="1"/>
    <col min="8168" max="8168" width="6.375" style="6" customWidth="1"/>
    <col min="8169" max="8169" width="34.25" style="6" customWidth="1"/>
    <col min="8170" max="8170" width="7.375" style="6" customWidth="1"/>
    <col min="8171" max="8171" width="6.375" style="6" customWidth="1"/>
    <col min="8172" max="8172" width="13.125" style="6" customWidth="1"/>
    <col min="8173" max="8173" width="15.375" style="6" customWidth="1"/>
    <col min="8174" max="8174" width="21.25" style="6" customWidth="1"/>
    <col min="8175" max="8423" width="9.125" style="6" customWidth="1"/>
    <col min="8424" max="8424" width="6.375" style="6" customWidth="1"/>
    <col min="8425" max="8425" width="34.25" style="6" customWidth="1"/>
    <col min="8426" max="8426" width="7.375" style="6" customWidth="1"/>
    <col min="8427" max="8427" width="6.375" style="6" customWidth="1"/>
    <col min="8428" max="8428" width="13.125" style="6" customWidth="1"/>
    <col min="8429" max="8429" width="15.375" style="6" customWidth="1"/>
    <col min="8430" max="8430" width="21.25" style="6" customWidth="1"/>
    <col min="8431" max="8679" width="9.125" style="6" customWidth="1"/>
    <col min="8680" max="8680" width="6.375" style="6" customWidth="1"/>
    <col min="8681" max="8681" width="34.25" style="6" customWidth="1"/>
    <col min="8682" max="8682" width="7.375" style="6" customWidth="1"/>
    <col min="8683" max="8683" width="6.375" style="6" customWidth="1"/>
    <col min="8684" max="8684" width="13.125" style="6" customWidth="1"/>
    <col min="8685" max="8685" width="15.375" style="6" customWidth="1"/>
    <col min="8686" max="8686" width="21.25" style="6" customWidth="1"/>
    <col min="8687" max="8935" width="9.125" style="6" customWidth="1"/>
    <col min="8936" max="8936" width="6.375" style="6" customWidth="1"/>
    <col min="8937" max="8937" width="34.25" style="6" customWidth="1"/>
    <col min="8938" max="8938" width="7.375" style="6" customWidth="1"/>
    <col min="8939" max="8939" width="6.375" style="6" customWidth="1"/>
    <col min="8940" max="8940" width="13.125" style="6" customWidth="1"/>
    <col min="8941" max="8941" width="15.375" style="6" customWidth="1"/>
    <col min="8942" max="8942" width="21.25" style="6" customWidth="1"/>
    <col min="8943" max="9191" width="9.125" style="6" customWidth="1"/>
    <col min="9192" max="9192" width="6.375" style="6" customWidth="1"/>
    <col min="9193" max="9193" width="34.25" style="6" customWidth="1"/>
    <col min="9194" max="9194" width="7.375" style="6" customWidth="1"/>
    <col min="9195" max="9195" width="6.375" style="6" customWidth="1"/>
    <col min="9196" max="9196" width="13.125" style="6" customWidth="1"/>
    <col min="9197" max="9197" width="15.375" style="6" customWidth="1"/>
    <col min="9198" max="9198" width="21.25" style="6" customWidth="1"/>
    <col min="9199" max="9447" width="9.125" style="6" customWidth="1"/>
    <col min="9448" max="9448" width="6.375" style="6" customWidth="1"/>
    <col min="9449" max="9449" width="34.25" style="6" customWidth="1"/>
    <col min="9450" max="9450" width="7.375" style="6" customWidth="1"/>
    <col min="9451" max="9451" width="6.375" style="6" customWidth="1"/>
    <col min="9452" max="9452" width="13.125" style="6" customWidth="1"/>
    <col min="9453" max="9453" width="15.375" style="6" customWidth="1"/>
    <col min="9454" max="9454" width="21.25" style="6" customWidth="1"/>
    <col min="9455" max="9703" width="9.125" style="6" customWidth="1"/>
    <col min="9704" max="9704" width="6.375" style="6" customWidth="1"/>
    <col min="9705" max="9705" width="34.25" style="6" customWidth="1"/>
    <col min="9706" max="9706" width="7.375" style="6" customWidth="1"/>
    <col min="9707" max="9707" width="6.375" style="6" customWidth="1"/>
    <col min="9708" max="9708" width="13.125" style="6" customWidth="1"/>
    <col min="9709" max="9709" width="15.375" style="6" customWidth="1"/>
    <col min="9710" max="9710" width="21.25" style="6" customWidth="1"/>
    <col min="9711" max="9959" width="9.125" style="6" customWidth="1"/>
    <col min="9960" max="9960" width="6.375" style="6" customWidth="1"/>
    <col min="9961" max="9961" width="34.25" style="6" customWidth="1"/>
    <col min="9962" max="9962" width="7.375" style="6" customWidth="1"/>
    <col min="9963" max="9963" width="6.375" style="6" customWidth="1"/>
    <col min="9964" max="9964" width="13.125" style="6" customWidth="1"/>
    <col min="9965" max="9965" width="15.375" style="6" customWidth="1"/>
    <col min="9966" max="9966" width="21.25" style="6" customWidth="1"/>
    <col min="9967" max="10215" width="9.125" style="6" customWidth="1"/>
    <col min="10216" max="10216" width="6.375" style="6" customWidth="1"/>
    <col min="10217" max="10217" width="34.25" style="6" customWidth="1"/>
    <col min="10218" max="10218" width="7.375" style="6" customWidth="1"/>
    <col min="10219" max="10219" width="6.375" style="6" customWidth="1"/>
    <col min="10220" max="10220" width="13.125" style="6" customWidth="1"/>
    <col min="10221" max="10221" width="15.375" style="6" customWidth="1"/>
    <col min="10222" max="10222" width="21.25" style="6" customWidth="1"/>
    <col min="10223" max="10471" width="9.125" style="6" customWidth="1"/>
    <col min="10472" max="10472" width="6.375" style="6" customWidth="1"/>
    <col min="10473" max="10473" width="34.25" style="6" customWidth="1"/>
    <col min="10474" max="10474" width="7.375" style="6" customWidth="1"/>
    <col min="10475" max="10475" width="6.375" style="6" customWidth="1"/>
    <col min="10476" max="10476" width="13.125" style="6" customWidth="1"/>
    <col min="10477" max="10477" width="15.375" style="6" customWidth="1"/>
    <col min="10478" max="10478" width="21.25" style="6" customWidth="1"/>
    <col min="10479" max="10727" width="9.125" style="6" customWidth="1"/>
    <col min="10728" max="10728" width="6.375" style="6" customWidth="1"/>
    <col min="10729" max="10729" width="34.25" style="6" customWidth="1"/>
    <col min="10730" max="10730" width="7.375" style="6" customWidth="1"/>
    <col min="10731" max="10731" width="6.375" style="6" customWidth="1"/>
    <col min="10732" max="10732" width="13.125" style="6" customWidth="1"/>
    <col min="10733" max="10733" width="15.375" style="6" customWidth="1"/>
    <col min="10734" max="10734" width="21.25" style="6" customWidth="1"/>
    <col min="10735" max="10983" width="9.125" style="6" customWidth="1"/>
    <col min="10984" max="10984" width="6.375" style="6" customWidth="1"/>
    <col min="10985" max="10985" width="34.25" style="6" customWidth="1"/>
    <col min="10986" max="10986" width="7.375" style="6" customWidth="1"/>
    <col min="10987" max="10987" width="6.375" style="6" customWidth="1"/>
    <col min="10988" max="10988" width="13.125" style="6" customWidth="1"/>
    <col min="10989" max="10989" width="15.375" style="6" customWidth="1"/>
    <col min="10990" max="10990" width="21.25" style="6" customWidth="1"/>
    <col min="10991" max="11239" width="9.125" style="6" customWidth="1"/>
    <col min="11240" max="11240" width="6.375" style="6" customWidth="1"/>
    <col min="11241" max="11241" width="34.25" style="6" customWidth="1"/>
    <col min="11242" max="11242" width="7.375" style="6" customWidth="1"/>
    <col min="11243" max="11243" width="6.375" style="6" customWidth="1"/>
    <col min="11244" max="11244" width="13.125" style="6" customWidth="1"/>
    <col min="11245" max="11245" width="15.375" style="6" customWidth="1"/>
    <col min="11246" max="11246" width="21.25" style="6" customWidth="1"/>
    <col min="11247" max="11495" width="9.125" style="6" customWidth="1"/>
    <col min="11496" max="11496" width="6.375" style="6" customWidth="1"/>
    <col min="11497" max="11497" width="34.25" style="6" customWidth="1"/>
    <col min="11498" max="11498" width="7.375" style="6" customWidth="1"/>
    <col min="11499" max="11499" width="6.375" style="6" customWidth="1"/>
    <col min="11500" max="11500" width="13.125" style="6" customWidth="1"/>
    <col min="11501" max="11501" width="15.375" style="6" customWidth="1"/>
    <col min="11502" max="11502" width="21.25" style="6" customWidth="1"/>
    <col min="11503" max="11751" width="9.125" style="6" customWidth="1"/>
    <col min="11752" max="11752" width="6.375" style="6" customWidth="1"/>
    <col min="11753" max="11753" width="34.25" style="6" customWidth="1"/>
    <col min="11754" max="11754" width="7.375" style="6" customWidth="1"/>
    <col min="11755" max="11755" width="6.375" style="6" customWidth="1"/>
    <col min="11756" max="11756" width="13.125" style="6" customWidth="1"/>
    <col min="11757" max="11757" width="15.375" style="6" customWidth="1"/>
    <col min="11758" max="11758" width="21.25" style="6" customWidth="1"/>
    <col min="11759" max="12007" width="9.125" style="6" customWidth="1"/>
    <col min="12008" max="12008" width="6.375" style="6" customWidth="1"/>
    <col min="12009" max="12009" width="34.25" style="6" customWidth="1"/>
    <col min="12010" max="12010" width="7.375" style="6" customWidth="1"/>
    <col min="12011" max="12011" width="6.375" style="6" customWidth="1"/>
    <col min="12012" max="12012" width="13.125" style="6" customWidth="1"/>
    <col min="12013" max="12013" width="15.375" style="6" customWidth="1"/>
    <col min="12014" max="12014" width="21.25" style="6" customWidth="1"/>
    <col min="12015" max="12263" width="9.125" style="6" customWidth="1"/>
    <col min="12264" max="12264" width="6.375" style="6" customWidth="1"/>
    <col min="12265" max="12265" width="34.25" style="6" customWidth="1"/>
    <col min="12266" max="12266" width="7.375" style="6" customWidth="1"/>
    <col min="12267" max="12267" width="6.375" style="6" customWidth="1"/>
    <col min="12268" max="12268" width="13.125" style="6" customWidth="1"/>
    <col min="12269" max="12269" width="15.375" style="6" customWidth="1"/>
    <col min="12270" max="12270" width="21.25" style="6" customWidth="1"/>
    <col min="12271" max="12519" width="9.125" style="6" customWidth="1"/>
    <col min="12520" max="12520" width="6.375" style="6" customWidth="1"/>
    <col min="12521" max="12521" width="34.25" style="6" customWidth="1"/>
    <col min="12522" max="12522" width="7.375" style="6" customWidth="1"/>
    <col min="12523" max="12523" width="6.375" style="6" customWidth="1"/>
    <col min="12524" max="12524" width="13.125" style="6" customWidth="1"/>
    <col min="12525" max="12525" width="15.375" style="6" customWidth="1"/>
    <col min="12526" max="12526" width="21.25" style="6" customWidth="1"/>
    <col min="12527" max="12775" width="9.125" style="6" customWidth="1"/>
    <col min="12776" max="12776" width="6.375" style="6" customWidth="1"/>
    <col min="12777" max="12777" width="34.25" style="6" customWidth="1"/>
    <col min="12778" max="12778" width="7.375" style="6" customWidth="1"/>
    <col min="12779" max="12779" width="6.375" style="6" customWidth="1"/>
    <col min="12780" max="12780" width="13.125" style="6" customWidth="1"/>
    <col min="12781" max="12781" width="15.375" style="6" customWidth="1"/>
    <col min="12782" max="12782" width="21.25" style="6" customWidth="1"/>
    <col min="12783" max="13031" width="9.125" style="6" customWidth="1"/>
    <col min="13032" max="13032" width="6.375" style="6" customWidth="1"/>
    <col min="13033" max="13033" width="34.25" style="6" customWidth="1"/>
    <col min="13034" max="13034" width="7.375" style="6" customWidth="1"/>
    <col min="13035" max="13035" width="6.375" style="6" customWidth="1"/>
    <col min="13036" max="13036" width="13.125" style="6" customWidth="1"/>
    <col min="13037" max="13037" width="15.375" style="6" customWidth="1"/>
    <col min="13038" max="13038" width="21.25" style="6" customWidth="1"/>
    <col min="13039" max="13287" width="9.125" style="6" customWidth="1"/>
    <col min="13288" max="13288" width="6.375" style="6" customWidth="1"/>
    <col min="13289" max="13289" width="34.25" style="6" customWidth="1"/>
    <col min="13290" max="13290" width="7.375" style="6" customWidth="1"/>
    <col min="13291" max="13291" width="6.375" style="6" customWidth="1"/>
    <col min="13292" max="13292" width="13.125" style="6" customWidth="1"/>
    <col min="13293" max="13293" width="15.375" style="6" customWidth="1"/>
    <col min="13294" max="13294" width="21.25" style="6" customWidth="1"/>
    <col min="13295" max="13543" width="9.125" style="6" customWidth="1"/>
    <col min="13544" max="13544" width="6.375" style="6" customWidth="1"/>
    <col min="13545" max="13545" width="34.25" style="6" customWidth="1"/>
    <col min="13546" max="13546" width="7.375" style="6" customWidth="1"/>
    <col min="13547" max="13547" width="6.375" style="6" customWidth="1"/>
    <col min="13548" max="13548" width="13.125" style="6" customWidth="1"/>
    <col min="13549" max="13549" width="15.375" style="6" customWidth="1"/>
    <col min="13550" max="13550" width="21.25" style="6" customWidth="1"/>
    <col min="13551" max="13799" width="9.125" style="6" customWidth="1"/>
    <col min="13800" max="13800" width="6.375" style="6" customWidth="1"/>
    <col min="13801" max="13801" width="34.25" style="6" customWidth="1"/>
    <col min="13802" max="13802" width="7.375" style="6" customWidth="1"/>
    <col min="13803" max="13803" width="6.375" style="6" customWidth="1"/>
    <col min="13804" max="13804" width="13.125" style="6" customWidth="1"/>
    <col min="13805" max="13805" width="15.375" style="6" customWidth="1"/>
    <col min="13806" max="13806" width="21.25" style="6" customWidth="1"/>
    <col min="13807" max="14055" width="9.125" style="6" customWidth="1"/>
    <col min="14056" max="14056" width="6.375" style="6" customWidth="1"/>
    <col min="14057" max="14057" width="34.25" style="6" customWidth="1"/>
    <col min="14058" max="14058" width="7.375" style="6" customWidth="1"/>
    <col min="14059" max="14059" width="6.375" style="6" customWidth="1"/>
    <col min="14060" max="14060" width="13.125" style="6" customWidth="1"/>
    <col min="14061" max="14061" width="15.375" style="6" customWidth="1"/>
    <col min="14062" max="14062" width="21.25" style="6" customWidth="1"/>
    <col min="14063" max="14311" width="9.125" style="6" customWidth="1"/>
    <col min="14312" max="14312" width="6.375" style="6" customWidth="1"/>
    <col min="14313" max="14313" width="34.25" style="6" customWidth="1"/>
    <col min="14314" max="14314" width="7.375" style="6" customWidth="1"/>
    <col min="14315" max="14315" width="6.375" style="6" customWidth="1"/>
    <col min="14316" max="14316" width="13.125" style="6" customWidth="1"/>
    <col min="14317" max="14317" width="15.375" style="6" customWidth="1"/>
    <col min="14318" max="14318" width="21.25" style="6" customWidth="1"/>
    <col min="14319" max="14567" width="9.125" style="6" customWidth="1"/>
    <col min="14568" max="14568" width="6.375" style="6" customWidth="1"/>
    <col min="14569" max="14569" width="34.25" style="6" customWidth="1"/>
    <col min="14570" max="14570" width="7.375" style="6" customWidth="1"/>
    <col min="14571" max="14571" width="6.375" style="6" customWidth="1"/>
    <col min="14572" max="14572" width="13.125" style="6" customWidth="1"/>
    <col min="14573" max="14573" width="15.375" style="6" customWidth="1"/>
    <col min="14574" max="14574" width="21.25" style="6" customWidth="1"/>
    <col min="14575" max="14823" width="9.125" style="6" customWidth="1"/>
    <col min="14824" max="14824" width="6.375" style="6" customWidth="1"/>
    <col min="14825" max="14825" width="34.25" style="6" customWidth="1"/>
    <col min="14826" max="14826" width="7.375" style="6" customWidth="1"/>
    <col min="14827" max="14827" width="6.375" style="6" customWidth="1"/>
    <col min="14828" max="14828" width="13.125" style="6" customWidth="1"/>
    <col min="14829" max="14829" width="15.375" style="6" customWidth="1"/>
    <col min="14830" max="14830" width="21.25" style="6" customWidth="1"/>
    <col min="14831" max="15079" width="9.125" style="6" customWidth="1"/>
    <col min="15080" max="15080" width="6.375" style="6" customWidth="1"/>
    <col min="15081" max="15081" width="34.25" style="6" customWidth="1"/>
    <col min="15082" max="15082" width="7.375" style="6" customWidth="1"/>
    <col min="15083" max="15083" width="6.375" style="6" customWidth="1"/>
    <col min="15084" max="15084" width="13.125" style="6" customWidth="1"/>
    <col min="15085" max="15085" width="15.375" style="6" customWidth="1"/>
    <col min="15086" max="15086" width="21.25" style="6" customWidth="1"/>
    <col min="15087" max="15335" width="9.125" style="6" customWidth="1"/>
    <col min="15336" max="15336" width="6.375" style="6" customWidth="1"/>
    <col min="15337" max="15337" width="34.25" style="6" customWidth="1"/>
    <col min="15338" max="15338" width="7.375" style="6" customWidth="1"/>
    <col min="15339" max="15339" width="6.375" style="6" customWidth="1"/>
    <col min="15340" max="15340" width="13.125" style="6" customWidth="1"/>
    <col min="15341" max="15341" width="15.375" style="6" customWidth="1"/>
    <col min="15342" max="15342" width="21.25" style="6" customWidth="1"/>
    <col min="15343" max="15591" width="9.125" style="6" customWidth="1"/>
    <col min="15592" max="15592" width="6.375" style="6" customWidth="1"/>
    <col min="15593" max="15593" width="34.25" style="6" customWidth="1"/>
    <col min="15594" max="15594" width="7.375" style="6" customWidth="1"/>
    <col min="15595" max="15595" width="6.375" style="6" customWidth="1"/>
    <col min="15596" max="15596" width="13.125" style="6" customWidth="1"/>
    <col min="15597" max="15597" width="15.375" style="6" customWidth="1"/>
    <col min="15598" max="15598" width="21.25" style="6" customWidth="1"/>
    <col min="15599" max="15847" width="9.125" style="6" customWidth="1"/>
    <col min="15848" max="15848" width="6.375" style="6" customWidth="1"/>
    <col min="15849" max="15849" width="34.25" style="6" customWidth="1"/>
    <col min="15850" max="15850" width="7.375" style="6" customWidth="1"/>
    <col min="15851" max="15851" width="6.375" style="6" customWidth="1"/>
    <col min="15852" max="15852" width="13.125" style="6" customWidth="1"/>
    <col min="15853" max="15853" width="15.375" style="6" customWidth="1"/>
    <col min="15854" max="15854" width="21.25" style="6" customWidth="1"/>
    <col min="15855" max="16103" width="9.125" style="6" customWidth="1"/>
    <col min="16104" max="16104" width="6.375" style="6" customWidth="1"/>
    <col min="16105" max="16105" width="34.25" style="6" customWidth="1"/>
    <col min="16106" max="16106" width="7.375" style="6" customWidth="1"/>
    <col min="16107" max="16107" width="6.375" style="6" customWidth="1"/>
    <col min="16108" max="16108" width="13.125" style="6" customWidth="1"/>
    <col min="16109" max="16109" width="15.375" style="6" customWidth="1"/>
    <col min="16110" max="16110" width="21.25" style="6" customWidth="1"/>
    <col min="16111" max="16384" width="9.125" style="6" customWidth="1"/>
  </cols>
  <sheetData>
    <row r="1" spans="1:13" ht="48" customHeight="1"/>
    <row r="2" spans="1:13" s="1" customFormat="1" ht="51" customHeight="1">
      <c r="A2" s="10" t="s">
        <v>507</v>
      </c>
      <c r="B2" s="11"/>
      <c r="C2" s="12"/>
      <c r="D2" s="11"/>
      <c r="E2" s="14"/>
      <c r="F2" s="86"/>
      <c r="G2" s="14"/>
      <c r="H2" s="14"/>
      <c r="I2" s="15"/>
      <c r="J2" s="15"/>
      <c r="K2" s="15"/>
      <c r="L2" s="15"/>
    </row>
    <row r="3" spans="1:13" ht="26.25" customHeight="1">
      <c r="A3" s="16"/>
      <c r="B3" s="17" t="s">
        <v>440</v>
      </c>
      <c r="C3" s="213"/>
      <c r="D3" s="217"/>
      <c r="E3" s="214"/>
      <c r="F3" s="218"/>
      <c r="G3" s="214"/>
      <c r="H3" s="214"/>
      <c r="I3" s="220"/>
      <c r="J3" s="220"/>
      <c r="K3" s="220"/>
      <c r="L3" s="220"/>
    </row>
    <row r="4" spans="1:13" ht="26.25" customHeight="1">
      <c r="A4" s="18"/>
      <c r="B4" s="5" t="s">
        <v>441</v>
      </c>
      <c r="C4" s="222"/>
      <c r="D4" s="217"/>
      <c r="E4" s="214"/>
      <c r="F4" s="218"/>
      <c r="G4" s="214"/>
      <c r="H4" s="214"/>
      <c r="I4" s="220"/>
      <c r="J4" s="220"/>
      <c r="K4" s="220"/>
      <c r="L4" s="220"/>
    </row>
    <row r="5" spans="1:13" ht="26.25" customHeight="1">
      <c r="A5" s="18"/>
      <c r="B5" s="5" t="s">
        <v>442</v>
      </c>
      <c r="C5" s="216"/>
      <c r="D5" s="217"/>
      <c r="E5" s="214"/>
      <c r="F5" s="218"/>
      <c r="G5" s="214"/>
      <c r="H5" s="214"/>
      <c r="I5" s="220"/>
      <c r="J5" s="220"/>
      <c r="K5" s="220"/>
      <c r="L5" s="220"/>
    </row>
    <row r="6" spans="1:13" ht="26.25" customHeight="1">
      <c r="A6" s="18"/>
      <c r="B6" s="5" t="s">
        <v>443</v>
      </c>
      <c r="C6" s="213" t="str">
        <f>INDEX(總表!$B$9:$B$47,MATCH('21A'!A9,總表!$A$9:$A$48,0))</f>
        <v>Nhà máy bơm, bể nước sinh hoạt – sản xuất-PCCC
泵房-生活水池及生產水池-消防水池</v>
      </c>
      <c r="D6" s="217"/>
      <c r="E6" s="214"/>
      <c r="F6" s="218"/>
      <c r="G6" s="214"/>
      <c r="H6" s="214"/>
      <c r="I6" s="220"/>
      <c r="J6" s="220"/>
      <c r="K6" s="220"/>
      <c r="L6" s="220"/>
    </row>
    <row r="7" spans="1:13" ht="26.25" customHeight="1">
      <c r="A7" s="18"/>
      <c r="B7" s="5" t="s">
        <v>444</v>
      </c>
      <c r="C7" s="223" t="s">
        <v>445</v>
      </c>
      <c r="D7" s="224"/>
      <c r="E7" s="224"/>
      <c r="F7" s="224"/>
      <c r="G7" s="224"/>
      <c r="H7" s="224"/>
      <c r="I7" s="224"/>
      <c r="J7" s="224"/>
      <c r="K7" s="224"/>
      <c r="L7" s="224"/>
    </row>
    <row r="8" spans="1:13" s="2" customFormat="1" ht="41.25" customHeight="1">
      <c r="A8" s="19" t="s">
        <v>446</v>
      </c>
      <c r="B8" s="19" t="s">
        <v>508</v>
      </c>
      <c r="C8" s="19" t="s">
        <v>509</v>
      </c>
      <c r="D8" s="19" t="s">
        <v>448</v>
      </c>
      <c r="E8" s="19" t="s">
        <v>449</v>
      </c>
      <c r="F8" s="84" t="s">
        <v>510</v>
      </c>
      <c r="G8" s="19" t="s">
        <v>511</v>
      </c>
      <c r="H8" s="19" t="s">
        <v>512</v>
      </c>
      <c r="I8" s="21" t="s">
        <v>450</v>
      </c>
      <c r="J8" s="21" t="s">
        <v>452</v>
      </c>
      <c r="K8" s="84" t="s">
        <v>513</v>
      </c>
      <c r="L8" s="21" t="s">
        <v>514</v>
      </c>
      <c r="M8" s="2" t="s">
        <v>582</v>
      </c>
    </row>
    <row r="9" spans="1:13" s="3" customFormat="1" ht="25.5" customHeight="1">
      <c r="A9" s="22" t="s">
        <v>480</v>
      </c>
      <c r="B9" s="23" t="str">
        <f>C6</f>
        <v>Nhà máy bơm, bể nước sinh hoạt – sản xuất-PCCC
泵房-生活水池及生產水池-消防水池</v>
      </c>
      <c r="C9" s="23" t="s">
        <v>515</v>
      </c>
      <c r="D9" s="22"/>
      <c r="E9" s="25"/>
      <c r="F9" s="25"/>
      <c r="G9" s="25">
        <f>_xlfn.XLOOKUP(B9, Rate_Master!$A:$A, Rate_Master!$C:$C, "")</f>
        <v>0</v>
      </c>
      <c r="H9" s="25">
        <f>_xlfn.XLOOKUP(B9, Rate_Master!$A:$A, Rate_Master!$D:$D, "")</f>
        <v>0</v>
      </c>
      <c r="I9" s="26"/>
      <c r="J9" s="26">
        <f>SUBTOTAL(9,J10:J164)</f>
        <v>3669477465.0622549</v>
      </c>
      <c r="K9" s="26">
        <f>SUBTOTAL(9,K10:K165)</f>
        <v>3682801827.3213615</v>
      </c>
      <c r="L9" s="26"/>
      <c r="M9" s="103">
        <f>+J57+J73+J79+J94</f>
        <v>388094701.63701236</v>
      </c>
    </row>
    <row r="10" spans="1:13" s="3" customFormat="1" ht="25.5" customHeight="1">
      <c r="A10" s="22" t="str">
        <f>$A$9&amp;".C"</f>
        <v>21A.C</v>
      </c>
      <c r="B10" s="23" t="s">
        <v>1</v>
      </c>
      <c r="C10" s="23" t="s">
        <v>515</v>
      </c>
      <c r="D10" s="22"/>
      <c r="E10" s="25"/>
      <c r="F10" s="25"/>
      <c r="G10" s="25">
        <f>_xlfn.XLOOKUP(B10, Rate_Master!$A:$A, Rate_Master!$C:$C, "")</f>
        <v>0</v>
      </c>
      <c r="H10" s="25">
        <f>_xlfn.XLOOKUP(B10, Rate_Master!$A:$A, Rate_Master!$D:$D, "")</f>
        <v>0</v>
      </c>
      <c r="I10" s="26"/>
      <c r="J10" s="26"/>
      <c r="K10" s="26"/>
      <c r="L10" s="26"/>
    </row>
    <row r="11" spans="1:13" s="3" customFormat="1" ht="25.5" customHeight="1">
      <c r="A11" s="22" t="str">
        <f>$A$10&amp;1</f>
        <v>21A.C1</v>
      </c>
      <c r="B11" s="23" t="s">
        <v>2</v>
      </c>
      <c r="C11" s="23" t="s">
        <v>515</v>
      </c>
      <c r="D11" s="22"/>
      <c r="E11" s="25"/>
      <c r="F11" s="25"/>
      <c r="G11" s="25">
        <f>_xlfn.XLOOKUP(B11, Rate_Master!$A:$A, Rate_Master!$C:$C, "")</f>
        <v>0</v>
      </c>
      <c r="H11" s="25">
        <f>_xlfn.XLOOKUP(B11, Rate_Master!$A:$A, Rate_Master!$D:$D, "")</f>
        <v>0</v>
      </c>
      <c r="I11" s="26"/>
      <c r="J11" s="26">
        <f>SUBTOTAL(9,J12:J22)</f>
        <v>705207600</v>
      </c>
      <c r="K11" s="26">
        <f>SUBTOTAL(9,K12:K22)</f>
        <v>705207600</v>
      </c>
      <c r="L11" s="26"/>
    </row>
    <row r="12" spans="1:13" s="4" customFormat="1" ht="25.5" customHeight="1" outlineLevel="1">
      <c r="A12" s="27" t="str">
        <f t="shared" ref="A12:A22" si="0">$A$11&amp;"."&amp;ROW()-ROW($A$11)</f>
        <v>21A.C1.1</v>
      </c>
      <c r="B12" s="28" t="s">
        <v>3</v>
      </c>
      <c r="C12" s="28" t="s">
        <v>515</v>
      </c>
      <c r="D12" s="29" t="s">
        <v>516</v>
      </c>
      <c r="E12" s="31">
        <v>0</v>
      </c>
      <c r="F12" s="31">
        <v>0</v>
      </c>
      <c r="G12" s="31">
        <f>_xlfn.XLOOKUP(B12, Rate_Master!$A:$A, Rate_Master!$C:$C, "")</f>
        <v>0</v>
      </c>
      <c r="H12" s="31">
        <f>_xlfn.XLOOKUP(B12, Rate_Master!$A:$A, Rate_Master!$D:$D, "")</f>
        <v>114999999.99999999</v>
      </c>
      <c r="I12" s="32">
        <v>0</v>
      </c>
      <c r="J12" s="32">
        <f t="shared" ref="J12:J22" si="1">I12*E12</f>
        <v>0</v>
      </c>
      <c r="K12" s="32">
        <f t="shared" ref="K12:K22" si="2">I12*F12</f>
        <v>0</v>
      </c>
      <c r="L12" s="32"/>
    </row>
    <row r="13" spans="1:13" s="4" customFormat="1" ht="25.5" customHeight="1" outlineLevel="1">
      <c r="A13" s="27" t="str">
        <f t="shared" si="0"/>
        <v>21A.C1.2</v>
      </c>
      <c r="B13" s="28" t="s">
        <v>4</v>
      </c>
      <c r="C13" s="28" t="s">
        <v>515</v>
      </c>
      <c r="D13" s="29" t="s">
        <v>517</v>
      </c>
      <c r="E13" s="31">
        <v>0</v>
      </c>
      <c r="F13" s="31">
        <v>0</v>
      </c>
      <c r="G13" s="31">
        <f>_xlfn.XLOOKUP(B13, Rate_Master!$A:$A, Rate_Master!$C:$C, "")</f>
        <v>425499.99999999994</v>
      </c>
      <c r="H13" s="31">
        <f>_xlfn.XLOOKUP(B13, Rate_Master!$A:$A, Rate_Master!$D:$D, "")</f>
        <v>0</v>
      </c>
      <c r="I13" s="32">
        <v>0</v>
      </c>
      <c r="J13" s="32">
        <f t="shared" si="1"/>
        <v>0</v>
      </c>
      <c r="K13" s="32">
        <f t="shared" si="2"/>
        <v>0</v>
      </c>
      <c r="L13" s="32"/>
    </row>
    <row r="14" spans="1:13" s="4" customFormat="1" ht="25.5" customHeight="1" outlineLevel="1">
      <c r="A14" s="27" t="str">
        <f t="shared" si="0"/>
        <v>21A.C1.3</v>
      </c>
      <c r="B14" s="28" t="s">
        <v>5</v>
      </c>
      <c r="C14" s="28" t="s">
        <v>515</v>
      </c>
      <c r="D14" s="29" t="s">
        <v>517</v>
      </c>
      <c r="E14" s="31">
        <v>0</v>
      </c>
      <c r="F14" s="31">
        <v>0</v>
      </c>
      <c r="G14" s="31">
        <f>_xlfn.XLOOKUP(B14, Rate_Master!$A:$A, Rate_Master!$C:$C, "")</f>
        <v>0</v>
      </c>
      <c r="H14" s="31">
        <f>_xlfn.XLOOKUP(B14, Rate_Master!$A:$A, Rate_Master!$D:$D, "")</f>
        <v>69000</v>
      </c>
      <c r="I14" s="32">
        <v>0</v>
      </c>
      <c r="J14" s="32">
        <f t="shared" si="1"/>
        <v>0</v>
      </c>
      <c r="K14" s="32">
        <f t="shared" si="2"/>
        <v>0</v>
      </c>
      <c r="L14" s="32"/>
    </row>
    <row r="15" spans="1:13" s="4" customFormat="1" ht="25.5" customHeight="1" outlineLevel="1">
      <c r="A15" s="27" t="str">
        <f t="shared" si="0"/>
        <v>21A.C1.4</v>
      </c>
      <c r="B15" s="28" t="s">
        <v>6</v>
      </c>
      <c r="C15" s="28" t="s">
        <v>515</v>
      </c>
      <c r="D15" s="29" t="s">
        <v>517</v>
      </c>
      <c r="E15" s="31">
        <v>0</v>
      </c>
      <c r="F15" s="31">
        <v>0</v>
      </c>
      <c r="G15" s="31">
        <f>_xlfn.XLOOKUP(B15, Rate_Master!$A:$A, Rate_Master!$C:$C, "")</f>
        <v>0</v>
      </c>
      <c r="H15" s="31">
        <f>_xlfn.XLOOKUP(B15, Rate_Master!$A:$A, Rate_Master!$D:$D, "")</f>
        <v>57499.999999999993</v>
      </c>
      <c r="I15" s="32">
        <v>0</v>
      </c>
      <c r="J15" s="32">
        <f t="shared" si="1"/>
        <v>0</v>
      </c>
      <c r="K15" s="32">
        <f t="shared" si="2"/>
        <v>0</v>
      </c>
      <c r="L15" s="32"/>
    </row>
    <row r="16" spans="1:13" s="4" customFormat="1" ht="102" customHeight="1" outlineLevel="1">
      <c r="A16" s="27" t="str">
        <f t="shared" si="0"/>
        <v>21A.C1.5</v>
      </c>
      <c r="B16" s="28" t="s">
        <v>7</v>
      </c>
      <c r="C16" s="28" t="s">
        <v>515</v>
      </c>
      <c r="D16" s="29" t="s">
        <v>518</v>
      </c>
      <c r="E16" s="31">
        <v>0</v>
      </c>
      <c r="F16" s="31">
        <v>0</v>
      </c>
      <c r="G16" s="31">
        <f>_xlfn.XLOOKUP(B16, Rate_Master!$A:$A, Rate_Master!$C:$C, "")</f>
        <v>0</v>
      </c>
      <c r="H16" s="31">
        <f>_xlfn.XLOOKUP(B16, Rate_Master!$A:$A, Rate_Master!$D:$D, "")</f>
        <v>13799999.999999998</v>
      </c>
      <c r="I16" s="32">
        <v>0</v>
      </c>
      <c r="J16" s="32">
        <f t="shared" si="1"/>
        <v>0</v>
      </c>
      <c r="K16" s="32">
        <f t="shared" si="2"/>
        <v>0</v>
      </c>
      <c r="L16" s="32"/>
    </row>
    <row r="17" spans="1:12" s="4" customFormat="1" ht="25.5" customHeight="1" outlineLevel="1">
      <c r="A17" s="27" t="str">
        <f t="shared" si="0"/>
        <v>21A.C1.6</v>
      </c>
      <c r="B17" s="28" t="s">
        <v>8</v>
      </c>
      <c r="C17" s="28" t="s">
        <v>515</v>
      </c>
      <c r="D17" s="29" t="s">
        <v>518</v>
      </c>
      <c r="E17" s="31">
        <v>12</v>
      </c>
      <c r="F17" s="31">
        <v>12</v>
      </c>
      <c r="G17" s="31">
        <f>_xlfn.XLOOKUP(B17, Rate_Master!$A:$A, Rate_Master!$C:$C, "")</f>
        <v>0</v>
      </c>
      <c r="H17" s="31">
        <f>_xlfn.XLOOKUP(B17, Rate_Master!$A:$A, Rate_Master!$D:$D, "")</f>
        <v>252999.99999999997</v>
      </c>
      <c r="I17" s="66">
        <f t="shared" ref="I17:I22" si="3">G17+H17</f>
        <v>252999.99999999997</v>
      </c>
      <c r="J17" s="32">
        <f t="shared" si="1"/>
        <v>3035999.9999999995</v>
      </c>
      <c r="K17" s="32">
        <f t="shared" si="2"/>
        <v>3035999.9999999995</v>
      </c>
      <c r="L17" s="32"/>
    </row>
    <row r="18" spans="1:12" s="4" customFormat="1" ht="25.5" customHeight="1" outlineLevel="1">
      <c r="A18" s="27" t="str">
        <f t="shared" si="0"/>
        <v>21A.C1.7</v>
      </c>
      <c r="B18" s="28" t="s">
        <v>9</v>
      </c>
      <c r="C18" s="28" t="s">
        <v>515</v>
      </c>
      <c r="D18" s="29" t="s">
        <v>517</v>
      </c>
      <c r="E18" s="31">
        <v>1254</v>
      </c>
      <c r="F18" s="31">
        <v>1254</v>
      </c>
      <c r="G18" s="31">
        <f>_xlfn.XLOOKUP(B18, Rate_Master!$A:$A, Rate_Master!$C:$C, "")</f>
        <v>402499.99999999994</v>
      </c>
      <c r="H18" s="31">
        <f>_xlfn.XLOOKUP(B18, Rate_Master!$A:$A, Rate_Master!$D:$D, "")</f>
        <v>0</v>
      </c>
      <c r="I18" s="66">
        <f t="shared" si="3"/>
        <v>402499.99999999994</v>
      </c>
      <c r="J18" s="32">
        <f t="shared" si="1"/>
        <v>504734999.99999994</v>
      </c>
      <c r="K18" s="32">
        <f t="shared" si="2"/>
        <v>504734999.99999994</v>
      </c>
      <c r="L18" s="32"/>
    </row>
    <row r="19" spans="1:12" s="4" customFormat="1" ht="25.5" customHeight="1" outlineLevel="1">
      <c r="A19" s="27" t="str">
        <f t="shared" si="0"/>
        <v>21A.C1.8</v>
      </c>
      <c r="B19" s="28" t="s">
        <v>10</v>
      </c>
      <c r="C19" s="28" t="s">
        <v>515</v>
      </c>
      <c r="D19" s="29" t="s">
        <v>518</v>
      </c>
      <c r="E19" s="31">
        <v>57</v>
      </c>
      <c r="F19" s="31">
        <v>57</v>
      </c>
      <c r="G19" s="31">
        <f>_xlfn.XLOOKUP(B19, Rate_Master!$A:$A, Rate_Master!$C:$C, "")</f>
        <v>80500</v>
      </c>
      <c r="H19" s="31">
        <f>_xlfn.XLOOKUP(B19, Rate_Master!$A:$A, Rate_Master!$D:$D, "")</f>
        <v>0</v>
      </c>
      <c r="I19" s="66">
        <f t="shared" si="3"/>
        <v>80500</v>
      </c>
      <c r="J19" s="32">
        <f t="shared" si="1"/>
        <v>4588500</v>
      </c>
      <c r="K19" s="32">
        <f t="shared" si="2"/>
        <v>4588500</v>
      </c>
      <c r="L19" s="32"/>
    </row>
    <row r="20" spans="1:12" s="4" customFormat="1" ht="25.5" customHeight="1" outlineLevel="1">
      <c r="A20" s="27" t="str">
        <f t="shared" si="0"/>
        <v>21A.C1.9</v>
      </c>
      <c r="B20" s="28" t="s">
        <v>11</v>
      </c>
      <c r="C20" s="28" t="s">
        <v>515</v>
      </c>
      <c r="D20" s="29" t="s">
        <v>517</v>
      </c>
      <c r="E20" s="31">
        <v>1208.4000000000001</v>
      </c>
      <c r="F20" s="31">
        <v>1208.4000000000001</v>
      </c>
      <c r="G20" s="31">
        <f>_xlfn.XLOOKUP(B20, Rate_Master!$A:$A, Rate_Master!$C:$C, "")</f>
        <v>0</v>
      </c>
      <c r="H20" s="31">
        <f>_xlfn.XLOOKUP(B20, Rate_Master!$A:$A, Rate_Master!$D:$D, "")</f>
        <v>69000</v>
      </c>
      <c r="I20" s="66">
        <f t="shared" si="3"/>
        <v>69000</v>
      </c>
      <c r="J20" s="32">
        <f t="shared" si="1"/>
        <v>83379600</v>
      </c>
      <c r="K20" s="32">
        <f t="shared" si="2"/>
        <v>83379600</v>
      </c>
      <c r="L20" s="32"/>
    </row>
    <row r="21" spans="1:12" s="4" customFormat="1" ht="25.5" customHeight="1" outlineLevel="1">
      <c r="A21" s="27" t="str">
        <f t="shared" si="0"/>
        <v>21A.C1.10</v>
      </c>
      <c r="B21" s="28" t="s">
        <v>12</v>
      </c>
      <c r="C21" s="28" t="s">
        <v>515</v>
      </c>
      <c r="D21" s="29" t="s">
        <v>517</v>
      </c>
      <c r="E21" s="31">
        <v>1265.4000000000001</v>
      </c>
      <c r="F21" s="31">
        <v>1265.4000000000001</v>
      </c>
      <c r="G21" s="31">
        <f>_xlfn.XLOOKUP(B21, Rate_Master!$A:$A, Rate_Master!$C:$C, "")</f>
        <v>0</v>
      </c>
      <c r="H21" s="31">
        <f>_xlfn.XLOOKUP(B21, Rate_Master!$A:$A, Rate_Master!$D:$D, "")</f>
        <v>57499.999999999993</v>
      </c>
      <c r="I21" s="66">
        <f t="shared" si="3"/>
        <v>57499.999999999993</v>
      </c>
      <c r="J21" s="32">
        <f t="shared" si="1"/>
        <v>72760500</v>
      </c>
      <c r="K21" s="32">
        <f t="shared" si="2"/>
        <v>72760500</v>
      </c>
      <c r="L21" s="32"/>
    </row>
    <row r="22" spans="1:12" s="4" customFormat="1" ht="63.75" customHeight="1" outlineLevel="1">
      <c r="A22" s="27" t="str">
        <f t="shared" si="0"/>
        <v>21A.C1.11</v>
      </c>
      <c r="B22" s="28" t="s">
        <v>13</v>
      </c>
      <c r="C22" s="28" t="s">
        <v>515</v>
      </c>
      <c r="D22" s="29" t="s">
        <v>518</v>
      </c>
      <c r="E22" s="31">
        <v>57</v>
      </c>
      <c r="F22" s="31">
        <v>57</v>
      </c>
      <c r="G22" s="31">
        <f>_xlfn.XLOOKUP(B22, Rate_Master!$A:$A, Rate_Master!$C:$C, "")</f>
        <v>482999.99999999994</v>
      </c>
      <c r="H22" s="31">
        <f>_xlfn.XLOOKUP(B22, Rate_Master!$A:$A, Rate_Master!$D:$D, "")</f>
        <v>161000</v>
      </c>
      <c r="I22" s="66">
        <f t="shared" si="3"/>
        <v>644000</v>
      </c>
      <c r="J22" s="32">
        <f t="shared" si="1"/>
        <v>36708000</v>
      </c>
      <c r="K22" s="32">
        <f t="shared" si="2"/>
        <v>36708000</v>
      </c>
      <c r="L22" s="32"/>
    </row>
    <row r="23" spans="1:12" s="3" customFormat="1" ht="25.5" customHeight="1">
      <c r="A23" s="22" t="str">
        <f>$A$10&amp;2</f>
        <v>21A.C2</v>
      </c>
      <c r="B23" s="23" t="s">
        <v>14</v>
      </c>
      <c r="C23" s="23" t="s">
        <v>515</v>
      </c>
      <c r="D23" s="22"/>
      <c r="E23" s="25"/>
      <c r="F23" s="25"/>
      <c r="G23" s="25">
        <f>_xlfn.XLOOKUP(B23, Rate_Master!$A:$A, Rate_Master!$C:$C, "")</f>
        <v>0</v>
      </c>
      <c r="H23" s="25">
        <f>_xlfn.XLOOKUP(B23, Rate_Master!$A:$A, Rate_Master!$D:$D, "")</f>
        <v>0</v>
      </c>
      <c r="I23" s="26"/>
      <c r="J23" s="26">
        <f>SUBTOTAL(9,J24:J31)</f>
        <v>152519397.44999999</v>
      </c>
      <c r="K23" s="26">
        <f>SUBTOTAL(9,K24:K31)</f>
        <v>152519397.44999999</v>
      </c>
      <c r="L23" s="26"/>
    </row>
    <row r="24" spans="1:12" s="4" customFormat="1" ht="25.5" customHeight="1" outlineLevel="1">
      <c r="A24" s="27" t="str">
        <f t="shared" ref="A24:A31" si="4">$A$23&amp;"."&amp;ROW()-ROW($A$23)</f>
        <v>21A.C2.1</v>
      </c>
      <c r="B24" s="28" t="s">
        <v>15</v>
      </c>
      <c r="C24" s="28" t="s">
        <v>515</v>
      </c>
      <c r="D24" s="29" t="s">
        <v>519</v>
      </c>
      <c r="E24" s="31">
        <v>157.042</v>
      </c>
      <c r="F24" s="31">
        <v>157.042</v>
      </c>
      <c r="G24" s="31">
        <f>_xlfn.XLOOKUP(B24, Rate_Master!$A:$A, Rate_Master!$C:$C, "")</f>
        <v>0</v>
      </c>
      <c r="H24" s="31">
        <f>_xlfn.XLOOKUP(B24, Rate_Master!$A:$A, Rate_Master!$D:$D, "")</f>
        <v>32199.999999999996</v>
      </c>
      <c r="I24" s="66">
        <f t="shared" ref="I24:I31" si="5">G24+H24</f>
        <v>32199.999999999996</v>
      </c>
      <c r="J24" s="32">
        <f t="shared" ref="J24:J31" si="6">I24*E24</f>
        <v>5056752.3999999994</v>
      </c>
      <c r="K24" s="32">
        <f t="shared" ref="K24:K31" si="7">I24*F24</f>
        <v>5056752.3999999994</v>
      </c>
      <c r="L24" s="32"/>
    </row>
    <row r="25" spans="1:12" s="4" customFormat="1" ht="25.5" customHeight="1" outlineLevel="1">
      <c r="A25" s="27" t="str">
        <f t="shared" si="4"/>
        <v>21A.C2.2</v>
      </c>
      <c r="B25" s="28" t="s">
        <v>16</v>
      </c>
      <c r="C25" s="28" t="s">
        <v>515</v>
      </c>
      <c r="D25" s="29" t="s">
        <v>520</v>
      </c>
      <c r="E25" s="31">
        <v>162.20500000000001</v>
      </c>
      <c r="F25" s="31">
        <v>162.20500000000001</v>
      </c>
      <c r="G25" s="31">
        <f>_xlfn.XLOOKUP(B25, Rate_Master!$A:$A, Rate_Master!$C:$C, "")</f>
        <v>0</v>
      </c>
      <c r="H25" s="31">
        <f>_xlfn.XLOOKUP(B25, Rate_Master!$A:$A, Rate_Master!$D:$D, "")</f>
        <v>17250</v>
      </c>
      <c r="I25" s="66">
        <f t="shared" si="5"/>
        <v>17250</v>
      </c>
      <c r="J25" s="32">
        <f t="shared" si="6"/>
        <v>2798036.25</v>
      </c>
      <c r="K25" s="32">
        <f t="shared" si="7"/>
        <v>2798036.25</v>
      </c>
      <c r="L25" s="32"/>
    </row>
    <row r="26" spans="1:12" s="4" customFormat="1" ht="25.5" customHeight="1" outlineLevel="1">
      <c r="A26" s="27" t="str">
        <f t="shared" si="4"/>
        <v>21A.C2.3</v>
      </c>
      <c r="B26" s="28" t="s">
        <v>17</v>
      </c>
      <c r="C26" s="28" t="s">
        <v>515</v>
      </c>
      <c r="D26" s="29" t="s">
        <v>519</v>
      </c>
      <c r="E26" s="31">
        <v>106.53400000000001</v>
      </c>
      <c r="F26" s="31">
        <v>106.53400000000001</v>
      </c>
      <c r="G26" s="31">
        <f>_xlfn.XLOOKUP(B26, Rate_Master!$A:$A, Rate_Master!$C:$C, "")</f>
        <v>0</v>
      </c>
      <c r="H26" s="31">
        <f>_xlfn.XLOOKUP(B26, Rate_Master!$A:$A, Rate_Master!$D:$D, "")</f>
        <v>37950</v>
      </c>
      <c r="I26" s="66">
        <f t="shared" si="5"/>
        <v>37950</v>
      </c>
      <c r="J26" s="32">
        <f t="shared" si="6"/>
        <v>4042965.3000000003</v>
      </c>
      <c r="K26" s="32">
        <f t="shared" si="7"/>
        <v>4042965.3000000003</v>
      </c>
      <c r="L26" s="32"/>
    </row>
    <row r="27" spans="1:12" s="4" customFormat="1" ht="25.5" customHeight="1" outlineLevel="1">
      <c r="A27" s="27" t="str">
        <f t="shared" si="4"/>
        <v>21A.C2.4</v>
      </c>
      <c r="B27" s="34" t="s">
        <v>18</v>
      </c>
      <c r="C27" s="34" t="s">
        <v>521</v>
      </c>
      <c r="D27" s="29" t="s">
        <v>519</v>
      </c>
      <c r="E27" s="31">
        <v>50.508000000000003</v>
      </c>
      <c r="F27" s="31">
        <v>50.508000000000003</v>
      </c>
      <c r="G27" s="31">
        <f>_xlfn.XLOOKUP(B27, Rate_Master!$A:$A, Rate_Master!$C:$C, "")</f>
        <v>0</v>
      </c>
      <c r="H27" s="31">
        <f>_xlfn.XLOOKUP(B27, Rate_Master!$A:$A, Rate_Master!$D:$D, "")</f>
        <v>32199.999999999996</v>
      </c>
      <c r="I27" s="66">
        <f t="shared" si="5"/>
        <v>32199.999999999996</v>
      </c>
      <c r="J27" s="32">
        <f t="shared" si="6"/>
        <v>1626357.5999999999</v>
      </c>
      <c r="K27" s="32">
        <f t="shared" si="7"/>
        <v>1626357.5999999999</v>
      </c>
      <c r="L27" s="32"/>
    </row>
    <row r="28" spans="1:12" s="4" customFormat="1" ht="25.5" customHeight="1" outlineLevel="1">
      <c r="A28" s="27" t="str">
        <f t="shared" si="4"/>
        <v>21A.C2.5</v>
      </c>
      <c r="B28" s="28" t="s">
        <v>19</v>
      </c>
      <c r="C28" s="28" t="s">
        <v>515</v>
      </c>
      <c r="D28" s="29" t="s">
        <v>520</v>
      </c>
      <c r="E28" s="31">
        <v>162.20500000000001</v>
      </c>
      <c r="F28" s="31">
        <v>162.20500000000001</v>
      </c>
      <c r="G28" s="31">
        <f>_xlfn.XLOOKUP(B28, Rate_Master!$A:$A, Rate_Master!$C:$C, "")</f>
        <v>6899.9999999999991</v>
      </c>
      <c r="H28" s="31">
        <f>_xlfn.XLOOKUP(B28, Rate_Master!$A:$A, Rate_Master!$D:$D, "")</f>
        <v>1724.9999999999998</v>
      </c>
      <c r="I28" s="66">
        <f t="shared" si="5"/>
        <v>8624.9999999999982</v>
      </c>
      <c r="J28" s="32">
        <f t="shared" si="6"/>
        <v>1399018.1249999998</v>
      </c>
      <c r="K28" s="32">
        <f t="shared" si="7"/>
        <v>1399018.1249999998</v>
      </c>
      <c r="L28" s="32"/>
    </row>
    <row r="29" spans="1:12" s="4" customFormat="1" ht="38.25" customHeight="1" outlineLevel="1">
      <c r="A29" s="27" t="str">
        <f t="shared" si="4"/>
        <v>21A.C2.6</v>
      </c>
      <c r="B29" s="28" t="s">
        <v>20</v>
      </c>
      <c r="C29" s="28" t="s">
        <v>515</v>
      </c>
      <c r="D29" s="29" t="s">
        <v>520</v>
      </c>
      <c r="E29" s="31">
        <v>508.82799999999997</v>
      </c>
      <c r="F29" s="31">
        <v>508.82799999999997</v>
      </c>
      <c r="G29" s="31">
        <f>_xlfn.XLOOKUP(B29, Rate_Master!$A:$A, Rate_Master!$C:$C, "")</f>
        <v>34500</v>
      </c>
      <c r="H29" s="31">
        <f>_xlfn.XLOOKUP(B29, Rate_Master!$A:$A, Rate_Master!$D:$D, "")</f>
        <v>5750</v>
      </c>
      <c r="I29" s="66">
        <f t="shared" si="5"/>
        <v>40250</v>
      </c>
      <c r="J29" s="32">
        <f t="shared" si="6"/>
        <v>20480327</v>
      </c>
      <c r="K29" s="32">
        <f t="shared" si="7"/>
        <v>20480327</v>
      </c>
      <c r="L29" s="32"/>
    </row>
    <row r="30" spans="1:12" s="4" customFormat="1" ht="25.5" customHeight="1" outlineLevel="1">
      <c r="A30" s="27" t="str">
        <f t="shared" si="4"/>
        <v>21A.C2.7</v>
      </c>
      <c r="B30" s="34" t="s">
        <v>21</v>
      </c>
      <c r="C30" s="28" t="s">
        <v>515</v>
      </c>
      <c r="D30" s="29" t="s">
        <v>520</v>
      </c>
      <c r="E30" s="31">
        <v>508.82799999999997</v>
      </c>
      <c r="F30" s="31">
        <v>508.82799999999997</v>
      </c>
      <c r="G30" s="31">
        <f>_xlfn.XLOOKUP(B30, Rate_Master!$A:$A, Rate_Master!$C:$C, "")</f>
        <v>0</v>
      </c>
      <c r="H30" s="31">
        <f>_xlfn.XLOOKUP(B30, Rate_Master!$A:$A, Rate_Master!$D:$D, "")</f>
        <v>13799.999999999998</v>
      </c>
      <c r="I30" s="32">
        <f t="shared" si="5"/>
        <v>13799.999999999998</v>
      </c>
      <c r="J30" s="32">
        <f t="shared" si="6"/>
        <v>7021826.3999999985</v>
      </c>
      <c r="K30" s="32">
        <f t="shared" si="7"/>
        <v>7021826.3999999985</v>
      </c>
      <c r="L30" s="32"/>
    </row>
    <row r="31" spans="1:12" s="4" customFormat="1" ht="25.5" customHeight="1" outlineLevel="1">
      <c r="A31" s="27" t="str">
        <f t="shared" si="4"/>
        <v>21A.C2.8</v>
      </c>
      <c r="B31" s="28" t="s">
        <v>22</v>
      </c>
      <c r="C31" s="28" t="s">
        <v>515</v>
      </c>
      <c r="D31" s="29" t="s">
        <v>519</v>
      </c>
      <c r="E31" s="31">
        <v>178.77500000000001</v>
      </c>
      <c r="F31" s="31">
        <v>178.77500000000001</v>
      </c>
      <c r="G31" s="31">
        <f>_xlfn.XLOOKUP(B31, Rate_Master!$A:$A, Rate_Master!$C:$C, "")</f>
        <v>512325</v>
      </c>
      <c r="H31" s="31">
        <f>_xlfn.XLOOKUP(B31, Rate_Master!$A:$A, Rate_Master!$D:$D, "")</f>
        <v>103499.99999999999</v>
      </c>
      <c r="I31" s="66">
        <f t="shared" si="5"/>
        <v>615825</v>
      </c>
      <c r="J31" s="32">
        <f t="shared" si="6"/>
        <v>110094114.375</v>
      </c>
      <c r="K31" s="32">
        <f t="shared" si="7"/>
        <v>110094114.375</v>
      </c>
      <c r="L31" s="32"/>
    </row>
    <row r="32" spans="1:12" s="3" customFormat="1" ht="25.5" customHeight="1">
      <c r="A32" s="22" t="str">
        <f>$A$10&amp;3</f>
        <v>21A.C3</v>
      </c>
      <c r="B32" s="23" t="s">
        <v>23</v>
      </c>
      <c r="C32" s="23" t="s">
        <v>515</v>
      </c>
      <c r="D32" s="22"/>
      <c r="E32" s="25"/>
      <c r="F32" s="25"/>
      <c r="G32" s="25">
        <f>_xlfn.XLOOKUP(B32, Rate_Master!$A:$A, Rate_Master!$C:$C, "")</f>
        <v>0</v>
      </c>
      <c r="H32" s="25">
        <f>_xlfn.XLOOKUP(B32, Rate_Master!$A:$A, Rate_Master!$D:$D, "")</f>
        <v>0</v>
      </c>
      <c r="I32" s="26"/>
      <c r="J32" s="26">
        <f>SUBTOTAL(9,J33:J39)</f>
        <v>677302966.661111</v>
      </c>
      <c r="K32" s="26">
        <f>SUBTOTAL(9,K33:K39)</f>
        <v>677302966.661111</v>
      </c>
      <c r="L32" s="26"/>
    </row>
    <row r="33" spans="1:12" s="4" customFormat="1" ht="25.5" customHeight="1" outlineLevel="1">
      <c r="A33" s="27" t="str">
        <f t="shared" ref="A33:A39" si="8">$A$32&amp;"."&amp;ROW()-ROW($A$32)</f>
        <v>21A.C3.1</v>
      </c>
      <c r="B33" s="28" t="s">
        <v>24</v>
      </c>
      <c r="C33" s="28" t="s">
        <v>515</v>
      </c>
      <c r="D33" s="29" t="s">
        <v>519</v>
      </c>
      <c r="E33" s="31">
        <v>16.22</v>
      </c>
      <c r="F33" s="31">
        <v>16.22</v>
      </c>
      <c r="G33" s="30">
        <f>_xlfn.XLOOKUP(B33, Rate_Master!$A:$A, Rate_Master!$C:$C, "")</f>
        <v>1249762.5</v>
      </c>
      <c r="H33" s="30">
        <f>_xlfn.XLOOKUP(B33, Rate_Master!$A:$A, Rate_Master!$D:$D, "")</f>
        <v>206999.99999999997</v>
      </c>
      <c r="I33" s="66">
        <f t="shared" ref="I33:I39" si="9">G33+H33</f>
        <v>1456762.5</v>
      </c>
      <c r="J33" s="32">
        <f t="shared" ref="J33:J39" si="10">I33*E33</f>
        <v>23628687.75</v>
      </c>
      <c r="K33" s="32">
        <f t="shared" ref="K33:K39" si="11">I33*F33</f>
        <v>23628687.75</v>
      </c>
      <c r="L33" s="32"/>
    </row>
    <row r="34" spans="1:12" s="4" customFormat="1" ht="51" customHeight="1" outlineLevel="1">
      <c r="A34" s="27" t="str">
        <f t="shared" si="8"/>
        <v>21A.C3.2</v>
      </c>
      <c r="B34" s="28" t="s">
        <v>25</v>
      </c>
      <c r="C34" s="28" t="s">
        <v>515</v>
      </c>
      <c r="D34" s="29" t="s">
        <v>519</v>
      </c>
      <c r="E34" s="31">
        <v>367.33300000000003</v>
      </c>
      <c r="F34" s="31">
        <v>367.33300000000003</v>
      </c>
      <c r="G34" s="30">
        <f>_xlfn.XLOOKUP(B34, Rate_Master!$A:$A, Rate_Master!$C:$C, "")</f>
        <v>1607444.4444444443</v>
      </c>
      <c r="H34" s="30">
        <f>_xlfn.XLOOKUP(B34, Rate_Master!$A:$A, Rate_Master!$D:$D, "")</f>
        <v>149500</v>
      </c>
      <c r="I34" s="66">
        <f t="shared" si="9"/>
        <v>1756944.4444444443</v>
      </c>
      <c r="J34" s="32">
        <f t="shared" si="10"/>
        <v>645383673.61111104</v>
      </c>
      <c r="K34" s="32">
        <f t="shared" si="11"/>
        <v>645383673.61111104</v>
      </c>
      <c r="L34" s="32"/>
    </row>
    <row r="35" spans="1:12" s="4" customFormat="1" ht="25.5" customHeight="1" outlineLevel="1">
      <c r="A35" s="27" t="str">
        <f t="shared" si="8"/>
        <v>21A.C3.3</v>
      </c>
      <c r="B35" s="28" t="s">
        <v>26</v>
      </c>
      <c r="C35" s="28" t="s">
        <v>515</v>
      </c>
      <c r="D35" s="29" t="s">
        <v>519</v>
      </c>
      <c r="E35" s="31">
        <v>3.96</v>
      </c>
      <c r="F35" s="31">
        <v>3.96</v>
      </c>
      <c r="G35" s="30">
        <f>_xlfn.XLOOKUP(B35, Rate_Master!$A:$A, Rate_Master!$C:$C, "")</f>
        <v>1520555.5555555553</v>
      </c>
      <c r="H35" s="30">
        <f>_xlfn.XLOOKUP(B35, Rate_Master!$A:$A, Rate_Master!$D:$D, "")</f>
        <v>252999.99999999997</v>
      </c>
      <c r="I35" s="66">
        <f t="shared" si="9"/>
        <v>1773555.5555555553</v>
      </c>
      <c r="J35" s="32">
        <f t="shared" si="10"/>
        <v>7023279.9999999991</v>
      </c>
      <c r="K35" s="32">
        <f t="shared" si="11"/>
        <v>7023279.9999999991</v>
      </c>
      <c r="L35" s="32"/>
    </row>
    <row r="36" spans="1:12" s="4" customFormat="1" ht="25.5" customHeight="1" outlineLevel="1">
      <c r="A36" s="27" t="str">
        <f t="shared" si="8"/>
        <v>21A.C3.4</v>
      </c>
      <c r="B36" s="28" t="s">
        <v>27</v>
      </c>
      <c r="C36" s="28" t="s">
        <v>515</v>
      </c>
      <c r="D36" s="29" t="s">
        <v>519</v>
      </c>
      <c r="E36" s="31">
        <v>0</v>
      </c>
      <c r="F36" s="31">
        <v>0</v>
      </c>
      <c r="G36" s="30">
        <f>_xlfn.XLOOKUP(B36, Rate_Master!$A:$A, Rate_Master!$C:$C, "")</f>
        <v>1520555.5555555553</v>
      </c>
      <c r="H36" s="30">
        <f>_xlfn.XLOOKUP(B36, Rate_Master!$A:$A, Rate_Master!$D:$D, "")</f>
        <v>149500</v>
      </c>
      <c r="I36" s="32">
        <f t="shared" si="9"/>
        <v>1670055.5555555553</v>
      </c>
      <c r="J36" s="32">
        <f t="shared" si="10"/>
        <v>0</v>
      </c>
      <c r="K36" s="32">
        <f t="shared" si="11"/>
        <v>0</v>
      </c>
      <c r="L36" s="32"/>
    </row>
    <row r="37" spans="1:12" s="4" customFormat="1" ht="25.5" customHeight="1" outlineLevel="1">
      <c r="A37" s="27" t="str">
        <f t="shared" si="8"/>
        <v>21A.C3.5</v>
      </c>
      <c r="B37" s="28" t="s">
        <v>28</v>
      </c>
      <c r="C37" s="28" t="s">
        <v>515</v>
      </c>
      <c r="D37" s="29" t="s">
        <v>519</v>
      </c>
      <c r="E37" s="31">
        <v>0</v>
      </c>
      <c r="F37" s="31">
        <v>0</v>
      </c>
      <c r="G37" s="30">
        <f>_xlfn.XLOOKUP(B37, Rate_Master!$A:$A, Rate_Master!$C:$C, "")</f>
        <v>1390222.2222222222</v>
      </c>
      <c r="H37" s="30">
        <f>_xlfn.XLOOKUP(B37, Rate_Master!$A:$A, Rate_Master!$D:$D, "")</f>
        <v>149500</v>
      </c>
      <c r="I37" s="32">
        <f t="shared" si="9"/>
        <v>1539722.2222222222</v>
      </c>
      <c r="J37" s="32">
        <f t="shared" si="10"/>
        <v>0</v>
      </c>
      <c r="K37" s="32">
        <f t="shared" si="11"/>
        <v>0</v>
      </c>
      <c r="L37" s="32"/>
    </row>
    <row r="38" spans="1:12" s="4" customFormat="1" ht="25.5" customHeight="1" outlineLevel="1">
      <c r="A38" s="27" t="str">
        <f t="shared" si="8"/>
        <v>21A.C3.6</v>
      </c>
      <c r="B38" s="28" t="s">
        <v>29</v>
      </c>
      <c r="C38" s="28" t="s">
        <v>515</v>
      </c>
      <c r="D38" s="29" t="s">
        <v>519</v>
      </c>
      <c r="E38" s="31">
        <v>0.41399999999999998</v>
      </c>
      <c r="F38" s="31">
        <v>0.41399999999999998</v>
      </c>
      <c r="G38" s="30">
        <f>_xlfn.XLOOKUP(B38, Rate_Master!$A:$A, Rate_Master!$C:$C, "")</f>
        <v>1390222.2222222222</v>
      </c>
      <c r="H38" s="30">
        <f>_xlfn.XLOOKUP(B38, Rate_Master!$A:$A, Rate_Master!$D:$D, "")</f>
        <v>149500</v>
      </c>
      <c r="I38" s="66">
        <f t="shared" si="9"/>
        <v>1539722.2222222222</v>
      </c>
      <c r="J38" s="32">
        <f t="shared" si="10"/>
        <v>637445</v>
      </c>
      <c r="K38" s="32">
        <f t="shared" si="11"/>
        <v>637445</v>
      </c>
      <c r="L38" s="32"/>
    </row>
    <row r="39" spans="1:12" s="4" customFormat="1" ht="38.25" customHeight="1" outlineLevel="1">
      <c r="A39" s="27" t="str">
        <f t="shared" si="8"/>
        <v>21A.C3.7</v>
      </c>
      <c r="B39" s="28" t="s">
        <v>30</v>
      </c>
      <c r="C39" s="28" t="s">
        <v>515</v>
      </c>
      <c r="D39" s="29" t="s">
        <v>519</v>
      </c>
      <c r="E39" s="31">
        <v>2.07E-2</v>
      </c>
      <c r="F39" s="31">
        <v>2.07E-2</v>
      </c>
      <c r="G39" s="30">
        <f>_xlfn.XLOOKUP(B39, Rate_Master!$A:$A, Rate_Master!$C:$C, "")</f>
        <v>22425000</v>
      </c>
      <c r="H39" s="30">
        <f>_xlfn.XLOOKUP(B39, Rate_Master!$A:$A, Rate_Master!$D:$D, "")</f>
        <v>8003999.9999999991</v>
      </c>
      <c r="I39" s="66">
        <f t="shared" si="9"/>
        <v>30429000</v>
      </c>
      <c r="J39" s="32">
        <f t="shared" si="10"/>
        <v>629880.30000000005</v>
      </c>
      <c r="K39" s="32">
        <f t="shared" si="11"/>
        <v>629880.30000000005</v>
      </c>
      <c r="L39" s="32"/>
    </row>
    <row r="40" spans="1:12" s="3" customFormat="1" ht="25.5" customHeight="1">
      <c r="A40" s="22" t="str">
        <f>$A$10&amp;4</f>
        <v>21A.C4</v>
      </c>
      <c r="B40" s="23" t="s">
        <v>31</v>
      </c>
      <c r="C40" s="23" t="s">
        <v>515</v>
      </c>
      <c r="D40" s="22"/>
      <c r="E40" s="25"/>
      <c r="F40" s="25"/>
      <c r="G40" s="25">
        <f>_xlfn.XLOOKUP(B40, Rate_Master!$A:$A, Rate_Master!$C:$C, "")</f>
        <v>0</v>
      </c>
      <c r="H40" s="25">
        <f>_xlfn.XLOOKUP(B40, Rate_Master!$A:$A, Rate_Master!$D:$D, "")</f>
        <v>0</v>
      </c>
      <c r="I40" s="26"/>
      <c r="J40" s="26">
        <f>SUBTOTAL(9,J41:J45)</f>
        <v>244908944.99999997</v>
      </c>
      <c r="K40" s="26">
        <f>SUBTOTAL(9,K41:K45)</f>
        <v>244908944.99999997</v>
      </c>
      <c r="L40" s="26"/>
    </row>
    <row r="41" spans="1:12" s="4" customFormat="1" ht="25.5" customHeight="1" outlineLevel="1">
      <c r="A41" s="27" t="str">
        <f>$A$40&amp;"."&amp;ROW()-ROW($A$40)</f>
        <v>21A.C4.1</v>
      </c>
      <c r="B41" s="28" t="s">
        <v>32</v>
      </c>
      <c r="C41" s="28" t="s">
        <v>515</v>
      </c>
      <c r="D41" s="29" t="s">
        <v>520</v>
      </c>
      <c r="E41" s="31">
        <v>45.927999999999997</v>
      </c>
      <c r="F41" s="31">
        <v>45.927999999999997</v>
      </c>
      <c r="G41" s="30">
        <f>_xlfn.XLOOKUP(B41, Rate_Master!$A:$A, Rate_Master!$C:$C, "")</f>
        <v>80500</v>
      </c>
      <c r="H41" s="30">
        <f>_xlfn.XLOOKUP(B41, Rate_Master!$A:$A, Rate_Master!$D:$D, "")</f>
        <v>92000</v>
      </c>
      <c r="I41" s="66">
        <f>G41+H41</f>
        <v>172500</v>
      </c>
      <c r="J41" s="32">
        <f>I41*E41</f>
        <v>7922579.9999999991</v>
      </c>
      <c r="K41" s="32">
        <f>I41*F41</f>
        <v>7922579.9999999991</v>
      </c>
      <c r="L41" s="32"/>
    </row>
    <row r="42" spans="1:12" s="4" customFormat="1" ht="38.25" customHeight="1" outlineLevel="1">
      <c r="A42" s="27" t="str">
        <f>$A$40&amp;"."&amp;ROW()-ROW($A$40)</f>
        <v>21A.C4.2</v>
      </c>
      <c r="B42" s="28" t="s">
        <v>33</v>
      </c>
      <c r="C42" s="28" t="s">
        <v>515</v>
      </c>
      <c r="D42" s="29" t="s">
        <v>520</v>
      </c>
      <c r="E42" s="31">
        <v>958.14599999999996</v>
      </c>
      <c r="F42" s="31">
        <v>958.14599999999996</v>
      </c>
      <c r="G42" s="30">
        <f>_xlfn.XLOOKUP(B42, Rate_Master!$A:$A, Rate_Master!$C:$C, "")</f>
        <v>126499.99999999999</v>
      </c>
      <c r="H42" s="30">
        <f>_xlfn.XLOOKUP(B42, Rate_Master!$A:$A, Rate_Master!$D:$D, "")</f>
        <v>103499.99999999999</v>
      </c>
      <c r="I42" s="66">
        <f>G42+H42</f>
        <v>229999.99999999997</v>
      </c>
      <c r="J42" s="32">
        <f>I42*E42</f>
        <v>220373579.99999997</v>
      </c>
      <c r="K42" s="32">
        <f>I42*F42</f>
        <v>220373579.99999997</v>
      </c>
      <c r="L42" s="32"/>
    </row>
    <row r="43" spans="1:12" s="4" customFormat="1" ht="25.5" customHeight="1" outlineLevel="1">
      <c r="A43" s="27" t="str">
        <f>$A$40&amp;"."&amp;ROW()-ROW($A$40)</f>
        <v>21A.C4.3</v>
      </c>
      <c r="B43" s="28" t="s">
        <v>34</v>
      </c>
      <c r="C43" s="28" t="s">
        <v>515</v>
      </c>
      <c r="D43" s="29" t="s">
        <v>520</v>
      </c>
      <c r="E43" s="31">
        <v>57.12</v>
      </c>
      <c r="F43" s="31">
        <v>57.12</v>
      </c>
      <c r="G43" s="30">
        <f>_xlfn.XLOOKUP(B43, Rate_Master!$A:$A, Rate_Master!$C:$C, "")</f>
        <v>126499.99999999999</v>
      </c>
      <c r="H43" s="30">
        <f>_xlfn.XLOOKUP(B43, Rate_Master!$A:$A, Rate_Master!$D:$D, "")</f>
        <v>149500</v>
      </c>
      <c r="I43" s="66">
        <f>G43+H43</f>
        <v>276000</v>
      </c>
      <c r="J43" s="32">
        <f>I43*E43</f>
        <v>15765120</v>
      </c>
      <c r="K43" s="32">
        <f>I43*F43</f>
        <v>15765120</v>
      </c>
      <c r="L43" s="32"/>
    </row>
    <row r="44" spans="1:12" s="4" customFormat="1" ht="25.5" customHeight="1" outlineLevel="1">
      <c r="A44" s="27" t="str">
        <f>$A$40&amp;"."&amp;ROW()-ROW($A$40)</f>
        <v>21A.C4.4</v>
      </c>
      <c r="B44" s="28" t="s">
        <v>35</v>
      </c>
      <c r="C44" s="28" t="s">
        <v>515</v>
      </c>
      <c r="D44" s="29" t="s">
        <v>520</v>
      </c>
      <c r="E44" s="31">
        <v>0</v>
      </c>
      <c r="F44" s="31">
        <v>0</v>
      </c>
      <c r="G44" s="30">
        <f>_xlfn.XLOOKUP(B44, Rate_Master!$A:$A, Rate_Master!$C:$C, "")</f>
        <v>126499.99999999999</v>
      </c>
      <c r="H44" s="30">
        <f>_xlfn.XLOOKUP(B44, Rate_Master!$A:$A, Rate_Master!$D:$D, "")</f>
        <v>114999.99999999999</v>
      </c>
      <c r="I44" s="32">
        <f>G44+H44</f>
        <v>241499.99999999997</v>
      </c>
      <c r="J44" s="32">
        <f>I44*E44</f>
        <v>0</v>
      </c>
      <c r="K44" s="32">
        <f>I44*F44</f>
        <v>0</v>
      </c>
      <c r="L44" s="32"/>
    </row>
    <row r="45" spans="1:12" s="4" customFormat="1" ht="25.5" customHeight="1" outlineLevel="1">
      <c r="A45" s="27" t="str">
        <f>$A$40&amp;"."&amp;ROW()-ROW($A$40)</f>
        <v>21A.C4.5</v>
      </c>
      <c r="B45" s="28" t="s">
        <v>36</v>
      </c>
      <c r="C45" s="28" t="s">
        <v>515</v>
      </c>
      <c r="D45" s="29" t="s">
        <v>520</v>
      </c>
      <c r="E45" s="31">
        <v>3.78</v>
      </c>
      <c r="F45" s="31">
        <v>3.78</v>
      </c>
      <c r="G45" s="30">
        <f>_xlfn.XLOOKUP(B45, Rate_Master!$A:$A, Rate_Master!$C:$C, "")</f>
        <v>126499.99999999999</v>
      </c>
      <c r="H45" s="30">
        <f>_xlfn.XLOOKUP(B45, Rate_Master!$A:$A, Rate_Master!$D:$D, "")</f>
        <v>97749.999999999985</v>
      </c>
      <c r="I45" s="66">
        <f>G45+H45</f>
        <v>224249.99999999997</v>
      </c>
      <c r="J45" s="32">
        <f>I45*E45</f>
        <v>847664.99999999988</v>
      </c>
      <c r="K45" s="32">
        <f>I45*F45</f>
        <v>847664.99999999988</v>
      </c>
      <c r="L45" s="32"/>
    </row>
    <row r="46" spans="1:12" s="3" customFormat="1" ht="25.5" customHeight="1">
      <c r="A46" s="22" t="str">
        <f>$A$10&amp;5</f>
        <v>21A.C5</v>
      </c>
      <c r="B46" s="23" t="s">
        <v>37</v>
      </c>
      <c r="C46" s="23" t="s">
        <v>515</v>
      </c>
      <c r="D46" s="22"/>
      <c r="E46" s="25"/>
      <c r="F46" s="25"/>
      <c r="G46" s="25">
        <f>_xlfn.XLOOKUP(B46, Rate_Master!$A:$A, Rate_Master!$C:$C, "")</f>
        <v>0</v>
      </c>
      <c r="H46" s="25">
        <f>_xlfn.XLOOKUP(B46, Rate_Master!$A:$A, Rate_Master!$D:$D, "")</f>
        <v>0</v>
      </c>
      <c r="I46" s="26"/>
      <c r="J46" s="26">
        <f>SUBTOTAL(9,J47:J51)</f>
        <v>1122451605.017426</v>
      </c>
      <c r="K46" s="26">
        <f>SUBTOTAL(9,K47:K51)</f>
        <v>1122451605.017426</v>
      </c>
      <c r="L46" s="26"/>
    </row>
    <row r="47" spans="1:12" s="4" customFormat="1" ht="38.25" customHeight="1" outlineLevel="1">
      <c r="A47" s="27" t="str">
        <f>$A$46&amp;"."&amp;ROW()-ROW($A$46)</f>
        <v>21A.C5.1</v>
      </c>
      <c r="B47" s="28" t="s">
        <v>38</v>
      </c>
      <c r="C47" s="28" t="s">
        <v>522</v>
      </c>
      <c r="D47" s="29" t="s">
        <v>523</v>
      </c>
      <c r="E47" s="31">
        <v>53172.430481481497</v>
      </c>
      <c r="F47" s="31">
        <v>53172.430481481497</v>
      </c>
      <c r="G47" s="30">
        <f>_xlfn.XLOOKUP(B47, Rate_Master!$A:$A, Rate_Master!$C:$C, "")</f>
        <v>16770.564999999999</v>
      </c>
      <c r="H47" s="30">
        <f>_xlfn.XLOOKUP(B47, Rate_Master!$A:$A, Rate_Master!$D:$D, "")</f>
        <v>2875</v>
      </c>
      <c r="I47" s="66">
        <f>G47+H47</f>
        <v>19645.564999999999</v>
      </c>
      <c r="J47" s="32">
        <f>I47*E47</f>
        <v>1044602439.231926</v>
      </c>
      <c r="K47" s="32">
        <f>I47*F47</f>
        <v>1044602439.231926</v>
      </c>
      <c r="L47" s="32"/>
    </row>
    <row r="48" spans="1:12" s="4" customFormat="1" ht="25.5" customHeight="1" outlineLevel="1">
      <c r="A48" s="27" t="str">
        <f>$A$46&amp;"."&amp;ROW()-ROW($A$46)</f>
        <v>21A.C5.2</v>
      </c>
      <c r="B48" s="28" t="s">
        <v>39</v>
      </c>
      <c r="C48" s="28" t="s">
        <v>522</v>
      </c>
      <c r="D48" s="29" t="s">
        <v>523</v>
      </c>
      <c r="E48" s="31">
        <v>1058.5830000000001</v>
      </c>
      <c r="F48" s="31">
        <v>1058.5830000000001</v>
      </c>
      <c r="G48" s="30">
        <f>_xlfn.XLOOKUP(B48, Rate_Master!$A:$A, Rate_Master!$C:$C, "")</f>
        <v>16770.564999999999</v>
      </c>
      <c r="H48" s="30">
        <f>_xlfn.XLOOKUP(B48, Rate_Master!$A:$A, Rate_Master!$D:$D, "")</f>
        <v>3679.9999999999995</v>
      </c>
      <c r="I48" s="66">
        <f>G48+H48</f>
        <v>20450.564999999999</v>
      </c>
      <c r="J48" s="32">
        <f>I48*E48</f>
        <v>21648620.449395001</v>
      </c>
      <c r="K48" s="32">
        <f>I48*F48</f>
        <v>21648620.449395001</v>
      </c>
      <c r="L48" s="32"/>
    </row>
    <row r="49" spans="1:16" s="4" customFormat="1" ht="25.5" customHeight="1" outlineLevel="1">
      <c r="A49" s="27" t="str">
        <f>$A$46&amp;"."&amp;ROW()-ROW($A$46)</f>
        <v>21A.C5.3</v>
      </c>
      <c r="B49" s="28" t="s">
        <v>40</v>
      </c>
      <c r="C49" s="28" t="s">
        <v>522</v>
      </c>
      <c r="D49" s="29" t="s">
        <v>523</v>
      </c>
      <c r="E49" s="31">
        <v>0</v>
      </c>
      <c r="F49" s="31">
        <v>0</v>
      </c>
      <c r="G49" s="30">
        <f>_xlfn.XLOOKUP(B49, Rate_Master!$A:$A, Rate_Master!$C:$C, "")</f>
        <v>16770.564999999999</v>
      </c>
      <c r="H49" s="30">
        <f>_xlfn.XLOOKUP(B49, Rate_Master!$A:$A, Rate_Master!$D:$D, "")</f>
        <v>3449.9999999999995</v>
      </c>
      <c r="I49" s="32">
        <f>G49+H49</f>
        <v>20220.564999999999</v>
      </c>
      <c r="J49" s="32">
        <f>I49*E49</f>
        <v>0</v>
      </c>
      <c r="K49" s="32">
        <f>I49*F49</f>
        <v>0</v>
      </c>
      <c r="L49" s="32"/>
    </row>
    <row r="50" spans="1:16" s="4" customFormat="1" ht="25.5" customHeight="1" outlineLevel="1">
      <c r="A50" s="27" t="str">
        <f>$A$46&amp;"."&amp;ROW()-ROW($A$46)</f>
        <v>21A.C5.4</v>
      </c>
      <c r="B50" s="28" t="s">
        <v>41</v>
      </c>
      <c r="C50" s="28" t="s">
        <v>522</v>
      </c>
      <c r="D50" s="29" t="s">
        <v>523</v>
      </c>
      <c r="E50" s="31">
        <v>2748.1170000000002</v>
      </c>
      <c r="F50" s="31">
        <v>2748.1170000000002</v>
      </c>
      <c r="G50" s="30">
        <f>_xlfn.XLOOKUP(B50, Rate_Master!$A:$A, Rate_Master!$C:$C, "")</f>
        <v>16770.564999999999</v>
      </c>
      <c r="H50" s="30">
        <f>_xlfn.XLOOKUP(B50, Rate_Master!$A:$A, Rate_Master!$D:$D, "")</f>
        <v>3679.9999999999995</v>
      </c>
      <c r="I50" s="66">
        <f>G50+H50</f>
        <v>20450.564999999999</v>
      </c>
      <c r="J50" s="32">
        <f>I50*E50</f>
        <v>56200545.336105004</v>
      </c>
      <c r="K50" s="32">
        <f>I50*F50</f>
        <v>56200545.336105004</v>
      </c>
      <c r="L50" s="32"/>
    </row>
    <row r="51" spans="1:16" s="4" customFormat="1" ht="25.5" customHeight="1" outlineLevel="1">
      <c r="A51" s="27" t="str">
        <f>$A$46&amp;"."&amp;ROW()-ROW($A$46)</f>
        <v>21A.C5.5</v>
      </c>
      <c r="B51" s="28" t="s">
        <v>42</v>
      </c>
      <c r="C51" s="28" t="s">
        <v>524</v>
      </c>
      <c r="D51" s="29" t="s">
        <v>523</v>
      </c>
      <c r="E51" s="31">
        <v>0</v>
      </c>
      <c r="F51" s="31">
        <v>0</v>
      </c>
      <c r="G51" s="30">
        <f>_xlfn.XLOOKUP(B51, Rate_Master!$A:$A, Rate_Master!$C:$C, "")</f>
        <v>17834.66</v>
      </c>
      <c r="H51" s="30">
        <f>_xlfn.XLOOKUP(B51, Rate_Master!$A:$A, Rate_Master!$D:$D, "")</f>
        <v>3449.9999999999995</v>
      </c>
      <c r="I51" s="32">
        <f>G51+H51</f>
        <v>21284.66</v>
      </c>
      <c r="J51" s="32">
        <f>I51*E51</f>
        <v>0</v>
      </c>
      <c r="K51" s="32">
        <f>I51*F51</f>
        <v>0</v>
      </c>
      <c r="L51" s="32"/>
    </row>
    <row r="52" spans="1:16" s="3" customFormat="1" ht="25.5" customHeight="1">
      <c r="A52" s="22" t="str">
        <f>$A$10&amp;6</f>
        <v>21A.C6</v>
      </c>
      <c r="B52" s="23" t="s">
        <v>43</v>
      </c>
      <c r="C52" s="23" t="s">
        <v>515</v>
      </c>
      <c r="D52" s="22"/>
      <c r="E52" s="25"/>
      <c r="F52" s="25"/>
      <c r="G52" s="25">
        <f>_xlfn.XLOOKUP(B52, Rate_Master!$A:$A, Rate_Master!$C:$C, "")</f>
        <v>0</v>
      </c>
      <c r="H52" s="25">
        <f>_xlfn.XLOOKUP(B52, Rate_Master!$A:$A, Rate_Master!$D:$D, "")</f>
        <v>0</v>
      </c>
      <c r="I52" s="26">
        <v>0</v>
      </c>
      <c r="J52" s="26">
        <f>SUBTOTAL(9,J53:J55)</f>
        <v>3868540.2</v>
      </c>
      <c r="K52" s="26">
        <f>SUBTOTAL(9,K53:K55)</f>
        <v>3868540.2</v>
      </c>
      <c r="L52" s="26"/>
    </row>
    <row r="53" spans="1:16" s="4" customFormat="1" ht="25.5" customHeight="1" outlineLevel="1">
      <c r="A53" s="27" t="str">
        <f>$A$52&amp;"."&amp;ROW()-ROW($A$52)</f>
        <v>21A.C6.1</v>
      </c>
      <c r="B53" s="28" t="s">
        <v>44</v>
      </c>
      <c r="C53" s="28" t="s">
        <v>515</v>
      </c>
      <c r="D53" s="29" t="s">
        <v>520</v>
      </c>
      <c r="E53" s="31">
        <v>120.14100000000001</v>
      </c>
      <c r="F53" s="31">
        <v>120.14100000000001</v>
      </c>
      <c r="G53" s="30">
        <f>_xlfn.XLOOKUP(B53, Rate_Master!$A:$A, Rate_Master!$C:$C, "")</f>
        <v>14949.999999999998</v>
      </c>
      <c r="H53" s="30">
        <f>_xlfn.XLOOKUP(B53, Rate_Master!$A:$A, Rate_Master!$D:$D, "")</f>
        <v>17250</v>
      </c>
      <c r="I53" s="32">
        <f>G53+H53</f>
        <v>32200</v>
      </c>
      <c r="J53" s="32">
        <f>I53*E53</f>
        <v>3868540.2</v>
      </c>
      <c r="K53" s="32">
        <f>I53*F53</f>
        <v>3868540.2</v>
      </c>
      <c r="L53" s="32"/>
    </row>
    <row r="54" spans="1:16" s="4" customFormat="1" ht="51" customHeight="1" outlineLevel="1">
      <c r="A54" s="27" t="str">
        <f>$A$52&amp;"."&amp;ROW()-ROW($A$52)</f>
        <v>21A.C6.2</v>
      </c>
      <c r="B54" s="34" t="s">
        <v>45</v>
      </c>
      <c r="C54" s="28" t="s">
        <v>515</v>
      </c>
      <c r="D54" s="29" t="s">
        <v>517</v>
      </c>
      <c r="E54" s="31">
        <v>0</v>
      </c>
      <c r="F54" s="31">
        <v>0</v>
      </c>
      <c r="G54" s="30">
        <f>_xlfn.XLOOKUP(B54, Rate_Master!$A:$A, Rate_Master!$C:$C, "")</f>
        <v>5750</v>
      </c>
      <c r="H54" s="30">
        <f>_xlfn.XLOOKUP(B54, Rate_Master!$A:$A, Rate_Master!$D:$D, "")</f>
        <v>23000</v>
      </c>
      <c r="I54" s="32">
        <v>0</v>
      </c>
      <c r="J54" s="32">
        <f>I54*E54</f>
        <v>0</v>
      </c>
      <c r="K54" s="32">
        <f>I54*F54</f>
        <v>0</v>
      </c>
      <c r="L54" s="32"/>
    </row>
    <row r="55" spans="1:16" s="4" customFormat="1" ht="38.25" customHeight="1" outlineLevel="1">
      <c r="A55" s="27" t="str">
        <f>$A$52&amp;"."&amp;ROW()-ROW($A$52)</f>
        <v>21A.C6.3</v>
      </c>
      <c r="B55" s="28" t="s">
        <v>46</v>
      </c>
      <c r="C55" s="28" t="s">
        <v>515</v>
      </c>
      <c r="D55" s="29" t="s">
        <v>517</v>
      </c>
      <c r="E55" s="31">
        <v>0</v>
      </c>
      <c r="F55" s="31">
        <v>0</v>
      </c>
      <c r="G55" s="30">
        <f>_xlfn.XLOOKUP(B55, Rate_Master!$A:$A, Rate_Master!$C:$C, "")</f>
        <v>172500</v>
      </c>
      <c r="H55" s="30">
        <f>_xlfn.XLOOKUP(B55, Rate_Master!$A:$A, Rate_Master!$D:$D, "")</f>
        <v>57499.999999999993</v>
      </c>
      <c r="I55" s="32">
        <v>0</v>
      </c>
      <c r="J55" s="32">
        <f>I55*E55</f>
        <v>0</v>
      </c>
      <c r="K55" s="32">
        <f>I55*F55</f>
        <v>0</v>
      </c>
      <c r="L55" s="32"/>
    </row>
    <row r="56" spans="1:16" s="3" customFormat="1" ht="25.5" customHeight="1">
      <c r="A56" s="22" t="str">
        <f>$A$9&amp;".S"</f>
        <v>21A.S</v>
      </c>
      <c r="B56" s="23" t="s">
        <v>47</v>
      </c>
      <c r="C56" s="23" t="s">
        <v>515</v>
      </c>
      <c r="D56" s="22"/>
      <c r="E56" s="25"/>
      <c r="F56" s="25"/>
      <c r="G56" s="25">
        <f>_xlfn.XLOOKUP(B56, Rate_Master!$A:$A, Rate_Master!$C:$C, "")</f>
        <v>0</v>
      </c>
      <c r="H56" s="25">
        <f>_xlfn.XLOOKUP(B56, Rate_Master!$A:$A, Rate_Master!$D:$D, "")</f>
        <v>0</v>
      </c>
      <c r="I56" s="26"/>
      <c r="J56" s="26"/>
      <c r="K56" s="26"/>
      <c r="L56" s="26"/>
    </row>
    <row r="57" spans="1:16" s="3" customFormat="1" ht="25.5" customHeight="1">
      <c r="A57" s="22" t="str">
        <f>$A$56&amp;1</f>
        <v>21A.S1</v>
      </c>
      <c r="B57" s="23" t="s">
        <v>48</v>
      </c>
      <c r="C57" s="23" t="s">
        <v>515</v>
      </c>
      <c r="D57" s="22"/>
      <c r="E57" s="25"/>
      <c r="F57" s="87"/>
      <c r="G57" s="25">
        <f>_xlfn.XLOOKUP(B57, Rate_Master!$A:$A, Rate_Master!$C:$C, "")</f>
        <v>0</v>
      </c>
      <c r="H57" s="25">
        <f>_xlfn.XLOOKUP(B57, Rate_Master!$A:$A, Rate_Master!$D:$D, "")</f>
        <v>0</v>
      </c>
      <c r="I57" s="26"/>
      <c r="J57" s="26">
        <f>SUBTOTAL(9,J58:J72)</f>
        <v>119805434.23000525</v>
      </c>
      <c r="K57" s="26">
        <f>SUBTOTAL(9,K58:K72)</f>
        <v>124734907.64130369</v>
      </c>
      <c r="L57" s="26"/>
    </row>
    <row r="58" spans="1:16" s="4" customFormat="1" ht="51" customHeight="1" outlineLevel="1">
      <c r="A58" s="27" t="str">
        <f t="shared" ref="A58:A72" si="12">$A$57&amp;"."&amp;ROW()-ROW($A$57)</f>
        <v>21A.S1.1</v>
      </c>
      <c r="B58" s="28" t="s">
        <v>49</v>
      </c>
      <c r="C58" s="28" t="s">
        <v>525</v>
      </c>
      <c r="D58" s="29" t="s">
        <v>523</v>
      </c>
      <c r="E58" s="31">
        <v>2294.21399286</v>
      </c>
      <c r="F58" s="36">
        <v>2158.8730879999998</v>
      </c>
      <c r="G58" s="93">
        <f>_xlfn.XLOOKUP(B58, Rate_Master!$A:$A, Rate_Master!$C:$C, "")</f>
        <v>20475</v>
      </c>
      <c r="H58" s="93">
        <f>_xlfn.XLOOKUP(B58, Rate_Master!$A:$A, Rate_Master!$D:$D, "")</f>
        <v>0</v>
      </c>
      <c r="I58" s="67">
        <f t="shared" ref="I58:I72" si="13">+SUM(G58:H58)</f>
        <v>20475</v>
      </c>
      <c r="J58" s="32">
        <f t="shared" ref="J58:J72" si="14">I58*E58</f>
        <v>46974031.503808498</v>
      </c>
      <c r="K58" s="58">
        <f t="shared" ref="K58:K72" si="15">+F58*I58</f>
        <v>44202926.476799995</v>
      </c>
      <c r="L58" s="32"/>
      <c r="N58" s="104"/>
      <c r="O58" s="104"/>
      <c r="P58" s="104"/>
    </row>
    <row r="59" spans="1:16" s="4" customFormat="1" ht="76.5" customHeight="1" outlineLevel="1">
      <c r="A59" s="27" t="str">
        <f t="shared" si="12"/>
        <v>21A.S1.2</v>
      </c>
      <c r="B59" s="28" t="s">
        <v>50</v>
      </c>
      <c r="C59" s="28" t="s">
        <v>526</v>
      </c>
      <c r="D59" s="29" t="s">
        <v>523</v>
      </c>
      <c r="E59" s="31">
        <v>794.31323999999995</v>
      </c>
      <c r="F59" s="36">
        <v>923.2098295201364</v>
      </c>
      <c r="G59" s="93">
        <f>_xlfn.XLOOKUP(B59, Rate_Master!$A:$A, Rate_Master!$C:$C, "")</f>
        <v>26775</v>
      </c>
      <c r="H59" s="93">
        <f>_xlfn.XLOOKUP(B59, Rate_Master!$A:$A, Rate_Master!$D:$D, "")</f>
        <v>0</v>
      </c>
      <c r="I59" s="67">
        <f t="shared" si="13"/>
        <v>26775</v>
      </c>
      <c r="J59" s="32">
        <f t="shared" si="14"/>
        <v>21267737.000999998</v>
      </c>
      <c r="K59" s="58">
        <f t="shared" si="15"/>
        <v>24718943.185401652</v>
      </c>
      <c r="L59" s="32"/>
      <c r="N59" s="104"/>
      <c r="O59" s="104"/>
      <c r="P59" s="104"/>
    </row>
    <row r="60" spans="1:16" s="4" customFormat="1" ht="76.5" customHeight="1" outlineLevel="1">
      <c r="A60" s="27" t="str">
        <f t="shared" si="12"/>
        <v>21A.S1.3</v>
      </c>
      <c r="B60" s="28" t="s">
        <v>51</v>
      </c>
      <c r="C60" s="28" t="s">
        <v>527</v>
      </c>
      <c r="D60" s="29" t="s">
        <v>523</v>
      </c>
      <c r="E60" s="31">
        <v>185.04968851985899</v>
      </c>
      <c r="F60" s="36">
        <v>192.96719999999999</v>
      </c>
      <c r="G60" s="93">
        <f>_xlfn.XLOOKUP(B60, Rate_Master!$A:$A, Rate_Master!$C:$C, "")</f>
        <v>36750</v>
      </c>
      <c r="H60" s="93">
        <f>_xlfn.XLOOKUP(B60, Rate_Master!$A:$A, Rate_Master!$D:$D, "")</f>
        <v>0</v>
      </c>
      <c r="I60" s="67">
        <f t="shared" si="13"/>
        <v>36750</v>
      </c>
      <c r="J60" s="32">
        <f t="shared" si="14"/>
        <v>6800576.0531048179</v>
      </c>
      <c r="K60" s="58">
        <f t="shared" si="15"/>
        <v>7091544.5999999996</v>
      </c>
      <c r="L60" s="32"/>
      <c r="N60" s="104"/>
      <c r="O60" s="104"/>
      <c r="P60" s="104"/>
    </row>
    <row r="61" spans="1:16" s="4" customFormat="1" ht="76.5" customHeight="1" outlineLevel="1">
      <c r="A61" s="27" t="str">
        <f t="shared" si="12"/>
        <v>21A.S1.4</v>
      </c>
      <c r="B61" s="28" t="s">
        <v>52</v>
      </c>
      <c r="C61" s="28" t="s">
        <v>527</v>
      </c>
      <c r="D61" s="29" t="s">
        <v>523</v>
      </c>
      <c r="E61" s="31">
        <v>0</v>
      </c>
      <c r="F61" s="36"/>
      <c r="G61" s="93">
        <f>_xlfn.XLOOKUP(B61, Rate_Master!$A:$A, Rate_Master!$C:$C, "")</f>
        <v>26775</v>
      </c>
      <c r="H61" s="93">
        <f>_xlfn.XLOOKUP(B61, Rate_Master!$A:$A, Rate_Master!$D:$D, "")</f>
        <v>0</v>
      </c>
      <c r="I61" s="67">
        <f t="shared" si="13"/>
        <v>26775</v>
      </c>
      <c r="J61" s="32">
        <f t="shared" si="14"/>
        <v>0</v>
      </c>
      <c r="K61" s="58">
        <f t="shared" si="15"/>
        <v>0</v>
      </c>
      <c r="L61" s="32"/>
      <c r="N61" s="104"/>
      <c r="O61" s="104"/>
      <c r="P61" s="104"/>
    </row>
    <row r="62" spans="1:16" s="4" customFormat="1" ht="25.5" customHeight="1" outlineLevel="1">
      <c r="A62" s="27" t="str">
        <f t="shared" si="12"/>
        <v>21A.S1.5</v>
      </c>
      <c r="B62" s="28" t="s">
        <v>53</v>
      </c>
      <c r="C62" s="28" t="s">
        <v>528</v>
      </c>
      <c r="D62" s="29" t="s">
        <v>523</v>
      </c>
      <c r="E62" s="31">
        <v>606.02392499999996</v>
      </c>
      <c r="F62" s="36">
        <v>701.43675000000007</v>
      </c>
      <c r="G62" s="93">
        <f>_xlfn.XLOOKUP(B62, Rate_Master!$A:$A, Rate_Master!$C:$C, "")</f>
        <v>22365</v>
      </c>
      <c r="H62" s="93">
        <f>_xlfn.XLOOKUP(B62, Rate_Master!$A:$A, Rate_Master!$D:$D, "")</f>
        <v>0</v>
      </c>
      <c r="I62" s="67">
        <f t="shared" si="13"/>
        <v>22365</v>
      </c>
      <c r="J62" s="32">
        <f t="shared" si="14"/>
        <v>13553725.082625</v>
      </c>
      <c r="K62" s="58">
        <f t="shared" si="15"/>
        <v>15687632.913750002</v>
      </c>
      <c r="L62" s="32"/>
      <c r="N62" s="104"/>
      <c r="O62" s="104"/>
      <c r="P62" s="104"/>
    </row>
    <row r="63" spans="1:16" s="4" customFormat="1" ht="38.25" customHeight="1" outlineLevel="1">
      <c r="A63" s="27" t="str">
        <f t="shared" si="12"/>
        <v>21A.S1.6</v>
      </c>
      <c r="B63" s="28" t="s">
        <v>54</v>
      </c>
      <c r="C63" s="28" t="s">
        <v>529</v>
      </c>
      <c r="D63" s="29" t="s">
        <v>523</v>
      </c>
      <c r="E63" s="31">
        <v>33.436772517134301</v>
      </c>
      <c r="F63" s="36">
        <v>27.52000000000001</v>
      </c>
      <c r="G63" s="93">
        <f>_xlfn.XLOOKUP(B63, Rate_Master!$A:$A, Rate_Master!$C:$C, "")</f>
        <v>36750</v>
      </c>
      <c r="H63" s="93">
        <f>_xlfn.XLOOKUP(B63, Rate_Master!$A:$A, Rate_Master!$D:$D, "")</f>
        <v>0</v>
      </c>
      <c r="I63" s="67">
        <f t="shared" si="13"/>
        <v>36750</v>
      </c>
      <c r="J63" s="32">
        <f t="shared" si="14"/>
        <v>1228801.3900046856</v>
      </c>
      <c r="K63" s="58">
        <f t="shared" si="15"/>
        <v>1011360.0000000003</v>
      </c>
      <c r="L63" s="32"/>
      <c r="N63" s="104"/>
      <c r="O63" s="104"/>
      <c r="P63" s="104"/>
    </row>
    <row r="64" spans="1:16" s="4" customFormat="1" ht="25.5" customHeight="1" outlineLevel="1">
      <c r="A64" s="27" t="str">
        <f t="shared" si="12"/>
        <v>21A.S1.7</v>
      </c>
      <c r="B64" s="28" t="s">
        <v>55</v>
      </c>
      <c r="C64" s="28" t="s">
        <v>530</v>
      </c>
      <c r="D64" s="29" t="s">
        <v>523</v>
      </c>
      <c r="E64" s="31">
        <v>17.322399999999998</v>
      </c>
      <c r="F64" s="36"/>
      <c r="G64" s="93">
        <f>_xlfn.XLOOKUP(B64, Rate_Master!$A:$A, Rate_Master!$C:$C, "")</f>
        <v>27930</v>
      </c>
      <c r="H64" s="93">
        <f>_xlfn.XLOOKUP(B64, Rate_Master!$A:$A, Rate_Master!$D:$D, "")</f>
        <v>0</v>
      </c>
      <c r="I64" s="67">
        <f t="shared" si="13"/>
        <v>27930</v>
      </c>
      <c r="J64" s="32">
        <f t="shared" si="14"/>
        <v>483814.63199999993</v>
      </c>
      <c r="K64" s="58">
        <f t="shared" si="15"/>
        <v>0</v>
      </c>
      <c r="L64" s="32"/>
      <c r="N64" s="104"/>
      <c r="O64" s="104"/>
      <c r="P64" s="104"/>
    </row>
    <row r="65" spans="1:16" s="4" customFormat="1" ht="25.5" customHeight="1" outlineLevel="1">
      <c r="A65" s="27" t="str">
        <f t="shared" si="12"/>
        <v>21A.S1.8</v>
      </c>
      <c r="B65" s="28" t="s">
        <v>56</v>
      </c>
      <c r="C65" s="28" t="s">
        <v>531</v>
      </c>
      <c r="D65" s="29" t="s">
        <v>523</v>
      </c>
      <c r="E65" s="31">
        <v>79.2</v>
      </c>
      <c r="F65" s="36">
        <v>108.1383210616834</v>
      </c>
      <c r="G65" s="93">
        <f>_xlfn.XLOOKUP(B65, Rate_Master!$A:$A, Rate_Master!$C:$C, "")</f>
        <v>52500</v>
      </c>
      <c r="H65" s="93">
        <f>_xlfn.XLOOKUP(B65, Rate_Master!$A:$A, Rate_Master!$D:$D, "")</f>
        <v>0</v>
      </c>
      <c r="I65" s="67">
        <f t="shared" si="13"/>
        <v>52500</v>
      </c>
      <c r="J65" s="32">
        <f t="shared" si="14"/>
        <v>4158000</v>
      </c>
      <c r="K65" s="58">
        <f t="shared" si="15"/>
        <v>5677261.8557383781</v>
      </c>
      <c r="L65" s="32"/>
      <c r="N65" s="104"/>
      <c r="O65" s="104"/>
      <c r="P65" s="104"/>
    </row>
    <row r="66" spans="1:16" s="4" customFormat="1" ht="25.5" customHeight="1" outlineLevel="1">
      <c r="A66" s="27" t="str">
        <f t="shared" si="12"/>
        <v>21A.S1.9</v>
      </c>
      <c r="B66" s="28" t="s">
        <v>57</v>
      </c>
      <c r="C66" s="28" t="s">
        <v>532</v>
      </c>
      <c r="D66" s="29" t="s">
        <v>523</v>
      </c>
      <c r="E66" s="31">
        <v>19.53</v>
      </c>
      <c r="F66" s="36">
        <v>31.257799135999999</v>
      </c>
      <c r="G66" s="93">
        <f>_xlfn.XLOOKUP(B66, Rate_Master!$A:$A, Rate_Master!$C:$C, "")</f>
        <v>60900</v>
      </c>
      <c r="H66" s="93">
        <f>_xlfn.XLOOKUP(B66, Rate_Master!$A:$A, Rate_Master!$D:$D, "")</f>
        <v>0</v>
      </c>
      <c r="I66" s="67">
        <f t="shared" si="13"/>
        <v>60900</v>
      </c>
      <c r="J66" s="32">
        <f t="shared" si="14"/>
        <v>1189377</v>
      </c>
      <c r="K66" s="58">
        <f t="shared" si="15"/>
        <v>1903599.9673824001</v>
      </c>
      <c r="L66" s="32"/>
      <c r="N66" s="104"/>
      <c r="O66" s="104"/>
      <c r="P66" s="104"/>
    </row>
    <row r="67" spans="1:16" s="4" customFormat="1" ht="25.5" customHeight="1" outlineLevel="1">
      <c r="A67" s="27" t="str">
        <f t="shared" si="12"/>
        <v>21A.S1.10</v>
      </c>
      <c r="B67" s="28" t="s">
        <v>58</v>
      </c>
      <c r="C67" s="28" t="s">
        <v>533</v>
      </c>
      <c r="D67" s="29" t="s">
        <v>523</v>
      </c>
      <c r="E67" s="31">
        <v>8.9670000000000005</v>
      </c>
      <c r="F67" s="36">
        <v>6.9119999999999999</v>
      </c>
      <c r="G67" s="93">
        <f>_xlfn.XLOOKUP(B67, Rate_Master!$A:$A, Rate_Master!$C:$C, "")</f>
        <v>60900</v>
      </c>
      <c r="H67" s="93">
        <f>_xlfn.XLOOKUP(B67, Rate_Master!$A:$A, Rate_Master!$D:$D, "")</f>
        <v>0</v>
      </c>
      <c r="I67" s="67">
        <f t="shared" si="13"/>
        <v>60900</v>
      </c>
      <c r="J67" s="32">
        <f t="shared" si="14"/>
        <v>546090.30000000005</v>
      </c>
      <c r="K67" s="58">
        <f t="shared" si="15"/>
        <v>420940.79999999999</v>
      </c>
      <c r="L67" s="32"/>
      <c r="N67" s="104"/>
      <c r="O67" s="104"/>
      <c r="P67" s="104"/>
    </row>
    <row r="68" spans="1:16" s="4" customFormat="1" ht="25.5" customHeight="1" outlineLevel="1">
      <c r="A68" s="27" t="str">
        <f t="shared" si="12"/>
        <v>21A.S1.11</v>
      </c>
      <c r="B68" s="28" t="s">
        <v>59</v>
      </c>
      <c r="C68" s="28" t="s">
        <v>534</v>
      </c>
      <c r="D68" s="29" t="s">
        <v>518</v>
      </c>
      <c r="E68" s="31">
        <v>0</v>
      </c>
      <c r="F68" s="36"/>
      <c r="G68" s="93">
        <f>_xlfn.XLOOKUP(B68, Rate_Master!$A:$A, Rate_Master!$C:$C, "")</f>
        <v>21000</v>
      </c>
      <c r="H68" s="93">
        <f>_xlfn.XLOOKUP(B68, Rate_Master!$A:$A, Rate_Master!$D:$D, "")</f>
        <v>0</v>
      </c>
      <c r="I68" s="67">
        <f t="shared" si="13"/>
        <v>21000</v>
      </c>
      <c r="J68" s="32">
        <f t="shared" si="14"/>
        <v>0</v>
      </c>
      <c r="K68" s="58">
        <f t="shared" si="15"/>
        <v>0</v>
      </c>
      <c r="L68" s="32"/>
      <c r="N68" s="104"/>
      <c r="O68" s="104"/>
      <c r="P68" s="104"/>
    </row>
    <row r="69" spans="1:16" s="4" customFormat="1" ht="25.5" customHeight="1" outlineLevel="1">
      <c r="A69" s="27" t="str">
        <f t="shared" si="12"/>
        <v>21A.S1.12</v>
      </c>
      <c r="B69" s="28" t="s">
        <v>60</v>
      </c>
      <c r="C69" s="28" t="s">
        <v>515</v>
      </c>
      <c r="D69" s="29" t="s">
        <v>523</v>
      </c>
      <c r="E69" s="31">
        <v>79.2</v>
      </c>
      <c r="F69" s="36">
        <v>108.1383210616834</v>
      </c>
      <c r="G69" s="93">
        <f>_xlfn.XLOOKUP(B69, Rate_Master!$A:$A, Rate_Master!$C:$C, "")</f>
        <v>630</v>
      </c>
      <c r="H69" s="108">
        <f>_xlfn.XLOOKUP(B69, Rate_Master!$A:$A, Rate_Master!$D:$D, "")</f>
        <v>0</v>
      </c>
      <c r="I69" s="67">
        <f t="shared" si="13"/>
        <v>630</v>
      </c>
      <c r="J69" s="32">
        <f t="shared" si="14"/>
        <v>49896</v>
      </c>
      <c r="K69" s="58">
        <f t="shared" si="15"/>
        <v>68127.142268860538</v>
      </c>
      <c r="L69" s="32"/>
      <c r="N69" s="104"/>
      <c r="O69" s="104"/>
      <c r="P69" s="104"/>
    </row>
    <row r="70" spans="1:16" s="4" customFormat="1" ht="25.5" customHeight="1" outlineLevel="1">
      <c r="A70" s="27" t="str">
        <f t="shared" si="12"/>
        <v>21A.S1.13</v>
      </c>
      <c r="B70" s="28" t="s">
        <v>61</v>
      </c>
      <c r="C70" s="28" t="s">
        <v>515</v>
      </c>
      <c r="D70" s="29" t="s">
        <v>523</v>
      </c>
      <c r="E70" s="31">
        <v>3930.3600188969899</v>
      </c>
      <c r="F70" s="36">
        <v>4042.1766666561361</v>
      </c>
      <c r="G70" s="93">
        <f>_xlfn.XLOOKUP(B70, Rate_Master!$A:$A, Rate_Master!$C:$C, "")</f>
        <v>630</v>
      </c>
      <c r="H70" s="108">
        <f>_xlfn.XLOOKUP(B70, Rate_Master!$A:$A, Rate_Master!$D:$D, "")</f>
        <v>0</v>
      </c>
      <c r="I70" s="67">
        <f t="shared" si="13"/>
        <v>630</v>
      </c>
      <c r="J70" s="32">
        <f t="shared" si="14"/>
        <v>2476126.8119051037</v>
      </c>
      <c r="K70" s="58">
        <f t="shared" si="15"/>
        <v>2546571.299993366</v>
      </c>
      <c r="L70" s="32"/>
      <c r="N70" s="104"/>
      <c r="O70" s="104"/>
      <c r="P70" s="104"/>
    </row>
    <row r="71" spans="1:16" s="4" customFormat="1" ht="25.5" customHeight="1" outlineLevel="1">
      <c r="A71" s="27" t="str">
        <f t="shared" si="12"/>
        <v>21A.S1.14</v>
      </c>
      <c r="B71" s="28" t="s">
        <v>62</v>
      </c>
      <c r="C71" s="28" t="s">
        <v>515</v>
      </c>
      <c r="D71" s="29" t="s">
        <v>518</v>
      </c>
      <c r="E71" s="31">
        <v>36</v>
      </c>
      <c r="F71" s="36">
        <v>36</v>
      </c>
      <c r="G71" s="93">
        <f>_xlfn.XLOOKUP(B71, Rate_Master!$A:$A, Rate_Master!$C:$C, "")</f>
        <v>0</v>
      </c>
      <c r="H71" s="93">
        <f>_xlfn.XLOOKUP(B71, Rate_Master!$A:$A, Rate_Master!$D:$D, "")</f>
        <v>264500</v>
      </c>
      <c r="I71" s="67">
        <f t="shared" si="13"/>
        <v>264500</v>
      </c>
      <c r="J71" s="32">
        <f t="shared" si="14"/>
        <v>9522000</v>
      </c>
      <c r="K71" s="58">
        <f t="shared" si="15"/>
        <v>9522000</v>
      </c>
      <c r="L71" s="32"/>
      <c r="N71" s="104"/>
      <c r="O71" s="104"/>
      <c r="P71" s="104"/>
    </row>
    <row r="72" spans="1:16" s="4" customFormat="1" ht="25.5" customHeight="1" outlineLevel="1">
      <c r="A72" s="27" t="str">
        <f t="shared" si="12"/>
        <v>21A.S1.15</v>
      </c>
      <c r="B72" s="28" t="s">
        <v>63</v>
      </c>
      <c r="C72" s="28" t="s">
        <v>515</v>
      </c>
      <c r="D72" s="29" t="s">
        <v>523</v>
      </c>
      <c r="E72" s="31">
        <v>3930.3600188969899</v>
      </c>
      <c r="F72" s="36">
        <v>4042.1766666561361</v>
      </c>
      <c r="G72" s="93">
        <f>_xlfn.XLOOKUP(B72, Rate_Master!$A:$A, Rate_Master!$C:$C, "")</f>
        <v>2940</v>
      </c>
      <c r="H72" s="93">
        <f>_xlfn.XLOOKUP(B72, Rate_Master!$A:$A, Rate_Master!$D:$D, "")</f>
        <v>0</v>
      </c>
      <c r="I72" s="67">
        <f t="shared" si="13"/>
        <v>2940</v>
      </c>
      <c r="J72" s="32">
        <f t="shared" si="14"/>
        <v>11555258.455557151</v>
      </c>
      <c r="K72" s="58">
        <f t="shared" si="15"/>
        <v>11883999.399969039</v>
      </c>
      <c r="L72" s="32"/>
      <c r="N72" s="104"/>
      <c r="O72" s="104"/>
      <c r="P72" s="104"/>
    </row>
    <row r="73" spans="1:16" s="3" customFormat="1" ht="25.5" customHeight="1">
      <c r="A73" s="22" t="str">
        <f>$A$56&amp;2</f>
        <v>21A.S2</v>
      </c>
      <c r="B73" s="23" t="s">
        <v>64</v>
      </c>
      <c r="C73" s="23" t="s">
        <v>515</v>
      </c>
      <c r="D73" s="22"/>
      <c r="E73" s="25"/>
      <c r="F73" s="87"/>
      <c r="G73" s="25">
        <f>_xlfn.XLOOKUP(B73, Rate_Master!$A:$A, Rate_Master!$C:$C, "")</f>
        <v>0</v>
      </c>
      <c r="H73" s="25">
        <f>_xlfn.XLOOKUP(B73, Rate_Master!$A:$A, Rate_Master!$D:$D, "")</f>
        <v>0</v>
      </c>
      <c r="I73" s="68"/>
      <c r="J73" s="26">
        <f>SUBTOTAL(9,J74:J78)</f>
        <v>0</v>
      </c>
      <c r="K73" s="26"/>
      <c r="L73" s="26"/>
      <c r="N73" s="104"/>
      <c r="O73" s="104"/>
      <c r="P73" s="104"/>
    </row>
    <row r="74" spans="1:16" s="4" customFormat="1" ht="25.5" customHeight="1" outlineLevel="1">
      <c r="A74" s="37" t="str">
        <f>$A$73&amp;"."&amp;ROW()-ROW($A$73)</f>
        <v>21A.S2.1</v>
      </c>
      <c r="B74" s="38" t="s">
        <v>65</v>
      </c>
      <c r="C74" s="38" t="s">
        <v>535</v>
      </c>
      <c r="D74" s="39" t="s">
        <v>520</v>
      </c>
      <c r="E74" s="40">
        <v>0</v>
      </c>
      <c r="F74" s="88"/>
      <c r="G74" s="42">
        <f>_xlfn.XLOOKUP(B74, Rate_Master!$A:$A, Rate_Master!$C:$C, "")</f>
        <v>0</v>
      </c>
      <c r="H74" s="42">
        <f>_xlfn.XLOOKUP(B74, Rate_Master!$A:$A, Rate_Master!$D:$D, "")</f>
        <v>0</v>
      </c>
      <c r="I74" s="69">
        <f>G74+H74</f>
        <v>0</v>
      </c>
      <c r="J74" s="41">
        <f>I74*E74</f>
        <v>0</v>
      </c>
      <c r="K74" s="41"/>
      <c r="L74" s="41"/>
      <c r="N74" s="104"/>
      <c r="O74" s="104"/>
      <c r="P74" s="104"/>
    </row>
    <row r="75" spans="1:16" s="4" customFormat="1" ht="25.5" customHeight="1" outlineLevel="1">
      <c r="A75" s="37" t="str">
        <f>$A$73&amp;"."&amp;ROW()-ROW($A$73)</f>
        <v>21A.S2.2</v>
      </c>
      <c r="B75" s="38" t="s">
        <v>66</v>
      </c>
      <c r="C75" s="38" t="s">
        <v>536</v>
      </c>
      <c r="D75" s="39" t="s">
        <v>518</v>
      </c>
      <c r="E75" s="40">
        <v>0</v>
      </c>
      <c r="F75" s="88"/>
      <c r="G75" s="42">
        <f>_xlfn.XLOOKUP(B75, Rate_Master!$A:$A, Rate_Master!$C:$C, "")</f>
        <v>0</v>
      </c>
      <c r="H75" s="42">
        <f>_xlfn.XLOOKUP(B75, Rate_Master!$A:$A, Rate_Master!$D:$D, "")</f>
        <v>0</v>
      </c>
      <c r="I75" s="69">
        <f>G75+H75</f>
        <v>0</v>
      </c>
      <c r="J75" s="41">
        <f>I75*E75</f>
        <v>0</v>
      </c>
      <c r="K75" s="41"/>
      <c r="L75" s="41"/>
      <c r="N75" s="104"/>
      <c r="O75" s="104"/>
      <c r="P75" s="104"/>
    </row>
    <row r="76" spans="1:16" s="4" customFormat="1" ht="25.5" customHeight="1" outlineLevel="1">
      <c r="A76" s="37" t="str">
        <f>$A$73&amp;"."&amp;ROW()-ROW($A$73)</f>
        <v>21A.S2.3</v>
      </c>
      <c r="B76" s="38" t="s">
        <v>67</v>
      </c>
      <c r="C76" s="38" t="s">
        <v>515</v>
      </c>
      <c r="D76" s="39" t="s">
        <v>520</v>
      </c>
      <c r="E76" s="40">
        <v>0</v>
      </c>
      <c r="F76" s="88"/>
      <c r="G76" s="42">
        <f>_xlfn.XLOOKUP(B76, Rate_Master!$A:$A, Rate_Master!$C:$C, "")</f>
        <v>0</v>
      </c>
      <c r="H76" s="42">
        <f>_xlfn.XLOOKUP(B76, Rate_Master!$A:$A, Rate_Master!$D:$D, "")</f>
        <v>0</v>
      </c>
      <c r="I76" s="69">
        <f>G76+H76</f>
        <v>0</v>
      </c>
      <c r="J76" s="41">
        <f>I76*E76</f>
        <v>0</v>
      </c>
      <c r="K76" s="41"/>
      <c r="L76" s="41"/>
      <c r="N76" s="104"/>
      <c r="O76" s="104"/>
      <c r="P76" s="104"/>
    </row>
    <row r="77" spans="1:16" s="4" customFormat="1" ht="25.5" customHeight="1" outlineLevel="1">
      <c r="A77" s="37" t="str">
        <f>$A$73&amp;"."&amp;ROW()-ROW($A$73)</f>
        <v>21A.S2.4</v>
      </c>
      <c r="B77" s="38" t="s">
        <v>68</v>
      </c>
      <c r="C77" s="38" t="s">
        <v>515</v>
      </c>
      <c r="D77" s="39" t="s">
        <v>457</v>
      </c>
      <c r="E77" s="40">
        <v>0</v>
      </c>
      <c r="F77" s="88"/>
      <c r="G77" s="42">
        <f>_xlfn.XLOOKUP(B77, Rate_Master!$A:$A, Rate_Master!$C:$C, "")</f>
        <v>0</v>
      </c>
      <c r="H77" s="42">
        <f>_xlfn.XLOOKUP(B77, Rate_Master!$A:$A, Rate_Master!$D:$D, "")</f>
        <v>0</v>
      </c>
      <c r="I77" s="69">
        <f>G77+H77</f>
        <v>0</v>
      </c>
      <c r="J77" s="41">
        <f>I77*E77</f>
        <v>0</v>
      </c>
      <c r="K77" s="41"/>
      <c r="L77" s="41"/>
      <c r="N77" s="104"/>
      <c r="O77" s="104"/>
      <c r="P77" s="104"/>
    </row>
    <row r="78" spans="1:16" s="4" customFormat="1" ht="25.5" customHeight="1" outlineLevel="1">
      <c r="A78" s="37" t="str">
        <f>$A$73&amp;"."&amp;ROW()-ROW($A$73)</f>
        <v>21A.S2.5</v>
      </c>
      <c r="B78" s="38" t="s">
        <v>69</v>
      </c>
      <c r="C78" s="38" t="s">
        <v>515</v>
      </c>
      <c r="D78" s="39" t="s">
        <v>520</v>
      </c>
      <c r="E78" s="40">
        <v>0</v>
      </c>
      <c r="F78" s="88"/>
      <c r="G78" s="42">
        <f>_xlfn.XLOOKUP(B78, Rate_Master!$A:$A, Rate_Master!$C:$C, "")</f>
        <v>0</v>
      </c>
      <c r="H78" s="42">
        <f>_xlfn.XLOOKUP(B78, Rate_Master!$A:$A, Rate_Master!$D:$D, "")</f>
        <v>0</v>
      </c>
      <c r="I78" s="69">
        <f>G78+H78</f>
        <v>0</v>
      </c>
      <c r="J78" s="41">
        <f>I78*E78</f>
        <v>0</v>
      </c>
      <c r="K78" s="41"/>
      <c r="L78" s="41"/>
      <c r="N78" s="104"/>
      <c r="O78" s="104"/>
      <c r="P78" s="104"/>
    </row>
    <row r="79" spans="1:16" s="3" customFormat="1" ht="25.5" customHeight="1">
      <c r="A79" s="22" t="str">
        <f>$A$56&amp;3</f>
        <v>21A.S3</v>
      </c>
      <c r="B79" s="23" t="s">
        <v>70</v>
      </c>
      <c r="C79" s="23" t="s">
        <v>515</v>
      </c>
      <c r="D79" s="22"/>
      <c r="E79" s="25"/>
      <c r="F79" s="87"/>
      <c r="G79" s="25">
        <f>_xlfn.XLOOKUP(B79, Rate_Master!$A:$A, Rate_Master!$C:$C, "")</f>
        <v>0</v>
      </c>
      <c r="H79" s="25">
        <f>_xlfn.XLOOKUP(B79, Rate_Master!$A:$A, Rate_Master!$D:$D, "")</f>
        <v>0</v>
      </c>
      <c r="I79" s="68"/>
      <c r="J79" s="26">
        <f>SUBTOTAL(9,J80:J93)</f>
        <v>268289267.40700713</v>
      </c>
      <c r="K79" s="26">
        <f>SUBTOTAL(9,K80:K93)</f>
        <v>276684156.2548151</v>
      </c>
      <c r="L79" s="26"/>
      <c r="N79" s="104"/>
      <c r="O79" s="104"/>
      <c r="P79" s="104"/>
    </row>
    <row r="80" spans="1:16" s="4" customFormat="1" ht="51" customHeight="1" outlineLevel="1">
      <c r="A80" s="27" t="str">
        <f t="shared" ref="A80:A93" si="16">$A$79&amp;"."&amp;ROW()-ROW($A$79)</f>
        <v>21A.S3.1</v>
      </c>
      <c r="B80" s="28" t="s">
        <v>71</v>
      </c>
      <c r="C80" s="28" t="str">
        <f>+'17A'!C80</f>
        <v xml:space="preserve">Tôn liên doanh Việt hàn, AZ170
</v>
      </c>
      <c r="D80" s="29" t="s">
        <v>520</v>
      </c>
      <c r="E80" s="31">
        <v>0</v>
      </c>
      <c r="F80" s="36">
        <v>137.92400000000001</v>
      </c>
      <c r="G80" s="93">
        <f>_xlfn.XLOOKUP(B80, Rate_Master!$A:$A, Rate_Master!$C:$C, "")</f>
        <v>248399.99999999997</v>
      </c>
      <c r="H80" s="93">
        <f>_xlfn.XLOOKUP(B80, Rate_Master!$A:$A, Rate_Master!$D:$D, "")</f>
        <v>34500</v>
      </c>
      <c r="I80" s="67">
        <f t="shared" ref="I80:I93" si="17">+SUM(G80:H80)</f>
        <v>282900</v>
      </c>
      <c r="J80" s="32">
        <f t="shared" ref="J80:J93" si="18">I80*E80</f>
        <v>0</v>
      </c>
      <c r="K80" s="58">
        <f t="shared" ref="K80:K92" si="19">+F80*I80</f>
        <v>39018699.600000001</v>
      </c>
      <c r="L80" s="32"/>
      <c r="N80" s="104"/>
      <c r="O80" s="104"/>
      <c r="P80" s="104"/>
    </row>
    <row r="81" spans="1:16" s="4" customFormat="1" ht="51" customHeight="1" outlineLevel="1">
      <c r="A81" s="27" t="str">
        <f t="shared" si="16"/>
        <v>21A.S3.2</v>
      </c>
      <c r="B81" s="28" t="s">
        <v>72</v>
      </c>
      <c r="C81" s="28" t="str">
        <f>+'17A'!C81</f>
        <v xml:space="preserve">Tôn liên doanh Việt hàn, AZ170
</v>
      </c>
      <c r="D81" s="29" t="s">
        <v>520</v>
      </c>
      <c r="E81" s="31">
        <v>0</v>
      </c>
      <c r="F81" s="36"/>
      <c r="G81" s="93">
        <f>_xlfn.XLOOKUP(B81, Rate_Master!$A:$A, Rate_Master!$C:$C, "")</f>
        <v>206999.99999999997</v>
      </c>
      <c r="H81" s="93">
        <f>_xlfn.XLOOKUP(B81, Rate_Master!$A:$A, Rate_Master!$D:$D, "")</f>
        <v>34500</v>
      </c>
      <c r="I81" s="67">
        <f t="shared" si="17"/>
        <v>241499.99999999997</v>
      </c>
      <c r="J81" s="32">
        <f t="shared" si="18"/>
        <v>0</v>
      </c>
      <c r="K81" s="58">
        <f t="shared" si="19"/>
        <v>0</v>
      </c>
      <c r="L81" s="32"/>
      <c r="N81" s="104"/>
      <c r="O81" s="104"/>
      <c r="P81" s="104"/>
    </row>
    <row r="82" spans="1:16" s="4" customFormat="1" ht="63.75" customHeight="1" outlineLevel="1">
      <c r="A82" s="27" t="str">
        <f t="shared" si="16"/>
        <v>21A.S3.3</v>
      </c>
      <c r="B82" s="28" t="s">
        <v>73</v>
      </c>
      <c r="C82" s="28" t="str">
        <f>+'17A'!C82</f>
        <v xml:space="preserve">Tôn liên doanh Việt hàn, AZ170
</v>
      </c>
      <c r="D82" s="29" t="s">
        <v>520</v>
      </c>
      <c r="E82" s="31">
        <v>121.9104</v>
      </c>
      <c r="F82" s="36"/>
      <c r="G82" s="93">
        <f>_xlfn.XLOOKUP(B82, Rate_Master!$A:$A, Rate_Master!$C:$C, "")</f>
        <v>195499.99999999997</v>
      </c>
      <c r="H82" s="93">
        <f>_xlfn.XLOOKUP(B82, Rate_Master!$A:$A, Rate_Master!$D:$D, "")</f>
        <v>34500</v>
      </c>
      <c r="I82" s="67">
        <f t="shared" si="17"/>
        <v>229999.99999999997</v>
      </c>
      <c r="J82" s="32">
        <f t="shared" si="18"/>
        <v>28039391.999999996</v>
      </c>
      <c r="K82" s="58">
        <f t="shared" si="19"/>
        <v>0</v>
      </c>
      <c r="L82" s="32"/>
      <c r="N82" s="104"/>
      <c r="O82" s="104"/>
      <c r="P82" s="104"/>
    </row>
    <row r="83" spans="1:16" s="4" customFormat="1" ht="25.5" customHeight="1" outlineLevel="1">
      <c r="A83" s="27" t="str">
        <f t="shared" si="16"/>
        <v>21A.S3.4</v>
      </c>
      <c r="B83" s="28" t="s">
        <v>74</v>
      </c>
      <c r="C83" s="28" t="s">
        <v>515</v>
      </c>
      <c r="D83" s="29" t="s">
        <v>520</v>
      </c>
      <c r="E83" s="31">
        <v>0</v>
      </c>
      <c r="F83" s="36"/>
      <c r="G83" s="93">
        <f>_xlfn.XLOOKUP(B83, Rate_Master!$A:$A, Rate_Master!$C:$C, "")</f>
        <v>23000</v>
      </c>
      <c r="H83" s="93">
        <f>_xlfn.XLOOKUP(B83, Rate_Master!$A:$A, Rate_Master!$D:$D, "")</f>
        <v>11500</v>
      </c>
      <c r="I83" s="67">
        <f t="shared" si="17"/>
        <v>34500</v>
      </c>
      <c r="J83" s="32">
        <f t="shared" si="18"/>
        <v>0</v>
      </c>
      <c r="K83" s="58">
        <f t="shared" si="19"/>
        <v>0</v>
      </c>
      <c r="L83" s="32"/>
      <c r="N83" s="104"/>
      <c r="O83" s="104"/>
      <c r="P83" s="104"/>
    </row>
    <row r="84" spans="1:16" s="4" customFormat="1" ht="25.5" customHeight="1" outlineLevel="1">
      <c r="A84" s="27" t="str">
        <f t="shared" si="16"/>
        <v>21A.S3.5</v>
      </c>
      <c r="B84" s="28" t="s">
        <v>75</v>
      </c>
      <c r="C84" s="28" t="s">
        <v>538</v>
      </c>
      <c r="D84" s="29" t="s">
        <v>517</v>
      </c>
      <c r="E84" s="31">
        <v>16.600000000000001</v>
      </c>
      <c r="F84" s="36">
        <v>33.64</v>
      </c>
      <c r="G84" s="93">
        <f>_xlfn.XLOOKUP(B84, Rate_Master!$A:$A, Rate_Master!$C:$C, "")</f>
        <v>110399.99999999999</v>
      </c>
      <c r="H84" s="93">
        <f>_xlfn.XLOOKUP(B84, Rate_Master!$A:$A, Rate_Master!$D:$D, "")</f>
        <v>17250</v>
      </c>
      <c r="I84" s="67">
        <f t="shared" si="17"/>
        <v>127649.99999999999</v>
      </c>
      <c r="J84" s="32">
        <f t="shared" si="18"/>
        <v>2118990</v>
      </c>
      <c r="K84" s="58">
        <f t="shared" si="19"/>
        <v>4294146</v>
      </c>
      <c r="L84" s="32"/>
      <c r="N84" s="104"/>
      <c r="O84" s="104"/>
      <c r="P84" s="104"/>
    </row>
    <row r="85" spans="1:16" s="4" customFormat="1" ht="25.5" customHeight="1" outlineLevel="1">
      <c r="A85" s="27" t="str">
        <f t="shared" si="16"/>
        <v>21A.S3.6</v>
      </c>
      <c r="B85" s="28" t="s">
        <v>75</v>
      </c>
      <c r="C85" s="28" t="s">
        <v>539</v>
      </c>
      <c r="D85" s="29" t="s">
        <v>517</v>
      </c>
      <c r="E85" s="31">
        <v>32.200000000000003</v>
      </c>
      <c r="F85" s="36"/>
      <c r="G85" s="93">
        <f>_xlfn.XLOOKUP(B85, Rate_Master!$A:$A, Rate_Master!$C:$C, "")</f>
        <v>110399.99999999999</v>
      </c>
      <c r="H85" s="93">
        <f>_xlfn.XLOOKUP(B85, Rate_Master!$A:$A, Rate_Master!$D:$D, "")</f>
        <v>17250</v>
      </c>
      <c r="I85" s="67">
        <f t="shared" si="17"/>
        <v>127649.99999999999</v>
      </c>
      <c r="J85" s="32">
        <f t="shared" si="18"/>
        <v>4110330</v>
      </c>
      <c r="K85" s="58">
        <f t="shared" si="19"/>
        <v>0</v>
      </c>
      <c r="L85" s="32"/>
      <c r="N85" s="104"/>
      <c r="O85" s="104"/>
      <c r="P85" s="104"/>
    </row>
    <row r="86" spans="1:16" s="4" customFormat="1" ht="25.5" customHeight="1" outlineLevel="1">
      <c r="A86" s="27" t="str">
        <f t="shared" si="16"/>
        <v>21A.S3.7</v>
      </c>
      <c r="B86" s="28" t="s">
        <v>76</v>
      </c>
      <c r="C86" s="28" t="s">
        <v>540</v>
      </c>
      <c r="D86" s="29" t="s">
        <v>517</v>
      </c>
      <c r="E86" s="31">
        <v>0</v>
      </c>
      <c r="F86" s="36"/>
      <c r="G86" s="93">
        <f>_xlfn.XLOOKUP(B86, Rate_Master!$A:$A, Rate_Master!$C:$C, "")</f>
        <v>1976115.3983999996</v>
      </c>
      <c r="H86" s="93">
        <f>_xlfn.XLOOKUP(B86, Rate_Master!$A:$A, Rate_Master!$D:$D, "")</f>
        <v>28749.999999999996</v>
      </c>
      <c r="I86" s="67">
        <f t="shared" si="17"/>
        <v>2004865.3983999996</v>
      </c>
      <c r="J86" s="32">
        <f t="shared" si="18"/>
        <v>0</v>
      </c>
      <c r="K86" s="58">
        <f t="shared" si="19"/>
        <v>0</v>
      </c>
      <c r="L86" s="32"/>
      <c r="N86" s="104"/>
      <c r="O86" s="104"/>
      <c r="P86" s="104"/>
    </row>
    <row r="87" spans="1:16" s="4" customFormat="1" ht="25.5" customHeight="1" outlineLevel="1">
      <c r="A87" s="27" t="str">
        <f t="shared" si="16"/>
        <v>21A.S3.8</v>
      </c>
      <c r="B87" s="28" t="s">
        <v>77</v>
      </c>
      <c r="C87" s="28" t="s">
        <v>541</v>
      </c>
      <c r="D87" s="29" t="s">
        <v>517</v>
      </c>
      <c r="E87" s="31">
        <v>16.600000000000001</v>
      </c>
      <c r="F87" s="36">
        <v>16.82</v>
      </c>
      <c r="G87" s="93">
        <f>_xlfn.XLOOKUP(B87, Rate_Master!$A:$A, Rate_Master!$C:$C, "")</f>
        <v>1077881.1263999997</v>
      </c>
      <c r="H87" s="93">
        <f>_xlfn.XLOOKUP(B87, Rate_Master!$A:$A, Rate_Master!$D:$D, "")</f>
        <v>23000</v>
      </c>
      <c r="I87" s="67">
        <f t="shared" si="17"/>
        <v>1100881.1263999997</v>
      </c>
      <c r="J87" s="32">
        <f t="shared" si="18"/>
        <v>18274626.698239997</v>
      </c>
      <c r="K87" s="58">
        <f t="shared" si="19"/>
        <v>18516820.546047997</v>
      </c>
      <c r="L87" s="32"/>
      <c r="N87" s="104"/>
      <c r="O87" s="104"/>
      <c r="P87" s="104"/>
    </row>
    <row r="88" spans="1:16" s="4" customFormat="1" ht="25.5" customHeight="1" outlineLevel="1">
      <c r="A88" s="27" t="str">
        <f t="shared" si="16"/>
        <v>21A.S3.9</v>
      </c>
      <c r="B88" s="28" t="s">
        <v>205</v>
      </c>
      <c r="C88" s="28" t="s">
        <v>515</v>
      </c>
      <c r="D88" s="29" t="s">
        <v>518</v>
      </c>
      <c r="E88" s="31">
        <v>3</v>
      </c>
      <c r="F88" s="36">
        <v>3</v>
      </c>
      <c r="G88" s="93">
        <f>_xlfn.XLOOKUP(B88, Rate_Master!$A:$A, Rate_Master!$C:$C, "")</f>
        <v>112699.99999999999</v>
      </c>
      <c r="H88" s="93">
        <f>_xlfn.XLOOKUP(B88, Rate_Master!$A:$A, Rate_Master!$D:$D, "")</f>
        <v>0</v>
      </c>
      <c r="I88" s="67">
        <f t="shared" si="17"/>
        <v>112699.99999999999</v>
      </c>
      <c r="J88" s="32">
        <f t="shared" si="18"/>
        <v>338099.99999999994</v>
      </c>
      <c r="K88" s="58">
        <f t="shared" si="19"/>
        <v>338099.99999999994</v>
      </c>
      <c r="L88" s="32"/>
      <c r="N88" s="104"/>
      <c r="O88" s="104"/>
      <c r="P88" s="104"/>
    </row>
    <row r="89" spans="1:16" s="4" customFormat="1" ht="63.75" customHeight="1" outlineLevel="1">
      <c r="A89" s="27" t="str">
        <f t="shared" si="16"/>
        <v>21A.S3.10</v>
      </c>
      <c r="B89" s="28" t="s">
        <v>206</v>
      </c>
      <c r="C89" s="28" t="s">
        <v>542</v>
      </c>
      <c r="D89" s="29" t="s">
        <v>517</v>
      </c>
      <c r="E89" s="31">
        <v>30</v>
      </c>
      <c r="F89" s="36">
        <v>23.56</v>
      </c>
      <c r="G89" s="93">
        <f>_xlfn.XLOOKUP(B89, Rate_Master!$A:$A, Rate_Master!$C:$C, "")</f>
        <v>162150</v>
      </c>
      <c r="H89" s="93">
        <f>_xlfn.XLOOKUP(B89, Rate_Master!$A:$A, Rate_Master!$D:$D, "")</f>
        <v>0</v>
      </c>
      <c r="I89" s="67">
        <f t="shared" si="17"/>
        <v>162150</v>
      </c>
      <c r="J89" s="32">
        <f t="shared" si="18"/>
        <v>4864500</v>
      </c>
      <c r="K89" s="58">
        <f t="shared" si="19"/>
        <v>3820254</v>
      </c>
      <c r="L89" s="32"/>
      <c r="N89" s="104"/>
      <c r="O89" s="104"/>
      <c r="P89" s="104"/>
    </row>
    <row r="90" spans="1:16" s="4" customFormat="1" ht="25.5" customHeight="1" outlineLevel="1">
      <c r="A90" s="27" t="str">
        <f t="shared" si="16"/>
        <v>21A.S3.11</v>
      </c>
      <c r="B90" s="28" t="s">
        <v>80</v>
      </c>
      <c r="C90" s="28" t="s">
        <v>515</v>
      </c>
      <c r="D90" s="29" t="s">
        <v>457</v>
      </c>
      <c r="E90" s="31">
        <v>1</v>
      </c>
      <c r="F90" s="36">
        <v>1</v>
      </c>
      <c r="G90" s="93">
        <f>_xlfn.XLOOKUP(B90, Rate_Master!$A:$A, Rate_Master!$C:$C, "")</f>
        <v>0</v>
      </c>
      <c r="H90" s="93">
        <f>_xlfn.XLOOKUP(B90, Rate_Master!$A:$A, Rate_Master!$D:$D, "")</f>
        <v>57499999.999999993</v>
      </c>
      <c r="I90" s="67">
        <f t="shared" si="17"/>
        <v>57499999.999999993</v>
      </c>
      <c r="J90" s="32">
        <f t="shared" si="18"/>
        <v>57499999.999999993</v>
      </c>
      <c r="K90" s="58">
        <f t="shared" si="19"/>
        <v>57499999.999999993</v>
      </c>
      <c r="L90" s="32"/>
      <c r="N90" s="104"/>
      <c r="O90" s="104"/>
      <c r="P90" s="104"/>
    </row>
    <row r="91" spans="1:16" s="4" customFormat="1" ht="25.5" customHeight="1" outlineLevel="1">
      <c r="A91" s="27" t="str">
        <f t="shared" si="16"/>
        <v>21A.S3.12</v>
      </c>
      <c r="B91" s="28" t="s">
        <v>81</v>
      </c>
      <c r="C91" s="28" t="s">
        <v>515</v>
      </c>
      <c r="D91" s="29" t="s">
        <v>520</v>
      </c>
      <c r="E91" s="31">
        <v>121.9104</v>
      </c>
      <c r="F91" s="36">
        <v>137.92400000000001</v>
      </c>
      <c r="G91" s="93">
        <f>_xlfn.XLOOKUP(B91, Rate_Master!$A:$A, Rate_Master!$C:$C, "")</f>
        <v>0</v>
      </c>
      <c r="H91" s="93">
        <f>_xlfn.XLOOKUP(B91, Rate_Master!$A:$A, Rate_Master!$D:$D, "")</f>
        <v>40250</v>
      </c>
      <c r="I91" s="67">
        <f t="shared" si="17"/>
        <v>40250</v>
      </c>
      <c r="J91" s="32">
        <f t="shared" si="18"/>
        <v>4906893.5999999996</v>
      </c>
      <c r="K91" s="58">
        <f t="shared" si="19"/>
        <v>5551441</v>
      </c>
      <c r="L91" s="32"/>
      <c r="N91" s="104"/>
      <c r="O91" s="104"/>
      <c r="P91" s="104"/>
    </row>
    <row r="92" spans="1:16" s="4" customFormat="1" ht="38.25" customHeight="1" outlineLevel="1">
      <c r="A92" s="27" t="str">
        <f t="shared" si="16"/>
        <v>21A.S3.13</v>
      </c>
      <c r="B92" s="28" t="s">
        <v>82</v>
      </c>
      <c r="C92" s="28" t="s">
        <v>515</v>
      </c>
      <c r="D92" s="29" t="s">
        <v>517</v>
      </c>
      <c r="E92" s="31">
        <v>95.4</v>
      </c>
      <c r="F92" s="36">
        <v>74.02</v>
      </c>
      <c r="G92" s="93">
        <f>_xlfn.XLOOKUP(B92, Rate_Master!$A:$A, Rate_Master!$C:$C, "")</f>
        <v>0</v>
      </c>
      <c r="H92" s="93">
        <f>_xlfn.XLOOKUP(B92, Rate_Master!$A:$A, Rate_Master!$D:$D, "")</f>
        <v>23000</v>
      </c>
      <c r="I92" s="67">
        <f t="shared" si="17"/>
        <v>23000</v>
      </c>
      <c r="J92" s="32">
        <f t="shared" si="18"/>
        <v>2194200</v>
      </c>
      <c r="K92" s="58">
        <f t="shared" si="19"/>
        <v>1702460</v>
      </c>
      <c r="L92" s="32"/>
      <c r="N92" s="104"/>
      <c r="O92" s="104"/>
      <c r="P92" s="104"/>
    </row>
    <row r="93" spans="1:16" s="4" customFormat="1" ht="25.5" customHeight="1" outlineLevel="1">
      <c r="A93" s="27" t="str">
        <f t="shared" si="16"/>
        <v>21A.S3.14</v>
      </c>
      <c r="B93" s="28" t="s">
        <v>83</v>
      </c>
      <c r="C93" s="28" t="s">
        <v>543</v>
      </c>
      <c r="D93" s="29" t="s">
        <v>457</v>
      </c>
      <c r="E93" s="31">
        <v>1</v>
      </c>
      <c r="F93" s="36">
        <v>1</v>
      </c>
      <c r="G93" s="93">
        <f>_xlfn.XLOOKUP(B93, Rate_Master!$A:$A, Rate_Master!$C:$C, "")</f>
        <v>145942235.10876715</v>
      </c>
      <c r="H93" s="93">
        <f>_xlfn.XLOOKUP(B93, Rate_Master!$A:$A, Rate_Master!$D:$D, "")</f>
        <v>0</v>
      </c>
      <c r="I93" s="67">
        <f t="shared" si="17"/>
        <v>145942235.10876715</v>
      </c>
      <c r="J93" s="32">
        <f t="shared" si="18"/>
        <v>145942235.10876715</v>
      </c>
      <c r="K93" s="58">
        <f>+F93*I93</f>
        <v>145942235.10876715</v>
      </c>
      <c r="L93" s="32"/>
      <c r="N93" s="104"/>
      <c r="O93" s="104"/>
      <c r="P93" s="104"/>
    </row>
    <row r="94" spans="1:16" s="3" customFormat="1" ht="25.5" customHeight="1">
      <c r="A94" s="22" t="str">
        <f>$A$56&amp;4</f>
        <v>21A.S4</v>
      </c>
      <c r="B94" s="23" t="s">
        <v>84</v>
      </c>
      <c r="C94" s="23" t="s">
        <v>515</v>
      </c>
      <c r="D94" s="22"/>
      <c r="E94" s="25"/>
      <c r="F94" s="87"/>
      <c r="G94" s="25">
        <f>_xlfn.XLOOKUP(B94, Rate_Master!$A:$A, Rate_Master!$C:$C, "")</f>
        <v>0</v>
      </c>
      <c r="H94" s="25">
        <f>_xlfn.XLOOKUP(B94, Rate_Master!$A:$A, Rate_Master!$D:$D, "")</f>
        <v>0</v>
      </c>
      <c r="I94" s="68"/>
      <c r="J94" s="26">
        <f>SUBTOTAL(9,J95:J102)</f>
        <v>0</v>
      </c>
      <c r="K94" s="26"/>
      <c r="L94" s="26"/>
      <c r="N94" s="104"/>
      <c r="O94" s="104"/>
      <c r="P94" s="104"/>
    </row>
    <row r="95" spans="1:16" s="4" customFormat="1" ht="38.25" customHeight="1" outlineLevel="1">
      <c r="A95" s="37" t="str">
        <f t="shared" ref="A95:A102" si="20">$A$94&amp;"."&amp;ROW()-ROW($A$94)</f>
        <v>21A.S4.1</v>
      </c>
      <c r="B95" s="38" t="s">
        <v>85</v>
      </c>
      <c r="C95" s="38" t="s">
        <v>544</v>
      </c>
      <c r="D95" s="39" t="s">
        <v>517</v>
      </c>
      <c r="E95" s="40">
        <v>0</v>
      </c>
      <c r="F95" s="88"/>
      <c r="G95" s="42">
        <f>_xlfn.XLOOKUP(B95, Rate_Master!$A:$A, Rate_Master!$C:$C, "")</f>
        <v>5175000</v>
      </c>
      <c r="H95" s="42">
        <f>_xlfn.XLOOKUP(B95, Rate_Master!$A:$A, Rate_Master!$D:$D, "")</f>
        <v>0</v>
      </c>
      <c r="I95" s="69">
        <f t="shared" ref="I95:I104" si="21">G95+H95</f>
        <v>5175000</v>
      </c>
      <c r="J95" s="41">
        <f t="shared" ref="J95:J102" si="22">I95*E95</f>
        <v>0</v>
      </c>
      <c r="K95" s="41"/>
      <c r="L95" s="41"/>
      <c r="N95" s="104"/>
      <c r="O95" s="104"/>
      <c r="P95" s="104"/>
    </row>
    <row r="96" spans="1:16" s="4" customFormat="1" ht="38.25" customHeight="1" outlineLevel="1">
      <c r="A96" s="37" t="str">
        <f t="shared" si="20"/>
        <v>21A.S4.2</v>
      </c>
      <c r="B96" s="38" t="s">
        <v>86</v>
      </c>
      <c r="C96" s="38" t="s">
        <v>545</v>
      </c>
      <c r="D96" s="39" t="s">
        <v>517</v>
      </c>
      <c r="E96" s="40">
        <v>0</v>
      </c>
      <c r="F96" s="88"/>
      <c r="G96" s="42">
        <f>_xlfn.XLOOKUP(B96, Rate_Master!$A:$A, Rate_Master!$C:$C, "")</f>
        <v>0</v>
      </c>
      <c r="H96" s="42">
        <f>_xlfn.XLOOKUP(B96, Rate_Master!$A:$A, Rate_Master!$D:$D, "")</f>
        <v>0</v>
      </c>
      <c r="I96" s="69">
        <f t="shared" si="21"/>
        <v>0</v>
      </c>
      <c r="J96" s="41">
        <f t="shared" si="22"/>
        <v>0</v>
      </c>
      <c r="K96" s="41"/>
      <c r="L96" s="41"/>
      <c r="N96" s="104"/>
      <c r="O96" s="104"/>
      <c r="P96" s="104"/>
    </row>
    <row r="97" spans="1:16" s="4" customFormat="1" ht="38.25" customHeight="1" outlineLevel="1">
      <c r="A97" s="37" t="str">
        <f t="shared" si="20"/>
        <v>21A.S4.3</v>
      </c>
      <c r="B97" s="38" t="s">
        <v>87</v>
      </c>
      <c r="C97" s="38" t="s">
        <v>546</v>
      </c>
      <c r="D97" s="39" t="s">
        <v>517</v>
      </c>
      <c r="E97" s="40">
        <v>0</v>
      </c>
      <c r="F97" s="88"/>
      <c r="G97" s="42">
        <f>_xlfn.XLOOKUP(B97, Rate_Master!$A:$A, Rate_Master!$C:$C, "")</f>
        <v>0</v>
      </c>
      <c r="H97" s="42">
        <f>_xlfn.XLOOKUP(B97, Rate_Master!$A:$A, Rate_Master!$D:$D, "")</f>
        <v>0</v>
      </c>
      <c r="I97" s="69">
        <f t="shared" si="21"/>
        <v>0</v>
      </c>
      <c r="J97" s="41">
        <f t="shared" si="22"/>
        <v>0</v>
      </c>
      <c r="K97" s="41"/>
      <c r="L97" s="41"/>
      <c r="N97" s="104"/>
      <c r="O97" s="104"/>
      <c r="P97" s="104"/>
    </row>
    <row r="98" spans="1:16" s="4" customFormat="1" ht="25.5" customHeight="1" outlineLevel="1">
      <c r="A98" s="37" t="str">
        <f t="shared" si="20"/>
        <v>21A.S4.4</v>
      </c>
      <c r="B98" s="38" t="s">
        <v>88</v>
      </c>
      <c r="C98" s="38" t="s">
        <v>546</v>
      </c>
      <c r="D98" s="39" t="s">
        <v>517</v>
      </c>
      <c r="E98" s="40">
        <v>0</v>
      </c>
      <c r="F98" s="88"/>
      <c r="G98" s="42">
        <f>_xlfn.XLOOKUP(B98, Rate_Master!$A:$A, Rate_Master!$C:$C, "")</f>
        <v>0</v>
      </c>
      <c r="H98" s="42">
        <f>_xlfn.XLOOKUP(B98, Rate_Master!$A:$A, Rate_Master!$D:$D, "")</f>
        <v>0</v>
      </c>
      <c r="I98" s="69">
        <f t="shared" si="21"/>
        <v>0</v>
      </c>
      <c r="J98" s="41">
        <f t="shared" si="22"/>
        <v>0</v>
      </c>
      <c r="K98" s="41"/>
      <c r="L98" s="41"/>
      <c r="N98" s="104"/>
      <c r="O98" s="104"/>
      <c r="P98" s="104"/>
    </row>
    <row r="99" spans="1:16" s="4" customFormat="1" ht="51" customHeight="1" outlineLevel="1">
      <c r="A99" s="37" t="str">
        <f t="shared" si="20"/>
        <v>21A.S4.5</v>
      </c>
      <c r="B99" s="38" t="s">
        <v>89</v>
      </c>
      <c r="C99" s="38" t="s">
        <v>547</v>
      </c>
      <c r="D99" s="39" t="s">
        <v>520</v>
      </c>
      <c r="E99" s="40">
        <v>0</v>
      </c>
      <c r="F99" s="88"/>
      <c r="G99" s="42">
        <f>_xlfn.XLOOKUP(B99, Rate_Master!$A:$A, Rate_Master!$C:$C, "")</f>
        <v>17250</v>
      </c>
      <c r="H99" s="42">
        <f>_xlfn.XLOOKUP(B99, Rate_Master!$A:$A, Rate_Master!$D:$D, "")</f>
        <v>5750</v>
      </c>
      <c r="I99" s="69">
        <f t="shared" si="21"/>
        <v>23000</v>
      </c>
      <c r="J99" s="41">
        <f t="shared" si="22"/>
        <v>0</v>
      </c>
      <c r="K99" s="41"/>
      <c r="L99" s="41"/>
      <c r="N99" s="104"/>
      <c r="O99" s="104"/>
      <c r="P99" s="104"/>
    </row>
    <row r="100" spans="1:16" s="4" customFormat="1" ht="38.25" customHeight="1" outlineLevel="1">
      <c r="A100" s="37" t="str">
        <f t="shared" si="20"/>
        <v>21A.S4.6</v>
      </c>
      <c r="B100" s="38" t="s">
        <v>90</v>
      </c>
      <c r="C100" s="38" t="s">
        <v>548</v>
      </c>
      <c r="D100" s="39" t="s">
        <v>520</v>
      </c>
      <c r="E100" s="40">
        <v>0</v>
      </c>
      <c r="F100" s="88"/>
      <c r="G100" s="42">
        <f>_xlfn.XLOOKUP(B100, Rate_Master!$A:$A, Rate_Master!$C:$C, "")</f>
        <v>0</v>
      </c>
      <c r="H100" s="42">
        <f>_xlfn.XLOOKUP(B100, Rate_Master!$A:$A, Rate_Master!$D:$D, "")</f>
        <v>0</v>
      </c>
      <c r="I100" s="69">
        <f t="shared" si="21"/>
        <v>0</v>
      </c>
      <c r="J100" s="41">
        <f t="shared" si="22"/>
        <v>0</v>
      </c>
      <c r="K100" s="41"/>
      <c r="L100" s="41"/>
      <c r="N100" s="104"/>
      <c r="O100" s="104"/>
      <c r="P100" s="104"/>
    </row>
    <row r="101" spans="1:16" s="4" customFormat="1" ht="25.5" customHeight="1" outlineLevel="1">
      <c r="A101" s="37" t="str">
        <f t="shared" si="20"/>
        <v>21A.S4.7</v>
      </c>
      <c r="B101" s="38" t="s">
        <v>91</v>
      </c>
      <c r="C101" s="38" t="s">
        <v>515</v>
      </c>
      <c r="D101" s="39" t="s">
        <v>457</v>
      </c>
      <c r="E101" s="40">
        <v>0</v>
      </c>
      <c r="F101" s="88"/>
      <c r="G101" s="42">
        <f>_xlfn.XLOOKUP(B101, Rate_Master!$A:$A, Rate_Master!$C:$C, "")</f>
        <v>0</v>
      </c>
      <c r="H101" s="42">
        <f>_xlfn.XLOOKUP(B101, Rate_Master!$A:$A, Rate_Master!$D:$D, "")</f>
        <v>0</v>
      </c>
      <c r="I101" s="69">
        <f t="shared" si="21"/>
        <v>0</v>
      </c>
      <c r="J101" s="41">
        <f t="shared" si="22"/>
        <v>0</v>
      </c>
      <c r="K101" s="41"/>
      <c r="L101" s="41"/>
      <c r="N101" s="104"/>
      <c r="O101" s="104"/>
      <c r="P101" s="104"/>
    </row>
    <row r="102" spans="1:16" s="4" customFormat="1" ht="51" customHeight="1" outlineLevel="1">
      <c r="A102" s="37" t="str">
        <f t="shared" si="20"/>
        <v>21A.S4.8</v>
      </c>
      <c r="B102" s="38" t="s">
        <v>92</v>
      </c>
      <c r="C102" s="38" t="s">
        <v>550</v>
      </c>
      <c r="D102" s="39" t="s">
        <v>520</v>
      </c>
      <c r="E102" s="40">
        <v>0</v>
      </c>
      <c r="F102" s="88"/>
      <c r="G102" s="42">
        <f>_xlfn.XLOOKUP(B102, Rate_Master!$A:$A, Rate_Master!$C:$C, "")</f>
        <v>16099.999999999998</v>
      </c>
      <c r="H102" s="42">
        <f>_xlfn.XLOOKUP(B102, Rate_Master!$A:$A, Rate_Master!$D:$D, "")</f>
        <v>3449.9999999999995</v>
      </c>
      <c r="I102" s="69">
        <f t="shared" si="21"/>
        <v>19549.999999999996</v>
      </c>
      <c r="J102" s="41">
        <f t="shared" si="22"/>
        <v>0</v>
      </c>
      <c r="K102" s="41"/>
      <c r="L102" s="41"/>
      <c r="N102" s="104"/>
      <c r="O102" s="104"/>
      <c r="P102" s="104"/>
    </row>
    <row r="103" spans="1:16" s="3" customFormat="1" ht="25.5" customHeight="1">
      <c r="A103" s="22" t="str">
        <f>$A$9&amp;".F"</f>
        <v>21A.F</v>
      </c>
      <c r="B103" s="23" t="s">
        <v>93</v>
      </c>
      <c r="C103" s="23" t="s">
        <v>515</v>
      </c>
      <c r="D103" s="22"/>
      <c r="E103" s="25"/>
      <c r="F103" s="25"/>
      <c r="G103" s="25">
        <f>_xlfn.XLOOKUP(B103, Rate_Master!$A:$A, Rate_Master!$C:$C, "")</f>
        <v>0</v>
      </c>
      <c r="H103" s="25">
        <f>_xlfn.XLOOKUP(B103, Rate_Master!$A:$A, Rate_Master!$D:$D, "")</f>
        <v>0</v>
      </c>
      <c r="I103" s="26">
        <f t="shared" si="21"/>
        <v>0</v>
      </c>
      <c r="J103" s="26"/>
      <c r="K103" s="26"/>
      <c r="L103" s="26"/>
    </row>
    <row r="104" spans="1:16" s="3" customFormat="1" ht="25.5" customHeight="1">
      <c r="A104" s="22" t="str">
        <f>$A$103&amp;1</f>
        <v>21A.F1</v>
      </c>
      <c r="B104" s="23" t="s">
        <v>94</v>
      </c>
      <c r="C104" s="23" t="s">
        <v>515</v>
      </c>
      <c r="D104" s="22"/>
      <c r="E104" s="25"/>
      <c r="F104" s="25"/>
      <c r="G104" s="25">
        <f>_xlfn.XLOOKUP(B104, Rate_Master!$A:$A, Rate_Master!$C:$C, "")</f>
        <v>0</v>
      </c>
      <c r="H104" s="25">
        <f>_xlfn.XLOOKUP(B104, Rate_Master!$A:$A, Rate_Master!$D:$D, "")</f>
        <v>0</v>
      </c>
      <c r="I104" s="26">
        <f t="shared" si="21"/>
        <v>0</v>
      </c>
      <c r="J104" s="26">
        <f>SUBTOTAL(9,J105:J122)</f>
        <v>272858132.8967064</v>
      </c>
      <c r="K104" s="26">
        <f>SUBTOTAL(9,K105:K122)</f>
        <v>272858132.8967064</v>
      </c>
      <c r="L104" s="26"/>
    </row>
    <row r="105" spans="1:16" s="4" customFormat="1" ht="25.5" customHeight="1" outlineLevel="1">
      <c r="A105" s="27" t="str">
        <f t="shared" ref="A105:A122" si="23">$A$104&amp;"."&amp;ROW()-ROW($A$104)</f>
        <v>21A.F1.1</v>
      </c>
      <c r="B105" s="35" t="s">
        <v>95</v>
      </c>
      <c r="C105" s="34" t="s">
        <v>551</v>
      </c>
      <c r="D105" s="29" t="s">
        <v>519</v>
      </c>
      <c r="E105" s="31">
        <v>51.563000000000002</v>
      </c>
      <c r="F105" s="31">
        <v>51.563000000000002</v>
      </c>
      <c r="G105" s="30">
        <f>_xlfn.XLOOKUP(B105, Rate_Master!$A:$A, Rate_Master!$C:$C, "")</f>
        <v>1587600.0077618286</v>
      </c>
      <c r="H105" s="30">
        <f>_xlfn.XLOOKUP(B105, Rate_Master!$A:$A, Rate_Master!$D:$D, "")</f>
        <v>1086539.80861244</v>
      </c>
      <c r="I105" s="32">
        <f>+H105+G105</f>
        <v>2674139.8163742684</v>
      </c>
      <c r="J105" s="32">
        <f t="shared" ref="J105:J122" si="24">I105*E105</f>
        <v>137886671.35170642</v>
      </c>
      <c r="K105" s="32">
        <f t="shared" ref="K105:K122" si="25">I105*F105</f>
        <v>137886671.35170642</v>
      </c>
      <c r="L105" s="32"/>
    </row>
    <row r="106" spans="1:16" s="4" customFormat="1" ht="25.5" customHeight="1" outlineLevel="1">
      <c r="A106" s="27" t="str">
        <f t="shared" si="23"/>
        <v>21A.F1.2</v>
      </c>
      <c r="B106" s="35" t="s">
        <v>96</v>
      </c>
      <c r="C106" s="34" t="s">
        <v>551</v>
      </c>
      <c r="D106" s="29" t="s">
        <v>519</v>
      </c>
      <c r="E106" s="31">
        <v>0</v>
      </c>
      <c r="F106" s="31">
        <v>0</v>
      </c>
      <c r="G106" s="30">
        <f>_xlfn.XLOOKUP(B106, Rate_Master!$A:$A, Rate_Master!$C:$C, "")</f>
        <v>1368500</v>
      </c>
      <c r="H106" s="30">
        <f>_xlfn.XLOOKUP(B106, Rate_Master!$A:$A, Rate_Master!$D:$D, "")</f>
        <v>948749.99999999988</v>
      </c>
      <c r="I106" s="32">
        <v>0</v>
      </c>
      <c r="J106" s="32">
        <f t="shared" si="24"/>
        <v>0</v>
      </c>
      <c r="K106" s="32">
        <f t="shared" si="25"/>
        <v>0</v>
      </c>
      <c r="L106" s="32"/>
    </row>
    <row r="107" spans="1:16" s="4" customFormat="1" ht="63.75" customHeight="1" outlineLevel="1">
      <c r="A107" s="27" t="str">
        <f t="shared" si="23"/>
        <v>21A.F1.3</v>
      </c>
      <c r="B107" s="28" t="s">
        <v>97</v>
      </c>
      <c r="C107" s="34" t="s">
        <v>552</v>
      </c>
      <c r="D107" s="29" t="s">
        <v>520</v>
      </c>
      <c r="E107" s="31">
        <v>0</v>
      </c>
      <c r="F107" s="31">
        <v>0</v>
      </c>
      <c r="G107" s="31">
        <f>_xlfn.XLOOKUP(B107, Rate_Master!$A:$A, Rate_Master!$C:$C, "")</f>
        <v>229999.99999999997</v>
      </c>
      <c r="H107" s="31">
        <f>_xlfn.XLOOKUP(B107, Rate_Master!$A:$A, Rate_Master!$D:$D, "")</f>
        <v>46000</v>
      </c>
      <c r="I107" s="32">
        <v>0</v>
      </c>
      <c r="J107" s="32">
        <f t="shared" si="24"/>
        <v>0</v>
      </c>
      <c r="K107" s="32">
        <f t="shared" si="25"/>
        <v>0</v>
      </c>
      <c r="L107" s="32"/>
    </row>
    <row r="108" spans="1:16" s="4" customFormat="1" ht="51" customHeight="1" outlineLevel="1">
      <c r="A108" s="27" t="str">
        <f t="shared" si="23"/>
        <v>21A.F1.4</v>
      </c>
      <c r="B108" s="28" t="s">
        <v>98</v>
      </c>
      <c r="C108" s="34" t="s">
        <v>553</v>
      </c>
      <c r="D108" s="29" t="s">
        <v>520</v>
      </c>
      <c r="E108" s="31">
        <v>0</v>
      </c>
      <c r="F108" s="31">
        <v>0</v>
      </c>
      <c r="G108" s="31">
        <f>_xlfn.XLOOKUP(B108, Rate_Master!$A:$A, Rate_Master!$C:$C, "")</f>
        <v>0</v>
      </c>
      <c r="H108" s="31">
        <f>_xlfn.XLOOKUP(B108, Rate_Master!$A:$A, Rate_Master!$D:$D, "")</f>
        <v>0</v>
      </c>
      <c r="I108" s="32">
        <v>0</v>
      </c>
      <c r="J108" s="32">
        <f t="shared" si="24"/>
        <v>0</v>
      </c>
      <c r="K108" s="32">
        <f t="shared" si="25"/>
        <v>0</v>
      </c>
      <c r="L108" s="32"/>
    </row>
    <row r="109" spans="1:16" s="4" customFormat="1" ht="51" customHeight="1" outlineLevel="1">
      <c r="A109" s="27" t="str">
        <f t="shared" si="23"/>
        <v>21A.F1.5</v>
      </c>
      <c r="B109" s="28" t="s">
        <v>99</v>
      </c>
      <c r="C109" s="34" t="s">
        <v>553</v>
      </c>
      <c r="D109" s="29" t="s">
        <v>520</v>
      </c>
      <c r="E109" s="31">
        <v>0</v>
      </c>
      <c r="F109" s="31">
        <v>0</v>
      </c>
      <c r="G109" s="31">
        <f>_xlfn.XLOOKUP(B109, Rate_Master!$A:$A, Rate_Master!$C:$C, "")</f>
        <v>931499.99999999988</v>
      </c>
      <c r="H109" s="31">
        <f>_xlfn.XLOOKUP(B109, Rate_Master!$A:$A, Rate_Master!$D:$D, "")</f>
        <v>114999.99999999999</v>
      </c>
      <c r="I109" s="32">
        <v>0</v>
      </c>
      <c r="J109" s="32">
        <f t="shared" si="24"/>
        <v>0</v>
      </c>
      <c r="K109" s="32">
        <f t="shared" si="25"/>
        <v>0</v>
      </c>
      <c r="L109" s="32"/>
    </row>
    <row r="110" spans="1:16" s="4" customFormat="1" ht="25.5" customHeight="1" outlineLevel="1">
      <c r="A110" s="27" t="str">
        <f t="shared" si="23"/>
        <v>21A.F1.6</v>
      </c>
      <c r="B110" s="28" t="s">
        <v>100</v>
      </c>
      <c r="C110" s="34" t="s">
        <v>554</v>
      </c>
      <c r="D110" s="29" t="s">
        <v>520</v>
      </c>
      <c r="E110" s="31">
        <v>0</v>
      </c>
      <c r="F110" s="31">
        <v>0</v>
      </c>
      <c r="G110" s="31">
        <f>_xlfn.XLOOKUP(B110, Rate_Master!$A:$A, Rate_Master!$C:$C, "")</f>
        <v>1586790</v>
      </c>
      <c r="H110" s="31">
        <f>_xlfn.XLOOKUP(B110, Rate_Master!$A:$A, Rate_Master!$D:$D, "")</f>
        <v>372210</v>
      </c>
      <c r="I110" s="32">
        <v>0</v>
      </c>
      <c r="J110" s="32">
        <f t="shared" si="24"/>
        <v>0</v>
      </c>
      <c r="K110" s="32">
        <f t="shared" si="25"/>
        <v>0</v>
      </c>
      <c r="L110" s="32"/>
    </row>
    <row r="111" spans="1:16" s="4" customFormat="1" ht="51" customHeight="1" outlineLevel="1">
      <c r="A111" s="27" t="str">
        <f t="shared" si="23"/>
        <v>21A.F1.7</v>
      </c>
      <c r="B111" s="28" t="s">
        <v>101</v>
      </c>
      <c r="C111" s="28" t="s">
        <v>515</v>
      </c>
      <c r="D111" s="29" t="s">
        <v>520</v>
      </c>
      <c r="E111" s="31">
        <v>0</v>
      </c>
      <c r="F111" s="31">
        <v>0</v>
      </c>
      <c r="G111" s="31">
        <f>_xlfn.XLOOKUP(B111, Rate_Master!$A:$A, Rate_Master!$C:$C, "")</f>
        <v>1121250</v>
      </c>
      <c r="H111" s="31">
        <f>_xlfn.XLOOKUP(B111, Rate_Master!$A:$A, Rate_Master!$D:$D, "")</f>
        <v>114999.99999999999</v>
      </c>
      <c r="I111" s="32">
        <v>0</v>
      </c>
      <c r="J111" s="32">
        <f t="shared" si="24"/>
        <v>0</v>
      </c>
      <c r="K111" s="32">
        <f t="shared" si="25"/>
        <v>0</v>
      </c>
      <c r="L111" s="32"/>
    </row>
    <row r="112" spans="1:16" s="4" customFormat="1" ht="51" customHeight="1" outlineLevel="1">
      <c r="A112" s="27" t="str">
        <f t="shared" si="23"/>
        <v>21A.F1.8</v>
      </c>
      <c r="B112" s="28" t="s">
        <v>102</v>
      </c>
      <c r="C112" s="34" t="s">
        <v>555</v>
      </c>
      <c r="D112" s="29" t="s">
        <v>520</v>
      </c>
      <c r="E112" s="31">
        <v>0</v>
      </c>
      <c r="F112" s="31">
        <v>0</v>
      </c>
      <c r="G112" s="31">
        <f>_xlfn.XLOOKUP(B112, Rate_Master!$A:$A, Rate_Master!$C:$C, "")</f>
        <v>0</v>
      </c>
      <c r="H112" s="31">
        <f>_xlfn.XLOOKUP(B112, Rate_Master!$A:$A, Rate_Master!$D:$D, "")</f>
        <v>0</v>
      </c>
      <c r="I112" s="32">
        <v>0</v>
      </c>
      <c r="J112" s="32">
        <f t="shared" si="24"/>
        <v>0</v>
      </c>
      <c r="K112" s="32">
        <f t="shared" si="25"/>
        <v>0</v>
      </c>
      <c r="L112" s="32"/>
    </row>
    <row r="113" spans="1:12" s="4" customFormat="1" ht="51" customHeight="1" outlineLevel="1">
      <c r="A113" s="27" t="str">
        <f t="shared" si="23"/>
        <v>21A.F1.9</v>
      </c>
      <c r="B113" s="28" t="s">
        <v>103</v>
      </c>
      <c r="C113" s="34" t="s">
        <v>555</v>
      </c>
      <c r="D113" s="29" t="s">
        <v>520</v>
      </c>
      <c r="E113" s="31">
        <v>0</v>
      </c>
      <c r="F113" s="31">
        <v>0</v>
      </c>
      <c r="G113" s="31">
        <f>_xlfn.XLOOKUP(B113, Rate_Master!$A:$A, Rate_Master!$C:$C, "")</f>
        <v>0</v>
      </c>
      <c r="H113" s="31">
        <f>_xlfn.XLOOKUP(B113, Rate_Master!$A:$A, Rate_Master!$D:$D, "")</f>
        <v>0</v>
      </c>
      <c r="I113" s="32">
        <v>0</v>
      </c>
      <c r="J113" s="32">
        <f t="shared" si="24"/>
        <v>0</v>
      </c>
      <c r="K113" s="32">
        <f t="shared" si="25"/>
        <v>0</v>
      </c>
      <c r="L113" s="32"/>
    </row>
    <row r="114" spans="1:12" s="4" customFormat="1" ht="25.5" customHeight="1" outlineLevel="1">
      <c r="A114" s="27" t="str">
        <f t="shared" si="23"/>
        <v>21A.F1.10</v>
      </c>
      <c r="B114" s="28" t="s">
        <v>104</v>
      </c>
      <c r="C114" s="28" t="s">
        <v>515</v>
      </c>
      <c r="D114" s="29" t="s">
        <v>520</v>
      </c>
      <c r="E114" s="31">
        <v>48.8</v>
      </c>
      <c r="F114" s="31">
        <v>48.8</v>
      </c>
      <c r="G114" s="30">
        <f>_xlfn.XLOOKUP(B114, Rate_Master!$A:$A, Rate_Master!$C:$C, "")</f>
        <v>46000</v>
      </c>
      <c r="H114" s="30">
        <f>_xlfn.XLOOKUP(B114, Rate_Master!$A:$A, Rate_Master!$D:$D, "")</f>
        <v>34500</v>
      </c>
      <c r="I114" s="32">
        <f t="shared" ref="I114:I122" si="26">+H114+G114</f>
        <v>80500</v>
      </c>
      <c r="J114" s="32">
        <f t="shared" si="24"/>
        <v>3928400</v>
      </c>
      <c r="K114" s="32">
        <f t="shared" si="25"/>
        <v>3928400</v>
      </c>
      <c r="L114" s="32"/>
    </row>
    <row r="115" spans="1:12" s="4" customFormat="1" ht="25.5" customHeight="1" outlineLevel="1">
      <c r="A115" s="27" t="str">
        <f t="shared" si="23"/>
        <v>21A.F1.11</v>
      </c>
      <c r="B115" s="28" t="s">
        <v>105</v>
      </c>
      <c r="C115" s="34" t="s">
        <v>556</v>
      </c>
      <c r="D115" s="29" t="s">
        <v>520</v>
      </c>
      <c r="E115" s="31">
        <v>268.49299999999999</v>
      </c>
      <c r="F115" s="31">
        <v>268.49299999999999</v>
      </c>
      <c r="G115" s="30">
        <f>_xlfn.XLOOKUP(B115, Rate_Master!$A:$A, Rate_Master!$C:$C, "")</f>
        <v>26565.000000000004</v>
      </c>
      <c r="H115" s="30">
        <f>_xlfn.XLOOKUP(B115, Rate_Master!$A:$A, Rate_Master!$D:$D, "")</f>
        <v>132250</v>
      </c>
      <c r="I115" s="32">
        <f t="shared" si="26"/>
        <v>158815</v>
      </c>
      <c r="J115" s="32">
        <f t="shared" si="24"/>
        <v>42640715.795000002</v>
      </c>
      <c r="K115" s="32">
        <f t="shared" si="25"/>
        <v>42640715.795000002</v>
      </c>
      <c r="L115" s="32"/>
    </row>
    <row r="116" spans="1:12" s="4" customFormat="1" ht="25.5" customHeight="1" outlineLevel="1">
      <c r="A116" s="27" t="str">
        <f t="shared" si="23"/>
        <v>21A.F1.12</v>
      </c>
      <c r="B116" s="28" t="s">
        <v>106</v>
      </c>
      <c r="C116" s="34" t="s">
        <v>556</v>
      </c>
      <c r="D116" s="29" t="s">
        <v>520</v>
      </c>
      <c r="E116" s="31">
        <v>248.3</v>
      </c>
      <c r="F116" s="31">
        <v>248.3</v>
      </c>
      <c r="G116" s="30">
        <f>_xlfn.XLOOKUP(B116, Rate_Master!$A:$A, Rate_Master!$C:$C, "")</f>
        <v>26565.000000000004</v>
      </c>
      <c r="H116" s="30">
        <f>_xlfn.XLOOKUP(B116, Rate_Master!$A:$A, Rate_Master!$D:$D, "")</f>
        <v>117299.99999999999</v>
      </c>
      <c r="I116" s="32">
        <f t="shared" si="26"/>
        <v>143865</v>
      </c>
      <c r="J116" s="32">
        <f t="shared" si="24"/>
        <v>35721679.5</v>
      </c>
      <c r="K116" s="32">
        <f t="shared" si="25"/>
        <v>35721679.5</v>
      </c>
      <c r="L116" s="32"/>
    </row>
    <row r="117" spans="1:12" s="4" customFormat="1" ht="38.25" customHeight="1" outlineLevel="1">
      <c r="A117" s="27" t="str">
        <f t="shared" si="23"/>
        <v>21A.F1.13</v>
      </c>
      <c r="B117" s="28" t="s">
        <v>107</v>
      </c>
      <c r="C117" s="28" t="s">
        <v>515</v>
      </c>
      <c r="D117" s="29" t="s">
        <v>520</v>
      </c>
      <c r="E117" s="31">
        <v>0</v>
      </c>
      <c r="F117" s="31">
        <v>0</v>
      </c>
      <c r="G117" s="31">
        <f>_xlfn.XLOOKUP(B117, Rate_Master!$A:$A, Rate_Master!$C:$C, "")</f>
        <v>218499.99999999997</v>
      </c>
      <c r="H117" s="31">
        <f>_xlfn.XLOOKUP(B117, Rate_Master!$A:$A, Rate_Master!$D:$D, "")</f>
        <v>138000</v>
      </c>
      <c r="I117" s="32">
        <f t="shared" si="26"/>
        <v>356500</v>
      </c>
      <c r="J117" s="32">
        <f t="shared" si="24"/>
        <v>0</v>
      </c>
      <c r="K117" s="32">
        <f t="shared" si="25"/>
        <v>0</v>
      </c>
      <c r="L117" s="32"/>
    </row>
    <row r="118" spans="1:12" s="4" customFormat="1" ht="25.5" customHeight="1" outlineLevel="1">
      <c r="A118" s="27" t="str">
        <f t="shared" si="23"/>
        <v>21A.F1.14</v>
      </c>
      <c r="B118" s="34" t="s">
        <v>108</v>
      </c>
      <c r="C118" s="28" t="s">
        <v>515</v>
      </c>
      <c r="D118" s="29" t="s">
        <v>520</v>
      </c>
      <c r="E118" s="31">
        <v>268.49299999999999</v>
      </c>
      <c r="F118" s="31">
        <v>268.49299999999999</v>
      </c>
      <c r="G118" s="30">
        <f>_xlfn.XLOOKUP(B118, Rate_Master!$A:$A, Rate_Master!$C:$C, "")</f>
        <v>51749.999999999993</v>
      </c>
      <c r="H118" s="30">
        <f>_xlfn.XLOOKUP(B118, Rate_Master!$A:$A, Rate_Master!$D:$D, "")</f>
        <v>34500</v>
      </c>
      <c r="I118" s="32">
        <f t="shared" si="26"/>
        <v>86250</v>
      </c>
      <c r="J118" s="32">
        <f t="shared" si="24"/>
        <v>23157521.25</v>
      </c>
      <c r="K118" s="32">
        <f t="shared" si="25"/>
        <v>23157521.25</v>
      </c>
      <c r="L118" s="32"/>
    </row>
    <row r="119" spans="1:12" s="4" customFormat="1" ht="25.5" customHeight="1" outlineLevel="1">
      <c r="A119" s="27" t="str">
        <f t="shared" si="23"/>
        <v>21A.F1.15</v>
      </c>
      <c r="B119" s="34" t="s">
        <v>109</v>
      </c>
      <c r="C119" s="28" t="s">
        <v>515</v>
      </c>
      <c r="D119" s="29" t="s">
        <v>520</v>
      </c>
      <c r="E119" s="31">
        <v>248.3</v>
      </c>
      <c r="F119" s="31">
        <v>248.3</v>
      </c>
      <c r="G119" s="31">
        <f>_xlfn.XLOOKUP(B119, Rate_Master!$A:$A, Rate_Master!$C:$C, "")</f>
        <v>46000</v>
      </c>
      <c r="H119" s="31">
        <f>_xlfn.XLOOKUP(B119, Rate_Master!$A:$A, Rate_Master!$D:$D, "")</f>
        <v>19550</v>
      </c>
      <c r="I119" s="32">
        <f t="shared" si="26"/>
        <v>65550</v>
      </c>
      <c r="J119" s="32">
        <f t="shared" si="24"/>
        <v>16276065</v>
      </c>
      <c r="K119" s="32">
        <f t="shared" si="25"/>
        <v>16276065</v>
      </c>
      <c r="L119" s="32"/>
    </row>
    <row r="120" spans="1:12" s="4" customFormat="1" ht="38.25" customHeight="1" outlineLevel="1">
      <c r="A120" s="27" t="str">
        <f t="shared" si="23"/>
        <v>21A.F1.16</v>
      </c>
      <c r="B120" s="34" t="s">
        <v>110</v>
      </c>
      <c r="C120" s="28" t="s">
        <v>515</v>
      </c>
      <c r="D120" s="29" t="s">
        <v>520</v>
      </c>
      <c r="E120" s="31">
        <v>0</v>
      </c>
      <c r="F120" s="31">
        <v>0</v>
      </c>
      <c r="G120" s="31">
        <f>_xlfn.XLOOKUP(B120, Rate_Master!$A:$A, Rate_Master!$C:$C, "")</f>
        <v>51749.999999999993</v>
      </c>
      <c r="H120" s="31">
        <f>_xlfn.XLOOKUP(B120, Rate_Master!$A:$A, Rate_Master!$D:$D, "")</f>
        <v>17250</v>
      </c>
      <c r="I120" s="32">
        <f t="shared" si="26"/>
        <v>69000</v>
      </c>
      <c r="J120" s="32">
        <f t="shared" si="24"/>
        <v>0</v>
      </c>
      <c r="K120" s="32">
        <f t="shared" si="25"/>
        <v>0</v>
      </c>
      <c r="L120" s="32"/>
    </row>
    <row r="121" spans="1:12" s="4" customFormat="1" ht="25.5" customHeight="1" outlineLevel="1">
      <c r="A121" s="27" t="str">
        <f t="shared" si="23"/>
        <v>21A.F1.17</v>
      </c>
      <c r="B121" s="34" t="s">
        <v>111</v>
      </c>
      <c r="C121" s="28" t="s">
        <v>515</v>
      </c>
      <c r="D121" s="29" t="s">
        <v>520</v>
      </c>
      <c r="E121" s="31">
        <v>0</v>
      </c>
      <c r="F121" s="31">
        <v>0</v>
      </c>
      <c r="G121" s="31">
        <f>_xlfn.XLOOKUP(B121, Rate_Master!$A:$A, Rate_Master!$C:$C, "")</f>
        <v>172500</v>
      </c>
      <c r="H121" s="31">
        <f>_xlfn.XLOOKUP(B121, Rate_Master!$A:$A, Rate_Master!$D:$D, "")</f>
        <v>28749.999999999996</v>
      </c>
      <c r="I121" s="32">
        <f t="shared" si="26"/>
        <v>201250</v>
      </c>
      <c r="J121" s="32">
        <f t="shared" si="24"/>
        <v>0</v>
      </c>
      <c r="K121" s="32">
        <f t="shared" si="25"/>
        <v>0</v>
      </c>
      <c r="L121" s="32"/>
    </row>
    <row r="122" spans="1:12" s="4" customFormat="1" ht="38.25" customHeight="1" outlineLevel="1">
      <c r="A122" s="27" t="str">
        <f t="shared" si="23"/>
        <v>21A.F1.18</v>
      </c>
      <c r="B122" s="34" t="s">
        <v>112</v>
      </c>
      <c r="C122" s="34" t="s">
        <v>557</v>
      </c>
      <c r="D122" s="29" t="s">
        <v>517</v>
      </c>
      <c r="E122" s="31">
        <v>61.6</v>
      </c>
      <c r="F122" s="31">
        <v>61.6</v>
      </c>
      <c r="G122" s="31">
        <f>_xlfn.XLOOKUP(B122, Rate_Master!$A:$A, Rate_Master!$C:$C, "")</f>
        <v>163300</v>
      </c>
      <c r="H122" s="31">
        <f>_xlfn.XLOOKUP(B122, Rate_Master!$A:$A, Rate_Master!$D:$D, "")</f>
        <v>51749.999999999993</v>
      </c>
      <c r="I122" s="32">
        <f t="shared" si="26"/>
        <v>215050</v>
      </c>
      <c r="J122" s="32">
        <f t="shared" si="24"/>
        <v>13247080</v>
      </c>
      <c r="K122" s="32">
        <f t="shared" si="25"/>
        <v>13247080</v>
      </c>
      <c r="L122" s="32"/>
    </row>
    <row r="123" spans="1:12" s="3" customFormat="1" ht="25.5" customHeight="1">
      <c r="A123" s="22" t="str">
        <f>$A$103&amp;2</f>
        <v>21A.F2</v>
      </c>
      <c r="B123" s="23" t="s">
        <v>113</v>
      </c>
      <c r="C123" s="23" t="s">
        <v>515</v>
      </c>
      <c r="D123" s="22"/>
      <c r="E123" s="25"/>
      <c r="F123" s="25"/>
      <c r="G123" s="25">
        <f>_xlfn.XLOOKUP(B123, Rate_Master!$A:$A, Rate_Master!$C:$C, "")</f>
        <v>0</v>
      </c>
      <c r="H123" s="25">
        <f>_xlfn.XLOOKUP(B123, Rate_Master!$A:$A, Rate_Master!$D:$D, "")</f>
        <v>0</v>
      </c>
      <c r="I123" s="26">
        <v>0</v>
      </c>
      <c r="J123" s="26">
        <f>SUBTOTAL(9,J124:J128)</f>
        <v>9395026.1999999993</v>
      </c>
      <c r="K123" s="26">
        <f>SUBTOTAL(9,K124:K128)</f>
        <v>9395026.1999999993</v>
      </c>
      <c r="L123" s="26"/>
    </row>
    <row r="124" spans="1:12" s="4" customFormat="1" ht="51" customHeight="1" outlineLevel="1">
      <c r="A124" s="27" t="str">
        <f>$A$123&amp;"."&amp;ROW()-ROW($A$123)</f>
        <v>21A.F2.1</v>
      </c>
      <c r="B124" s="34" t="s">
        <v>114</v>
      </c>
      <c r="C124" s="28" t="s">
        <v>515</v>
      </c>
      <c r="D124" s="29" t="s">
        <v>520</v>
      </c>
      <c r="E124" s="31">
        <v>0</v>
      </c>
      <c r="F124" s="31">
        <v>0</v>
      </c>
      <c r="G124" s="30">
        <f>_xlfn.XLOOKUP(B124, Rate_Master!$A:$A, Rate_Master!$C:$C, "")</f>
        <v>206999.99999999997</v>
      </c>
      <c r="H124" s="30">
        <f>_xlfn.XLOOKUP(B124, Rate_Master!$A:$A, Rate_Master!$D:$D, "")</f>
        <v>126499.99999999999</v>
      </c>
      <c r="I124" s="32">
        <v>0</v>
      </c>
      <c r="J124" s="32">
        <f>I124*E124</f>
        <v>0</v>
      </c>
      <c r="K124" s="32">
        <f>I124*F124</f>
        <v>0</v>
      </c>
      <c r="L124" s="32"/>
    </row>
    <row r="125" spans="1:12" s="4" customFormat="1" ht="51" customHeight="1" outlineLevel="1">
      <c r="A125" s="27" t="str">
        <f>$A$123&amp;"."&amp;ROW()-ROW($A$123)</f>
        <v>21A.F2.2</v>
      </c>
      <c r="B125" s="28" t="s">
        <v>115</v>
      </c>
      <c r="C125" s="28" t="s">
        <v>515</v>
      </c>
      <c r="D125" s="29" t="s">
        <v>520</v>
      </c>
      <c r="E125" s="31">
        <v>120.14100000000001</v>
      </c>
      <c r="F125" s="31">
        <v>120.14100000000001</v>
      </c>
      <c r="G125" s="30">
        <f>_xlfn.XLOOKUP(B125, Rate_Master!$A:$A, Rate_Master!$C:$C, "")</f>
        <v>28749.999999999996</v>
      </c>
      <c r="H125" s="30">
        <f>_xlfn.XLOOKUP(B125, Rate_Master!$A:$A, Rate_Master!$D:$D, "")</f>
        <v>49449.999999999993</v>
      </c>
      <c r="I125" s="32">
        <f>+H125+G125</f>
        <v>78199.999999999985</v>
      </c>
      <c r="J125" s="32">
        <f>I125*E125</f>
        <v>9395026.1999999993</v>
      </c>
      <c r="K125" s="32">
        <f>I125*F125</f>
        <v>9395026.1999999993</v>
      </c>
      <c r="L125" s="32"/>
    </row>
    <row r="126" spans="1:12" s="4" customFormat="1" ht="51" customHeight="1" outlineLevel="1">
      <c r="A126" s="27" t="str">
        <f>$A$123&amp;"."&amp;ROW()-ROW($A$123)</f>
        <v>21A.F2.3</v>
      </c>
      <c r="B126" s="34" t="s">
        <v>116</v>
      </c>
      <c r="C126" s="28" t="s">
        <v>515</v>
      </c>
      <c r="D126" s="29" t="s">
        <v>520</v>
      </c>
      <c r="E126" s="31">
        <v>0</v>
      </c>
      <c r="F126" s="31">
        <v>0</v>
      </c>
      <c r="G126" s="31">
        <f>_xlfn.XLOOKUP(B126, Rate_Master!$A:$A, Rate_Master!$C:$C, "")</f>
        <v>0</v>
      </c>
      <c r="H126" s="31">
        <f>_xlfn.XLOOKUP(B126, Rate_Master!$A:$A, Rate_Master!$D:$D, "")</f>
        <v>0</v>
      </c>
      <c r="I126" s="32">
        <v>0</v>
      </c>
      <c r="J126" s="32">
        <f>I126*E126</f>
        <v>0</v>
      </c>
      <c r="K126" s="32">
        <f>I126*F126</f>
        <v>0</v>
      </c>
      <c r="L126" s="32"/>
    </row>
    <row r="127" spans="1:12" s="4" customFormat="1" ht="51" customHeight="1" outlineLevel="1">
      <c r="A127" s="27" t="str">
        <f>$A$123&amp;"."&amp;ROW()-ROW($A$123)</f>
        <v>21A.F2.4</v>
      </c>
      <c r="B127" s="34" t="s">
        <v>117</v>
      </c>
      <c r="C127" s="28" t="s">
        <v>515</v>
      </c>
      <c r="D127" s="29" t="s">
        <v>520</v>
      </c>
      <c r="E127" s="31">
        <v>0</v>
      </c>
      <c r="F127" s="31">
        <v>0</v>
      </c>
      <c r="G127" s="31">
        <f>_xlfn.XLOOKUP(B127, Rate_Master!$A:$A, Rate_Master!$C:$C, "")</f>
        <v>0</v>
      </c>
      <c r="H127" s="31">
        <f>_xlfn.XLOOKUP(B127, Rate_Master!$A:$A, Rate_Master!$D:$D, "")</f>
        <v>0</v>
      </c>
      <c r="I127" s="32">
        <v>0</v>
      </c>
      <c r="J127" s="32">
        <f>I127*E127</f>
        <v>0</v>
      </c>
      <c r="K127" s="32">
        <f>I127*F127</f>
        <v>0</v>
      </c>
      <c r="L127" s="32"/>
    </row>
    <row r="128" spans="1:12" s="4" customFormat="1" ht="38.25" customHeight="1" outlineLevel="1">
      <c r="A128" s="27" t="str">
        <f>$A$123&amp;"."&amp;ROW()-ROW($A$123)</f>
        <v>21A.F2.5</v>
      </c>
      <c r="B128" s="34" t="s">
        <v>118</v>
      </c>
      <c r="C128" s="28" t="s">
        <v>515</v>
      </c>
      <c r="D128" s="29" t="s">
        <v>520</v>
      </c>
      <c r="E128" s="31">
        <v>0</v>
      </c>
      <c r="F128" s="31">
        <v>0</v>
      </c>
      <c r="G128" s="31">
        <f>_xlfn.XLOOKUP(B128, Rate_Master!$A:$A, Rate_Master!$C:$C, "")</f>
        <v>0</v>
      </c>
      <c r="H128" s="31">
        <f>_xlfn.XLOOKUP(B128, Rate_Master!$A:$A, Rate_Master!$D:$D, "")</f>
        <v>0</v>
      </c>
      <c r="I128" s="32"/>
      <c r="J128" s="32"/>
      <c r="K128" s="32"/>
      <c r="L128" s="32"/>
    </row>
    <row r="129" spans="1:12" s="3" customFormat="1" ht="25.5" customHeight="1">
      <c r="A129" s="22" t="str">
        <f>$A$103&amp;3</f>
        <v>21A.F3</v>
      </c>
      <c r="B129" s="23" t="s">
        <v>119</v>
      </c>
      <c r="C129" s="23" t="s">
        <v>515</v>
      </c>
      <c r="D129" s="22"/>
      <c r="E129" s="25"/>
      <c r="F129" s="25"/>
      <c r="G129" s="25">
        <f>_xlfn.XLOOKUP(B129, Rate_Master!$A:$A, Rate_Master!$C:$C, "")</f>
        <v>0</v>
      </c>
      <c r="H129" s="25">
        <f>_xlfn.XLOOKUP(B129, Rate_Master!$A:$A, Rate_Master!$D:$D, "")</f>
        <v>0</v>
      </c>
      <c r="I129" s="26">
        <v>0</v>
      </c>
      <c r="J129" s="26">
        <f>SUBTOTAL(9,J130:J137)</f>
        <v>0</v>
      </c>
      <c r="K129" s="26">
        <f>SUBTOTAL(9,K130:K137)</f>
        <v>0</v>
      </c>
      <c r="L129" s="26"/>
    </row>
    <row r="130" spans="1:12" s="4" customFormat="1" ht="25.5" customHeight="1" outlineLevel="1">
      <c r="A130" s="37" t="str">
        <f t="shared" ref="A130:A137" si="27">$A$129&amp;"."&amp;ROW()-ROW($A$129)</f>
        <v>21A.F3.1</v>
      </c>
      <c r="B130" s="43" t="s">
        <v>120</v>
      </c>
      <c r="C130" s="38" t="s">
        <v>515</v>
      </c>
      <c r="D130" s="39" t="s">
        <v>520</v>
      </c>
      <c r="E130" s="40">
        <v>0</v>
      </c>
      <c r="F130" s="40">
        <v>0</v>
      </c>
      <c r="G130" s="40">
        <f>_xlfn.XLOOKUP(B130, Rate_Master!$A:$A, Rate_Master!$C:$C, "")</f>
        <v>28749.999999999996</v>
      </c>
      <c r="H130" s="40">
        <f>_xlfn.XLOOKUP(B130, Rate_Master!$A:$A, Rate_Master!$D:$D, "")</f>
        <v>0</v>
      </c>
      <c r="I130" s="41">
        <v>0</v>
      </c>
      <c r="J130" s="41">
        <f t="shared" ref="J130:J137" si="28">I130*E130</f>
        <v>0</v>
      </c>
      <c r="K130" s="41">
        <f t="shared" ref="K130:K137" si="29">I130*F130</f>
        <v>0</v>
      </c>
      <c r="L130" s="41"/>
    </row>
    <row r="131" spans="1:12" s="4" customFormat="1" ht="25.5" customHeight="1" outlineLevel="1">
      <c r="A131" s="37" t="str">
        <f t="shared" si="27"/>
        <v>21A.F3.2</v>
      </c>
      <c r="B131" s="43" t="s">
        <v>121</v>
      </c>
      <c r="C131" s="38" t="s">
        <v>515</v>
      </c>
      <c r="D131" s="39" t="s">
        <v>520</v>
      </c>
      <c r="E131" s="40">
        <v>0</v>
      </c>
      <c r="F131" s="40">
        <v>0</v>
      </c>
      <c r="G131" s="40">
        <f>_xlfn.XLOOKUP(B131, Rate_Master!$A:$A, Rate_Master!$C:$C, "")</f>
        <v>0</v>
      </c>
      <c r="H131" s="40">
        <f>_xlfn.XLOOKUP(B131, Rate_Master!$A:$A, Rate_Master!$D:$D, "")</f>
        <v>0</v>
      </c>
      <c r="I131" s="41">
        <v>0</v>
      </c>
      <c r="J131" s="41">
        <f t="shared" si="28"/>
        <v>0</v>
      </c>
      <c r="K131" s="41">
        <f t="shared" si="29"/>
        <v>0</v>
      </c>
      <c r="L131" s="41"/>
    </row>
    <row r="132" spans="1:12" s="4" customFormat="1" ht="38.25" customHeight="1" outlineLevel="1">
      <c r="A132" s="37" t="str">
        <f t="shared" si="27"/>
        <v>21A.F3.3</v>
      </c>
      <c r="B132" s="43" t="s">
        <v>122</v>
      </c>
      <c r="C132" s="38" t="s">
        <v>515</v>
      </c>
      <c r="D132" s="39" t="s">
        <v>520</v>
      </c>
      <c r="E132" s="40">
        <v>0</v>
      </c>
      <c r="F132" s="40">
        <v>0</v>
      </c>
      <c r="G132" s="40">
        <f>_xlfn.XLOOKUP(B132, Rate_Master!$A:$A, Rate_Master!$C:$C, "")</f>
        <v>51749.999999999993</v>
      </c>
      <c r="H132" s="40">
        <f>_xlfn.XLOOKUP(B132, Rate_Master!$A:$A, Rate_Master!$D:$D, "")</f>
        <v>23000</v>
      </c>
      <c r="I132" s="41">
        <v>0</v>
      </c>
      <c r="J132" s="41">
        <f t="shared" si="28"/>
        <v>0</v>
      </c>
      <c r="K132" s="41">
        <f t="shared" si="29"/>
        <v>0</v>
      </c>
      <c r="L132" s="41"/>
    </row>
    <row r="133" spans="1:12" s="4" customFormat="1" ht="25.5" customHeight="1" outlineLevel="1">
      <c r="A133" s="37" t="str">
        <f t="shared" si="27"/>
        <v>21A.F3.4</v>
      </c>
      <c r="B133" s="43" t="s">
        <v>123</v>
      </c>
      <c r="C133" s="38" t="s">
        <v>515</v>
      </c>
      <c r="D133" s="39" t="s">
        <v>520</v>
      </c>
      <c r="E133" s="40">
        <v>0</v>
      </c>
      <c r="F133" s="40">
        <v>0</v>
      </c>
      <c r="G133" s="40">
        <f>_xlfn.XLOOKUP(B133, Rate_Master!$A:$A, Rate_Master!$C:$C, "")</f>
        <v>172500</v>
      </c>
      <c r="H133" s="40">
        <f>_xlfn.XLOOKUP(B133, Rate_Master!$A:$A, Rate_Master!$D:$D, "")</f>
        <v>34500</v>
      </c>
      <c r="I133" s="41">
        <v>0</v>
      </c>
      <c r="J133" s="41">
        <f t="shared" si="28"/>
        <v>0</v>
      </c>
      <c r="K133" s="41">
        <f t="shared" si="29"/>
        <v>0</v>
      </c>
      <c r="L133" s="41"/>
    </row>
    <row r="134" spans="1:12" s="4" customFormat="1" ht="51" customHeight="1" outlineLevel="1">
      <c r="A134" s="37" t="str">
        <f t="shared" si="27"/>
        <v>21A.F3.5</v>
      </c>
      <c r="B134" s="38" t="s">
        <v>124</v>
      </c>
      <c r="C134" s="43" t="s">
        <v>553</v>
      </c>
      <c r="D134" s="39" t="s">
        <v>520</v>
      </c>
      <c r="E134" s="40">
        <v>0</v>
      </c>
      <c r="F134" s="40">
        <v>0</v>
      </c>
      <c r="G134" s="42">
        <f>_xlfn.XLOOKUP(B134, Rate_Master!$A:$A, Rate_Master!$C:$C, "")</f>
        <v>1069500</v>
      </c>
      <c r="H134" s="42">
        <f>_xlfn.XLOOKUP(B134, Rate_Master!$A:$A, Rate_Master!$D:$D, "")</f>
        <v>172500</v>
      </c>
      <c r="I134" s="41">
        <v>0</v>
      </c>
      <c r="J134" s="41">
        <f t="shared" si="28"/>
        <v>0</v>
      </c>
      <c r="K134" s="41">
        <f t="shared" si="29"/>
        <v>0</v>
      </c>
      <c r="L134" s="41"/>
    </row>
    <row r="135" spans="1:12" s="4" customFormat="1" ht="51" customHeight="1" outlineLevel="1">
      <c r="A135" s="37" t="str">
        <f t="shared" si="27"/>
        <v>21A.F3.6</v>
      </c>
      <c r="B135" s="43" t="s">
        <v>125</v>
      </c>
      <c r="C135" s="38" t="s">
        <v>515</v>
      </c>
      <c r="D135" s="39" t="s">
        <v>520</v>
      </c>
      <c r="E135" s="40">
        <v>0</v>
      </c>
      <c r="F135" s="40">
        <v>0</v>
      </c>
      <c r="G135" s="42">
        <f>_xlfn.XLOOKUP(B135, Rate_Master!$A:$A, Rate_Master!$C:$C, "")</f>
        <v>965999.99999999988</v>
      </c>
      <c r="H135" s="42">
        <f>_xlfn.XLOOKUP(B135, Rate_Master!$A:$A, Rate_Master!$D:$D, "")</f>
        <v>138000</v>
      </c>
      <c r="I135" s="41">
        <v>0</v>
      </c>
      <c r="J135" s="41">
        <f t="shared" si="28"/>
        <v>0</v>
      </c>
      <c r="K135" s="41">
        <f t="shared" si="29"/>
        <v>0</v>
      </c>
      <c r="L135" s="41"/>
    </row>
    <row r="136" spans="1:12" s="4" customFormat="1" ht="25.5" customHeight="1" outlineLevel="1">
      <c r="A136" s="37" t="str">
        <f t="shared" si="27"/>
        <v>21A.F3.7</v>
      </c>
      <c r="B136" s="38" t="s">
        <v>126</v>
      </c>
      <c r="C136" s="38" t="s">
        <v>515</v>
      </c>
      <c r="D136" s="39" t="s">
        <v>520</v>
      </c>
      <c r="E136" s="40">
        <v>0</v>
      </c>
      <c r="F136" s="40">
        <v>0</v>
      </c>
      <c r="G136" s="42">
        <f>_xlfn.XLOOKUP(B136, Rate_Master!$A:$A, Rate_Master!$C:$C, "")</f>
        <v>0</v>
      </c>
      <c r="H136" s="42">
        <f>_xlfn.XLOOKUP(B136, Rate_Master!$A:$A, Rate_Master!$D:$D, "")</f>
        <v>0</v>
      </c>
      <c r="I136" s="41">
        <v>0</v>
      </c>
      <c r="J136" s="41">
        <f t="shared" si="28"/>
        <v>0</v>
      </c>
      <c r="K136" s="41">
        <f t="shared" si="29"/>
        <v>0</v>
      </c>
      <c r="L136" s="41"/>
    </row>
    <row r="137" spans="1:12" s="4" customFormat="1" ht="25.5" customHeight="1" outlineLevel="1">
      <c r="A137" s="37" t="str">
        <f t="shared" si="27"/>
        <v>21A.F3.8</v>
      </c>
      <c r="B137" s="43" t="s">
        <v>127</v>
      </c>
      <c r="C137" s="38" t="s">
        <v>515</v>
      </c>
      <c r="D137" s="39" t="s">
        <v>520</v>
      </c>
      <c r="E137" s="40">
        <v>0</v>
      </c>
      <c r="F137" s="40">
        <v>0</v>
      </c>
      <c r="G137" s="42">
        <f>_xlfn.XLOOKUP(B137, Rate_Master!$A:$A, Rate_Master!$C:$C, "")</f>
        <v>0</v>
      </c>
      <c r="H137" s="42">
        <f>_xlfn.XLOOKUP(B137, Rate_Master!$A:$A, Rate_Master!$D:$D, "")</f>
        <v>0</v>
      </c>
      <c r="I137" s="41">
        <v>0</v>
      </c>
      <c r="J137" s="41">
        <f t="shared" si="28"/>
        <v>0</v>
      </c>
      <c r="K137" s="41">
        <f t="shared" si="29"/>
        <v>0</v>
      </c>
      <c r="L137" s="41"/>
    </row>
    <row r="138" spans="1:12" s="3" customFormat="1" ht="25.5" customHeight="1">
      <c r="A138" s="22" t="str">
        <f>$A$103&amp;4</f>
        <v>21A.F4</v>
      </c>
      <c r="B138" s="23" t="s">
        <v>128</v>
      </c>
      <c r="C138" s="23" t="s">
        <v>515</v>
      </c>
      <c r="D138" s="22"/>
      <c r="E138" s="25"/>
      <c r="F138" s="25"/>
      <c r="G138" s="25">
        <f>_xlfn.XLOOKUP(B138, Rate_Master!$A:$A, Rate_Master!$C:$C, "")</f>
        <v>0</v>
      </c>
      <c r="H138" s="25">
        <f>_xlfn.XLOOKUP(B138, Rate_Master!$A:$A, Rate_Master!$D:$D, "")</f>
        <v>0</v>
      </c>
      <c r="I138" s="26">
        <v>0</v>
      </c>
      <c r="J138" s="26">
        <f>SUBTOTAL(9,J139:J141)</f>
        <v>92870550</v>
      </c>
      <c r="K138" s="26">
        <f>SUBTOTAL(9,K139:K141)</f>
        <v>92870550</v>
      </c>
      <c r="L138" s="26"/>
    </row>
    <row r="139" spans="1:12" s="4" customFormat="1" ht="51" customHeight="1" outlineLevel="1">
      <c r="A139" s="27" t="str">
        <f>$A$138&amp;"."&amp;ROW()-ROW($A$138)</f>
        <v>21A.F4.1</v>
      </c>
      <c r="B139" s="28" t="s">
        <v>207</v>
      </c>
      <c r="C139" s="28"/>
      <c r="D139" s="29" t="s">
        <v>516</v>
      </c>
      <c r="E139" s="31">
        <v>7</v>
      </c>
      <c r="F139" s="31">
        <v>7</v>
      </c>
      <c r="G139" s="31">
        <f>_xlfn.XLOOKUP(B139, Rate_Master!$A:$A, Rate_Master!$C:$C, "")</f>
        <v>6623999.9999999991</v>
      </c>
      <c r="H139" s="31">
        <f>_xlfn.XLOOKUP(B139, Rate_Master!$A:$A, Rate_Master!$D:$D, "")</f>
        <v>413999.99999999994</v>
      </c>
      <c r="I139" s="32">
        <f>+H139+G139</f>
        <v>7037999.9999999991</v>
      </c>
      <c r="J139" s="32">
        <f>I139*E139</f>
        <v>49265999.999999993</v>
      </c>
      <c r="K139" s="32">
        <f>I139*F139</f>
        <v>49265999.999999993</v>
      </c>
      <c r="L139" s="32"/>
    </row>
    <row r="140" spans="1:12" s="4" customFormat="1" ht="76.5" customHeight="1" outlineLevel="1">
      <c r="A140" s="27" t="str">
        <f>$A$138&amp;"."&amp;ROW()-ROW($A$138)</f>
        <v>21A.F4.2</v>
      </c>
      <c r="B140" s="28" t="s">
        <v>131</v>
      </c>
      <c r="C140" s="28" t="s">
        <v>515</v>
      </c>
      <c r="D140" s="29" t="s">
        <v>516</v>
      </c>
      <c r="E140" s="31">
        <v>7</v>
      </c>
      <c r="F140" s="31">
        <v>7</v>
      </c>
      <c r="G140" s="31">
        <f>_xlfn.XLOOKUP(B140, Rate_Master!$A:$A, Rate_Master!$C:$C, "")</f>
        <v>5037000</v>
      </c>
      <c r="H140" s="31">
        <f>_xlfn.XLOOKUP(B140, Rate_Master!$A:$A, Rate_Master!$D:$D, "")</f>
        <v>206999.99999999997</v>
      </c>
      <c r="I140" s="32">
        <f>+H140+G140</f>
        <v>5244000</v>
      </c>
      <c r="J140" s="32">
        <f>I140*E140</f>
        <v>36708000</v>
      </c>
      <c r="K140" s="32">
        <f>I140*F140</f>
        <v>36708000</v>
      </c>
      <c r="L140" s="32"/>
    </row>
    <row r="141" spans="1:12" s="4" customFormat="1" ht="38.25" customHeight="1" outlineLevel="1">
      <c r="A141" s="27" t="str">
        <f>$A$138&amp;"."&amp;ROW()-ROW($A$138)</f>
        <v>21A.F4.3</v>
      </c>
      <c r="B141" s="28" t="s">
        <v>279</v>
      </c>
      <c r="C141" s="28" t="s">
        <v>515</v>
      </c>
      <c r="D141" s="29" t="s">
        <v>516</v>
      </c>
      <c r="E141" s="31">
        <v>1</v>
      </c>
      <c r="F141" s="31">
        <v>1</v>
      </c>
      <c r="G141" s="31">
        <f>_xlfn.XLOOKUP(B141, Rate_Master!$A:$A, Rate_Master!$C:$C, "")</f>
        <v>4965700</v>
      </c>
      <c r="H141" s="31">
        <f>_xlfn.XLOOKUP(B141, Rate_Master!$A:$A, Rate_Master!$D:$D, "")</f>
        <v>1930849.9999999998</v>
      </c>
      <c r="I141" s="32">
        <f>+H141+G141</f>
        <v>6896550</v>
      </c>
      <c r="J141" s="32">
        <f>I141*E141</f>
        <v>6896550</v>
      </c>
      <c r="K141" s="32">
        <f>I141*F141</f>
        <v>6896550</v>
      </c>
      <c r="L141" s="71" t="s">
        <v>559</v>
      </c>
    </row>
    <row r="142" spans="1:12" s="3" customFormat="1" ht="25.5" customHeight="1">
      <c r="A142" s="22" t="str">
        <f>$A$103&amp;5</f>
        <v>21A.F5</v>
      </c>
      <c r="B142" s="23" t="s">
        <v>143</v>
      </c>
      <c r="C142" s="23" t="s">
        <v>515</v>
      </c>
      <c r="D142" s="22"/>
      <c r="E142" s="25"/>
      <c r="F142" s="25"/>
      <c r="G142" s="25">
        <f>_xlfn.XLOOKUP(B142, Rate_Master!$A:$A, Rate_Master!$C:$C, "")</f>
        <v>0</v>
      </c>
      <c r="H142" s="25">
        <f>_xlfn.XLOOKUP(B142, Rate_Master!$A:$A, Rate_Master!$D:$D, "")</f>
        <v>0</v>
      </c>
      <c r="I142" s="26">
        <v>0</v>
      </c>
      <c r="J142" s="26">
        <f>SUBTOTAL(9,J143:J145)</f>
        <v>0</v>
      </c>
      <c r="K142" s="26">
        <f>SUBTOTAL(9,K143:K145)</f>
        <v>0</v>
      </c>
      <c r="L142" s="26"/>
    </row>
    <row r="143" spans="1:12" s="4" customFormat="1" ht="51" customHeight="1" outlineLevel="1">
      <c r="A143" s="37" t="str">
        <f>$A$142&amp;"."&amp;ROW()-ROW($A$142)</f>
        <v>21A.F5.1</v>
      </c>
      <c r="B143" s="43" t="s">
        <v>144</v>
      </c>
      <c r="C143" s="38" t="s">
        <v>515</v>
      </c>
      <c r="D143" s="39" t="s">
        <v>517</v>
      </c>
      <c r="E143" s="40">
        <v>0</v>
      </c>
      <c r="F143" s="40">
        <v>0</v>
      </c>
      <c r="G143" s="40">
        <f>_xlfn.XLOOKUP(B143, Rate_Master!$A:$A, Rate_Master!$C:$C, "")</f>
        <v>161000</v>
      </c>
      <c r="H143" s="40">
        <f>_xlfn.XLOOKUP(B143, Rate_Master!$A:$A, Rate_Master!$D:$D, "")</f>
        <v>34500</v>
      </c>
      <c r="I143" s="41">
        <v>0</v>
      </c>
      <c r="J143" s="41">
        <f>I143*E143</f>
        <v>0</v>
      </c>
      <c r="K143" s="41">
        <f>I143*F143</f>
        <v>0</v>
      </c>
      <c r="L143" s="41"/>
    </row>
    <row r="144" spans="1:12" s="4" customFormat="1" ht="38.25" customHeight="1" outlineLevel="1">
      <c r="A144" s="37" t="str">
        <f>$A$142&amp;"."&amp;ROW()-ROW($A$142)</f>
        <v>21A.F5.2</v>
      </c>
      <c r="B144" s="43" t="s">
        <v>145</v>
      </c>
      <c r="C144" s="38" t="s">
        <v>515</v>
      </c>
      <c r="D144" s="39" t="s">
        <v>517</v>
      </c>
      <c r="E144" s="40">
        <v>0</v>
      </c>
      <c r="F144" s="40">
        <v>0</v>
      </c>
      <c r="G144" s="40">
        <f>_xlfn.XLOOKUP(B144, Rate_Master!$A:$A, Rate_Master!$C:$C, "")</f>
        <v>517499.99999999994</v>
      </c>
      <c r="H144" s="40">
        <f>_xlfn.XLOOKUP(B144, Rate_Master!$A:$A, Rate_Master!$D:$D, "")</f>
        <v>57499.999999999993</v>
      </c>
      <c r="I144" s="41">
        <v>0</v>
      </c>
      <c r="J144" s="41">
        <f>I144*E144</f>
        <v>0</v>
      </c>
      <c r="K144" s="41">
        <f>I144*F144</f>
        <v>0</v>
      </c>
      <c r="L144" s="41"/>
    </row>
    <row r="145" spans="1:12" s="4" customFormat="1" ht="38.25" customHeight="1" outlineLevel="1">
      <c r="A145" s="37" t="str">
        <f>$A$142&amp;"."&amp;ROW()-ROW($A$142)</f>
        <v>21A.F5.3</v>
      </c>
      <c r="B145" s="43" t="s">
        <v>146</v>
      </c>
      <c r="C145" s="38" t="s">
        <v>515</v>
      </c>
      <c r="D145" s="39" t="s">
        <v>517</v>
      </c>
      <c r="E145" s="40">
        <v>0</v>
      </c>
      <c r="F145" s="40">
        <v>0</v>
      </c>
      <c r="G145" s="40">
        <f>_xlfn.XLOOKUP(B145, Rate_Master!$A:$A, Rate_Master!$C:$C, "")</f>
        <v>632500</v>
      </c>
      <c r="H145" s="40">
        <f>_xlfn.XLOOKUP(B145, Rate_Master!$A:$A, Rate_Master!$D:$D, "")</f>
        <v>57499.999999999993</v>
      </c>
      <c r="I145" s="41">
        <v>0</v>
      </c>
      <c r="J145" s="41">
        <f>I145*E145</f>
        <v>0</v>
      </c>
      <c r="K145" s="41">
        <f>I145*F145</f>
        <v>0</v>
      </c>
      <c r="L145" s="41"/>
    </row>
    <row r="146" spans="1:12" s="3" customFormat="1" ht="25.5" customHeight="1">
      <c r="A146" s="22" t="str">
        <f>$A$103&amp;6</f>
        <v>21A.F6</v>
      </c>
      <c r="B146" s="23" t="s">
        <v>147</v>
      </c>
      <c r="C146" s="23" t="s">
        <v>515</v>
      </c>
      <c r="D146" s="22"/>
      <c r="E146" s="25"/>
      <c r="F146" s="25"/>
      <c r="G146" s="25">
        <f>_xlfn.XLOOKUP(B146, Rate_Master!$A:$A, Rate_Master!$C:$C, "")</f>
        <v>0</v>
      </c>
      <c r="H146" s="25">
        <f>_xlfn.XLOOKUP(B146, Rate_Master!$A:$A, Rate_Master!$D:$D, "")</f>
        <v>0</v>
      </c>
      <c r="I146" s="26">
        <v>0</v>
      </c>
      <c r="J146" s="26">
        <f>SUBTOTAL(9,J147:J151)</f>
        <v>0</v>
      </c>
      <c r="K146" s="26">
        <f>SUBTOTAL(9,K147:K151)</f>
        <v>0</v>
      </c>
      <c r="L146" s="26"/>
    </row>
    <row r="147" spans="1:12" s="4" customFormat="1" ht="51" customHeight="1" outlineLevel="1">
      <c r="A147" s="37" t="str">
        <f>$A$146&amp;"."&amp;ROW()-ROW($A$146)</f>
        <v>21A.F6.1</v>
      </c>
      <c r="B147" s="43" t="s">
        <v>148</v>
      </c>
      <c r="C147" s="43" t="s">
        <v>515</v>
      </c>
      <c r="D147" s="39" t="s">
        <v>520</v>
      </c>
      <c r="E147" s="40">
        <v>0</v>
      </c>
      <c r="F147" s="40">
        <v>0</v>
      </c>
      <c r="G147" s="40">
        <f>_xlfn.XLOOKUP(B147, Rate_Master!$A:$A, Rate_Master!$C:$C, "")</f>
        <v>155000</v>
      </c>
      <c r="H147" s="40">
        <f>_xlfn.XLOOKUP(B147, Rate_Master!$A:$A, Rate_Master!$D:$D, "")</f>
        <v>45000</v>
      </c>
      <c r="I147" s="41">
        <v>0</v>
      </c>
      <c r="J147" s="41">
        <f>I147*E147</f>
        <v>0</v>
      </c>
      <c r="K147" s="41">
        <f>I147*F147</f>
        <v>0</v>
      </c>
      <c r="L147" s="41"/>
    </row>
    <row r="148" spans="1:12" s="4" customFormat="1" ht="25.5" customHeight="1" outlineLevel="1">
      <c r="A148" s="37" t="str">
        <f>$A$146&amp;"."&amp;ROW()-ROW($A$146)</f>
        <v>21A.F6.2</v>
      </c>
      <c r="B148" s="43" t="s">
        <v>149</v>
      </c>
      <c r="C148" s="43" t="s">
        <v>515</v>
      </c>
      <c r="D148" s="39" t="s">
        <v>520</v>
      </c>
      <c r="E148" s="40">
        <v>0</v>
      </c>
      <c r="F148" s="40">
        <v>0</v>
      </c>
      <c r="G148" s="40">
        <f>_xlfn.XLOOKUP(B148, Rate_Master!$A:$A, Rate_Master!$C:$C, "")</f>
        <v>310500</v>
      </c>
      <c r="H148" s="40">
        <f>_xlfn.XLOOKUP(B148, Rate_Master!$A:$A, Rate_Master!$D:$D, "")</f>
        <v>34500</v>
      </c>
      <c r="I148" s="41">
        <v>0</v>
      </c>
      <c r="J148" s="41">
        <f>I148*E148</f>
        <v>0</v>
      </c>
      <c r="K148" s="41">
        <f>I148*F148</f>
        <v>0</v>
      </c>
      <c r="L148" s="41"/>
    </row>
    <row r="149" spans="1:12" s="4" customFormat="1" ht="51" customHeight="1" outlineLevel="1">
      <c r="A149" s="37" t="str">
        <f>$A$146&amp;"."&amp;ROW()-ROW($A$146)</f>
        <v>21A.F6.3</v>
      </c>
      <c r="B149" s="43" t="s">
        <v>150</v>
      </c>
      <c r="C149" s="43" t="s">
        <v>515</v>
      </c>
      <c r="D149" s="39" t="s">
        <v>520</v>
      </c>
      <c r="E149" s="40">
        <v>0</v>
      </c>
      <c r="F149" s="40">
        <v>0</v>
      </c>
      <c r="G149" s="40">
        <f>_xlfn.XLOOKUP(B149, Rate_Master!$A:$A, Rate_Master!$C:$C, "")</f>
        <v>287500</v>
      </c>
      <c r="H149" s="40">
        <f>_xlfn.XLOOKUP(B149, Rate_Master!$A:$A, Rate_Master!$D:$D, "")</f>
        <v>69000</v>
      </c>
      <c r="I149" s="41">
        <v>0</v>
      </c>
      <c r="J149" s="41">
        <f>I149*E149</f>
        <v>0</v>
      </c>
      <c r="K149" s="41">
        <f>I149*F149</f>
        <v>0</v>
      </c>
      <c r="L149" s="41"/>
    </row>
    <row r="150" spans="1:12" s="4" customFormat="1" ht="51" customHeight="1" outlineLevel="1">
      <c r="A150" s="37" t="str">
        <f>$A$146&amp;"."&amp;ROW()-ROW($A$146)</f>
        <v>21A.F6.4</v>
      </c>
      <c r="B150" s="43" t="s">
        <v>151</v>
      </c>
      <c r="C150" s="43" t="s">
        <v>515</v>
      </c>
      <c r="D150" s="39" t="s">
        <v>520</v>
      </c>
      <c r="E150" s="40">
        <v>0</v>
      </c>
      <c r="F150" s="40">
        <v>0</v>
      </c>
      <c r="G150" s="40">
        <f>_xlfn.XLOOKUP(B150, Rate_Master!$A:$A, Rate_Master!$C:$C, "")</f>
        <v>23000</v>
      </c>
      <c r="H150" s="40">
        <f>_xlfn.XLOOKUP(B150, Rate_Master!$A:$A, Rate_Master!$D:$D, "")</f>
        <v>126499.99999999999</v>
      </c>
      <c r="I150" s="41">
        <v>0</v>
      </c>
      <c r="J150" s="41">
        <f>I150*E150</f>
        <v>0</v>
      </c>
      <c r="K150" s="41">
        <f>I150*F150</f>
        <v>0</v>
      </c>
      <c r="L150" s="41"/>
    </row>
    <row r="151" spans="1:12" s="4" customFormat="1" ht="63.75" customHeight="1" outlineLevel="1">
      <c r="A151" s="37" t="str">
        <f>$A$146&amp;"."&amp;ROW()-ROW($A$146)</f>
        <v>21A.F6.5</v>
      </c>
      <c r="B151" s="43" t="s">
        <v>152</v>
      </c>
      <c r="C151" s="43" t="s">
        <v>560</v>
      </c>
      <c r="D151" s="39" t="s">
        <v>517</v>
      </c>
      <c r="E151" s="40">
        <v>0</v>
      </c>
      <c r="F151" s="40">
        <v>0</v>
      </c>
      <c r="G151" s="40">
        <f>_xlfn.XLOOKUP(B151, Rate_Master!$A:$A, Rate_Master!$C:$C, "")</f>
        <v>155250</v>
      </c>
      <c r="H151" s="40">
        <f>_xlfn.XLOOKUP(B151, Rate_Master!$A:$A, Rate_Master!$D:$D, "")</f>
        <v>57499.999999999993</v>
      </c>
      <c r="I151" s="41">
        <v>0</v>
      </c>
      <c r="J151" s="41">
        <f>I151*E151</f>
        <v>0</v>
      </c>
      <c r="K151" s="41">
        <f>I151*F151</f>
        <v>0</v>
      </c>
      <c r="L151" s="41"/>
    </row>
    <row r="152" spans="1:12" s="3" customFormat="1" ht="25.5" customHeight="1">
      <c r="A152" s="22" t="str">
        <f>$A$103&amp;7</f>
        <v>21A.F7</v>
      </c>
      <c r="B152" s="23" t="s">
        <v>84</v>
      </c>
      <c r="C152" s="23" t="s">
        <v>515</v>
      </c>
      <c r="D152" s="22"/>
      <c r="E152" s="25"/>
      <c r="F152" s="25"/>
      <c r="G152" s="25">
        <f>_xlfn.XLOOKUP(B152, Rate_Master!$A:$A, Rate_Master!$C:$C, "")</f>
        <v>0</v>
      </c>
      <c r="H152" s="25">
        <f>_xlfn.XLOOKUP(B152, Rate_Master!$A:$A, Rate_Master!$D:$D, "")</f>
        <v>0</v>
      </c>
      <c r="I152" s="26">
        <v>0</v>
      </c>
      <c r="J152" s="26">
        <f>SUBTOTAL(9,J153:J164)</f>
        <v>0</v>
      </c>
      <c r="K152" s="26">
        <f>SUBTOTAL(9,K153:K164)</f>
        <v>0</v>
      </c>
      <c r="L152" s="26"/>
    </row>
    <row r="153" spans="1:12" s="4" customFormat="1" ht="38.25" customHeight="1" outlineLevel="1">
      <c r="A153" s="37" t="str">
        <f t="shared" ref="A153:A164" si="30">$A$152&amp;"."&amp;ROW()-ROW($A$152)</f>
        <v>21A.F7.1</v>
      </c>
      <c r="B153" s="44" t="s">
        <v>153</v>
      </c>
      <c r="C153" s="43" t="s">
        <v>561</v>
      </c>
      <c r="D153" s="39" t="s">
        <v>517</v>
      </c>
      <c r="E153" s="40">
        <v>0</v>
      </c>
      <c r="F153" s="40">
        <v>0</v>
      </c>
      <c r="G153" s="40">
        <f>_xlfn.XLOOKUP(B153, Rate_Master!$A:$A, Rate_Master!$C:$C, "")</f>
        <v>4024999.9999999995</v>
      </c>
      <c r="H153" s="40">
        <f>_xlfn.XLOOKUP(B153, Rate_Master!$A:$A, Rate_Master!$D:$D, "")</f>
        <v>1380000</v>
      </c>
      <c r="I153" s="41">
        <v>0</v>
      </c>
      <c r="J153" s="41">
        <f t="shared" ref="J153:J160" si="31">I153*E153</f>
        <v>0</v>
      </c>
      <c r="K153" s="41">
        <f t="shared" ref="K153:K160" si="32">I153*F153</f>
        <v>0</v>
      </c>
      <c r="L153" s="41"/>
    </row>
    <row r="154" spans="1:12" s="4" customFormat="1" ht="38.25" customHeight="1" outlineLevel="1">
      <c r="A154" s="37" t="str">
        <f t="shared" si="30"/>
        <v>21A.F7.2</v>
      </c>
      <c r="B154" s="44" t="s">
        <v>167</v>
      </c>
      <c r="C154" s="43"/>
      <c r="D154" s="39" t="s">
        <v>517</v>
      </c>
      <c r="E154" s="40">
        <v>0</v>
      </c>
      <c r="F154" s="40">
        <v>0</v>
      </c>
      <c r="G154" s="40">
        <f>_xlfn.XLOOKUP(B154, Rate_Master!$A:$A, Rate_Master!$C:$C, "")</f>
        <v>0</v>
      </c>
      <c r="H154" s="40">
        <f>_xlfn.XLOOKUP(B154, Rate_Master!$A:$A, Rate_Master!$D:$D, "")</f>
        <v>0</v>
      </c>
      <c r="I154" s="41">
        <v>0</v>
      </c>
      <c r="J154" s="41">
        <f t="shared" si="31"/>
        <v>0</v>
      </c>
      <c r="K154" s="41">
        <f t="shared" si="32"/>
        <v>0</v>
      </c>
      <c r="L154" s="41"/>
    </row>
    <row r="155" spans="1:12" s="4" customFormat="1" ht="38.25" customHeight="1" outlineLevel="1">
      <c r="A155" s="37" t="str">
        <f t="shared" si="30"/>
        <v>21A.F7.3</v>
      </c>
      <c r="B155" s="44" t="s">
        <v>154</v>
      </c>
      <c r="C155" s="38" t="s">
        <v>515</v>
      </c>
      <c r="D155" s="45" t="s">
        <v>517</v>
      </c>
      <c r="E155" s="40">
        <v>0</v>
      </c>
      <c r="F155" s="40">
        <v>0</v>
      </c>
      <c r="G155" s="40">
        <f>_xlfn.XLOOKUP(B155, Rate_Master!$A:$A, Rate_Master!$C:$C, "")</f>
        <v>359375</v>
      </c>
      <c r="H155" s="40">
        <f>_xlfn.XLOOKUP(B155, Rate_Master!$A:$A, Rate_Master!$D:$D, "")</f>
        <v>71875</v>
      </c>
      <c r="I155" s="41">
        <v>0</v>
      </c>
      <c r="J155" s="41">
        <f t="shared" si="31"/>
        <v>0</v>
      </c>
      <c r="K155" s="41">
        <f t="shared" si="32"/>
        <v>0</v>
      </c>
      <c r="L155" s="41"/>
    </row>
    <row r="156" spans="1:12" s="4" customFormat="1" ht="25.5" customHeight="1" outlineLevel="1">
      <c r="A156" s="37" t="str">
        <f t="shared" si="30"/>
        <v>21A.F7.4</v>
      </c>
      <c r="B156" s="46" t="s">
        <v>155</v>
      </c>
      <c r="C156" s="38" t="s">
        <v>515</v>
      </c>
      <c r="D156" s="45" t="s">
        <v>517</v>
      </c>
      <c r="E156" s="40">
        <v>0</v>
      </c>
      <c r="F156" s="40">
        <v>0</v>
      </c>
      <c r="G156" s="40">
        <f>_xlfn.XLOOKUP(B156, Rate_Master!$A:$A, Rate_Master!$C:$C, "")</f>
        <v>1954999.9999999998</v>
      </c>
      <c r="H156" s="40">
        <f>_xlfn.XLOOKUP(B156, Rate_Master!$A:$A, Rate_Master!$D:$D, "")</f>
        <v>114999.99999999999</v>
      </c>
      <c r="I156" s="41">
        <v>0</v>
      </c>
      <c r="J156" s="41">
        <f t="shared" si="31"/>
        <v>0</v>
      </c>
      <c r="K156" s="41">
        <f t="shared" si="32"/>
        <v>0</v>
      </c>
      <c r="L156" s="41"/>
    </row>
    <row r="157" spans="1:12" s="4" customFormat="1" ht="51" customHeight="1" outlineLevel="1">
      <c r="A157" s="37" t="str">
        <f t="shared" si="30"/>
        <v>21A.F7.5</v>
      </c>
      <c r="B157" s="46" t="s">
        <v>168</v>
      </c>
      <c r="C157" s="38"/>
      <c r="D157" s="45" t="s">
        <v>517</v>
      </c>
      <c r="E157" s="40">
        <v>0</v>
      </c>
      <c r="F157" s="40">
        <v>0</v>
      </c>
      <c r="G157" s="40">
        <f>_xlfn.XLOOKUP(B157, Rate_Master!$A:$A, Rate_Master!$C:$C, "")</f>
        <v>0</v>
      </c>
      <c r="H157" s="40">
        <f>_xlfn.XLOOKUP(B157, Rate_Master!$A:$A, Rate_Master!$D:$D, "")</f>
        <v>0</v>
      </c>
      <c r="I157" s="41">
        <v>0</v>
      </c>
      <c r="J157" s="41">
        <f t="shared" si="31"/>
        <v>0</v>
      </c>
      <c r="K157" s="41">
        <f t="shared" si="32"/>
        <v>0</v>
      </c>
      <c r="L157" s="41"/>
    </row>
    <row r="158" spans="1:12" s="4" customFormat="1" ht="51" customHeight="1" outlineLevel="1">
      <c r="A158" s="37" t="str">
        <f t="shared" si="30"/>
        <v>21A.F7.6</v>
      </c>
      <c r="B158" s="44" t="s">
        <v>156</v>
      </c>
      <c r="C158" s="38" t="s">
        <v>515</v>
      </c>
      <c r="D158" s="47" t="s">
        <v>518</v>
      </c>
      <c r="E158" s="40">
        <v>0</v>
      </c>
      <c r="F158" s="40">
        <v>0</v>
      </c>
      <c r="G158" s="40">
        <f>_xlfn.XLOOKUP(B158, Rate_Master!$A:$A, Rate_Master!$C:$C, "")</f>
        <v>1724999.9999999998</v>
      </c>
      <c r="H158" s="40">
        <f>_xlfn.XLOOKUP(B158, Rate_Master!$A:$A, Rate_Master!$D:$D, "")</f>
        <v>287500</v>
      </c>
      <c r="I158" s="41">
        <v>0</v>
      </c>
      <c r="J158" s="41">
        <f t="shared" si="31"/>
        <v>0</v>
      </c>
      <c r="K158" s="41">
        <f t="shared" si="32"/>
        <v>0</v>
      </c>
      <c r="L158" s="41"/>
    </row>
    <row r="159" spans="1:12" s="4" customFormat="1" ht="25.5" customHeight="1" outlineLevel="1">
      <c r="A159" s="37" t="str">
        <f t="shared" si="30"/>
        <v>21A.F7.7</v>
      </c>
      <c r="B159" s="44" t="s">
        <v>157</v>
      </c>
      <c r="C159" s="38" t="s">
        <v>515</v>
      </c>
      <c r="D159" s="39" t="s">
        <v>517</v>
      </c>
      <c r="E159" s="40">
        <v>0</v>
      </c>
      <c r="F159" s="40">
        <v>0</v>
      </c>
      <c r="G159" s="40">
        <f>_xlfn.XLOOKUP(B159, Rate_Master!$A:$A, Rate_Master!$C:$C, "")</f>
        <v>632500</v>
      </c>
      <c r="H159" s="40">
        <f>_xlfn.XLOOKUP(B159, Rate_Master!$A:$A, Rate_Master!$D:$D, "")</f>
        <v>57499.999999999993</v>
      </c>
      <c r="I159" s="41">
        <v>0</v>
      </c>
      <c r="J159" s="41">
        <f t="shared" si="31"/>
        <v>0</v>
      </c>
      <c r="K159" s="41">
        <f t="shared" si="32"/>
        <v>0</v>
      </c>
      <c r="L159" s="41"/>
    </row>
    <row r="160" spans="1:12" s="4" customFormat="1" ht="25.5" customHeight="1" outlineLevel="1">
      <c r="A160" s="37" t="str">
        <f t="shared" si="30"/>
        <v>21A.F7.8</v>
      </c>
      <c r="B160" s="43" t="s">
        <v>158</v>
      </c>
      <c r="C160" s="38" t="s">
        <v>562</v>
      </c>
      <c r="D160" s="39" t="s">
        <v>516</v>
      </c>
      <c r="E160" s="40">
        <v>0</v>
      </c>
      <c r="F160" s="40">
        <v>0</v>
      </c>
      <c r="G160" s="40">
        <f>_xlfn.XLOOKUP(B160, Rate_Master!$A:$A, Rate_Master!$C:$C, "")</f>
        <v>68400000</v>
      </c>
      <c r="H160" s="40">
        <f>_xlfn.XLOOKUP(B160, Rate_Master!$A:$A, Rate_Master!$D:$D, "")</f>
        <v>26600000</v>
      </c>
      <c r="I160" s="41">
        <v>0</v>
      </c>
      <c r="J160" s="41">
        <f t="shared" si="31"/>
        <v>0</v>
      </c>
      <c r="K160" s="41">
        <f t="shared" si="32"/>
        <v>0</v>
      </c>
      <c r="L160" s="41"/>
    </row>
    <row r="161" spans="1:12" s="4" customFormat="1" ht="25.5" customHeight="1" outlineLevel="1">
      <c r="A161" s="37" t="str">
        <f t="shared" si="30"/>
        <v>21A.F7.9</v>
      </c>
      <c r="B161" s="43" t="s">
        <v>159</v>
      </c>
      <c r="C161" s="38" t="s">
        <v>515</v>
      </c>
      <c r="D161" s="39" t="s">
        <v>516</v>
      </c>
      <c r="E161" s="40">
        <v>0</v>
      </c>
      <c r="F161" s="40">
        <v>0</v>
      </c>
      <c r="G161" s="40">
        <f>_xlfn.XLOOKUP(B161, Rate_Master!$A:$A, Rate_Master!$C:$C, "")</f>
        <v>25200000</v>
      </c>
      <c r="H161" s="40">
        <f>_xlfn.XLOOKUP(B161, Rate_Master!$A:$A, Rate_Master!$D:$D, "")</f>
        <v>9800000.0000000019</v>
      </c>
      <c r="I161" s="41">
        <v>0</v>
      </c>
      <c r="J161" s="41"/>
      <c r="K161" s="41"/>
      <c r="L161" s="41"/>
    </row>
    <row r="162" spans="1:12" s="4" customFormat="1" ht="25.5" customHeight="1" outlineLevel="1">
      <c r="A162" s="37" t="str">
        <f t="shared" si="30"/>
        <v>21A.F7.10</v>
      </c>
      <c r="B162" s="43" t="s">
        <v>160</v>
      </c>
      <c r="C162" s="38" t="s">
        <v>515</v>
      </c>
      <c r="D162" s="39" t="s">
        <v>518</v>
      </c>
      <c r="E162" s="40">
        <v>0</v>
      </c>
      <c r="F162" s="40">
        <v>0</v>
      </c>
      <c r="G162" s="40">
        <f>_xlfn.XLOOKUP(B162, Rate_Master!$A:$A, Rate_Master!$C:$C, "")</f>
        <v>1440000</v>
      </c>
      <c r="H162" s="40">
        <f>_xlfn.XLOOKUP(B162, Rate_Master!$A:$A, Rate_Master!$D:$D, "")</f>
        <v>560000</v>
      </c>
      <c r="I162" s="41">
        <v>0</v>
      </c>
      <c r="J162" s="41"/>
      <c r="K162" s="41"/>
      <c r="L162" s="41"/>
    </row>
    <row r="163" spans="1:12" s="4" customFormat="1" ht="25.5" customHeight="1" outlineLevel="1">
      <c r="A163" s="37" t="str">
        <f t="shared" si="30"/>
        <v>21A.F7.11</v>
      </c>
      <c r="B163" s="44" t="s">
        <v>161</v>
      </c>
      <c r="C163" s="38" t="s">
        <v>515</v>
      </c>
      <c r="D163" s="39" t="s">
        <v>517</v>
      </c>
      <c r="E163" s="40">
        <v>0</v>
      </c>
      <c r="F163" s="40">
        <v>0</v>
      </c>
      <c r="G163" s="40">
        <f>_xlfn.XLOOKUP(B163, Rate_Master!$A:$A, Rate_Master!$C:$C, "")</f>
        <v>149500</v>
      </c>
      <c r="H163" s="40">
        <f>_xlfn.XLOOKUP(B163, Rate_Master!$A:$A, Rate_Master!$D:$D, "")</f>
        <v>34500</v>
      </c>
      <c r="I163" s="41">
        <v>0</v>
      </c>
      <c r="J163" s="41"/>
      <c r="K163" s="41"/>
      <c r="L163" s="41"/>
    </row>
    <row r="164" spans="1:12" s="4" customFormat="1" ht="38.25" customHeight="1" outlineLevel="1">
      <c r="A164" s="37" t="str">
        <f t="shared" si="30"/>
        <v>21A.F7.12</v>
      </c>
      <c r="B164" s="43" t="s">
        <v>162</v>
      </c>
      <c r="C164" s="38" t="s">
        <v>515</v>
      </c>
      <c r="D164" s="39" t="s">
        <v>517</v>
      </c>
      <c r="E164" s="40">
        <v>0</v>
      </c>
      <c r="F164" s="40">
        <v>0</v>
      </c>
      <c r="G164" s="40">
        <f>_xlfn.XLOOKUP(B164, Rate_Master!$A:$A, Rate_Master!$C:$C, "")</f>
        <v>252000</v>
      </c>
      <c r="H164" s="40">
        <f>_xlfn.XLOOKUP(B164, Rate_Master!$A:$A, Rate_Master!$D:$D, "")</f>
        <v>98000</v>
      </c>
      <c r="I164" s="41">
        <v>0</v>
      </c>
      <c r="J164" s="41"/>
      <c r="K164" s="41"/>
      <c r="L164" s="41"/>
    </row>
    <row r="165" spans="1:12">
      <c r="F165" s="8"/>
    </row>
  </sheetData>
  <mergeCells count="5">
    <mergeCell ref="C5:L5"/>
    <mergeCell ref="C4:L4"/>
    <mergeCell ref="C3:L3"/>
    <mergeCell ref="C7:L7"/>
    <mergeCell ref="C6:L6"/>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pageSetUpPr fitToPage="1"/>
  </sheetPr>
  <dimension ref="A1:P41"/>
  <sheetViews>
    <sheetView topLeftCell="A8" zoomScale="85" zoomScaleNormal="85" workbookViewId="0">
      <pane ySplit="1" topLeftCell="A9" activePane="bottomLeft" state="frozen"/>
      <selection activeCell="A8" sqref="A8"/>
      <selection pane="bottomLeft" activeCell="C13" sqref="C13"/>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2.5" style="8" customWidth="1"/>
    <col min="6" max="6" width="9" style="85" bestFit="1" customWidth="1"/>
    <col min="7" max="8" width="14" style="8" customWidth="1" outlineLevel="1"/>
    <col min="9" max="10" width="14" style="9" customWidth="1"/>
    <col min="11" max="11" width="15" style="90" customWidth="1"/>
    <col min="12" max="12" width="14" style="9" customWidth="1"/>
    <col min="13" max="13" width="11.75" style="6" bestFit="1" customWidth="1"/>
    <col min="14" max="231" width="9.125" style="6" customWidth="1"/>
    <col min="232" max="232" width="6.375" style="6" customWidth="1"/>
    <col min="233" max="233" width="34.25" style="6" customWidth="1"/>
    <col min="234" max="234" width="7.375" style="6" customWidth="1"/>
    <col min="235" max="235" width="6.375" style="6" customWidth="1"/>
    <col min="236" max="236" width="13.125" style="6" customWidth="1"/>
    <col min="237" max="237" width="15.375" style="6" customWidth="1"/>
    <col min="238" max="238" width="21.25" style="6" customWidth="1"/>
    <col min="239" max="487" width="9.125" style="6" customWidth="1"/>
    <col min="488" max="488" width="6.375" style="6" customWidth="1"/>
    <col min="489" max="489" width="34.25" style="6" customWidth="1"/>
    <col min="490" max="490" width="7.375" style="6" customWidth="1"/>
    <col min="491" max="491" width="6.375" style="6" customWidth="1"/>
    <col min="492" max="492" width="13.125" style="6" customWidth="1"/>
    <col min="493" max="493" width="15.375" style="6" customWidth="1"/>
    <col min="494" max="494" width="21.25" style="6" customWidth="1"/>
    <col min="495" max="743" width="9.125" style="6" customWidth="1"/>
    <col min="744" max="744" width="6.375" style="6" customWidth="1"/>
    <col min="745" max="745" width="34.25" style="6" customWidth="1"/>
    <col min="746" max="746" width="7.375" style="6" customWidth="1"/>
    <col min="747" max="747" width="6.375" style="6" customWidth="1"/>
    <col min="748" max="748" width="13.125" style="6" customWidth="1"/>
    <col min="749" max="749" width="15.375" style="6" customWidth="1"/>
    <col min="750" max="750" width="21.25" style="6" customWidth="1"/>
    <col min="751" max="999" width="9.125" style="6" customWidth="1"/>
    <col min="1000" max="1000" width="6.375" style="6" customWidth="1"/>
    <col min="1001" max="1001" width="34.25" style="6" customWidth="1"/>
    <col min="1002" max="1002" width="7.375" style="6" customWidth="1"/>
    <col min="1003" max="1003" width="6.375" style="6" customWidth="1"/>
    <col min="1004" max="1004" width="13.125" style="6" customWidth="1"/>
    <col min="1005" max="1005" width="15.375" style="6" customWidth="1"/>
    <col min="1006" max="1006" width="21.25" style="6" customWidth="1"/>
    <col min="1007" max="1255" width="9.125" style="6" customWidth="1"/>
    <col min="1256" max="1256" width="6.375" style="6" customWidth="1"/>
    <col min="1257" max="1257" width="34.25" style="6" customWidth="1"/>
    <col min="1258" max="1258" width="7.375" style="6" customWidth="1"/>
    <col min="1259" max="1259" width="6.375" style="6" customWidth="1"/>
    <col min="1260" max="1260" width="13.125" style="6" customWidth="1"/>
    <col min="1261" max="1261" width="15.375" style="6" customWidth="1"/>
    <col min="1262" max="1262" width="21.25" style="6" customWidth="1"/>
    <col min="1263" max="1511" width="9.125" style="6" customWidth="1"/>
    <col min="1512" max="1512" width="6.375" style="6" customWidth="1"/>
    <col min="1513" max="1513" width="34.25" style="6" customWidth="1"/>
    <col min="1514" max="1514" width="7.375" style="6" customWidth="1"/>
    <col min="1515" max="1515" width="6.375" style="6" customWidth="1"/>
    <col min="1516" max="1516" width="13.125" style="6" customWidth="1"/>
    <col min="1517" max="1517" width="15.375" style="6" customWidth="1"/>
    <col min="1518" max="1518" width="21.25" style="6" customWidth="1"/>
    <col min="1519" max="1767" width="9.125" style="6" customWidth="1"/>
    <col min="1768" max="1768" width="6.375" style="6" customWidth="1"/>
    <col min="1769" max="1769" width="34.25" style="6" customWidth="1"/>
    <col min="1770" max="1770" width="7.375" style="6" customWidth="1"/>
    <col min="1771" max="1771" width="6.375" style="6" customWidth="1"/>
    <col min="1772" max="1772" width="13.125" style="6" customWidth="1"/>
    <col min="1773" max="1773" width="15.375" style="6" customWidth="1"/>
    <col min="1774" max="1774" width="21.25" style="6" customWidth="1"/>
    <col min="1775" max="2023" width="9.125" style="6" customWidth="1"/>
    <col min="2024" max="2024" width="6.375" style="6" customWidth="1"/>
    <col min="2025" max="2025" width="34.25" style="6" customWidth="1"/>
    <col min="2026" max="2026" width="7.375" style="6" customWidth="1"/>
    <col min="2027" max="2027" width="6.375" style="6" customWidth="1"/>
    <col min="2028" max="2028" width="13.125" style="6" customWidth="1"/>
    <col min="2029" max="2029" width="15.375" style="6" customWidth="1"/>
    <col min="2030" max="2030" width="21.25" style="6" customWidth="1"/>
    <col min="2031" max="2279" width="9.125" style="6" customWidth="1"/>
    <col min="2280" max="2280" width="6.375" style="6" customWidth="1"/>
    <col min="2281" max="2281" width="34.25" style="6" customWidth="1"/>
    <col min="2282" max="2282" width="7.375" style="6" customWidth="1"/>
    <col min="2283" max="2283" width="6.375" style="6" customWidth="1"/>
    <col min="2284" max="2284" width="13.125" style="6" customWidth="1"/>
    <col min="2285" max="2285" width="15.375" style="6" customWidth="1"/>
    <col min="2286" max="2286" width="21.25" style="6" customWidth="1"/>
    <col min="2287" max="2535" width="9.125" style="6" customWidth="1"/>
    <col min="2536" max="2536" width="6.375" style="6" customWidth="1"/>
    <col min="2537" max="2537" width="34.25" style="6" customWidth="1"/>
    <col min="2538" max="2538" width="7.375" style="6" customWidth="1"/>
    <col min="2539" max="2539" width="6.375" style="6" customWidth="1"/>
    <col min="2540" max="2540" width="13.125" style="6" customWidth="1"/>
    <col min="2541" max="2541" width="15.375" style="6" customWidth="1"/>
    <col min="2542" max="2542" width="21.25" style="6" customWidth="1"/>
    <col min="2543" max="2791" width="9.125" style="6" customWidth="1"/>
    <col min="2792" max="2792" width="6.375" style="6" customWidth="1"/>
    <col min="2793" max="2793" width="34.25" style="6" customWidth="1"/>
    <col min="2794" max="2794" width="7.375" style="6" customWidth="1"/>
    <col min="2795" max="2795" width="6.375" style="6" customWidth="1"/>
    <col min="2796" max="2796" width="13.125" style="6" customWidth="1"/>
    <col min="2797" max="2797" width="15.375" style="6" customWidth="1"/>
    <col min="2798" max="2798" width="21.25" style="6" customWidth="1"/>
    <col min="2799" max="3047" width="9.125" style="6" customWidth="1"/>
    <col min="3048" max="3048" width="6.375" style="6" customWidth="1"/>
    <col min="3049" max="3049" width="34.25" style="6" customWidth="1"/>
    <col min="3050" max="3050" width="7.375" style="6" customWidth="1"/>
    <col min="3051" max="3051" width="6.375" style="6" customWidth="1"/>
    <col min="3052" max="3052" width="13.125" style="6" customWidth="1"/>
    <col min="3053" max="3053" width="15.375" style="6" customWidth="1"/>
    <col min="3054" max="3054" width="21.25" style="6" customWidth="1"/>
    <col min="3055" max="3303" width="9.125" style="6" customWidth="1"/>
    <col min="3304" max="3304" width="6.375" style="6" customWidth="1"/>
    <col min="3305" max="3305" width="34.25" style="6" customWidth="1"/>
    <col min="3306" max="3306" width="7.375" style="6" customWidth="1"/>
    <col min="3307" max="3307" width="6.375" style="6" customWidth="1"/>
    <col min="3308" max="3308" width="13.125" style="6" customWidth="1"/>
    <col min="3309" max="3309" width="15.375" style="6" customWidth="1"/>
    <col min="3310" max="3310" width="21.25" style="6" customWidth="1"/>
    <col min="3311" max="3559" width="9.125" style="6" customWidth="1"/>
    <col min="3560" max="3560" width="6.375" style="6" customWidth="1"/>
    <col min="3561" max="3561" width="34.25" style="6" customWidth="1"/>
    <col min="3562" max="3562" width="7.375" style="6" customWidth="1"/>
    <col min="3563" max="3563" width="6.375" style="6" customWidth="1"/>
    <col min="3564" max="3564" width="13.125" style="6" customWidth="1"/>
    <col min="3565" max="3565" width="15.375" style="6" customWidth="1"/>
    <col min="3566" max="3566" width="21.25" style="6" customWidth="1"/>
    <col min="3567" max="3815" width="9.125" style="6" customWidth="1"/>
    <col min="3816" max="3816" width="6.375" style="6" customWidth="1"/>
    <col min="3817" max="3817" width="34.25" style="6" customWidth="1"/>
    <col min="3818" max="3818" width="7.375" style="6" customWidth="1"/>
    <col min="3819" max="3819" width="6.375" style="6" customWidth="1"/>
    <col min="3820" max="3820" width="13.125" style="6" customWidth="1"/>
    <col min="3821" max="3821" width="15.375" style="6" customWidth="1"/>
    <col min="3822" max="3822" width="21.25" style="6" customWidth="1"/>
    <col min="3823" max="4071" width="9.125" style="6" customWidth="1"/>
    <col min="4072" max="4072" width="6.375" style="6" customWidth="1"/>
    <col min="4073" max="4073" width="34.25" style="6" customWidth="1"/>
    <col min="4074" max="4074" width="7.375" style="6" customWidth="1"/>
    <col min="4075" max="4075" width="6.375" style="6" customWidth="1"/>
    <col min="4076" max="4076" width="13.125" style="6" customWidth="1"/>
    <col min="4077" max="4077" width="15.375" style="6" customWidth="1"/>
    <col min="4078" max="4078" width="21.25" style="6" customWidth="1"/>
    <col min="4079" max="4327" width="9.125" style="6" customWidth="1"/>
    <col min="4328" max="4328" width="6.375" style="6" customWidth="1"/>
    <col min="4329" max="4329" width="34.25" style="6" customWidth="1"/>
    <col min="4330" max="4330" width="7.375" style="6" customWidth="1"/>
    <col min="4331" max="4331" width="6.375" style="6" customWidth="1"/>
    <col min="4332" max="4332" width="13.125" style="6" customWidth="1"/>
    <col min="4333" max="4333" width="15.375" style="6" customWidth="1"/>
    <col min="4334" max="4334" width="21.25" style="6" customWidth="1"/>
    <col min="4335" max="4583" width="9.125" style="6" customWidth="1"/>
    <col min="4584" max="4584" width="6.375" style="6" customWidth="1"/>
    <col min="4585" max="4585" width="34.25" style="6" customWidth="1"/>
    <col min="4586" max="4586" width="7.375" style="6" customWidth="1"/>
    <col min="4587" max="4587" width="6.375" style="6" customWidth="1"/>
    <col min="4588" max="4588" width="13.125" style="6" customWidth="1"/>
    <col min="4589" max="4589" width="15.375" style="6" customWidth="1"/>
    <col min="4590" max="4590" width="21.25" style="6" customWidth="1"/>
    <col min="4591" max="4839" width="9.125" style="6" customWidth="1"/>
    <col min="4840" max="4840" width="6.375" style="6" customWidth="1"/>
    <col min="4841" max="4841" width="34.25" style="6" customWidth="1"/>
    <col min="4842" max="4842" width="7.375" style="6" customWidth="1"/>
    <col min="4843" max="4843" width="6.375" style="6" customWidth="1"/>
    <col min="4844" max="4844" width="13.125" style="6" customWidth="1"/>
    <col min="4845" max="4845" width="15.375" style="6" customWidth="1"/>
    <col min="4846" max="4846" width="21.25" style="6" customWidth="1"/>
    <col min="4847" max="5095" width="9.125" style="6" customWidth="1"/>
    <col min="5096" max="5096" width="6.375" style="6" customWidth="1"/>
    <col min="5097" max="5097" width="34.25" style="6" customWidth="1"/>
    <col min="5098" max="5098" width="7.375" style="6" customWidth="1"/>
    <col min="5099" max="5099" width="6.375" style="6" customWidth="1"/>
    <col min="5100" max="5100" width="13.125" style="6" customWidth="1"/>
    <col min="5101" max="5101" width="15.375" style="6" customWidth="1"/>
    <col min="5102" max="5102" width="21.25" style="6" customWidth="1"/>
    <col min="5103" max="5351" width="9.125" style="6" customWidth="1"/>
    <col min="5352" max="5352" width="6.375" style="6" customWidth="1"/>
    <col min="5353" max="5353" width="34.25" style="6" customWidth="1"/>
    <col min="5354" max="5354" width="7.375" style="6" customWidth="1"/>
    <col min="5355" max="5355" width="6.375" style="6" customWidth="1"/>
    <col min="5356" max="5356" width="13.125" style="6" customWidth="1"/>
    <col min="5357" max="5357" width="15.375" style="6" customWidth="1"/>
    <col min="5358" max="5358" width="21.25" style="6" customWidth="1"/>
    <col min="5359" max="5607" width="9.125" style="6" customWidth="1"/>
    <col min="5608" max="5608" width="6.375" style="6" customWidth="1"/>
    <col min="5609" max="5609" width="34.25" style="6" customWidth="1"/>
    <col min="5610" max="5610" width="7.375" style="6" customWidth="1"/>
    <col min="5611" max="5611" width="6.375" style="6" customWidth="1"/>
    <col min="5612" max="5612" width="13.125" style="6" customWidth="1"/>
    <col min="5613" max="5613" width="15.375" style="6" customWidth="1"/>
    <col min="5614" max="5614" width="21.25" style="6" customWidth="1"/>
    <col min="5615" max="5863" width="9.125" style="6" customWidth="1"/>
    <col min="5864" max="5864" width="6.375" style="6" customWidth="1"/>
    <col min="5865" max="5865" width="34.25" style="6" customWidth="1"/>
    <col min="5866" max="5866" width="7.375" style="6" customWidth="1"/>
    <col min="5867" max="5867" width="6.375" style="6" customWidth="1"/>
    <col min="5868" max="5868" width="13.125" style="6" customWidth="1"/>
    <col min="5869" max="5869" width="15.375" style="6" customWidth="1"/>
    <col min="5870" max="5870" width="21.25" style="6" customWidth="1"/>
    <col min="5871" max="6119" width="9.125" style="6" customWidth="1"/>
    <col min="6120" max="6120" width="6.375" style="6" customWidth="1"/>
    <col min="6121" max="6121" width="34.25" style="6" customWidth="1"/>
    <col min="6122" max="6122" width="7.375" style="6" customWidth="1"/>
    <col min="6123" max="6123" width="6.375" style="6" customWidth="1"/>
    <col min="6124" max="6124" width="13.125" style="6" customWidth="1"/>
    <col min="6125" max="6125" width="15.375" style="6" customWidth="1"/>
    <col min="6126" max="6126" width="21.25" style="6" customWidth="1"/>
    <col min="6127" max="6375" width="9.125" style="6" customWidth="1"/>
    <col min="6376" max="6376" width="6.375" style="6" customWidth="1"/>
    <col min="6377" max="6377" width="34.25" style="6" customWidth="1"/>
    <col min="6378" max="6378" width="7.375" style="6" customWidth="1"/>
    <col min="6379" max="6379" width="6.375" style="6" customWidth="1"/>
    <col min="6380" max="6380" width="13.125" style="6" customWidth="1"/>
    <col min="6381" max="6381" width="15.375" style="6" customWidth="1"/>
    <col min="6382" max="6382" width="21.25" style="6" customWidth="1"/>
    <col min="6383" max="6631" width="9.125" style="6" customWidth="1"/>
    <col min="6632" max="6632" width="6.375" style="6" customWidth="1"/>
    <col min="6633" max="6633" width="34.25" style="6" customWidth="1"/>
    <col min="6634" max="6634" width="7.375" style="6" customWidth="1"/>
    <col min="6635" max="6635" width="6.375" style="6" customWidth="1"/>
    <col min="6636" max="6636" width="13.125" style="6" customWidth="1"/>
    <col min="6637" max="6637" width="15.375" style="6" customWidth="1"/>
    <col min="6638" max="6638" width="21.25" style="6" customWidth="1"/>
    <col min="6639" max="6887" width="9.125" style="6" customWidth="1"/>
    <col min="6888" max="6888" width="6.375" style="6" customWidth="1"/>
    <col min="6889" max="6889" width="34.25" style="6" customWidth="1"/>
    <col min="6890" max="6890" width="7.375" style="6" customWidth="1"/>
    <col min="6891" max="6891" width="6.375" style="6" customWidth="1"/>
    <col min="6892" max="6892" width="13.125" style="6" customWidth="1"/>
    <col min="6893" max="6893" width="15.375" style="6" customWidth="1"/>
    <col min="6894" max="6894" width="21.25" style="6" customWidth="1"/>
    <col min="6895" max="7143" width="9.125" style="6" customWidth="1"/>
    <col min="7144" max="7144" width="6.375" style="6" customWidth="1"/>
    <col min="7145" max="7145" width="34.25" style="6" customWidth="1"/>
    <col min="7146" max="7146" width="7.375" style="6" customWidth="1"/>
    <col min="7147" max="7147" width="6.375" style="6" customWidth="1"/>
    <col min="7148" max="7148" width="13.125" style="6" customWidth="1"/>
    <col min="7149" max="7149" width="15.375" style="6" customWidth="1"/>
    <col min="7150" max="7150" width="21.25" style="6" customWidth="1"/>
    <col min="7151" max="7399" width="9.125" style="6" customWidth="1"/>
    <col min="7400" max="7400" width="6.375" style="6" customWidth="1"/>
    <col min="7401" max="7401" width="34.25" style="6" customWidth="1"/>
    <col min="7402" max="7402" width="7.375" style="6" customWidth="1"/>
    <col min="7403" max="7403" width="6.375" style="6" customWidth="1"/>
    <col min="7404" max="7404" width="13.125" style="6" customWidth="1"/>
    <col min="7405" max="7405" width="15.375" style="6" customWidth="1"/>
    <col min="7406" max="7406" width="21.25" style="6" customWidth="1"/>
    <col min="7407" max="7655" width="9.125" style="6" customWidth="1"/>
    <col min="7656" max="7656" width="6.375" style="6" customWidth="1"/>
    <col min="7657" max="7657" width="34.25" style="6" customWidth="1"/>
    <col min="7658" max="7658" width="7.375" style="6" customWidth="1"/>
    <col min="7659" max="7659" width="6.375" style="6" customWidth="1"/>
    <col min="7660" max="7660" width="13.125" style="6" customWidth="1"/>
    <col min="7661" max="7661" width="15.375" style="6" customWidth="1"/>
    <col min="7662" max="7662" width="21.25" style="6" customWidth="1"/>
    <col min="7663" max="7911" width="9.125" style="6" customWidth="1"/>
    <col min="7912" max="7912" width="6.375" style="6" customWidth="1"/>
    <col min="7913" max="7913" width="34.25" style="6" customWidth="1"/>
    <col min="7914" max="7914" width="7.375" style="6" customWidth="1"/>
    <col min="7915" max="7915" width="6.375" style="6" customWidth="1"/>
    <col min="7916" max="7916" width="13.125" style="6" customWidth="1"/>
    <col min="7917" max="7917" width="15.375" style="6" customWidth="1"/>
    <col min="7918" max="7918" width="21.25" style="6" customWidth="1"/>
    <col min="7919" max="8167" width="9.125" style="6" customWidth="1"/>
    <col min="8168" max="8168" width="6.375" style="6" customWidth="1"/>
    <col min="8169" max="8169" width="34.25" style="6" customWidth="1"/>
    <col min="8170" max="8170" width="7.375" style="6" customWidth="1"/>
    <col min="8171" max="8171" width="6.375" style="6" customWidth="1"/>
    <col min="8172" max="8172" width="13.125" style="6" customWidth="1"/>
    <col min="8173" max="8173" width="15.375" style="6" customWidth="1"/>
    <col min="8174" max="8174" width="21.25" style="6" customWidth="1"/>
    <col min="8175" max="8423" width="9.125" style="6" customWidth="1"/>
    <col min="8424" max="8424" width="6.375" style="6" customWidth="1"/>
    <col min="8425" max="8425" width="34.25" style="6" customWidth="1"/>
    <col min="8426" max="8426" width="7.375" style="6" customWidth="1"/>
    <col min="8427" max="8427" width="6.375" style="6" customWidth="1"/>
    <col min="8428" max="8428" width="13.125" style="6" customWidth="1"/>
    <col min="8429" max="8429" width="15.375" style="6" customWidth="1"/>
    <col min="8430" max="8430" width="21.25" style="6" customWidth="1"/>
    <col min="8431" max="8679" width="9.125" style="6" customWidth="1"/>
    <col min="8680" max="8680" width="6.375" style="6" customWidth="1"/>
    <col min="8681" max="8681" width="34.25" style="6" customWidth="1"/>
    <col min="8682" max="8682" width="7.375" style="6" customWidth="1"/>
    <col min="8683" max="8683" width="6.375" style="6" customWidth="1"/>
    <col min="8684" max="8684" width="13.125" style="6" customWidth="1"/>
    <col min="8685" max="8685" width="15.375" style="6" customWidth="1"/>
    <col min="8686" max="8686" width="21.25" style="6" customWidth="1"/>
    <col min="8687" max="8935" width="9.125" style="6" customWidth="1"/>
    <col min="8936" max="8936" width="6.375" style="6" customWidth="1"/>
    <col min="8937" max="8937" width="34.25" style="6" customWidth="1"/>
    <col min="8938" max="8938" width="7.375" style="6" customWidth="1"/>
    <col min="8939" max="8939" width="6.375" style="6" customWidth="1"/>
    <col min="8940" max="8940" width="13.125" style="6" customWidth="1"/>
    <col min="8941" max="8941" width="15.375" style="6" customWidth="1"/>
    <col min="8942" max="8942" width="21.25" style="6" customWidth="1"/>
    <col min="8943" max="9191" width="9.125" style="6" customWidth="1"/>
    <col min="9192" max="9192" width="6.375" style="6" customWidth="1"/>
    <col min="9193" max="9193" width="34.25" style="6" customWidth="1"/>
    <col min="9194" max="9194" width="7.375" style="6" customWidth="1"/>
    <col min="9195" max="9195" width="6.375" style="6" customWidth="1"/>
    <col min="9196" max="9196" width="13.125" style="6" customWidth="1"/>
    <col min="9197" max="9197" width="15.375" style="6" customWidth="1"/>
    <col min="9198" max="9198" width="21.25" style="6" customWidth="1"/>
    <col min="9199" max="9447" width="9.125" style="6" customWidth="1"/>
    <col min="9448" max="9448" width="6.375" style="6" customWidth="1"/>
    <col min="9449" max="9449" width="34.25" style="6" customWidth="1"/>
    <col min="9450" max="9450" width="7.375" style="6" customWidth="1"/>
    <col min="9451" max="9451" width="6.375" style="6" customWidth="1"/>
    <col min="9452" max="9452" width="13.125" style="6" customWidth="1"/>
    <col min="9453" max="9453" width="15.375" style="6" customWidth="1"/>
    <col min="9454" max="9454" width="21.25" style="6" customWidth="1"/>
    <col min="9455" max="9703" width="9.125" style="6" customWidth="1"/>
    <col min="9704" max="9704" width="6.375" style="6" customWidth="1"/>
    <col min="9705" max="9705" width="34.25" style="6" customWidth="1"/>
    <col min="9706" max="9706" width="7.375" style="6" customWidth="1"/>
    <col min="9707" max="9707" width="6.375" style="6" customWidth="1"/>
    <col min="9708" max="9708" width="13.125" style="6" customWidth="1"/>
    <col min="9709" max="9709" width="15.375" style="6" customWidth="1"/>
    <col min="9710" max="9710" width="21.25" style="6" customWidth="1"/>
    <col min="9711" max="9959" width="9.125" style="6" customWidth="1"/>
    <col min="9960" max="9960" width="6.375" style="6" customWidth="1"/>
    <col min="9961" max="9961" width="34.25" style="6" customWidth="1"/>
    <col min="9962" max="9962" width="7.375" style="6" customWidth="1"/>
    <col min="9963" max="9963" width="6.375" style="6" customWidth="1"/>
    <col min="9964" max="9964" width="13.125" style="6" customWidth="1"/>
    <col min="9965" max="9965" width="15.375" style="6" customWidth="1"/>
    <col min="9966" max="9966" width="21.25" style="6" customWidth="1"/>
    <col min="9967" max="10215" width="9.125" style="6" customWidth="1"/>
    <col min="10216" max="10216" width="6.375" style="6" customWidth="1"/>
    <col min="10217" max="10217" width="34.25" style="6" customWidth="1"/>
    <col min="10218" max="10218" width="7.375" style="6" customWidth="1"/>
    <col min="10219" max="10219" width="6.375" style="6" customWidth="1"/>
    <col min="10220" max="10220" width="13.125" style="6" customWidth="1"/>
    <col min="10221" max="10221" width="15.375" style="6" customWidth="1"/>
    <col min="10222" max="10222" width="21.25" style="6" customWidth="1"/>
    <col min="10223" max="10471" width="9.125" style="6" customWidth="1"/>
    <col min="10472" max="10472" width="6.375" style="6" customWidth="1"/>
    <col min="10473" max="10473" width="34.25" style="6" customWidth="1"/>
    <col min="10474" max="10474" width="7.375" style="6" customWidth="1"/>
    <col min="10475" max="10475" width="6.375" style="6" customWidth="1"/>
    <col min="10476" max="10476" width="13.125" style="6" customWidth="1"/>
    <col min="10477" max="10477" width="15.375" style="6" customWidth="1"/>
    <col min="10478" max="10478" width="21.25" style="6" customWidth="1"/>
    <col min="10479" max="10727" width="9.125" style="6" customWidth="1"/>
    <col min="10728" max="10728" width="6.375" style="6" customWidth="1"/>
    <col min="10729" max="10729" width="34.25" style="6" customWidth="1"/>
    <col min="10730" max="10730" width="7.375" style="6" customWidth="1"/>
    <col min="10731" max="10731" width="6.375" style="6" customWidth="1"/>
    <col min="10732" max="10732" width="13.125" style="6" customWidth="1"/>
    <col min="10733" max="10733" width="15.375" style="6" customWidth="1"/>
    <col min="10734" max="10734" width="21.25" style="6" customWidth="1"/>
    <col min="10735" max="10983" width="9.125" style="6" customWidth="1"/>
    <col min="10984" max="10984" width="6.375" style="6" customWidth="1"/>
    <col min="10985" max="10985" width="34.25" style="6" customWidth="1"/>
    <col min="10986" max="10986" width="7.375" style="6" customWidth="1"/>
    <col min="10987" max="10987" width="6.375" style="6" customWidth="1"/>
    <col min="10988" max="10988" width="13.125" style="6" customWidth="1"/>
    <col min="10989" max="10989" width="15.375" style="6" customWidth="1"/>
    <col min="10990" max="10990" width="21.25" style="6" customWidth="1"/>
    <col min="10991" max="11239" width="9.125" style="6" customWidth="1"/>
    <col min="11240" max="11240" width="6.375" style="6" customWidth="1"/>
    <col min="11241" max="11241" width="34.25" style="6" customWidth="1"/>
    <col min="11242" max="11242" width="7.375" style="6" customWidth="1"/>
    <col min="11243" max="11243" width="6.375" style="6" customWidth="1"/>
    <col min="11244" max="11244" width="13.125" style="6" customWidth="1"/>
    <col min="11245" max="11245" width="15.375" style="6" customWidth="1"/>
    <col min="11246" max="11246" width="21.25" style="6" customWidth="1"/>
    <col min="11247" max="11495" width="9.125" style="6" customWidth="1"/>
    <col min="11496" max="11496" width="6.375" style="6" customWidth="1"/>
    <col min="11497" max="11497" width="34.25" style="6" customWidth="1"/>
    <col min="11498" max="11498" width="7.375" style="6" customWidth="1"/>
    <col min="11499" max="11499" width="6.375" style="6" customWidth="1"/>
    <col min="11500" max="11500" width="13.125" style="6" customWidth="1"/>
    <col min="11501" max="11501" width="15.375" style="6" customWidth="1"/>
    <col min="11502" max="11502" width="21.25" style="6" customWidth="1"/>
    <col min="11503" max="11751" width="9.125" style="6" customWidth="1"/>
    <col min="11752" max="11752" width="6.375" style="6" customWidth="1"/>
    <col min="11753" max="11753" width="34.25" style="6" customWidth="1"/>
    <col min="11754" max="11754" width="7.375" style="6" customWidth="1"/>
    <col min="11755" max="11755" width="6.375" style="6" customWidth="1"/>
    <col min="11756" max="11756" width="13.125" style="6" customWidth="1"/>
    <col min="11757" max="11757" width="15.375" style="6" customWidth="1"/>
    <col min="11758" max="11758" width="21.25" style="6" customWidth="1"/>
    <col min="11759" max="12007" width="9.125" style="6" customWidth="1"/>
    <col min="12008" max="12008" width="6.375" style="6" customWidth="1"/>
    <col min="12009" max="12009" width="34.25" style="6" customWidth="1"/>
    <col min="12010" max="12010" width="7.375" style="6" customWidth="1"/>
    <col min="12011" max="12011" width="6.375" style="6" customWidth="1"/>
    <col min="12012" max="12012" width="13.125" style="6" customWidth="1"/>
    <col min="12013" max="12013" width="15.375" style="6" customWidth="1"/>
    <col min="12014" max="12014" width="21.25" style="6" customWidth="1"/>
    <col min="12015" max="12263" width="9.125" style="6" customWidth="1"/>
    <col min="12264" max="12264" width="6.375" style="6" customWidth="1"/>
    <col min="12265" max="12265" width="34.25" style="6" customWidth="1"/>
    <col min="12266" max="12266" width="7.375" style="6" customWidth="1"/>
    <col min="12267" max="12267" width="6.375" style="6" customWidth="1"/>
    <col min="12268" max="12268" width="13.125" style="6" customWidth="1"/>
    <col min="12269" max="12269" width="15.375" style="6" customWidth="1"/>
    <col min="12270" max="12270" width="21.25" style="6" customWidth="1"/>
    <col min="12271" max="12519" width="9.125" style="6" customWidth="1"/>
    <col min="12520" max="12520" width="6.375" style="6" customWidth="1"/>
    <col min="12521" max="12521" width="34.25" style="6" customWidth="1"/>
    <col min="12522" max="12522" width="7.375" style="6" customWidth="1"/>
    <col min="12523" max="12523" width="6.375" style="6" customWidth="1"/>
    <col min="12524" max="12524" width="13.125" style="6" customWidth="1"/>
    <col min="12525" max="12525" width="15.375" style="6" customWidth="1"/>
    <col min="12526" max="12526" width="21.25" style="6" customWidth="1"/>
    <col min="12527" max="12775" width="9.125" style="6" customWidth="1"/>
    <col min="12776" max="12776" width="6.375" style="6" customWidth="1"/>
    <col min="12777" max="12777" width="34.25" style="6" customWidth="1"/>
    <col min="12778" max="12778" width="7.375" style="6" customWidth="1"/>
    <col min="12779" max="12779" width="6.375" style="6" customWidth="1"/>
    <col min="12780" max="12780" width="13.125" style="6" customWidth="1"/>
    <col min="12781" max="12781" width="15.375" style="6" customWidth="1"/>
    <col min="12782" max="12782" width="21.25" style="6" customWidth="1"/>
    <col min="12783" max="13031" width="9.125" style="6" customWidth="1"/>
    <col min="13032" max="13032" width="6.375" style="6" customWidth="1"/>
    <col min="13033" max="13033" width="34.25" style="6" customWidth="1"/>
    <col min="13034" max="13034" width="7.375" style="6" customWidth="1"/>
    <col min="13035" max="13035" width="6.375" style="6" customWidth="1"/>
    <col min="13036" max="13036" width="13.125" style="6" customWidth="1"/>
    <col min="13037" max="13037" width="15.375" style="6" customWidth="1"/>
    <col min="13038" max="13038" width="21.25" style="6" customWidth="1"/>
    <col min="13039" max="13287" width="9.125" style="6" customWidth="1"/>
    <col min="13288" max="13288" width="6.375" style="6" customWidth="1"/>
    <col min="13289" max="13289" width="34.25" style="6" customWidth="1"/>
    <col min="13290" max="13290" width="7.375" style="6" customWidth="1"/>
    <col min="13291" max="13291" width="6.375" style="6" customWidth="1"/>
    <col min="13292" max="13292" width="13.125" style="6" customWidth="1"/>
    <col min="13293" max="13293" width="15.375" style="6" customWidth="1"/>
    <col min="13294" max="13294" width="21.25" style="6" customWidth="1"/>
    <col min="13295" max="13543" width="9.125" style="6" customWidth="1"/>
    <col min="13544" max="13544" width="6.375" style="6" customWidth="1"/>
    <col min="13545" max="13545" width="34.25" style="6" customWidth="1"/>
    <col min="13546" max="13546" width="7.375" style="6" customWidth="1"/>
    <col min="13547" max="13547" width="6.375" style="6" customWidth="1"/>
    <col min="13548" max="13548" width="13.125" style="6" customWidth="1"/>
    <col min="13549" max="13549" width="15.375" style="6" customWidth="1"/>
    <col min="13550" max="13550" width="21.25" style="6" customWidth="1"/>
    <col min="13551" max="13799" width="9.125" style="6" customWidth="1"/>
    <col min="13800" max="13800" width="6.375" style="6" customWidth="1"/>
    <col min="13801" max="13801" width="34.25" style="6" customWidth="1"/>
    <col min="13802" max="13802" width="7.375" style="6" customWidth="1"/>
    <col min="13803" max="13803" width="6.375" style="6" customWidth="1"/>
    <col min="13804" max="13804" width="13.125" style="6" customWidth="1"/>
    <col min="13805" max="13805" width="15.375" style="6" customWidth="1"/>
    <col min="13806" max="13806" width="21.25" style="6" customWidth="1"/>
    <col min="13807" max="14055" width="9.125" style="6" customWidth="1"/>
    <col min="14056" max="14056" width="6.375" style="6" customWidth="1"/>
    <col min="14057" max="14057" width="34.25" style="6" customWidth="1"/>
    <col min="14058" max="14058" width="7.375" style="6" customWidth="1"/>
    <col min="14059" max="14059" width="6.375" style="6" customWidth="1"/>
    <col min="14060" max="14060" width="13.125" style="6" customWidth="1"/>
    <col min="14061" max="14061" width="15.375" style="6" customWidth="1"/>
    <col min="14062" max="14062" width="21.25" style="6" customWidth="1"/>
    <col min="14063" max="14311" width="9.125" style="6" customWidth="1"/>
    <col min="14312" max="14312" width="6.375" style="6" customWidth="1"/>
    <col min="14313" max="14313" width="34.25" style="6" customWidth="1"/>
    <col min="14314" max="14314" width="7.375" style="6" customWidth="1"/>
    <col min="14315" max="14315" width="6.375" style="6" customWidth="1"/>
    <col min="14316" max="14316" width="13.125" style="6" customWidth="1"/>
    <col min="14317" max="14317" width="15.375" style="6" customWidth="1"/>
    <col min="14318" max="14318" width="21.25" style="6" customWidth="1"/>
    <col min="14319" max="14567" width="9.125" style="6" customWidth="1"/>
    <col min="14568" max="14568" width="6.375" style="6" customWidth="1"/>
    <col min="14569" max="14569" width="34.25" style="6" customWidth="1"/>
    <col min="14570" max="14570" width="7.375" style="6" customWidth="1"/>
    <col min="14571" max="14571" width="6.375" style="6" customWidth="1"/>
    <col min="14572" max="14572" width="13.125" style="6" customWidth="1"/>
    <col min="14573" max="14573" width="15.375" style="6" customWidth="1"/>
    <col min="14574" max="14574" width="21.25" style="6" customWidth="1"/>
    <col min="14575" max="14823" width="9.125" style="6" customWidth="1"/>
    <col min="14824" max="14824" width="6.375" style="6" customWidth="1"/>
    <col min="14825" max="14825" width="34.25" style="6" customWidth="1"/>
    <col min="14826" max="14826" width="7.375" style="6" customWidth="1"/>
    <col min="14827" max="14827" width="6.375" style="6" customWidth="1"/>
    <col min="14828" max="14828" width="13.125" style="6" customWidth="1"/>
    <col min="14829" max="14829" width="15.375" style="6" customWidth="1"/>
    <col min="14830" max="14830" width="21.25" style="6" customWidth="1"/>
    <col min="14831" max="15079" width="9.125" style="6" customWidth="1"/>
    <col min="15080" max="15080" width="6.375" style="6" customWidth="1"/>
    <col min="15081" max="15081" width="34.25" style="6" customWidth="1"/>
    <col min="15082" max="15082" width="7.375" style="6" customWidth="1"/>
    <col min="15083" max="15083" width="6.375" style="6" customWidth="1"/>
    <col min="15084" max="15084" width="13.125" style="6" customWidth="1"/>
    <col min="15085" max="15085" width="15.375" style="6" customWidth="1"/>
    <col min="15086" max="15086" width="21.25" style="6" customWidth="1"/>
    <col min="15087" max="15335" width="9.125" style="6" customWidth="1"/>
    <col min="15336" max="15336" width="6.375" style="6" customWidth="1"/>
    <col min="15337" max="15337" width="34.25" style="6" customWidth="1"/>
    <col min="15338" max="15338" width="7.375" style="6" customWidth="1"/>
    <col min="15339" max="15339" width="6.375" style="6" customWidth="1"/>
    <col min="15340" max="15340" width="13.125" style="6" customWidth="1"/>
    <col min="15341" max="15341" width="15.375" style="6" customWidth="1"/>
    <col min="15342" max="15342" width="21.25" style="6" customWidth="1"/>
    <col min="15343" max="15591" width="9.125" style="6" customWidth="1"/>
    <col min="15592" max="15592" width="6.375" style="6" customWidth="1"/>
    <col min="15593" max="15593" width="34.25" style="6" customWidth="1"/>
    <col min="15594" max="15594" width="7.375" style="6" customWidth="1"/>
    <col min="15595" max="15595" width="6.375" style="6" customWidth="1"/>
    <col min="15596" max="15596" width="13.125" style="6" customWidth="1"/>
    <col min="15597" max="15597" width="15.375" style="6" customWidth="1"/>
    <col min="15598" max="15598" width="21.25" style="6" customWidth="1"/>
    <col min="15599" max="15847" width="9.125" style="6" customWidth="1"/>
    <col min="15848" max="15848" width="6.375" style="6" customWidth="1"/>
    <col min="15849" max="15849" width="34.25" style="6" customWidth="1"/>
    <col min="15850" max="15850" width="7.375" style="6" customWidth="1"/>
    <col min="15851" max="15851" width="6.375" style="6" customWidth="1"/>
    <col min="15852" max="15852" width="13.125" style="6" customWidth="1"/>
    <col min="15853" max="15853" width="15.375" style="6" customWidth="1"/>
    <col min="15854" max="15854" width="21.25" style="6" customWidth="1"/>
    <col min="15855" max="16103" width="9.125" style="6" customWidth="1"/>
    <col min="16104" max="16104" width="6.375" style="6" customWidth="1"/>
    <col min="16105" max="16105" width="34.25" style="6" customWidth="1"/>
    <col min="16106" max="16106" width="7.375" style="6" customWidth="1"/>
    <col min="16107" max="16107" width="6.375" style="6" customWidth="1"/>
    <col min="16108" max="16108" width="13.125" style="6" customWidth="1"/>
    <col min="16109" max="16109" width="15.375" style="6" customWidth="1"/>
    <col min="16110" max="16110" width="21.25" style="6" customWidth="1"/>
    <col min="16111" max="16384" width="9.125" style="6" customWidth="1"/>
  </cols>
  <sheetData>
    <row r="1" spans="1:16" ht="48" customHeight="1"/>
    <row r="2" spans="1:16" s="1" customFormat="1" ht="51" customHeight="1">
      <c r="A2" s="10" t="s">
        <v>507</v>
      </c>
      <c r="B2" s="11"/>
      <c r="C2" s="12"/>
      <c r="D2" s="11"/>
      <c r="E2" s="14"/>
      <c r="F2" s="86"/>
      <c r="G2" s="14"/>
      <c r="H2" s="14"/>
      <c r="I2" s="15"/>
      <c r="J2" s="15"/>
      <c r="K2" s="91"/>
      <c r="L2" s="15"/>
    </row>
    <row r="3" spans="1:16" ht="26.25" customHeight="1">
      <c r="A3" s="16"/>
      <c r="B3" s="17" t="s">
        <v>440</v>
      </c>
      <c r="C3" s="213"/>
      <c r="D3" s="217"/>
      <c r="E3" s="214"/>
      <c r="F3" s="218"/>
      <c r="G3" s="214"/>
      <c r="H3" s="214"/>
      <c r="I3" s="220"/>
      <c r="J3" s="220"/>
      <c r="K3" s="221"/>
      <c r="L3" s="220"/>
    </row>
    <row r="4" spans="1:16" ht="26.25" customHeight="1">
      <c r="A4" s="18"/>
      <c r="B4" s="5" t="s">
        <v>441</v>
      </c>
      <c r="C4" s="222"/>
      <c r="D4" s="217"/>
      <c r="E4" s="214"/>
      <c r="F4" s="218"/>
      <c r="G4" s="214"/>
      <c r="H4" s="214"/>
      <c r="I4" s="220"/>
      <c r="J4" s="220"/>
      <c r="K4" s="221"/>
      <c r="L4" s="220"/>
    </row>
    <row r="5" spans="1:16" ht="26.25" customHeight="1">
      <c r="A5" s="18"/>
      <c r="B5" s="5" t="s">
        <v>442</v>
      </c>
      <c r="C5" s="216"/>
      <c r="D5" s="217"/>
      <c r="E5" s="214"/>
      <c r="F5" s="218"/>
      <c r="G5" s="214"/>
      <c r="H5" s="214"/>
      <c r="I5" s="220"/>
      <c r="J5" s="220"/>
      <c r="K5" s="221"/>
      <c r="L5" s="220"/>
    </row>
    <row r="6" spans="1:16" ht="26.25" customHeight="1">
      <c r="A6" s="18"/>
      <c r="B6" s="5" t="s">
        <v>443</v>
      </c>
      <c r="C6" s="213" t="str">
        <f>INDEX(總表!$B$9:$B$47,MATCH('22A'!A9,總表!$A$9:$A$48,0))</f>
        <v>Mái nối số 1~32
雨棚</v>
      </c>
      <c r="D6" s="217"/>
      <c r="E6" s="214"/>
      <c r="F6" s="218"/>
      <c r="G6" s="214"/>
      <c r="H6" s="214"/>
      <c r="I6" s="220"/>
      <c r="J6" s="220"/>
      <c r="K6" s="221"/>
      <c r="L6" s="220"/>
    </row>
    <row r="7" spans="1:16" ht="26.25" customHeight="1">
      <c r="A7" s="18"/>
      <c r="B7" s="5" t="s">
        <v>444</v>
      </c>
      <c r="C7" s="223" t="s">
        <v>445</v>
      </c>
      <c r="D7" s="224"/>
      <c r="E7" s="224"/>
      <c r="F7" s="224"/>
      <c r="G7" s="224"/>
      <c r="H7" s="224"/>
      <c r="I7" s="224"/>
      <c r="J7" s="224"/>
      <c r="K7" s="224"/>
      <c r="L7" s="224"/>
    </row>
    <row r="8" spans="1:16" s="2" customFormat="1" ht="51" customHeight="1">
      <c r="A8" s="19" t="s">
        <v>446</v>
      </c>
      <c r="B8" s="19" t="s">
        <v>508</v>
      </c>
      <c r="C8" s="19" t="s">
        <v>509</v>
      </c>
      <c r="D8" s="19" t="s">
        <v>448</v>
      </c>
      <c r="E8" s="19" t="s">
        <v>449</v>
      </c>
      <c r="F8" s="84" t="s">
        <v>510</v>
      </c>
      <c r="G8" s="19" t="s">
        <v>511</v>
      </c>
      <c r="H8" s="19" t="s">
        <v>512</v>
      </c>
      <c r="I8" s="21" t="s">
        <v>450</v>
      </c>
      <c r="J8" s="21" t="s">
        <v>452</v>
      </c>
      <c r="K8" s="84" t="s">
        <v>513</v>
      </c>
      <c r="L8" s="21" t="s">
        <v>514</v>
      </c>
      <c r="M8" s="2" t="s">
        <v>582</v>
      </c>
    </row>
    <row r="9" spans="1:16" s="3" customFormat="1" ht="25.5" customHeight="1">
      <c r="A9" s="22" t="s">
        <v>481</v>
      </c>
      <c r="B9" s="23" t="str">
        <f>C6</f>
        <v>Mái nối số 1~32
雨棚</v>
      </c>
      <c r="C9" s="23" t="s">
        <v>515</v>
      </c>
      <c r="D9" s="22"/>
      <c r="E9" s="25"/>
      <c r="F9" s="87"/>
      <c r="G9" s="25">
        <f>_xlfn.XLOOKUP(B9, Rate_Master!$A:$A, Rate_Master!$C:$C, "")</f>
        <v>0</v>
      </c>
      <c r="H9" s="25">
        <f>_xlfn.XLOOKUP(B9, Rate_Master!$A:$A, Rate_Master!$D:$D, "")</f>
        <v>0</v>
      </c>
      <c r="I9" s="26"/>
      <c r="J9" s="26">
        <f>SUBTOTAL(9,J10:J41)</f>
        <v>6064412963.7445593</v>
      </c>
      <c r="K9" s="26">
        <f>SUBTOTAL(9,K10:K42)</f>
        <v>5550838027.8816881</v>
      </c>
      <c r="L9" s="26"/>
      <c r="M9" s="103">
        <f>+J11+J27</f>
        <v>6064412963.7445583</v>
      </c>
    </row>
    <row r="10" spans="1:16" s="3" customFormat="1" ht="25.5" customHeight="1">
      <c r="A10" s="22" t="str">
        <f>$A$9&amp;".S"</f>
        <v>22A.S</v>
      </c>
      <c r="B10" s="23" t="s">
        <v>47</v>
      </c>
      <c r="C10" s="23" t="s">
        <v>515</v>
      </c>
      <c r="D10" s="22"/>
      <c r="E10" s="25"/>
      <c r="F10" s="87"/>
      <c r="G10" s="25">
        <f>_xlfn.XLOOKUP(B10, Rate_Master!$A:$A, Rate_Master!$C:$C, "")</f>
        <v>0</v>
      </c>
      <c r="H10" s="25">
        <f>_xlfn.XLOOKUP(B10, Rate_Master!$A:$A, Rate_Master!$D:$D, "")</f>
        <v>0</v>
      </c>
      <c r="I10" s="26"/>
      <c r="J10" s="26"/>
      <c r="K10" s="89"/>
      <c r="L10" s="26"/>
    </row>
    <row r="11" spans="1:16" s="3" customFormat="1" ht="25.5" customHeight="1">
      <c r="A11" s="22" t="str">
        <f>$A$10&amp;1</f>
        <v>22A.S1</v>
      </c>
      <c r="B11" s="23" t="s">
        <v>48</v>
      </c>
      <c r="C11" s="23" t="s">
        <v>515</v>
      </c>
      <c r="D11" s="22"/>
      <c r="E11" s="25"/>
      <c r="F11" s="87"/>
      <c r="G11" s="25">
        <f>_xlfn.XLOOKUP(B11, Rate_Master!$A:$A, Rate_Master!$C:$C, "")</f>
        <v>0</v>
      </c>
      <c r="H11" s="25">
        <f>_xlfn.XLOOKUP(B11, Rate_Master!$A:$A, Rate_Master!$D:$D, "")</f>
        <v>0</v>
      </c>
      <c r="I11" s="26"/>
      <c r="J11" s="26">
        <f>SUBTOTAL(9,J12:J26)</f>
        <v>3713457325.0773921</v>
      </c>
      <c r="K11" s="26">
        <f>SUBTOTAL(9,K12:K26)</f>
        <v>3290580844.2201214</v>
      </c>
      <c r="L11" s="26"/>
    </row>
    <row r="12" spans="1:16" s="4" customFormat="1" ht="51" customHeight="1" outlineLevel="1">
      <c r="A12" s="27" t="str">
        <f t="shared" ref="A12:A26" si="0">$A$11&amp;"."&amp;ROW()-ROW($A$11)</f>
        <v>22A.S1.1</v>
      </c>
      <c r="B12" s="28" t="s">
        <v>49</v>
      </c>
      <c r="C12" s="28" t="s">
        <v>525</v>
      </c>
      <c r="D12" s="29" t="s">
        <v>523</v>
      </c>
      <c r="E12" s="31">
        <v>8781.7912319999996</v>
      </c>
      <c r="F12" s="36">
        <v>8713.8165119999994</v>
      </c>
      <c r="G12" s="93">
        <f>_xlfn.XLOOKUP(B12, Rate_Master!$A:$A, Rate_Master!$C:$C, "")</f>
        <v>20475</v>
      </c>
      <c r="H12" s="93">
        <f>_xlfn.XLOOKUP(B12, Rate_Master!$A:$A, Rate_Master!$D:$D, "")</f>
        <v>0</v>
      </c>
      <c r="I12" s="67">
        <f t="shared" ref="I12:I26" si="1">+SUM(G12:H12)</f>
        <v>20475</v>
      </c>
      <c r="J12" s="32">
        <f t="shared" ref="J12:J26" si="2">I12*E12</f>
        <v>179807175.4752</v>
      </c>
      <c r="K12" s="58">
        <f t="shared" ref="K12:K26" si="3">+F12*I12</f>
        <v>178415393.08319998</v>
      </c>
      <c r="L12" s="32"/>
      <c r="N12" s="104"/>
      <c r="O12" s="104"/>
      <c r="P12" s="104"/>
    </row>
    <row r="13" spans="1:16" s="4" customFormat="1" ht="76.5" customHeight="1" outlineLevel="1">
      <c r="A13" s="27" t="str">
        <f t="shared" si="0"/>
        <v>22A.S1.2</v>
      </c>
      <c r="B13" s="28" t="s">
        <v>50</v>
      </c>
      <c r="C13" s="28" t="s">
        <v>526</v>
      </c>
      <c r="D13" s="29" t="s">
        <v>523</v>
      </c>
      <c r="E13" s="31">
        <v>83341.705781546203</v>
      </c>
      <c r="F13" s="36">
        <v>73283.659280000007</v>
      </c>
      <c r="G13" s="93">
        <f>_xlfn.XLOOKUP(B13, Rate_Master!$A:$A, Rate_Master!$C:$C, "")</f>
        <v>26775</v>
      </c>
      <c r="H13" s="93">
        <f>_xlfn.XLOOKUP(B13, Rate_Master!$A:$A, Rate_Master!$D:$D, "")</f>
        <v>0</v>
      </c>
      <c r="I13" s="67">
        <f t="shared" si="1"/>
        <v>26775</v>
      </c>
      <c r="J13" s="32">
        <f t="shared" si="2"/>
        <v>2231474172.3008995</v>
      </c>
      <c r="K13" s="58">
        <f t="shared" si="3"/>
        <v>1962169977.2220001</v>
      </c>
      <c r="L13" s="32"/>
      <c r="N13" s="104"/>
      <c r="O13" s="104"/>
      <c r="P13" s="104"/>
    </row>
    <row r="14" spans="1:16" s="4" customFormat="1" ht="76.5" customHeight="1" outlineLevel="1">
      <c r="A14" s="27" t="str">
        <f t="shared" si="0"/>
        <v>22A.S1.3</v>
      </c>
      <c r="B14" s="28" t="s">
        <v>51</v>
      </c>
      <c r="C14" s="28" t="s">
        <v>527</v>
      </c>
      <c r="D14" s="29" t="s">
        <v>523</v>
      </c>
      <c r="E14" s="31">
        <v>4591.9480589303503</v>
      </c>
      <c r="F14" s="36">
        <v>4421.7808000000005</v>
      </c>
      <c r="G14" s="93">
        <f>_xlfn.XLOOKUP(B14, Rate_Master!$A:$A, Rate_Master!$C:$C, "")</f>
        <v>36750</v>
      </c>
      <c r="H14" s="93">
        <f>_xlfn.XLOOKUP(B14, Rate_Master!$A:$A, Rate_Master!$D:$D, "")</f>
        <v>0</v>
      </c>
      <c r="I14" s="67">
        <f t="shared" si="1"/>
        <v>36750</v>
      </c>
      <c r="J14" s="32">
        <f t="shared" si="2"/>
        <v>168754091.16569036</v>
      </c>
      <c r="K14" s="58">
        <f t="shared" si="3"/>
        <v>162500444.40000001</v>
      </c>
      <c r="L14" s="32"/>
      <c r="N14" s="104"/>
      <c r="O14" s="104"/>
      <c r="P14" s="104"/>
    </row>
    <row r="15" spans="1:16" s="4" customFormat="1" ht="76.5" customHeight="1" outlineLevel="1">
      <c r="A15" s="27" t="str">
        <f t="shared" si="0"/>
        <v>22A.S1.4</v>
      </c>
      <c r="B15" s="28" t="s">
        <v>52</v>
      </c>
      <c r="C15" s="28" t="s">
        <v>527</v>
      </c>
      <c r="D15" s="29" t="s">
        <v>523</v>
      </c>
      <c r="E15" s="31">
        <v>0</v>
      </c>
      <c r="F15" s="36"/>
      <c r="G15" s="93">
        <f>_xlfn.XLOOKUP(B15, Rate_Master!$A:$A, Rate_Master!$C:$C, "")</f>
        <v>26775</v>
      </c>
      <c r="H15" s="93">
        <f>_xlfn.XLOOKUP(B15, Rate_Master!$A:$A, Rate_Master!$D:$D, "")</f>
        <v>0</v>
      </c>
      <c r="I15" s="67">
        <f t="shared" si="1"/>
        <v>26775</v>
      </c>
      <c r="J15" s="32">
        <f t="shared" si="2"/>
        <v>0</v>
      </c>
      <c r="K15" s="58">
        <f t="shared" si="3"/>
        <v>0</v>
      </c>
      <c r="L15" s="32"/>
      <c r="N15" s="104"/>
      <c r="O15" s="104"/>
      <c r="P15" s="104"/>
    </row>
    <row r="16" spans="1:16" s="4" customFormat="1" ht="25.5" customHeight="1" outlineLevel="1">
      <c r="A16" s="27" t="str">
        <f t="shared" si="0"/>
        <v>22A.S1.5</v>
      </c>
      <c r="B16" s="28" t="s">
        <v>53</v>
      </c>
      <c r="C16" s="28" t="s">
        <v>528</v>
      </c>
      <c r="D16" s="29" t="s">
        <v>523</v>
      </c>
      <c r="E16" s="31">
        <v>16579.2</v>
      </c>
      <c r="F16" s="36">
        <v>14465.352000000001</v>
      </c>
      <c r="G16" s="93">
        <f>_xlfn.XLOOKUP(B16, Rate_Master!$A:$A, Rate_Master!$C:$C, "")</f>
        <v>22365</v>
      </c>
      <c r="H16" s="93">
        <f>_xlfn.XLOOKUP(B16, Rate_Master!$A:$A, Rate_Master!$D:$D, "")</f>
        <v>0</v>
      </c>
      <c r="I16" s="67">
        <f t="shared" si="1"/>
        <v>22365</v>
      </c>
      <c r="J16" s="32">
        <f t="shared" si="2"/>
        <v>370793808</v>
      </c>
      <c r="K16" s="58">
        <f t="shared" si="3"/>
        <v>323517597.48000002</v>
      </c>
      <c r="L16" s="32"/>
      <c r="N16" s="104"/>
      <c r="O16" s="104"/>
      <c r="P16" s="104"/>
    </row>
    <row r="17" spans="1:16" s="4" customFormat="1" ht="38.25" customHeight="1" outlineLevel="1">
      <c r="A17" s="27" t="str">
        <f t="shared" si="0"/>
        <v>22A.S1.6</v>
      </c>
      <c r="B17" s="28" t="s">
        <v>54</v>
      </c>
      <c r="C17" s="28" t="s">
        <v>529</v>
      </c>
      <c r="D17" s="29" t="s">
        <v>523</v>
      </c>
      <c r="E17" s="31">
        <v>979.62022388048297</v>
      </c>
      <c r="F17" s="36">
        <v>797.49333333333368</v>
      </c>
      <c r="G17" s="93">
        <f>_xlfn.XLOOKUP(B17, Rate_Master!$A:$A, Rate_Master!$C:$C, "")</f>
        <v>36750</v>
      </c>
      <c r="H17" s="93">
        <f>_xlfn.XLOOKUP(B17, Rate_Master!$A:$A, Rate_Master!$D:$D, "")</f>
        <v>0</v>
      </c>
      <c r="I17" s="67">
        <f t="shared" si="1"/>
        <v>36750</v>
      </c>
      <c r="J17" s="32">
        <f t="shared" si="2"/>
        <v>36001043.227607749</v>
      </c>
      <c r="K17" s="58">
        <f t="shared" si="3"/>
        <v>29307880.000000011</v>
      </c>
      <c r="L17" s="32"/>
      <c r="N17" s="104"/>
      <c r="O17" s="104"/>
      <c r="P17" s="104"/>
    </row>
    <row r="18" spans="1:16" s="4" customFormat="1" ht="25.5" customHeight="1" outlineLevel="1">
      <c r="A18" s="27" t="str">
        <f t="shared" si="0"/>
        <v>22A.S1.7</v>
      </c>
      <c r="B18" s="28" t="s">
        <v>55</v>
      </c>
      <c r="C18" s="28" t="s">
        <v>530</v>
      </c>
      <c r="D18" s="29" t="s">
        <v>523</v>
      </c>
      <c r="E18" s="31">
        <v>690.10919999999999</v>
      </c>
      <c r="F18" s="36"/>
      <c r="G18" s="93">
        <f>_xlfn.XLOOKUP(B18, Rate_Master!$A:$A, Rate_Master!$C:$C, "")</f>
        <v>27930</v>
      </c>
      <c r="H18" s="93">
        <f>_xlfn.XLOOKUP(B18, Rate_Master!$A:$A, Rate_Master!$D:$D, "")</f>
        <v>0</v>
      </c>
      <c r="I18" s="67">
        <f t="shared" si="1"/>
        <v>27930</v>
      </c>
      <c r="J18" s="32">
        <f t="shared" si="2"/>
        <v>19274749.956</v>
      </c>
      <c r="K18" s="58">
        <f t="shared" si="3"/>
        <v>0</v>
      </c>
      <c r="L18" s="32"/>
      <c r="N18" s="104"/>
      <c r="O18" s="104"/>
      <c r="P18" s="104"/>
    </row>
    <row r="19" spans="1:16" s="4" customFormat="1" ht="25.5" customHeight="1" outlineLevel="1">
      <c r="A19" s="27" t="str">
        <f t="shared" si="0"/>
        <v>22A.S1.8</v>
      </c>
      <c r="B19" s="28" t="s">
        <v>56</v>
      </c>
      <c r="C19" s="28" t="s">
        <v>531</v>
      </c>
      <c r="D19" s="29" t="s">
        <v>523</v>
      </c>
      <c r="E19" s="31">
        <v>614.4</v>
      </c>
      <c r="F19" s="36">
        <v>846.63308641975289</v>
      </c>
      <c r="G19" s="93">
        <f>_xlfn.XLOOKUP(B19, Rate_Master!$A:$A, Rate_Master!$C:$C, "")</f>
        <v>52500</v>
      </c>
      <c r="H19" s="93">
        <f>_xlfn.XLOOKUP(B19, Rate_Master!$A:$A, Rate_Master!$D:$D, "")</f>
        <v>0</v>
      </c>
      <c r="I19" s="67">
        <f t="shared" si="1"/>
        <v>52500</v>
      </c>
      <c r="J19" s="32">
        <f t="shared" si="2"/>
        <v>32256000</v>
      </c>
      <c r="K19" s="58">
        <f t="shared" si="3"/>
        <v>44448237.03703703</v>
      </c>
      <c r="L19" s="32"/>
      <c r="N19" s="104"/>
      <c r="O19" s="104"/>
      <c r="P19" s="104"/>
    </row>
    <row r="20" spans="1:16" s="4" customFormat="1" ht="25.5" customHeight="1" outlineLevel="1">
      <c r="A20" s="27" t="str">
        <f t="shared" si="0"/>
        <v>22A.S1.9</v>
      </c>
      <c r="B20" s="28" t="s">
        <v>57</v>
      </c>
      <c r="C20" s="28" t="s">
        <v>532</v>
      </c>
      <c r="D20" s="29" t="s">
        <v>523</v>
      </c>
      <c r="E20" s="31">
        <v>1378.88</v>
      </c>
      <c r="F20" s="36">
        <v>1063.24</v>
      </c>
      <c r="G20" s="93">
        <f>_xlfn.XLOOKUP(B20, Rate_Master!$A:$A, Rate_Master!$C:$C, "")</f>
        <v>60900</v>
      </c>
      <c r="H20" s="93">
        <f>_xlfn.XLOOKUP(B20, Rate_Master!$A:$A, Rate_Master!$D:$D, "")</f>
        <v>0</v>
      </c>
      <c r="I20" s="67">
        <f t="shared" si="1"/>
        <v>60900</v>
      </c>
      <c r="J20" s="32">
        <f t="shared" si="2"/>
        <v>83973792</v>
      </c>
      <c r="K20" s="58">
        <f t="shared" si="3"/>
        <v>64751316</v>
      </c>
      <c r="L20" s="32"/>
      <c r="N20" s="104"/>
      <c r="O20" s="104"/>
      <c r="P20" s="104"/>
    </row>
    <row r="21" spans="1:16" s="4" customFormat="1" ht="25.5" customHeight="1" outlineLevel="1">
      <c r="A21" s="27" t="str">
        <f t="shared" si="0"/>
        <v>22A.S1.10</v>
      </c>
      <c r="B21" s="28" t="s">
        <v>58</v>
      </c>
      <c r="C21" s="28" t="s">
        <v>533</v>
      </c>
      <c r="D21" s="29" t="s">
        <v>523</v>
      </c>
      <c r="E21" s="31">
        <v>945.56</v>
      </c>
      <c r="F21" s="36">
        <v>352.28399999999999</v>
      </c>
      <c r="G21" s="93">
        <f>_xlfn.XLOOKUP(B21, Rate_Master!$A:$A, Rate_Master!$C:$C, "")</f>
        <v>60900</v>
      </c>
      <c r="H21" s="93">
        <f>_xlfn.XLOOKUP(B21, Rate_Master!$A:$A, Rate_Master!$D:$D, "")</f>
        <v>0</v>
      </c>
      <c r="I21" s="67">
        <f t="shared" si="1"/>
        <v>60900</v>
      </c>
      <c r="J21" s="32">
        <f t="shared" si="2"/>
        <v>57584604</v>
      </c>
      <c r="K21" s="58">
        <f t="shared" si="3"/>
        <v>21454095.599999998</v>
      </c>
      <c r="L21" s="32"/>
      <c r="N21" s="104"/>
      <c r="O21" s="104"/>
      <c r="P21" s="104"/>
    </row>
    <row r="22" spans="1:16" s="4" customFormat="1" ht="25.5" customHeight="1" outlineLevel="1">
      <c r="A22" s="27" t="str">
        <f t="shared" si="0"/>
        <v>22A.S1.11</v>
      </c>
      <c r="B22" s="28" t="s">
        <v>59</v>
      </c>
      <c r="C22" s="28" t="s">
        <v>534</v>
      </c>
      <c r="D22" s="29" t="s">
        <v>518</v>
      </c>
      <c r="E22" s="31">
        <v>0</v>
      </c>
      <c r="F22" s="36"/>
      <c r="G22" s="93">
        <f>_xlfn.XLOOKUP(B22, Rate_Master!$A:$A, Rate_Master!$C:$C, "")</f>
        <v>21000</v>
      </c>
      <c r="H22" s="93">
        <f>_xlfn.XLOOKUP(B22, Rate_Master!$A:$A, Rate_Master!$D:$D, "")</f>
        <v>0</v>
      </c>
      <c r="I22" s="67">
        <f t="shared" si="1"/>
        <v>21000</v>
      </c>
      <c r="J22" s="32">
        <f t="shared" si="2"/>
        <v>0</v>
      </c>
      <c r="K22" s="58">
        <f t="shared" si="3"/>
        <v>0</v>
      </c>
      <c r="L22" s="32"/>
      <c r="N22" s="104"/>
      <c r="O22" s="104"/>
      <c r="P22" s="104"/>
    </row>
    <row r="23" spans="1:16" s="4" customFormat="1" ht="25.5" customHeight="1" outlineLevel="1">
      <c r="A23" s="27" t="str">
        <f t="shared" si="0"/>
        <v>22A.S1.12</v>
      </c>
      <c r="B23" s="28" t="s">
        <v>60</v>
      </c>
      <c r="C23" s="28" t="s">
        <v>515</v>
      </c>
      <c r="D23" s="29" t="s">
        <v>523</v>
      </c>
      <c r="E23" s="31">
        <v>614.4</v>
      </c>
      <c r="F23" s="36">
        <v>846.63308641975289</v>
      </c>
      <c r="G23" s="93">
        <f>_xlfn.XLOOKUP(B23, Rate_Master!$A:$A, Rate_Master!$C:$C, "")</f>
        <v>630</v>
      </c>
      <c r="H23" s="108">
        <f>_xlfn.XLOOKUP(B23, Rate_Master!$A:$A, Rate_Master!$D:$D, "")</f>
        <v>0</v>
      </c>
      <c r="I23" s="67">
        <f t="shared" si="1"/>
        <v>630</v>
      </c>
      <c r="J23" s="32">
        <f t="shared" si="2"/>
        <v>387072</v>
      </c>
      <c r="K23" s="58">
        <f t="shared" si="3"/>
        <v>533378.84444444429</v>
      </c>
      <c r="L23" s="32"/>
      <c r="N23" s="104"/>
      <c r="O23" s="104"/>
      <c r="P23" s="104"/>
    </row>
    <row r="24" spans="1:16" s="4" customFormat="1" ht="25.5" customHeight="1" outlineLevel="1">
      <c r="A24" s="27" t="str">
        <f t="shared" si="0"/>
        <v>22A.S1.13</v>
      </c>
      <c r="B24" s="28" t="s">
        <v>61</v>
      </c>
      <c r="C24" s="28" t="s">
        <v>515</v>
      </c>
      <c r="D24" s="29" t="s">
        <v>523</v>
      </c>
      <c r="E24" s="31">
        <v>114964.37449635701</v>
      </c>
      <c r="F24" s="36">
        <v>103097.6259253334</v>
      </c>
      <c r="G24" s="93">
        <f>_xlfn.XLOOKUP(B24, Rate_Master!$A:$A, Rate_Master!$C:$C, "")</f>
        <v>630</v>
      </c>
      <c r="H24" s="93">
        <f>_xlfn.XLOOKUP(B24, Rate_Master!$A:$A, Rate_Master!$D:$D, "")</f>
        <v>0</v>
      </c>
      <c r="I24" s="67">
        <f t="shared" si="1"/>
        <v>630</v>
      </c>
      <c r="J24" s="32">
        <f t="shared" si="2"/>
        <v>72427555.932704911</v>
      </c>
      <c r="K24" s="58">
        <f t="shared" si="3"/>
        <v>64951504.332960039</v>
      </c>
      <c r="L24" s="32"/>
      <c r="N24" s="104"/>
      <c r="O24" s="104"/>
      <c r="P24" s="104"/>
    </row>
    <row r="25" spans="1:16" s="4" customFormat="1" ht="25.5" customHeight="1" outlineLevel="1">
      <c r="A25" s="27" t="str">
        <f t="shared" si="0"/>
        <v>22A.S1.14</v>
      </c>
      <c r="B25" s="28" t="s">
        <v>62</v>
      </c>
      <c r="C25" s="28" t="s">
        <v>515</v>
      </c>
      <c r="D25" s="29" t="s">
        <v>518</v>
      </c>
      <c r="E25" s="31">
        <v>464</v>
      </c>
      <c r="F25" s="36">
        <v>512</v>
      </c>
      <c r="G25" s="93">
        <f>_xlfn.XLOOKUP(B25, Rate_Master!$A:$A, Rate_Master!$C:$C, "")</f>
        <v>0</v>
      </c>
      <c r="H25" s="93">
        <f>_xlfn.XLOOKUP(B25, Rate_Master!$A:$A, Rate_Master!$D:$D, "")</f>
        <v>264500</v>
      </c>
      <c r="I25" s="67">
        <f t="shared" si="1"/>
        <v>264500</v>
      </c>
      <c r="J25" s="32">
        <f t="shared" si="2"/>
        <v>122728000</v>
      </c>
      <c r="K25" s="58">
        <f t="shared" si="3"/>
        <v>135424000</v>
      </c>
      <c r="L25" s="32"/>
      <c r="N25" s="104"/>
      <c r="O25" s="104"/>
      <c r="P25" s="104"/>
    </row>
    <row r="26" spans="1:16" s="4" customFormat="1" ht="25.5" customHeight="1" outlineLevel="1">
      <c r="A26" s="27" t="str">
        <f t="shared" si="0"/>
        <v>22A.S1.15</v>
      </c>
      <c r="B26" s="28" t="s">
        <v>63</v>
      </c>
      <c r="C26" s="28" t="s">
        <v>515</v>
      </c>
      <c r="D26" s="29" t="s">
        <v>523</v>
      </c>
      <c r="E26" s="31">
        <v>114964.37449635701</v>
      </c>
      <c r="F26" s="36">
        <v>103097.6259253334</v>
      </c>
      <c r="G26" s="93">
        <f>_xlfn.XLOOKUP(B26, Rate_Master!$A:$A, Rate_Master!$C:$C, "")</f>
        <v>2940</v>
      </c>
      <c r="H26" s="93">
        <f>_xlfn.XLOOKUP(B26, Rate_Master!$A:$A, Rate_Master!$D:$D, "")</f>
        <v>0</v>
      </c>
      <c r="I26" s="67">
        <f t="shared" si="1"/>
        <v>2940</v>
      </c>
      <c r="J26" s="32">
        <f t="shared" si="2"/>
        <v>337995261.01928961</v>
      </c>
      <c r="K26" s="58">
        <f t="shared" si="3"/>
        <v>303107020.2204802</v>
      </c>
      <c r="L26" s="32"/>
      <c r="N26" s="104"/>
      <c r="O26" s="104"/>
      <c r="P26" s="104"/>
    </row>
    <row r="27" spans="1:16" s="3" customFormat="1" ht="25.5" customHeight="1">
      <c r="A27" s="22" t="str">
        <f>$A$10&amp;2</f>
        <v>22A.S2</v>
      </c>
      <c r="B27" s="23" t="s">
        <v>70</v>
      </c>
      <c r="C27" s="23" t="s">
        <v>515</v>
      </c>
      <c r="D27" s="22"/>
      <c r="E27" s="25"/>
      <c r="F27" s="87"/>
      <c r="G27" s="25">
        <f>_xlfn.XLOOKUP(B27, Rate_Master!$A:$A, Rate_Master!$C:$C, "")</f>
        <v>0</v>
      </c>
      <c r="H27" s="25">
        <f>_xlfn.XLOOKUP(B27, Rate_Master!$A:$A, Rate_Master!$D:$D, "")</f>
        <v>0</v>
      </c>
      <c r="I27" s="68"/>
      <c r="J27" s="26">
        <f>SUBTOTAL(9,J28:J41)</f>
        <v>2350955638.6671667</v>
      </c>
      <c r="K27" s="26">
        <f>SUBTOTAL(9,K28:K41)</f>
        <v>2260257183.6615667</v>
      </c>
      <c r="L27" s="26"/>
      <c r="N27" s="104"/>
      <c r="O27" s="104"/>
      <c r="P27" s="104"/>
    </row>
    <row r="28" spans="1:16" s="4" customFormat="1" ht="51" customHeight="1" outlineLevel="1">
      <c r="A28" s="27" t="str">
        <f t="shared" ref="A28:A41" si="4">$A$27&amp;"."&amp;ROW()-ROW($A$27)</f>
        <v>22A.S2.1</v>
      </c>
      <c r="B28" s="28" t="s">
        <v>71</v>
      </c>
      <c r="C28" s="28" t="str">
        <f>+'21A'!C80</f>
        <v xml:space="preserve">Tôn liên doanh Việt hàn, AZ170
</v>
      </c>
      <c r="D28" s="29" t="s">
        <v>520</v>
      </c>
      <c r="E28" s="31">
        <v>0</v>
      </c>
      <c r="F28" s="36"/>
      <c r="G28" s="93">
        <f>_xlfn.XLOOKUP(B28, Rate_Master!$A:$A, Rate_Master!$C:$C, "")</f>
        <v>248399.99999999997</v>
      </c>
      <c r="H28" s="93">
        <f>_xlfn.XLOOKUP(B28, Rate_Master!$A:$A, Rate_Master!$D:$D, "")</f>
        <v>34500</v>
      </c>
      <c r="I28" s="67">
        <f t="shared" ref="I28:I41" si="5">+SUM(G28:H28)</f>
        <v>282900</v>
      </c>
      <c r="J28" s="32">
        <f t="shared" ref="J28:J41" si="6">I28*E28</f>
        <v>0</v>
      </c>
      <c r="K28" s="58">
        <f t="shared" ref="K28:K41" si="7">+F28*I28</f>
        <v>0</v>
      </c>
      <c r="L28" s="32"/>
      <c r="N28" s="104"/>
      <c r="O28" s="104"/>
      <c r="P28" s="104"/>
    </row>
    <row r="29" spans="1:16" s="4" customFormat="1" ht="51" customHeight="1" outlineLevel="1">
      <c r="A29" s="27" t="str">
        <f t="shared" si="4"/>
        <v>22A.S2.2</v>
      </c>
      <c r="B29" s="28" t="s">
        <v>72</v>
      </c>
      <c r="C29" s="28" t="str">
        <f>+'21A'!C81</f>
        <v xml:space="preserve">Tôn liên doanh Việt hàn, AZ170
</v>
      </c>
      <c r="D29" s="29" t="s">
        <v>520</v>
      </c>
      <c r="E29" s="31">
        <v>0</v>
      </c>
      <c r="F29" s="36"/>
      <c r="G29" s="93">
        <f>_xlfn.XLOOKUP(B29, Rate_Master!$A:$A, Rate_Master!$C:$C, "")</f>
        <v>206999.99999999997</v>
      </c>
      <c r="H29" s="93">
        <f>_xlfn.XLOOKUP(B29, Rate_Master!$A:$A, Rate_Master!$D:$D, "")</f>
        <v>34500</v>
      </c>
      <c r="I29" s="67">
        <f t="shared" si="5"/>
        <v>241499.99999999997</v>
      </c>
      <c r="J29" s="32">
        <f t="shared" si="6"/>
        <v>0</v>
      </c>
      <c r="K29" s="58">
        <f t="shared" si="7"/>
        <v>0</v>
      </c>
      <c r="L29" s="32"/>
      <c r="N29" s="104"/>
      <c r="O29" s="104"/>
      <c r="P29" s="104"/>
    </row>
    <row r="30" spans="1:16" s="4" customFormat="1" ht="63.75" customHeight="1" outlineLevel="1">
      <c r="A30" s="27" t="str">
        <f t="shared" si="4"/>
        <v>22A.S2.3</v>
      </c>
      <c r="B30" s="28" t="s">
        <v>73</v>
      </c>
      <c r="C30" s="28" t="str">
        <f>+'21A'!C82</f>
        <v xml:space="preserve">Tôn liên doanh Việt hàn, AZ170
</v>
      </c>
      <c r="D30" s="29" t="s">
        <v>520</v>
      </c>
      <c r="E30" s="31">
        <v>3456.96</v>
      </c>
      <c r="F30" s="36">
        <v>3303.849999999999</v>
      </c>
      <c r="G30" s="93">
        <f>_xlfn.XLOOKUP(B30, Rate_Master!$A:$A, Rate_Master!$C:$C, "")</f>
        <v>195499.99999999997</v>
      </c>
      <c r="H30" s="93">
        <f>_xlfn.XLOOKUP(B30, Rate_Master!$A:$A, Rate_Master!$D:$D, "")</f>
        <v>34500</v>
      </c>
      <c r="I30" s="67">
        <f t="shared" si="5"/>
        <v>229999.99999999997</v>
      </c>
      <c r="J30" s="32">
        <f t="shared" si="6"/>
        <v>795100799.99999988</v>
      </c>
      <c r="K30" s="58">
        <f t="shared" si="7"/>
        <v>759885499.99999964</v>
      </c>
      <c r="L30" s="32"/>
      <c r="N30" s="104"/>
      <c r="O30" s="104"/>
      <c r="P30" s="104"/>
    </row>
    <row r="31" spans="1:16" s="4" customFormat="1" ht="25.5" customHeight="1" outlineLevel="1">
      <c r="A31" s="27" t="str">
        <f t="shared" si="4"/>
        <v>22A.S2.4</v>
      </c>
      <c r="B31" s="28" t="s">
        <v>74</v>
      </c>
      <c r="C31" s="28" t="s">
        <v>515</v>
      </c>
      <c r="D31" s="29" t="s">
        <v>520</v>
      </c>
      <c r="E31" s="31">
        <v>0</v>
      </c>
      <c r="F31" s="36"/>
      <c r="G31" s="93">
        <f>_xlfn.XLOOKUP(B31, Rate_Master!$A:$A, Rate_Master!$C:$C, "")</f>
        <v>23000</v>
      </c>
      <c r="H31" s="93">
        <f>_xlfn.XLOOKUP(B31, Rate_Master!$A:$A, Rate_Master!$D:$D, "")</f>
        <v>11500</v>
      </c>
      <c r="I31" s="67">
        <f t="shared" si="5"/>
        <v>34500</v>
      </c>
      <c r="J31" s="32">
        <f t="shared" si="6"/>
        <v>0</v>
      </c>
      <c r="K31" s="58">
        <f t="shared" si="7"/>
        <v>0</v>
      </c>
      <c r="L31" s="32"/>
      <c r="N31" s="104"/>
      <c r="O31" s="104"/>
      <c r="P31" s="104"/>
    </row>
    <row r="32" spans="1:16" s="4" customFormat="1" ht="25.5" customHeight="1" outlineLevel="1">
      <c r="A32" s="27" t="str">
        <f t="shared" si="4"/>
        <v>22A.S2.5</v>
      </c>
      <c r="B32" s="28" t="s">
        <v>75</v>
      </c>
      <c r="C32" s="28" t="s">
        <v>538</v>
      </c>
      <c r="D32" s="29" t="s">
        <v>517</v>
      </c>
      <c r="E32" s="31">
        <v>586.08000000000004</v>
      </c>
      <c r="F32" s="36">
        <v>1147.26</v>
      </c>
      <c r="G32" s="93">
        <f>_xlfn.XLOOKUP(B32, Rate_Master!$A:$A, Rate_Master!$C:$C, "")</f>
        <v>110399.99999999999</v>
      </c>
      <c r="H32" s="93">
        <f>_xlfn.XLOOKUP(B32, Rate_Master!$A:$A, Rate_Master!$D:$D, "")</f>
        <v>17250</v>
      </c>
      <c r="I32" s="67">
        <f t="shared" si="5"/>
        <v>127649.99999999999</v>
      </c>
      <c r="J32" s="32">
        <f t="shared" si="6"/>
        <v>74813112</v>
      </c>
      <c r="K32" s="58">
        <f t="shared" si="7"/>
        <v>146447738.99999997</v>
      </c>
      <c r="L32" s="32"/>
      <c r="N32" s="104"/>
      <c r="O32" s="104"/>
      <c r="P32" s="104"/>
    </row>
    <row r="33" spans="1:16" s="4" customFormat="1" ht="25.5" customHeight="1" outlineLevel="1">
      <c r="A33" s="27" t="str">
        <f t="shared" si="4"/>
        <v>22A.S2.6</v>
      </c>
      <c r="B33" s="28" t="s">
        <v>75</v>
      </c>
      <c r="C33" s="28" t="s">
        <v>539</v>
      </c>
      <c r="D33" s="29" t="s">
        <v>517</v>
      </c>
      <c r="E33" s="31">
        <v>0</v>
      </c>
      <c r="F33" s="36"/>
      <c r="G33" s="93">
        <f>_xlfn.XLOOKUP(B33, Rate_Master!$A:$A, Rate_Master!$C:$C, "")</f>
        <v>110399.99999999999</v>
      </c>
      <c r="H33" s="93">
        <f>_xlfn.XLOOKUP(B33, Rate_Master!$A:$A, Rate_Master!$D:$D, "")</f>
        <v>17250</v>
      </c>
      <c r="I33" s="67">
        <f t="shared" si="5"/>
        <v>127649.99999999999</v>
      </c>
      <c r="J33" s="32">
        <f t="shared" si="6"/>
        <v>0</v>
      </c>
      <c r="K33" s="58">
        <f t="shared" si="7"/>
        <v>0</v>
      </c>
      <c r="L33" s="32"/>
      <c r="N33" s="104"/>
      <c r="O33" s="104"/>
      <c r="P33" s="104"/>
    </row>
    <row r="34" spans="1:16" s="4" customFormat="1" ht="25.5" customHeight="1" outlineLevel="1">
      <c r="A34" s="27" t="str">
        <f t="shared" si="4"/>
        <v>22A.S2.7</v>
      </c>
      <c r="B34" s="28" t="s">
        <v>76</v>
      </c>
      <c r="C34" s="28" t="s">
        <v>540</v>
      </c>
      <c r="D34" s="29" t="s">
        <v>517</v>
      </c>
      <c r="E34" s="31">
        <v>0</v>
      </c>
      <c r="F34" s="36"/>
      <c r="G34" s="93">
        <f>_xlfn.XLOOKUP(B34, Rate_Master!$A:$A, Rate_Master!$C:$C, "")</f>
        <v>1976115.3983999996</v>
      </c>
      <c r="H34" s="93">
        <f>_xlfn.XLOOKUP(B34, Rate_Master!$A:$A, Rate_Master!$D:$D, "")</f>
        <v>28749.999999999996</v>
      </c>
      <c r="I34" s="67">
        <f t="shared" si="5"/>
        <v>2004865.3983999996</v>
      </c>
      <c r="J34" s="32">
        <f t="shared" si="6"/>
        <v>0</v>
      </c>
      <c r="K34" s="58">
        <f t="shared" si="7"/>
        <v>0</v>
      </c>
      <c r="L34" s="32"/>
      <c r="N34" s="104"/>
      <c r="O34" s="104"/>
      <c r="P34" s="104"/>
    </row>
    <row r="35" spans="1:16" s="4" customFormat="1" ht="25.5" customHeight="1" outlineLevel="1">
      <c r="A35" s="27" t="str">
        <f t="shared" si="4"/>
        <v>22A.S2.8</v>
      </c>
      <c r="B35" s="28" t="s">
        <v>77</v>
      </c>
      <c r="C35" s="28" t="s">
        <v>541</v>
      </c>
      <c r="D35" s="29" t="s">
        <v>517</v>
      </c>
      <c r="E35" s="31">
        <v>756</v>
      </c>
      <c r="F35" s="36">
        <v>752</v>
      </c>
      <c r="G35" s="93">
        <f>_xlfn.XLOOKUP(B35, Rate_Master!$A:$A, Rate_Master!$C:$C, "")</f>
        <v>1077881.1263999997</v>
      </c>
      <c r="H35" s="93">
        <f>_xlfn.XLOOKUP(B35, Rate_Master!$A:$A, Rate_Master!$D:$D, "")</f>
        <v>23000</v>
      </c>
      <c r="I35" s="67">
        <f t="shared" si="5"/>
        <v>1100881.1263999997</v>
      </c>
      <c r="J35" s="32">
        <f t="shared" si="6"/>
        <v>832266131.5583998</v>
      </c>
      <c r="K35" s="58">
        <f t="shared" si="7"/>
        <v>827862607.05279982</v>
      </c>
      <c r="L35" s="32"/>
      <c r="N35" s="104"/>
      <c r="O35" s="104"/>
      <c r="P35" s="104"/>
    </row>
    <row r="36" spans="1:16" s="4" customFormat="1" ht="25.5" customHeight="1" outlineLevel="1">
      <c r="A36" s="27" t="str">
        <f t="shared" si="4"/>
        <v>22A.S2.9</v>
      </c>
      <c r="B36" s="28" t="s">
        <v>205</v>
      </c>
      <c r="C36" s="28" t="s">
        <v>515</v>
      </c>
      <c r="D36" s="29" t="s">
        <v>518</v>
      </c>
      <c r="E36" s="31">
        <v>256</v>
      </c>
      <c r="F36" s="36">
        <v>128</v>
      </c>
      <c r="G36" s="93">
        <f>_xlfn.XLOOKUP(B36, Rate_Master!$A:$A, Rate_Master!$C:$C, "")</f>
        <v>112699.99999999999</v>
      </c>
      <c r="H36" s="93">
        <f>_xlfn.XLOOKUP(B36, Rate_Master!$A:$A, Rate_Master!$D:$D, "")</f>
        <v>0</v>
      </c>
      <c r="I36" s="67">
        <f t="shared" si="5"/>
        <v>112699.99999999999</v>
      </c>
      <c r="J36" s="32">
        <f t="shared" si="6"/>
        <v>28851199.999999996</v>
      </c>
      <c r="K36" s="58">
        <f t="shared" si="7"/>
        <v>14425599.999999998</v>
      </c>
      <c r="L36" s="32"/>
      <c r="N36" s="104"/>
      <c r="O36" s="104"/>
      <c r="P36" s="104"/>
    </row>
    <row r="37" spans="1:16" s="4" customFormat="1" ht="63.75" customHeight="1" outlineLevel="1">
      <c r="A37" s="27" t="str">
        <f t="shared" si="4"/>
        <v>22A.S2.10</v>
      </c>
      <c r="B37" s="28" t="s">
        <v>206</v>
      </c>
      <c r="C37" s="28" t="s">
        <v>542</v>
      </c>
      <c r="D37" s="29" t="s">
        <v>517</v>
      </c>
      <c r="E37" s="31">
        <v>1331.2</v>
      </c>
      <c r="F37" s="36">
        <v>710.4</v>
      </c>
      <c r="G37" s="93">
        <f>_xlfn.XLOOKUP(B37, Rate_Master!$A:$A, Rate_Master!$C:$C, "")</f>
        <v>162150</v>
      </c>
      <c r="H37" s="93">
        <f>_xlfn.XLOOKUP(B37, Rate_Master!$A:$A, Rate_Master!$D:$D, "")</f>
        <v>0</v>
      </c>
      <c r="I37" s="67">
        <f t="shared" si="5"/>
        <v>162150</v>
      </c>
      <c r="J37" s="32">
        <f t="shared" si="6"/>
        <v>215854080</v>
      </c>
      <c r="K37" s="58">
        <f t="shared" si="7"/>
        <v>115191360</v>
      </c>
      <c r="L37" s="32"/>
      <c r="N37" s="104"/>
      <c r="O37" s="104"/>
      <c r="P37" s="104"/>
    </row>
    <row r="38" spans="1:16" s="4" customFormat="1" ht="25.5" customHeight="1" outlineLevel="1">
      <c r="A38" s="27" t="str">
        <f t="shared" si="4"/>
        <v>22A.S2.11</v>
      </c>
      <c r="B38" s="28" t="s">
        <v>80</v>
      </c>
      <c r="C38" s="28" t="s">
        <v>515</v>
      </c>
      <c r="D38" s="29" t="s">
        <v>457</v>
      </c>
      <c r="E38" s="105">
        <v>1</v>
      </c>
      <c r="F38" s="105">
        <v>1</v>
      </c>
      <c r="G38" s="93">
        <f>_xlfn.XLOOKUP(B38, Rate_Master!$A:$A, Rate_Master!$C:$C, "")</f>
        <v>0</v>
      </c>
      <c r="H38" s="93">
        <f>_xlfn.XLOOKUP(B38, Rate_Master!$A:$A, Rate_Master!$D:$D, "")</f>
        <v>57499999.999999993</v>
      </c>
      <c r="I38" s="67">
        <f t="shared" si="5"/>
        <v>57499999.999999993</v>
      </c>
      <c r="J38" s="32">
        <f t="shared" si="6"/>
        <v>57499999.999999993</v>
      </c>
      <c r="K38" s="58">
        <f t="shared" si="7"/>
        <v>57499999.999999993</v>
      </c>
      <c r="L38" s="32"/>
      <c r="N38" s="104"/>
      <c r="O38" s="104"/>
      <c r="P38" s="104"/>
    </row>
    <row r="39" spans="1:16" s="4" customFormat="1" ht="25.5" customHeight="1" outlineLevel="1">
      <c r="A39" s="27" t="str">
        <f t="shared" si="4"/>
        <v>22A.S2.12</v>
      </c>
      <c r="B39" s="28" t="s">
        <v>81</v>
      </c>
      <c r="C39" s="28" t="s">
        <v>515</v>
      </c>
      <c r="D39" s="29" t="s">
        <v>520</v>
      </c>
      <c r="E39" s="31">
        <v>3456.96</v>
      </c>
      <c r="F39" s="36">
        <v>3303.849999999999</v>
      </c>
      <c r="G39" s="93">
        <f>_xlfn.XLOOKUP(B39, Rate_Master!$A:$A, Rate_Master!$C:$C, "")</f>
        <v>0</v>
      </c>
      <c r="H39" s="93">
        <f>_xlfn.XLOOKUP(B39, Rate_Master!$A:$A, Rate_Master!$D:$D, "")</f>
        <v>40250</v>
      </c>
      <c r="I39" s="67">
        <f t="shared" si="5"/>
        <v>40250</v>
      </c>
      <c r="J39" s="32">
        <f t="shared" si="6"/>
        <v>139142640</v>
      </c>
      <c r="K39" s="58">
        <f t="shared" si="7"/>
        <v>132979962.49999996</v>
      </c>
      <c r="L39" s="32"/>
      <c r="N39" s="104"/>
      <c r="O39" s="104"/>
      <c r="P39" s="104"/>
    </row>
    <row r="40" spans="1:16" s="4" customFormat="1" ht="38.25" customHeight="1" outlineLevel="1">
      <c r="A40" s="27" t="str">
        <f t="shared" si="4"/>
        <v>22A.S2.13</v>
      </c>
      <c r="B40" s="28" t="s">
        <v>82</v>
      </c>
      <c r="C40" s="28" t="s">
        <v>515</v>
      </c>
      <c r="D40" s="29" t="s">
        <v>517</v>
      </c>
      <c r="E40" s="31">
        <v>2673.28</v>
      </c>
      <c r="F40" s="36">
        <v>2609.66</v>
      </c>
      <c r="G40" s="93">
        <f>_xlfn.XLOOKUP(B40, Rate_Master!$A:$A, Rate_Master!$C:$C, "")</f>
        <v>0</v>
      </c>
      <c r="H40" s="93">
        <f>_xlfn.XLOOKUP(B40, Rate_Master!$A:$A, Rate_Master!$D:$D, "")</f>
        <v>23000</v>
      </c>
      <c r="I40" s="67">
        <f t="shared" si="5"/>
        <v>23000</v>
      </c>
      <c r="J40" s="32">
        <f t="shared" si="6"/>
        <v>61485440.000000007</v>
      </c>
      <c r="K40" s="58">
        <f t="shared" si="7"/>
        <v>60022180</v>
      </c>
      <c r="L40" s="32"/>
      <c r="N40" s="104"/>
      <c r="O40" s="104"/>
      <c r="P40" s="104"/>
    </row>
    <row r="41" spans="1:16" s="4" customFormat="1" ht="25.5" customHeight="1" outlineLevel="1">
      <c r="A41" s="27" t="str">
        <f t="shared" si="4"/>
        <v>22A.S2.14</v>
      </c>
      <c r="B41" s="28" t="s">
        <v>83</v>
      </c>
      <c r="C41" s="28" t="s">
        <v>543</v>
      </c>
      <c r="D41" s="29" t="s">
        <v>457</v>
      </c>
      <c r="E41" s="31">
        <v>1</v>
      </c>
      <c r="F41" s="36">
        <v>1</v>
      </c>
      <c r="G41" s="93">
        <f>_xlfn.XLOOKUP(B41, Rate_Master!$A:$A, Rate_Master!$C:$C, "")</f>
        <v>145942235.10876715</v>
      </c>
      <c r="H41" s="93">
        <f>_xlfn.XLOOKUP(B41, Rate_Master!$A:$A, Rate_Master!$D:$D, "")</f>
        <v>0</v>
      </c>
      <c r="I41" s="67">
        <f t="shared" si="5"/>
        <v>145942235.10876715</v>
      </c>
      <c r="J41" s="32">
        <f t="shared" si="6"/>
        <v>145942235.10876715</v>
      </c>
      <c r="K41" s="58">
        <f t="shared" si="7"/>
        <v>145942235.10876715</v>
      </c>
      <c r="L41" s="32"/>
      <c r="N41" s="104"/>
      <c r="O41" s="104"/>
      <c r="P41" s="104"/>
    </row>
  </sheetData>
  <mergeCells count="5">
    <mergeCell ref="C5:L5"/>
    <mergeCell ref="C4:L4"/>
    <mergeCell ref="C3:L3"/>
    <mergeCell ref="C7:L7"/>
    <mergeCell ref="C6:L6"/>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pageSetUpPr fitToPage="1"/>
  </sheetPr>
  <dimension ref="A1:J66"/>
  <sheetViews>
    <sheetView topLeftCell="A8" workbookViewId="0">
      <pane ySplit="1" topLeftCell="A9" activePane="bottomLeft" state="frozen"/>
      <selection activeCell="A8" sqref="A8"/>
      <selection pane="bottomLeft" activeCell="A12" sqref="A12"/>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7" width="14" style="8" customWidth="1" outlineLevel="1"/>
    <col min="8" max="10" width="14" style="9" customWidth="1"/>
    <col min="11" max="229" width="9.125" style="6" customWidth="1"/>
    <col min="230" max="230" width="6.375" style="6" customWidth="1"/>
    <col min="231" max="231" width="34.25" style="6" customWidth="1"/>
    <col min="232" max="232" width="7.375" style="6" customWidth="1"/>
    <col min="233" max="233" width="6.375" style="6" customWidth="1"/>
    <col min="234" max="234" width="13.125" style="6" customWidth="1"/>
    <col min="235" max="235" width="15.375" style="6" customWidth="1"/>
    <col min="236" max="236" width="21.25" style="6" customWidth="1"/>
    <col min="237" max="485" width="9.125" style="6" customWidth="1"/>
    <col min="486" max="486" width="6.375" style="6" customWidth="1"/>
    <col min="487" max="487" width="34.25" style="6" customWidth="1"/>
    <col min="488" max="488" width="7.375" style="6" customWidth="1"/>
    <col min="489" max="489" width="6.375" style="6" customWidth="1"/>
    <col min="490" max="490" width="13.125" style="6" customWidth="1"/>
    <col min="491" max="491" width="15.375" style="6" customWidth="1"/>
    <col min="492" max="492" width="21.25" style="6" customWidth="1"/>
    <col min="493" max="741" width="9.125" style="6" customWidth="1"/>
    <col min="742" max="742" width="6.375" style="6" customWidth="1"/>
    <col min="743" max="743" width="34.25" style="6" customWidth="1"/>
    <col min="744" max="744" width="7.375" style="6" customWidth="1"/>
    <col min="745" max="745" width="6.375" style="6" customWidth="1"/>
    <col min="746" max="746" width="13.125" style="6" customWidth="1"/>
    <col min="747" max="747" width="15.375" style="6" customWidth="1"/>
    <col min="748" max="748" width="21.25" style="6" customWidth="1"/>
    <col min="749" max="997" width="9.125" style="6" customWidth="1"/>
    <col min="998" max="998" width="6.375" style="6" customWidth="1"/>
    <col min="999" max="999" width="34.25" style="6" customWidth="1"/>
    <col min="1000" max="1000" width="7.375" style="6" customWidth="1"/>
    <col min="1001" max="1001" width="6.375" style="6" customWidth="1"/>
    <col min="1002" max="1002" width="13.125" style="6" customWidth="1"/>
    <col min="1003" max="1003" width="15.375" style="6" customWidth="1"/>
    <col min="1004" max="1004" width="21.25" style="6" customWidth="1"/>
    <col min="1005" max="1253" width="9.125" style="6" customWidth="1"/>
    <col min="1254" max="1254" width="6.375" style="6" customWidth="1"/>
    <col min="1255" max="1255" width="34.25" style="6" customWidth="1"/>
    <col min="1256" max="1256" width="7.375" style="6" customWidth="1"/>
    <col min="1257" max="1257" width="6.375" style="6" customWidth="1"/>
    <col min="1258" max="1258" width="13.125" style="6" customWidth="1"/>
    <col min="1259" max="1259" width="15.375" style="6" customWidth="1"/>
    <col min="1260" max="1260" width="21.25" style="6" customWidth="1"/>
    <col min="1261" max="1509" width="9.125" style="6" customWidth="1"/>
    <col min="1510" max="1510" width="6.375" style="6" customWidth="1"/>
    <col min="1511" max="1511" width="34.25" style="6" customWidth="1"/>
    <col min="1512" max="1512" width="7.375" style="6" customWidth="1"/>
    <col min="1513" max="1513" width="6.375" style="6" customWidth="1"/>
    <col min="1514" max="1514" width="13.125" style="6" customWidth="1"/>
    <col min="1515" max="1515" width="15.375" style="6" customWidth="1"/>
    <col min="1516" max="1516" width="21.25" style="6" customWidth="1"/>
    <col min="1517" max="1765" width="9.125" style="6" customWidth="1"/>
    <col min="1766" max="1766" width="6.375" style="6" customWidth="1"/>
    <col min="1767" max="1767" width="34.25" style="6" customWidth="1"/>
    <col min="1768" max="1768" width="7.375" style="6" customWidth="1"/>
    <col min="1769" max="1769" width="6.375" style="6" customWidth="1"/>
    <col min="1770" max="1770" width="13.125" style="6" customWidth="1"/>
    <col min="1771" max="1771" width="15.375" style="6" customWidth="1"/>
    <col min="1772" max="1772" width="21.25" style="6" customWidth="1"/>
    <col min="1773" max="2021" width="9.125" style="6" customWidth="1"/>
    <col min="2022" max="2022" width="6.375" style="6" customWidth="1"/>
    <col min="2023" max="2023" width="34.25" style="6" customWidth="1"/>
    <col min="2024" max="2024" width="7.375" style="6" customWidth="1"/>
    <col min="2025" max="2025" width="6.375" style="6" customWidth="1"/>
    <col min="2026" max="2026" width="13.125" style="6" customWidth="1"/>
    <col min="2027" max="2027" width="15.375" style="6" customWidth="1"/>
    <col min="2028" max="2028" width="21.25" style="6" customWidth="1"/>
    <col min="2029" max="2277" width="9.125" style="6" customWidth="1"/>
    <col min="2278" max="2278" width="6.375" style="6" customWidth="1"/>
    <col min="2279" max="2279" width="34.25" style="6" customWidth="1"/>
    <col min="2280" max="2280" width="7.375" style="6" customWidth="1"/>
    <col min="2281" max="2281" width="6.375" style="6" customWidth="1"/>
    <col min="2282" max="2282" width="13.125" style="6" customWidth="1"/>
    <col min="2283" max="2283" width="15.375" style="6" customWidth="1"/>
    <col min="2284" max="2284" width="21.25" style="6" customWidth="1"/>
    <col min="2285" max="2533" width="9.125" style="6" customWidth="1"/>
    <col min="2534" max="2534" width="6.375" style="6" customWidth="1"/>
    <col min="2535" max="2535" width="34.25" style="6" customWidth="1"/>
    <col min="2536" max="2536" width="7.375" style="6" customWidth="1"/>
    <col min="2537" max="2537" width="6.375" style="6" customWidth="1"/>
    <col min="2538" max="2538" width="13.125" style="6" customWidth="1"/>
    <col min="2539" max="2539" width="15.375" style="6" customWidth="1"/>
    <col min="2540" max="2540" width="21.25" style="6" customWidth="1"/>
    <col min="2541" max="2789" width="9.125" style="6" customWidth="1"/>
    <col min="2790" max="2790" width="6.375" style="6" customWidth="1"/>
    <col min="2791" max="2791" width="34.25" style="6" customWidth="1"/>
    <col min="2792" max="2792" width="7.375" style="6" customWidth="1"/>
    <col min="2793" max="2793" width="6.375" style="6" customWidth="1"/>
    <col min="2794" max="2794" width="13.125" style="6" customWidth="1"/>
    <col min="2795" max="2795" width="15.375" style="6" customWidth="1"/>
    <col min="2796" max="2796" width="21.25" style="6" customWidth="1"/>
    <col min="2797" max="3045" width="9.125" style="6" customWidth="1"/>
    <col min="3046" max="3046" width="6.375" style="6" customWidth="1"/>
    <col min="3047" max="3047" width="34.25" style="6" customWidth="1"/>
    <col min="3048" max="3048" width="7.375" style="6" customWidth="1"/>
    <col min="3049" max="3049" width="6.375" style="6" customWidth="1"/>
    <col min="3050" max="3050" width="13.125" style="6" customWidth="1"/>
    <col min="3051" max="3051" width="15.375" style="6" customWidth="1"/>
    <col min="3052" max="3052" width="21.25" style="6" customWidth="1"/>
    <col min="3053" max="3301" width="9.125" style="6" customWidth="1"/>
    <col min="3302" max="3302" width="6.375" style="6" customWidth="1"/>
    <col min="3303" max="3303" width="34.25" style="6" customWidth="1"/>
    <col min="3304" max="3304" width="7.375" style="6" customWidth="1"/>
    <col min="3305" max="3305" width="6.375" style="6" customWidth="1"/>
    <col min="3306" max="3306" width="13.125" style="6" customWidth="1"/>
    <col min="3307" max="3307" width="15.375" style="6" customWidth="1"/>
    <col min="3308" max="3308" width="21.25" style="6" customWidth="1"/>
    <col min="3309" max="3557" width="9.125" style="6" customWidth="1"/>
    <col min="3558" max="3558" width="6.375" style="6" customWidth="1"/>
    <col min="3559" max="3559" width="34.25" style="6" customWidth="1"/>
    <col min="3560" max="3560" width="7.375" style="6" customWidth="1"/>
    <col min="3561" max="3561" width="6.375" style="6" customWidth="1"/>
    <col min="3562" max="3562" width="13.125" style="6" customWidth="1"/>
    <col min="3563" max="3563" width="15.375" style="6" customWidth="1"/>
    <col min="3564" max="3564" width="21.25" style="6" customWidth="1"/>
    <col min="3565" max="3813" width="9.125" style="6" customWidth="1"/>
    <col min="3814" max="3814" width="6.375" style="6" customWidth="1"/>
    <col min="3815" max="3815" width="34.25" style="6" customWidth="1"/>
    <col min="3816" max="3816" width="7.375" style="6" customWidth="1"/>
    <col min="3817" max="3817" width="6.375" style="6" customWidth="1"/>
    <col min="3818" max="3818" width="13.125" style="6" customWidth="1"/>
    <col min="3819" max="3819" width="15.375" style="6" customWidth="1"/>
    <col min="3820" max="3820" width="21.25" style="6" customWidth="1"/>
    <col min="3821" max="4069" width="9.125" style="6" customWidth="1"/>
    <col min="4070" max="4070" width="6.375" style="6" customWidth="1"/>
    <col min="4071" max="4071" width="34.25" style="6" customWidth="1"/>
    <col min="4072" max="4072" width="7.375" style="6" customWidth="1"/>
    <col min="4073" max="4073" width="6.375" style="6" customWidth="1"/>
    <col min="4074" max="4074" width="13.125" style="6" customWidth="1"/>
    <col min="4075" max="4075" width="15.375" style="6" customWidth="1"/>
    <col min="4076" max="4076" width="21.25" style="6" customWidth="1"/>
    <col min="4077" max="4325" width="9.125" style="6" customWidth="1"/>
    <col min="4326" max="4326" width="6.375" style="6" customWidth="1"/>
    <col min="4327" max="4327" width="34.25" style="6" customWidth="1"/>
    <col min="4328" max="4328" width="7.375" style="6" customWidth="1"/>
    <col min="4329" max="4329" width="6.375" style="6" customWidth="1"/>
    <col min="4330" max="4330" width="13.125" style="6" customWidth="1"/>
    <col min="4331" max="4331" width="15.375" style="6" customWidth="1"/>
    <col min="4332" max="4332" width="21.25" style="6" customWidth="1"/>
    <col min="4333" max="4581" width="9.125" style="6" customWidth="1"/>
    <col min="4582" max="4582" width="6.375" style="6" customWidth="1"/>
    <col min="4583" max="4583" width="34.25" style="6" customWidth="1"/>
    <col min="4584" max="4584" width="7.375" style="6" customWidth="1"/>
    <col min="4585" max="4585" width="6.375" style="6" customWidth="1"/>
    <col min="4586" max="4586" width="13.125" style="6" customWidth="1"/>
    <col min="4587" max="4587" width="15.375" style="6" customWidth="1"/>
    <col min="4588" max="4588" width="21.25" style="6" customWidth="1"/>
    <col min="4589" max="4837" width="9.125" style="6" customWidth="1"/>
    <col min="4838" max="4838" width="6.375" style="6" customWidth="1"/>
    <col min="4839" max="4839" width="34.25" style="6" customWidth="1"/>
    <col min="4840" max="4840" width="7.375" style="6" customWidth="1"/>
    <col min="4841" max="4841" width="6.375" style="6" customWidth="1"/>
    <col min="4842" max="4842" width="13.125" style="6" customWidth="1"/>
    <col min="4843" max="4843" width="15.375" style="6" customWidth="1"/>
    <col min="4844" max="4844" width="21.25" style="6" customWidth="1"/>
    <col min="4845" max="5093" width="9.125" style="6" customWidth="1"/>
    <col min="5094" max="5094" width="6.375" style="6" customWidth="1"/>
    <col min="5095" max="5095" width="34.25" style="6" customWidth="1"/>
    <col min="5096" max="5096" width="7.375" style="6" customWidth="1"/>
    <col min="5097" max="5097" width="6.375" style="6" customWidth="1"/>
    <col min="5098" max="5098" width="13.125" style="6" customWidth="1"/>
    <col min="5099" max="5099" width="15.375" style="6" customWidth="1"/>
    <col min="5100" max="5100" width="21.25" style="6" customWidth="1"/>
    <col min="5101" max="5349" width="9.125" style="6" customWidth="1"/>
    <col min="5350" max="5350" width="6.375" style="6" customWidth="1"/>
    <col min="5351" max="5351" width="34.25" style="6" customWidth="1"/>
    <col min="5352" max="5352" width="7.375" style="6" customWidth="1"/>
    <col min="5353" max="5353" width="6.375" style="6" customWidth="1"/>
    <col min="5354" max="5354" width="13.125" style="6" customWidth="1"/>
    <col min="5355" max="5355" width="15.375" style="6" customWidth="1"/>
    <col min="5356" max="5356" width="21.25" style="6" customWidth="1"/>
    <col min="5357" max="5605" width="9.125" style="6" customWidth="1"/>
    <col min="5606" max="5606" width="6.375" style="6" customWidth="1"/>
    <col min="5607" max="5607" width="34.25" style="6" customWidth="1"/>
    <col min="5608" max="5608" width="7.375" style="6" customWidth="1"/>
    <col min="5609" max="5609" width="6.375" style="6" customWidth="1"/>
    <col min="5610" max="5610" width="13.125" style="6" customWidth="1"/>
    <col min="5611" max="5611" width="15.375" style="6" customWidth="1"/>
    <col min="5612" max="5612" width="21.25" style="6" customWidth="1"/>
    <col min="5613" max="5861" width="9.125" style="6" customWidth="1"/>
    <col min="5862" max="5862" width="6.375" style="6" customWidth="1"/>
    <col min="5863" max="5863" width="34.25" style="6" customWidth="1"/>
    <col min="5864" max="5864" width="7.375" style="6" customWidth="1"/>
    <col min="5865" max="5865" width="6.375" style="6" customWidth="1"/>
    <col min="5866" max="5866" width="13.125" style="6" customWidth="1"/>
    <col min="5867" max="5867" width="15.375" style="6" customWidth="1"/>
    <col min="5868" max="5868" width="21.25" style="6" customWidth="1"/>
    <col min="5869" max="6117" width="9.125" style="6" customWidth="1"/>
    <col min="6118" max="6118" width="6.375" style="6" customWidth="1"/>
    <col min="6119" max="6119" width="34.25" style="6" customWidth="1"/>
    <col min="6120" max="6120" width="7.375" style="6" customWidth="1"/>
    <col min="6121" max="6121" width="6.375" style="6" customWidth="1"/>
    <col min="6122" max="6122" width="13.125" style="6" customWidth="1"/>
    <col min="6123" max="6123" width="15.375" style="6" customWidth="1"/>
    <col min="6124" max="6124" width="21.25" style="6" customWidth="1"/>
    <col min="6125" max="6373" width="9.125" style="6" customWidth="1"/>
    <col min="6374" max="6374" width="6.375" style="6" customWidth="1"/>
    <col min="6375" max="6375" width="34.25" style="6" customWidth="1"/>
    <col min="6376" max="6376" width="7.375" style="6" customWidth="1"/>
    <col min="6377" max="6377" width="6.375" style="6" customWidth="1"/>
    <col min="6378" max="6378" width="13.125" style="6" customWidth="1"/>
    <col min="6379" max="6379" width="15.375" style="6" customWidth="1"/>
    <col min="6380" max="6380" width="21.25" style="6" customWidth="1"/>
    <col min="6381" max="6629" width="9.125" style="6" customWidth="1"/>
    <col min="6630" max="6630" width="6.375" style="6" customWidth="1"/>
    <col min="6631" max="6631" width="34.25" style="6" customWidth="1"/>
    <col min="6632" max="6632" width="7.375" style="6" customWidth="1"/>
    <col min="6633" max="6633" width="6.375" style="6" customWidth="1"/>
    <col min="6634" max="6634" width="13.125" style="6" customWidth="1"/>
    <col min="6635" max="6635" width="15.375" style="6" customWidth="1"/>
    <col min="6636" max="6636" width="21.25" style="6" customWidth="1"/>
    <col min="6637" max="6885" width="9.125" style="6" customWidth="1"/>
    <col min="6886" max="6886" width="6.375" style="6" customWidth="1"/>
    <col min="6887" max="6887" width="34.25" style="6" customWidth="1"/>
    <col min="6888" max="6888" width="7.375" style="6" customWidth="1"/>
    <col min="6889" max="6889" width="6.375" style="6" customWidth="1"/>
    <col min="6890" max="6890" width="13.125" style="6" customWidth="1"/>
    <col min="6891" max="6891" width="15.375" style="6" customWidth="1"/>
    <col min="6892" max="6892" width="21.25" style="6" customWidth="1"/>
    <col min="6893" max="7141" width="9.125" style="6" customWidth="1"/>
    <col min="7142" max="7142" width="6.375" style="6" customWidth="1"/>
    <col min="7143" max="7143" width="34.25" style="6" customWidth="1"/>
    <col min="7144" max="7144" width="7.375" style="6" customWidth="1"/>
    <col min="7145" max="7145" width="6.375" style="6" customWidth="1"/>
    <col min="7146" max="7146" width="13.125" style="6" customWidth="1"/>
    <col min="7147" max="7147" width="15.375" style="6" customWidth="1"/>
    <col min="7148" max="7148" width="21.25" style="6" customWidth="1"/>
    <col min="7149" max="7397" width="9.125" style="6" customWidth="1"/>
    <col min="7398" max="7398" width="6.375" style="6" customWidth="1"/>
    <col min="7399" max="7399" width="34.25" style="6" customWidth="1"/>
    <col min="7400" max="7400" width="7.375" style="6" customWidth="1"/>
    <col min="7401" max="7401" width="6.375" style="6" customWidth="1"/>
    <col min="7402" max="7402" width="13.125" style="6" customWidth="1"/>
    <col min="7403" max="7403" width="15.375" style="6" customWidth="1"/>
    <col min="7404" max="7404" width="21.25" style="6" customWidth="1"/>
    <col min="7405" max="7653" width="9.125" style="6" customWidth="1"/>
    <col min="7654" max="7654" width="6.375" style="6" customWidth="1"/>
    <col min="7655" max="7655" width="34.25" style="6" customWidth="1"/>
    <col min="7656" max="7656" width="7.375" style="6" customWidth="1"/>
    <col min="7657" max="7657" width="6.375" style="6" customWidth="1"/>
    <col min="7658" max="7658" width="13.125" style="6" customWidth="1"/>
    <col min="7659" max="7659" width="15.375" style="6" customWidth="1"/>
    <col min="7660" max="7660" width="21.25" style="6" customWidth="1"/>
    <col min="7661" max="7909" width="9.125" style="6" customWidth="1"/>
    <col min="7910" max="7910" width="6.375" style="6" customWidth="1"/>
    <col min="7911" max="7911" width="34.25" style="6" customWidth="1"/>
    <col min="7912" max="7912" width="7.375" style="6" customWidth="1"/>
    <col min="7913" max="7913" width="6.375" style="6" customWidth="1"/>
    <col min="7914" max="7914" width="13.125" style="6" customWidth="1"/>
    <col min="7915" max="7915" width="15.375" style="6" customWidth="1"/>
    <col min="7916" max="7916" width="21.25" style="6" customWidth="1"/>
    <col min="7917" max="8165" width="9.125" style="6" customWidth="1"/>
    <col min="8166" max="8166" width="6.375" style="6" customWidth="1"/>
    <col min="8167" max="8167" width="34.25" style="6" customWidth="1"/>
    <col min="8168" max="8168" width="7.375" style="6" customWidth="1"/>
    <col min="8169" max="8169" width="6.375" style="6" customWidth="1"/>
    <col min="8170" max="8170" width="13.125" style="6" customWidth="1"/>
    <col min="8171" max="8171" width="15.375" style="6" customWidth="1"/>
    <col min="8172" max="8172" width="21.25" style="6" customWidth="1"/>
    <col min="8173" max="8421" width="9.125" style="6" customWidth="1"/>
    <col min="8422" max="8422" width="6.375" style="6" customWidth="1"/>
    <col min="8423" max="8423" width="34.25" style="6" customWidth="1"/>
    <col min="8424" max="8424" width="7.375" style="6" customWidth="1"/>
    <col min="8425" max="8425" width="6.375" style="6" customWidth="1"/>
    <col min="8426" max="8426" width="13.125" style="6" customWidth="1"/>
    <col min="8427" max="8427" width="15.375" style="6" customWidth="1"/>
    <col min="8428" max="8428" width="21.25" style="6" customWidth="1"/>
    <col min="8429" max="8677" width="9.125" style="6" customWidth="1"/>
    <col min="8678" max="8678" width="6.375" style="6" customWidth="1"/>
    <col min="8679" max="8679" width="34.25" style="6" customWidth="1"/>
    <col min="8680" max="8680" width="7.375" style="6" customWidth="1"/>
    <col min="8681" max="8681" width="6.375" style="6" customWidth="1"/>
    <col min="8682" max="8682" width="13.125" style="6" customWidth="1"/>
    <col min="8683" max="8683" width="15.375" style="6" customWidth="1"/>
    <col min="8684" max="8684" width="21.25" style="6" customWidth="1"/>
    <col min="8685" max="8933" width="9.125" style="6" customWidth="1"/>
    <col min="8934" max="8934" width="6.375" style="6" customWidth="1"/>
    <col min="8935" max="8935" width="34.25" style="6" customWidth="1"/>
    <col min="8936" max="8936" width="7.375" style="6" customWidth="1"/>
    <col min="8937" max="8937" width="6.375" style="6" customWidth="1"/>
    <col min="8938" max="8938" width="13.125" style="6" customWidth="1"/>
    <col min="8939" max="8939" width="15.375" style="6" customWidth="1"/>
    <col min="8940" max="8940" width="21.25" style="6" customWidth="1"/>
    <col min="8941" max="9189" width="9.125" style="6" customWidth="1"/>
    <col min="9190" max="9190" width="6.375" style="6" customWidth="1"/>
    <col min="9191" max="9191" width="34.25" style="6" customWidth="1"/>
    <col min="9192" max="9192" width="7.375" style="6" customWidth="1"/>
    <col min="9193" max="9193" width="6.375" style="6" customWidth="1"/>
    <col min="9194" max="9194" width="13.125" style="6" customWidth="1"/>
    <col min="9195" max="9195" width="15.375" style="6" customWidth="1"/>
    <col min="9196" max="9196" width="21.25" style="6" customWidth="1"/>
    <col min="9197" max="9445" width="9.125" style="6" customWidth="1"/>
    <col min="9446" max="9446" width="6.375" style="6" customWidth="1"/>
    <col min="9447" max="9447" width="34.25" style="6" customWidth="1"/>
    <col min="9448" max="9448" width="7.375" style="6" customWidth="1"/>
    <col min="9449" max="9449" width="6.375" style="6" customWidth="1"/>
    <col min="9450" max="9450" width="13.125" style="6" customWidth="1"/>
    <col min="9451" max="9451" width="15.375" style="6" customWidth="1"/>
    <col min="9452" max="9452" width="21.25" style="6" customWidth="1"/>
    <col min="9453" max="9701" width="9.125" style="6" customWidth="1"/>
    <col min="9702" max="9702" width="6.375" style="6" customWidth="1"/>
    <col min="9703" max="9703" width="34.25" style="6" customWidth="1"/>
    <col min="9704" max="9704" width="7.375" style="6" customWidth="1"/>
    <col min="9705" max="9705" width="6.375" style="6" customWidth="1"/>
    <col min="9706" max="9706" width="13.125" style="6" customWidth="1"/>
    <col min="9707" max="9707" width="15.375" style="6" customWidth="1"/>
    <col min="9708" max="9708" width="21.25" style="6" customWidth="1"/>
    <col min="9709" max="9957" width="9.125" style="6" customWidth="1"/>
    <col min="9958" max="9958" width="6.375" style="6" customWidth="1"/>
    <col min="9959" max="9959" width="34.25" style="6" customWidth="1"/>
    <col min="9960" max="9960" width="7.375" style="6" customWidth="1"/>
    <col min="9961" max="9961" width="6.375" style="6" customWidth="1"/>
    <col min="9962" max="9962" width="13.125" style="6" customWidth="1"/>
    <col min="9963" max="9963" width="15.375" style="6" customWidth="1"/>
    <col min="9964" max="9964" width="21.25" style="6" customWidth="1"/>
    <col min="9965" max="10213" width="9.125" style="6" customWidth="1"/>
    <col min="10214" max="10214" width="6.375" style="6" customWidth="1"/>
    <col min="10215" max="10215" width="34.25" style="6" customWidth="1"/>
    <col min="10216" max="10216" width="7.375" style="6" customWidth="1"/>
    <col min="10217" max="10217" width="6.375" style="6" customWidth="1"/>
    <col min="10218" max="10218" width="13.125" style="6" customWidth="1"/>
    <col min="10219" max="10219" width="15.375" style="6" customWidth="1"/>
    <col min="10220" max="10220" width="21.25" style="6" customWidth="1"/>
    <col min="10221" max="10469" width="9.125" style="6" customWidth="1"/>
    <col min="10470" max="10470" width="6.375" style="6" customWidth="1"/>
    <col min="10471" max="10471" width="34.25" style="6" customWidth="1"/>
    <col min="10472" max="10472" width="7.375" style="6" customWidth="1"/>
    <col min="10473" max="10473" width="6.375" style="6" customWidth="1"/>
    <col min="10474" max="10474" width="13.125" style="6" customWidth="1"/>
    <col min="10475" max="10475" width="15.375" style="6" customWidth="1"/>
    <col min="10476" max="10476" width="21.25" style="6" customWidth="1"/>
    <col min="10477" max="10725" width="9.125" style="6" customWidth="1"/>
    <col min="10726" max="10726" width="6.375" style="6" customWidth="1"/>
    <col min="10727" max="10727" width="34.25" style="6" customWidth="1"/>
    <col min="10728" max="10728" width="7.375" style="6" customWidth="1"/>
    <col min="10729" max="10729" width="6.375" style="6" customWidth="1"/>
    <col min="10730" max="10730" width="13.125" style="6" customWidth="1"/>
    <col min="10731" max="10731" width="15.375" style="6" customWidth="1"/>
    <col min="10732" max="10732" width="21.25" style="6" customWidth="1"/>
    <col min="10733" max="10981" width="9.125" style="6" customWidth="1"/>
    <col min="10982" max="10982" width="6.375" style="6" customWidth="1"/>
    <col min="10983" max="10983" width="34.25" style="6" customWidth="1"/>
    <col min="10984" max="10984" width="7.375" style="6" customWidth="1"/>
    <col min="10985" max="10985" width="6.375" style="6" customWidth="1"/>
    <col min="10986" max="10986" width="13.125" style="6" customWidth="1"/>
    <col min="10987" max="10987" width="15.375" style="6" customWidth="1"/>
    <col min="10988" max="10988" width="21.25" style="6" customWidth="1"/>
    <col min="10989" max="11237" width="9.125" style="6" customWidth="1"/>
    <col min="11238" max="11238" width="6.375" style="6" customWidth="1"/>
    <col min="11239" max="11239" width="34.25" style="6" customWidth="1"/>
    <col min="11240" max="11240" width="7.375" style="6" customWidth="1"/>
    <col min="11241" max="11241" width="6.375" style="6" customWidth="1"/>
    <col min="11242" max="11242" width="13.125" style="6" customWidth="1"/>
    <col min="11243" max="11243" width="15.375" style="6" customWidth="1"/>
    <col min="11244" max="11244" width="21.25" style="6" customWidth="1"/>
    <col min="11245" max="11493" width="9.125" style="6" customWidth="1"/>
    <col min="11494" max="11494" width="6.375" style="6" customWidth="1"/>
    <col min="11495" max="11495" width="34.25" style="6" customWidth="1"/>
    <col min="11496" max="11496" width="7.375" style="6" customWidth="1"/>
    <col min="11497" max="11497" width="6.375" style="6" customWidth="1"/>
    <col min="11498" max="11498" width="13.125" style="6" customWidth="1"/>
    <col min="11499" max="11499" width="15.375" style="6" customWidth="1"/>
    <col min="11500" max="11500" width="21.25" style="6" customWidth="1"/>
    <col min="11501" max="11749" width="9.125" style="6" customWidth="1"/>
    <col min="11750" max="11750" width="6.375" style="6" customWidth="1"/>
    <col min="11751" max="11751" width="34.25" style="6" customWidth="1"/>
    <col min="11752" max="11752" width="7.375" style="6" customWidth="1"/>
    <col min="11753" max="11753" width="6.375" style="6" customWidth="1"/>
    <col min="11754" max="11754" width="13.125" style="6" customWidth="1"/>
    <col min="11755" max="11755" width="15.375" style="6" customWidth="1"/>
    <col min="11756" max="11756" width="21.25" style="6" customWidth="1"/>
    <col min="11757" max="12005" width="9.125" style="6" customWidth="1"/>
    <col min="12006" max="12006" width="6.375" style="6" customWidth="1"/>
    <col min="12007" max="12007" width="34.25" style="6" customWidth="1"/>
    <col min="12008" max="12008" width="7.375" style="6" customWidth="1"/>
    <col min="12009" max="12009" width="6.375" style="6" customWidth="1"/>
    <col min="12010" max="12010" width="13.125" style="6" customWidth="1"/>
    <col min="12011" max="12011" width="15.375" style="6" customWidth="1"/>
    <col min="12012" max="12012" width="21.25" style="6" customWidth="1"/>
    <col min="12013" max="12261" width="9.125" style="6" customWidth="1"/>
    <col min="12262" max="12262" width="6.375" style="6" customWidth="1"/>
    <col min="12263" max="12263" width="34.25" style="6" customWidth="1"/>
    <col min="12264" max="12264" width="7.375" style="6" customWidth="1"/>
    <col min="12265" max="12265" width="6.375" style="6" customWidth="1"/>
    <col min="12266" max="12266" width="13.125" style="6" customWidth="1"/>
    <col min="12267" max="12267" width="15.375" style="6" customWidth="1"/>
    <col min="12268" max="12268" width="21.25" style="6" customWidth="1"/>
    <col min="12269" max="12517" width="9.125" style="6" customWidth="1"/>
    <col min="12518" max="12518" width="6.375" style="6" customWidth="1"/>
    <col min="12519" max="12519" width="34.25" style="6" customWidth="1"/>
    <col min="12520" max="12520" width="7.375" style="6" customWidth="1"/>
    <col min="12521" max="12521" width="6.375" style="6" customWidth="1"/>
    <col min="12522" max="12522" width="13.125" style="6" customWidth="1"/>
    <col min="12523" max="12523" width="15.375" style="6" customWidth="1"/>
    <col min="12524" max="12524" width="21.25" style="6" customWidth="1"/>
    <col min="12525" max="12773" width="9.125" style="6" customWidth="1"/>
    <col min="12774" max="12774" width="6.375" style="6" customWidth="1"/>
    <col min="12775" max="12775" width="34.25" style="6" customWidth="1"/>
    <col min="12776" max="12776" width="7.375" style="6" customWidth="1"/>
    <col min="12777" max="12777" width="6.375" style="6" customWidth="1"/>
    <col min="12778" max="12778" width="13.125" style="6" customWidth="1"/>
    <col min="12779" max="12779" width="15.375" style="6" customWidth="1"/>
    <col min="12780" max="12780" width="21.25" style="6" customWidth="1"/>
    <col min="12781" max="13029" width="9.125" style="6" customWidth="1"/>
    <col min="13030" max="13030" width="6.375" style="6" customWidth="1"/>
    <col min="13031" max="13031" width="34.25" style="6" customWidth="1"/>
    <col min="13032" max="13032" width="7.375" style="6" customWidth="1"/>
    <col min="13033" max="13033" width="6.375" style="6" customWidth="1"/>
    <col min="13034" max="13034" width="13.125" style="6" customWidth="1"/>
    <col min="13035" max="13035" width="15.375" style="6" customWidth="1"/>
    <col min="13036" max="13036" width="21.25" style="6" customWidth="1"/>
    <col min="13037" max="13285" width="9.125" style="6" customWidth="1"/>
    <col min="13286" max="13286" width="6.375" style="6" customWidth="1"/>
    <col min="13287" max="13287" width="34.25" style="6" customWidth="1"/>
    <col min="13288" max="13288" width="7.375" style="6" customWidth="1"/>
    <col min="13289" max="13289" width="6.375" style="6" customWidth="1"/>
    <col min="13290" max="13290" width="13.125" style="6" customWidth="1"/>
    <col min="13291" max="13291" width="15.375" style="6" customWidth="1"/>
    <col min="13292" max="13292" width="21.25" style="6" customWidth="1"/>
    <col min="13293" max="13541" width="9.125" style="6" customWidth="1"/>
    <col min="13542" max="13542" width="6.375" style="6" customWidth="1"/>
    <col min="13543" max="13543" width="34.25" style="6" customWidth="1"/>
    <col min="13544" max="13544" width="7.375" style="6" customWidth="1"/>
    <col min="13545" max="13545" width="6.375" style="6" customWidth="1"/>
    <col min="13546" max="13546" width="13.125" style="6" customWidth="1"/>
    <col min="13547" max="13547" width="15.375" style="6" customWidth="1"/>
    <col min="13548" max="13548" width="21.25" style="6" customWidth="1"/>
    <col min="13549" max="13797" width="9.125" style="6" customWidth="1"/>
    <col min="13798" max="13798" width="6.375" style="6" customWidth="1"/>
    <col min="13799" max="13799" width="34.25" style="6" customWidth="1"/>
    <col min="13800" max="13800" width="7.375" style="6" customWidth="1"/>
    <col min="13801" max="13801" width="6.375" style="6" customWidth="1"/>
    <col min="13802" max="13802" width="13.125" style="6" customWidth="1"/>
    <col min="13803" max="13803" width="15.375" style="6" customWidth="1"/>
    <col min="13804" max="13804" width="21.25" style="6" customWidth="1"/>
    <col min="13805" max="14053" width="9.125" style="6" customWidth="1"/>
    <col min="14054" max="14054" width="6.375" style="6" customWidth="1"/>
    <col min="14055" max="14055" width="34.25" style="6" customWidth="1"/>
    <col min="14056" max="14056" width="7.375" style="6" customWidth="1"/>
    <col min="14057" max="14057" width="6.375" style="6" customWidth="1"/>
    <col min="14058" max="14058" width="13.125" style="6" customWidth="1"/>
    <col min="14059" max="14059" width="15.375" style="6" customWidth="1"/>
    <col min="14060" max="14060" width="21.25" style="6" customWidth="1"/>
    <col min="14061" max="14309" width="9.125" style="6" customWidth="1"/>
    <col min="14310" max="14310" width="6.375" style="6" customWidth="1"/>
    <col min="14311" max="14311" width="34.25" style="6" customWidth="1"/>
    <col min="14312" max="14312" width="7.375" style="6" customWidth="1"/>
    <col min="14313" max="14313" width="6.375" style="6" customWidth="1"/>
    <col min="14314" max="14314" width="13.125" style="6" customWidth="1"/>
    <col min="14315" max="14315" width="15.375" style="6" customWidth="1"/>
    <col min="14316" max="14316" width="21.25" style="6" customWidth="1"/>
    <col min="14317" max="14565" width="9.125" style="6" customWidth="1"/>
    <col min="14566" max="14566" width="6.375" style="6" customWidth="1"/>
    <col min="14567" max="14567" width="34.25" style="6" customWidth="1"/>
    <col min="14568" max="14568" width="7.375" style="6" customWidth="1"/>
    <col min="14569" max="14569" width="6.375" style="6" customWidth="1"/>
    <col min="14570" max="14570" width="13.125" style="6" customWidth="1"/>
    <col min="14571" max="14571" width="15.375" style="6" customWidth="1"/>
    <col min="14572" max="14572" width="21.25" style="6" customWidth="1"/>
    <col min="14573" max="14821" width="9.125" style="6" customWidth="1"/>
    <col min="14822" max="14822" width="6.375" style="6" customWidth="1"/>
    <col min="14823" max="14823" width="34.25" style="6" customWidth="1"/>
    <col min="14824" max="14824" width="7.375" style="6" customWidth="1"/>
    <col min="14825" max="14825" width="6.375" style="6" customWidth="1"/>
    <col min="14826" max="14826" width="13.125" style="6" customWidth="1"/>
    <col min="14827" max="14827" width="15.375" style="6" customWidth="1"/>
    <col min="14828" max="14828" width="21.25" style="6" customWidth="1"/>
    <col min="14829" max="15077" width="9.125" style="6" customWidth="1"/>
    <col min="15078" max="15078" width="6.375" style="6" customWidth="1"/>
    <col min="15079" max="15079" width="34.25" style="6" customWidth="1"/>
    <col min="15080" max="15080" width="7.375" style="6" customWidth="1"/>
    <col min="15081" max="15081" width="6.375" style="6" customWidth="1"/>
    <col min="15082" max="15082" width="13.125" style="6" customWidth="1"/>
    <col min="15083" max="15083" width="15.375" style="6" customWidth="1"/>
    <col min="15084" max="15084" width="21.25" style="6" customWidth="1"/>
    <col min="15085" max="15333" width="9.125" style="6" customWidth="1"/>
    <col min="15334" max="15334" width="6.375" style="6" customWidth="1"/>
    <col min="15335" max="15335" width="34.25" style="6" customWidth="1"/>
    <col min="15336" max="15336" width="7.375" style="6" customWidth="1"/>
    <col min="15337" max="15337" width="6.375" style="6" customWidth="1"/>
    <col min="15338" max="15338" width="13.125" style="6" customWidth="1"/>
    <col min="15339" max="15339" width="15.375" style="6" customWidth="1"/>
    <col min="15340" max="15340" width="21.25" style="6" customWidth="1"/>
    <col min="15341" max="15589" width="9.125" style="6" customWidth="1"/>
    <col min="15590" max="15590" width="6.375" style="6" customWidth="1"/>
    <col min="15591" max="15591" width="34.25" style="6" customWidth="1"/>
    <col min="15592" max="15592" width="7.375" style="6" customWidth="1"/>
    <col min="15593" max="15593" width="6.375" style="6" customWidth="1"/>
    <col min="15594" max="15594" width="13.125" style="6" customWidth="1"/>
    <col min="15595" max="15595" width="15.375" style="6" customWidth="1"/>
    <col min="15596" max="15596" width="21.25" style="6" customWidth="1"/>
    <col min="15597" max="15845" width="9.125" style="6" customWidth="1"/>
    <col min="15846" max="15846" width="6.375" style="6" customWidth="1"/>
    <col min="15847" max="15847" width="34.25" style="6" customWidth="1"/>
    <col min="15848" max="15848" width="7.375" style="6" customWidth="1"/>
    <col min="15849" max="15849" width="6.375" style="6" customWidth="1"/>
    <col min="15850" max="15850" width="13.125" style="6" customWidth="1"/>
    <col min="15851" max="15851" width="15.375" style="6" customWidth="1"/>
    <col min="15852" max="15852" width="21.25" style="6" customWidth="1"/>
    <col min="15853" max="16101" width="9.125" style="6" customWidth="1"/>
    <col min="16102" max="16102" width="6.375" style="6" customWidth="1"/>
    <col min="16103" max="16103" width="34.25" style="6" customWidth="1"/>
    <col min="16104" max="16104" width="7.375" style="6" customWidth="1"/>
    <col min="16105" max="16105" width="6.375" style="6" customWidth="1"/>
    <col min="16106" max="16106" width="13.125" style="6" customWidth="1"/>
    <col min="16107" max="16107" width="15.375" style="6" customWidth="1"/>
    <col min="16108" max="16108" width="21.25" style="6" customWidth="1"/>
    <col min="16109" max="16384" width="9.125" style="6" customWidth="1"/>
  </cols>
  <sheetData>
    <row r="1" spans="1:10" ht="48" customHeight="1"/>
    <row r="2" spans="1:10" s="1" customFormat="1" ht="51" customHeight="1">
      <c r="A2" s="10" t="s">
        <v>507</v>
      </c>
      <c r="B2" s="11"/>
      <c r="C2" s="12"/>
      <c r="D2" s="11"/>
      <c r="E2" s="14"/>
      <c r="F2" s="14"/>
      <c r="G2" s="14"/>
      <c r="H2" s="15"/>
      <c r="I2" s="15"/>
      <c r="J2" s="15"/>
    </row>
    <row r="3" spans="1:10" ht="26.25" customHeight="1">
      <c r="A3" s="16"/>
      <c r="B3" s="17" t="s">
        <v>440</v>
      </c>
      <c r="C3" s="213"/>
      <c r="D3" s="217"/>
      <c r="E3" s="214"/>
      <c r="F3" s="214"/>
      <c r="G3" s="214"/>
      <c r="H3" s="220"/>
      <c r="I3" s="220"/>
      <c r="J3" s="220"/>
    </row>
    <row r="4" spans="1:10" ht="26.25" customHeight="1">
      <c r="A4" s="18"/>
      <c r="B4" s="5" t="s">
        <v>441</v>
      </c>
      <c r="C4" s="222"/>
      <c r="D4" s="217"/>
      <c r="E4" s="214"/>
      <c r="F4" s="214"/>
      <c r="G4" s="214"/>
      <c r="H4" s="220"/>
      <c r="I4" s="220"/>
      <c r="J4" s="220"/>
    </row>
    <row r="5" spans="1:10" ht="26.25" customHeight="1">
      <c r="A5" s="18"/>
      <c r="B5" s="5" t="s">
        <v>442</v>
      </c>
      <c r="C5" s="216"/>
      <c r="D5" s="217"/>
      <c r="E5" s="214"/>
      <c r="F5" s="214"/>
      <c r="G5" s="214"/>
      <c r="H5" s="220"/>
      <c r="I5" s="220"/>
      <c r="J5" s="220"/>
    </row>
    <row r="6" spans="1:10" ht="26.25" customHeight="1">
      <c r="A6" s="18"/>
      <c r="B6" s="5" t="s">
        <v>443</v>
      </c>
      <c r="C6" s="213" t="str">
        <f>INDEX(總表!$B$9:$B$47,MATCH('23A'!A9,總表!$A$9:$A$48,0))</f>
        <v>Hồ cảnh quan 1
一號景觀湖</v>
      </c>
      <c r="D6" s="217"/>
      <c r="E6" s="214"/>
      <c r="F6" s="214"/>
      <c r="G6" s="214"/>
      <c r="H6" s="220"/>
      <c r="I6" s="220"/>
      <c r="J6" s="220"/>
    </row>
    <row r="7" spans="1:10" ht="26.25" customHeight="1">
      <c r="A7" s="18"/>
      <c r="B7" s="5" t="s">
        <v>444</v>
      </c>
      <c r="C7" s="223" t="s">
        <v>445</v>
      </c>
      <c r="D7" s="224"/>
      <c r="E7" s="224"/>
      <c r="F7" s="224"/>
      <c r="G7" s="224"/>
      <c r="H7" s="224"/>
      <c r="I7" s="224"/>
      <c r="J7" s="224"/>
    </row>
    <row r="8" spans="1:10" s="2" customFormat="1" ht="41.25" customHeight="1">
      <c r="A8" s="19" t="s">
        <v>446</v>
      </c>
      <c r="B8" s="19" t="s">
        <v>508</v>
      </c>
      <c r="C8" s="19" t="s">
        <v>509</v>
      </c>
      <c r="D8" s="19" t="s">
        <v>448</v>
      </c>
      <c r="E8" s="19" t="s">
        <v>449</v>
      </c>
      <c r="F8" s="19" t="s">
        <v>511</v>
      </c>
      <c r="G8" s="19" t="s">
        <v>512</v>
      </c>
      <c r="H8" s="21" t="s">
        <v>450</v>
      </c>
      <c r="I8" s="21" t="s">
        <v>452</v>
      </c>
      <c r="J8" s="21" t="s">
        <v>514</v>
      </c>
    </row>
    <row r="9" spans="1:10" s="3" customFormat="1" ht="25.5" customHeight="1">
      <c r="A9" s="22" t="s">
        <v>482</v>
      </c>
      <c r="B9" s="23" t="str">
        <f>C6</f>
        <v>Hồ cảnh quan 1
一號景觀湖</v>
      </c>
      <c r="C9" s="23" t="s">
        <v>515</v>
      </c>
      <c r="D9" s="22"/>
      <c r="E9" s="25"/>
      <c r="F9" s="25">
        <f>_xlfn.XLOOKUP(B9, Rate_Master!$A:$A, Rate_Master!$C:$C, "")</f>
        <v>0</v>
      </c>
      <c r="G9" s="25">
        <f>_xlfn.XLOOKUP(B9, Rate_Master!$A:$A, Rate_Master!$D:$D, "")</f>
        <v>0</v>
      </c>
      <c r="H9" s="26"/>
      <c r="I9" s="26">
        <f>SUBTOTAL(9,I10:I67)</f>
        <v>590287860.26384997</v>
      </c>
      <c r="J9" s="26"/>
    </row>
    <row r="10" spans="1:10" s="3" customFormat="1" ht="25.5" customHeight="1">
      <c r="A10" s="22" t="str">
        <f>$A$9&amp;".C"</f>
        <v>23A.C</v>
      </c>
      <c r="B10" s="23" t="s">
        <v>1</v>
      </c>
      <c r="C10" s="23" t="s">
        <v>515</v>
      </c>
      <c r="D10" s="22"/>
      <c r="E10" s="25"/>
      <c r="F10" s="25">
        <f>_xlfn.XLOOKUP(B10, Rate_Master!$A:$A, Rate_Master!$C:$C, "")</f>
        <v>0</v>
      </c>
      <c r="G10" s="25">
        <f>_xlfn.XLOOKUP(B10, Rate_Master!$A:$A, Rate_Master!$D:$D, "")</f>
        <v>0</v>
      </c>
      <c r="H10" s="26"/>
      <c r="I10" s="26"/>
      <c r="J10" s="26"/>
    </row>
    <row r="11" spans="1:10" s="3" customFormat="1" ht="25.5" customHeight="1">
      <c r="A11" s="22" t="str">
        <f>$A$10&amp;1</f>
        <v>23A.C1</v>
      </c>
      <c r="B11" s="23" t="s">
        <v>2</v>
      </c>
      <c r="C11" s="23" t="s">
        <v>515</v>
      </c>
      <c r="D11" s="22"/>
      <c r="E11" s="25"/>
      <c r="F11" s="25">
        <f>_xlfn.XLOOKUP(B11, Rate_Master!$A:$A, Rate_Master!$C:$C, "")</f>
        <v>0</v>
      </c>
      <c r="G11" s="25">
        <f>_xlfn.XLOOKUP(B11, Rate_Master!$A:$A, Rate_Master!$D:$D, "")</f>
        <v>0</v>
      </c>
      <c r="H11" s="26"/>
      <c r="I11" s="26">
        <f>SUBTOTAL(9,I12:I22)</f>
        <v>0</v>
      </c>
      <c r="J11" s="26"/>
    </row>
    <row r="12" spans="1:10" s="4" customFormat="1" ht="25.5" customHeight="1" outlineLevel="1">
      <c r="A12" s="37" t="str">
        <f t="shared" ref="A12:A22" si="0">$A$11&amp;"."&amp;ROW()-ROW($A$11)</f>
        <v>23A.C1.1</v>
      </c>
      <c r="B12" s="38" t="s">
        <v>3</v>
      </c>
      <c r="C12" s="38" t="s">
        <v>515</v>
      </c>
      <c r="D12" s="39" t="s">
        <v>516</v>
      </c>
      <c r="E12" s="40">
        <v>0</v>
      </c>
      <c r="F12" s="40">
        <f>_xlfn.XLOOKUP(B12, Rate_Master!$A:$A, Rate_Master!$C:$C, "")</f>
        <v>0</v>
      </c>
      <c r="G12" s="40">
        <f>_xlfn.XLOOKUP(B12, Rate_Master!$A:$A, Rate_Master!$D:$D, "")</f>
        <v>114999999.99999999</v>
      </c>
      <c r="H12" s="41">
        <f t="shared" ref="H12:H22" si="1">F12+G12</f>
        <v>114999999.99999999</v>
      </c>
      <c r="I12" s="41">
        <f t="shared" ref="I12:I22" si="2">H12*E12</f>
        <v>0</v>
      </c>
      <c r="J12" s="41"/>
    </row>
    <row r="13" spans="1:10" s="4" customFormat="1" ht="25.5" customHeight="1" outlineLevel="1">
      <c r="A13" s="37" t="str">
        <f t="shared" si="0"/>
        <v>23A.C1.2</v>
      </c>
      <c r="B13" s="38" t="s">
        <v>4</v>
      </c>
      <c r="C13" s="38" t="s">
        <v>515</v>
      </c>
      <c r="D13" s="39" t="s">
        <v>517</v>
      </c>
      <c r="E13" s="40">
        <v>0</v>
      </c>
      <c r="F13" s="40">
        <f>_xlfn.XLOOKUP(B13, Rate_Master!$A:$A, Rate_Master!$C:$C, "")</f>
        <v>425499.99999999994</v>
      </c>
      <c r="G13" s="40">
        <f>_xlfn.XLOOKUP(B13, Rate_Master!$A:$A, Rate_Master!$D:$D, "")</f>
        <v>0</v>
      </c>
      <c r="H13" s="41">
        <f t="shared" si="1"/>
        <v>425499.99999999994</v>
      </c>
      <c r="I13" s="41">
        <f t="shared" si="2"/>
        <v>0</v>
      </c>
      <c r="J13" s="41"/>
    </row>
    <row r="14" spans="1:10" s="4" customFormat="1" ht="25.5" customHeight="1" outlineLevel="1">
      <c r="A14" s="37" t="str">
        <f t="shared" si="0"/>
        <v>23A.C1.3</v>
      </c>
      <c r="B14" s="38" t="s">
        <v>5</v>
      </c>
      <c r="C14" s="38" t="s">
        <v>515</v>
      </c>
      <c r="D14" s="39" t="s">
        <v>517</v>
      </c>
      <c r="E14" s="40">
        <v>0</v>
      </c>
      <c r="F14" s="40">
        <f>_xlfn.XLOOKUP(B14, Rate_Master!$A:$A, Rate_Master!$C:$C, "")</f>
        <v>0</v>
      </c>
      <c r="G14" s="40">
        <f>_xlfn.XLOOKUP(B14, Rate_Master!$A:$A, Rate_Master!$D:$D, "")</f>
        <v>69000</v>
      </c>
      <c r="H14" s="41">
        <f t="shared" si="1"/>
        <v>69000</v>
      </c>
      <c r="I14" s="41">
        <f t="shared" si="2"/>
        <v>0</v>
      </c>
      <c r="J14" s="41"/>
    </row>
    <row r="15" spans="1:10" s="4" customFormat="1" ht="25.5" customHeight="1" outlineLevel="1">
      <c r="A15" s="37" t="str">
        <f t="shared" si="0"/>
        <v>23A.C1.4</v>
      </c>
      <c r="B15" s="38" t="s">
        <v>6</v>
      </c>
      <c r="C15" s="38" t="s">
        <v>515</v>
      </c>
      <c r="D15" s="39" t="s">
        <v>517</v>
      </c>
      <c r="E15" s="40">
        <v>0</v>
      </c>
      <c r="F15" s="40">
        <f>_xlfn.XLOOKUP(B15, Rate_Master!$A:$A, Rate_Master!$C:$C, "")</f>
        <v>0</v>
      </c>
      <c r="G15" s="40">
        <f>_xlfn.XLOOKUP(B15, Rate_Master!$A:$A, Rate_Master!$D:$D, "")</f>
        <v>57499.999999999993</v>
      </c>
      <c r="H15" s="41">
        <f t="shared" si="1"/>
        <v>57499.999999999993</v>
      </c>
      <c r="I15" s="41">
        <f t="shared" si="2"/>
        <v>0</v>
      </c>
      <c r="J15" s="41"/>
    </row>
    <row r="16" spans="1:10" s="4" customFormat="1" ht="102" customHeight="1" outlineLevel="1">
      <c r="A16" s="37" t="str">
        <f t="shared" si="0"/>
        <v>23A.C1.5</v>
      </c>
      <c r="B16" s="38" t="s">
        <v>7</v>
      </c>
      <c r="C16" s="38" t="s">
        <v>515</v>
      </c>
      <c r="D16" s="39" t="s">
        <v>518</v>
      </c>
      <c r="E16" s="40">
        <v>0</v>
      </c>
      <c r="F16" s="40">
        <f>_xlfn.XLOOKUP(B16, Rate_Master!$A:$A, Rate_Master!$C:$C, "")</f>
        <v>0</v>
      </c>
      <c r="G16" s="40">
        <f>_xlfn.XLOOKUP(B16, Rate_Master!$A:$A, Rate_Master!$D:$D, "")</f>
        <v>13799999.999999998</v>
      </c>
      <c r="H16" s="41">
        <f t="shared" si="1"/>
        <v>13799999.999999998</v>
      </c>
      <c r="I16" s="41">
        <f t="shared" si="2"/>
        <v>0</v>
      </c>
      <c r="J16" s="41"/>
    </row>
    <row r="17" spans="1:10" s="4" customFormat="1" ht="25.5" customHeight="1" outlineLevel="1">
      <c r="A17" s="37" t="str">
        <f t="shared" si="0"/>
        <v>23A.C1.6</v>
      </c>
      <c r="B17" s="38" t="s">
        <v>8</v>
      </c>
      <c r="C17" s="38" t="s">
        <v>515</v>
      </c>
      <c r="D17" s="39" t="s">
        <v>518</v>
      </c>
      <c r="E17" s="40">
        <v>0</v>
      </c>
      <c r="F17" s="40">
        <f>_xlfn.XLOOKUP(B17, Rate_Master!$A:$A, Rate_Master!$C:$C, "")</f>
        <v>0</v>
      </c>
      <c r="G17" s="40">
        <f>_xlfn.XLOOKUP(B17, Rate_Master!$A:$A, Rate_Master!$D:$D, "")</f>
        <v>252999.99999999997</v>
      </c>
      <c r="H17" s="41">
        <f t="shared" si="1"/>
        <v>252999.99999999997</v>
      </c>
      <c r="I17" s="41">
        <f t="shared" si="2"/>
        <v>0</v>
      </c>
      <c r="J17" s="41"/>
    </row>
    <row r="18" spans="1:10" s="4" customFormat="1" ht="25.5" customHeight="1" outlineLevel="1">
      <c r="A18" s="37" t="str">
        <f t="shared" si="0"/>
        <v>23A.C1.7</v>
      </c>
      <c r="B18" s="38" t="s">
        <v>9</v>
      </c>
      <c r="C18" s="38" t="s">
        <v>515</v>
      </c>
      <c r="D18" s="39" t="s">
        <v>517</v>
      </c>
      <c r="E18" s="40">
        <v>0</v>
      </c>
      <c r="F18" s="40">
        <f>_xlfn.XLOOKUP(B18, Rate_Master!$A:$A, Rate_Master!$C:$C, "")</f>
        <v>402499.99999999994</v>
      </c>
      <c r="G18" s="40">
        <f>_xlfn.XLOOKUP(B18, Rate_Master!$A:$A, Rate_Master!$D:$D, "")</f>
        <v>0</v>
      </c>
      <c r="H18" s="41">
        <f t="shared" si="1"/>
        <v>402499.99999999994</v>
      </c>
      <c r="I18" s="41">
        <f t="shared" si="2"/>
        <v>0</v>
      </c>
      <c r="J18" s="41"/>
    </row>
    <row r="19" spans="1:10" s="4" customFormat="1" ht="25.5" customHeight="1" outlineLevel="1">
      <c r="A19" s="37" t="str">
        <f t="shared" si="0"/>
        <v>23A.C1.8</v>
      </c>
      <c r="B19" s="38" t="s">
        <v>10</v>
      </c>
      <c r="C19" s="38" t="s">
        <v>515</v>
      </c>
      <c r="D19" s="39" t="s">
        <v>518</v>
      </c>
      <c r="E19" s="40">
        <v>0</v>
      </c>
      <c r="F19" s="40">
        <f>_xlfn.XLOOKUP(B19, Rate_Master!$A:$A, Rate_Master!$C:$C, "")</f>
        <v>80500</v>
      </c>
      <c r="G19" s="40">
        <f>_xlfn.XLOOKUP(B19, Rate_Master!$A:$A, Rate_Master!$D:$D, "")</f>
        <v>0</v>
      </c>
      <c r="H19" s="41">
        <f t="shared" si="1"/>
        <v>80500</v>
      </c>
      <c r="I19" s="41">
        <f t="shared" si="2"/>
        <v>0</v>
      </c>
      <c r="J19" s="41"/>
    </row>
    <row r="20" spans="1:10" s="4" customFormat="1" ht="25.5" customHeight="1" outlineLevel="1">
      <c r="A20" s="37" t="str">
        <f t="shared" si="0"/>
        <v>23A.C1.9</v>
      </c>
      <c r="B20" s="38" t="s">
        <v>11</v>
      </c>
      <c r="C20" s="38" t="s">
        <v>515</v>
      </c>
      <c r="D20" s="39" t="s">
        <v>517</v>
      </c>
      <c r="E20" s="40">
        <v>0</v>
      </c>
      <c r="F20" s="40">
        <f>_xlfn.XLOOKUP(B20, Rate_Master!$A:$A, Rate_Master!$C:$C, "")</f>
        <v>0</v>
      </c>
      <c r="G20" s="40">
        <f>_xlfn.XLOOKUP(B20, Rate_Master!$A:$A, Rate_Master!$D:$D, "")</f>
        <v>69000</v>
      </c>
      <c r="H20" s="41">
        <f t="shared" si="1"/>
        <v>69000</v>
      </c>
      <c r="I20" s="41">
        <f t="shared" si="2"/>
        <v>0</v>
      </c>
      <c r="J20" s="41"/>
    </row>
    <row r="21" spans="1:10" s="4" customFormat="1" ht="25.5" customHeight="1" outlineLevel="1">
      <c r="A21" s="37" t="str">
        <f t="shared" si="0"/>
        <v>23A.C1.10</v>
      </c>
      <c r="B21" s="38" t="s">
        <v>12</v>
      </c>
      <c r="C21" s="38" t="s">
        <v>515</v>
      </c>
      <c r="D21" s="39" t="s">
        <v>517</v>
      </c>
      <c r="E21" s="40">
        <v>0</v>
      </c>
      <c r="F21" s="40">
        <f>_xlfn.XLOOKUP(B21, Rate_Master!$A:$A, Rate_Master!$C:$C, "")</f>
        <v>0</v>
      </c>
      <c r="G21" s="40">
        <f>_xlfn.XLOOKUP(B21, Rate_Master!$A:$A, Rate_Master!$D:$D, "")</f>
        <v>57499.999999999993</v>
      </c>
      <c r="H21" s="41">
        <f t="shared" si="1"/>
        <v>57499.999999999993</v>
      </c>
      <c r="I21" s="41">
        <f t="shared" si="2"/>
        <v>0</v>
      </c>
      <c r="J21" s="41"/>
    </row>
    <row r="22" spans="1:10" s="4" customFormat="1" ht="63.75" customHeight="1" outlineLevel="1">
      <c r="A22" s="37" t="str">
        <f t="shared" si="0"/>
        <v>23A.C1.11</v>
      </c>
      <c r="B22" s="38" t="s">
        <v>13</v>
      </c>
      <c r="C22" s="38" t="s">
        <v>515</v>
      </c>
      <c r="D22" s="39" t="s">
        <v>518</v>
      </c>
      <c r="E22" s="40">
        <v>0</v>
      </c>
      <c r="F22" s="40">
        <f>_xlfn.XLOOKUP(B22, Rate_Master!$A:$A, Rate_Master!$C:$C, "")</f>
        <v>482999.99999999994</v>
      </c>
      <c r="G22" s="40">
        <f>_xlfn.XLOOKUP(B22, Rate_Master!$A:$A, Rate_Master!$D:$D, "")</f>
        <v>161000</v>
      </c>
      <c r="H22" s="41">
        <f t="shared" si="1"/>
        <v>644000</v>
      </c>
      <c r="I22" s="41">
        <f t="shared" si="2"/>
        <v>0</v>
      </c>
      <c r="J22" s="41"/>
    </row>
    <row r="23" spans="1:10" s="3" customFormat="1" ht="25.5" customHeight="1">
      <c r="A23" s="22" t="str">
        <f>$A$10&amp;2</f>
        <v>23A.C2</v>
      </c>
      <c r="B23" s="23" t="s">
        <v>14</v>
      </c>
      <c r="C23" s="23" t="s">
        <v>515</v>
      </c>
      <c r="D23" s="22"/>
      <c r="E23" s="25"/>
      <c r="F23" s="25">
        <f>_xlfn.XLOOKUP(B23, Rate_Master!$A:$A, Rate_Master!$C:$C, "")</f>
        <v>0</v>
      </c>
      <c r="G23" s="25">
        <f>_xlfn.XLOOKUP(B23, Rate_Master!$A:$A, Rate_Master!$D:$D, "")</f>
        <v>0</v>
      </c>
      <c r="H23" s="26"/>
      <c r="I23" s="26">
        <f>SUBTOTAL(9,I24:I31)</f>
        <v>58098605.474999994</v>
      </c>
      <c r="J23" s="26"/>
    </row>
    <row r="24" spans="1:10" s="4" customFormat="1" ht="25.5" customHeight="1" outlineLevel="1">
      <c r="A24" s="27" t="str">
        <f t="shared" ref="A24:A31" si="3">$A$23&amp;"."&amp;ROW()-ROW($A$23)</f>
        <v>23A.C2.1</v>
      </c>
      <c r="B24" s="28" t="s">
        <v>15</v>
      </c>
      <c r="C24" s="28" t="s">
        <v>515</v>
      </c>
      <c r="D24" s="29" t="s">
        <v>519</v>
      </c>
      <c r="E24" s="31">
        <v>351.154</v>
      </c>
      <c r="F24" s="31">
        <f>_xlfn.XLOOKUP(B24, Rate_Master!$A:$A, Rate_Master!$C:$C, "")</f>
        <v>0</v>
      </c>
      <c r="G24" s="31">
        <f>_xlfn.XLOOKUP(B24, Rate_Master!$A:$A, Rate_Master!$D:$D, "")</f>
        <v>32199.999999999996</v>
      </c>
      <c r="H24" s="66">
        <f t="shared" ref="H24:H31" si="4">F24+G24</f>
        <v>32199.999999999996</v>
      </c>
      <c r="I24" s="32">
        <f t="shared" ref="I24:I31" si="5">H24*E24</f>
        <v>11307158.799999999</v>
      </c>
      <c r="J24" s="32"/>
    </row>
    <row r="25" spans="1:10" s="4" customFormat="1" ht="25.5" customHeight="1" outlineLevel="1">
      <c r="A25" s="27" t="str">
        <f t="shared" si="3"/>
        <v>23A.C2.2</v>
      </c>
      <c r="B25" s="28" t="s">
        <v>16</v>
      </c>
      <c r="C25" s="28" t="s">
        <v>515</v>
      </c>
      <c r="D25" s="29" t="s">
        <v>520</v>
      </c>
      <c r="E25" s="31">
        <v>143.803</v>
      </c>
      <c r="F25" s="31">
        <f>_xlfn.XLOOKUP(B25, Rate_Master!$A:$A, Rate_Master!$C:$C, "")</f>
        <v>0</v>
      </c>
      <c r="G25" s="31">
        <f>_xlfn.XLOOKUP(B25, Rate_Master!$A:$A, Rate_Master!$D:$D, "")</f>
        <v>17250</v>
      </c>
      <c r="H25" s="66">
        <f t="shared" si="4"/>
        <v>17250</v>
      </c>
      <c r="I25" s="32">
        <f t="shared" si="5"/>
        <v>2480601.75</v>
      </c>
      <c r="J25" s="32"/>
    </row>
    <row r="26" spans="1:10" s="4" customFormat="1" ht="25.5" customHeight="1" outlineLevel="1">
      <c r="A26" s="27" t="str">
        <f t="shared" si="3"/>
        <v>23A.C2.3</v>
      </c>
      <c r="B26" s="28" t="s">
        <v>17</v>
      </c>
      <c r="C26" s="28" t="s">
        <v>515</v>
      </c>
      <c r="D26" s="29" t="s">
        <v>519</v>
      </c>
      <c r="E26" s="31">
        <v>149.78899999999999</v>
      </c>
      <c r="F26" s="31">
        <f>_xlfn.XLOOKUP(B26, Rate_Master!$A:$A, Rate_Master!$C:$C, "")</f>
        <v>0</v>
      </c>
      <c r="G26" s="31">
        <f>_xlfn.XLOOKUP(B26, Rate_Master!$A:$A, Rate_Master!$D:$D, "")</f>
        <v>37950</v>
      </c>
      <c r="H26" s="66">
        <f t="shared" si="4"/>
        <v>37950</v>
      </c>
      <c r="I26" s="32">
        <f t="shared" si="5"/>
        <v>5684492.5499999998</v>
      </c>
      <c r="J26" s="32"/>
    </row>
    <row r="27" spans="1:10" s="4" customFormat="1" ht="25.5" customHeight="1" outlineLevel="1">
      <c r="A27" s="27" t="str">
        <f t="shared" si="3"/>
        <v>23A.C2.4</v>
      </c>
      <c r="B27" s="34" t="s">
        <v>18</v>
      </c>
      <c r="C27" s="34" t="s">
        <v>521</v>
      </c>
      <c r="D27" s="29" t="s">
        <v>519</v>
      </c>
      <c r="E27" s="31">
        <v>201.36500000000001</v>
      </c>
      <c r="F27" s="31">
        <f>_xlfn.XLOOKUP(B27, Rate_Master!$A:$A, Rate_Master!$C:$C, "")</f>
        <v>0</v>
      </c>
      <c r="G27" s="31">
        <f>_xlfn.XLOOKUP(B27, Rate_Master!$A:$A, Rate_Master!$D:$D, "")</f>
        <v>32199.999999999996</v>
      </c>
      <c r="H27" s="66">
        <f t="shared" si="4"/>
        <v>32199.999999999996</v>
      </c>
      <c r="I27" s="32">
        <f t="shared" si="5"/>
        <v>6483953</v>
      </c>
      <c r="J27" s="32"/>
    </row>
    <row r="28" spans="1:10" s="4" customFormat="1" ht="25.5" customHeight="1" outlineLevel="1">
      <c r="A28" s="27" t="str">
        <f t="shared" si="3"/>
        <v>23A.C2.5</v>
      </c>
      <c r="B28" s="28" t="s">
        <v>19</v>
      </c>
      <c r="C28" s="28" t="s">
        <v>515</v>
      </c>
      <c r="D28" s="29" t="s">
        <v>520</v>
      </c>
      <c r="E28" s="31">
        <v>143.803</v>
      </c>
      <c r="F28" s="31">
        <f>_xlfn.XLOOKUP(B28, Rate_Master!$A:$A, Rate_Master!$C:$C, "")</f>
        <v>6899.9999999999991</v>
      </c>
      <c r="G28" s="31">
        <f>_xlfn.XLOOKUP(B28, Rate_Master!$A:$A, Rate_Master!$D:$D, "")</f>
        <v>1724.9999999999998</v>
      </c>
      <c r="H28" s="66">
        <f t="shared" si="4"/>
        <v>8624.9999999999982</v>
      </c>
      <c r="I28" s="32">
        <f t="shared" si="5"/>
        <v>1240300.8749999998</v>
      </c>
      <c r="J28" s="32"/>
    </row>
    <row r="29" spans="1:10" s="4" customFormat="1" ht="38.25" customHeight="1" outlineLevel="1">
      <c r="A29" s="27" t="str">
        <f t="shared" si="3"/>
        <v>23A.C2.6</v>
      </c>
      <c r="B29" s="28" t="s">
        <v>20</v>
      </c>
      <c r="C29" s="28" t="s">
        <v>515</v>
      </c>
      <c r="D29" s="29" t="s">
        <v>520</v>
      </c>
      <c r="E29" s="31">
        <v>0</v>
      </c>
      <c r="F29" s="31">
        <f>_xlfn.XLOOKUP(B29, Rate_Master!$A:$A, Rate_Master!$C:$C, "")</f>
        <v>34500</v>
      </c>
      <c r="G29" s="31">
        <f>_xlfn.XLOOKUP(B29, Rate_Master!$A:$A, Rate_Master!$D:$D, "")</f>
        <v>5750</v>
      </c>
      <c r="H29" s="66">
        <f t="shared" si="4"/>
        <v>40250</v>
      </c>
      <c r="I29" s="32">
        <f t="shared" si="5"/>
        <v>0</v>
      </c>
      <c r="J29" s="32"/>
    </row>
    <row r="30" spans="1:10" s="4" customFormat="1" ht="25.5" customHeight="1" outlineLevel="1">
      <c r="A30" s="27" t="str">
        <f t="shared" si="3"/>
        <v>23A.C2.7</v>
      </c>
      <c r="B30" s="34" t="s">
        <v>21</v>
      </c>
      <c r="C30" s="28" t="s">
        <v>515</v>
      </c>
      <c r="D30" s="29" t="s">
        <v>520</v>
      </c>
      <c r="E30" s="31">
        <v>0</v>
      </c>
      <c r="F30" s="31">
        <f>_xlfn.XLOOKUP(B30, Rate_Master!$A:$A, Rate_Master!$C:$C, "")</f>
        <v>0</v>
      </c>
      <c r="G30" s="31">
        <f>_xlfn.XLOOKUP(B30, Rate_Master!$A:$A, Rate_Master!$D:$D, "")</f>
        <v>13799.999999999998</v>
      </c>
      <c r="H30" s="32">
        <f t="shared" si="4"/>
        <v>13799.999999999998</v>
      </c>
      <c r="I30" s="32">
        <f t="shared" si="5"/>
        <v>0</v>
      </c>
      <c r="J30" s="32"/>
    </row>
    <row r="31" spans="1:10" s="4" customFormat="1" ht="25.5" customHeight="1" outlineLevel="1">
      <c r="A31" s="27" t="str">
        <f t="shared" si="3"/>
        <v>23A.C2.8</v>
      </c>
      <c r="B31" s="28" t="s">
        <v>22</v>
      </c>
      <c r="C31" s="28" t="s">
        <v>515</v>
      </c>
      <c r="D31" s="29" t="s">
        <v>519</v>
      </c>
      <c r="E31" s="31">
        <v>50.18</v>
      </c>
      <c r="F31" s="31">
        <f>_xlfn.XLOOKUP(B31, Rate_Master!$A:$A, Rate_Master!$C:$C, "")</f>
        <v>512325</v>
      </c>
      <c r="G31" s="31">
        <f>_xlfn.XLOOKUP(B31, Rate_Master!$A:$A, Rate_Master!$D:$D, "")</f>
        <v>103499.99999999999</v>
      </c>
      <c r="H31" s="66">
        <f t="shared" si="4"/>
        <v>615825</v>
      </c>
      <c r="I31" s="32">
        <f t="shared" si="5"/>
        <v>30902098.5</v>
      </c>
      <c r="J31" s="32"/>
    </row>
    <row r="32" spans="1:10" s="3" customFormat="1" ht="25.5" customHeight="1">
      <c r="A32" s="22" t="str">
        <f>$A$10&amp;3</f>
        <v>23A.C3</v>
      </c>
      <c r="B32" s="23" t="s">
        <v>23</v>
      </c>
      <c r="C32" s="23" t="s">
        <v>515</v>
      </c>
      <c r="D32" s="22"/>
      <c r="E32" s="25"/>
      <c r="F32" s="25">
        <f>_xlfn.XLOOKUP(B32, Rate_Master!$A:$A, Rate_Master!$C:$C, "")</f>
        <v>0</v>
      </c>
      <c r="G32" s="25">
        <f>_xlfn.XLOOKUP(B32, Rate_Master!$A:$A, Rate_Master!$D:$D, "")</f>
        <v>0</v>
      </c>
      <c r="H32" s="26"/>
      <c r="I32" s="26">
        <f>SUBTOTAL(9,I33:I39)</f>
        <v>137221291.87499997</v>
      </c>
      <c r="J32" s="26"/>
    </row>
    <row r="33" spans="1:10" s="4" customFormat="1" ht="25.5" customHeight="1" outlineLevel="1">
      <c r="A33" s="27" t="str">
        <f t="shared" ref="A33:A39" si="6">$A$32&amp;"."&amp;ROW()-ROW($A$32)</f>
        <v>23A.C3.1</v>
      </c>
      <c r="B33" s="28" t="s">
        <v>24</v>
      </c>
      <c r="C33" s="28" t="s">
        <v>515</v>
      </c>
      <c r="D33" s="29" t="s">
        <v>519</v>
      </c>
      <c r="E33" s="31">
        <v>14.35</v>
      </c>
      <c r="F33" s="30">
        <f>_xlfn.XLOOKUP(B33, Rate_Master!$A:$A, Rate_Master!$C:$C, "")</f>
        <v>1249762.5</v>
      </c>
      <c r="G33" s="30">
        <f>_xlfn.XLOOKUP(B33, Rate_Master!$A:$A, Rate_Master!$D:$D, "")</f>
        <v>206999.99999999997</v>
      </c>
      <c r="H33" s="66">
        <f t="shared" ref="H33:H39" si="7">F33+G33</f>
        <v>1456762.5</v>
      </c>
      <c r="I33" s="32">
        <f t="shared" ref="I33:I39" si="8">H33*E33</f>
        <v>20904541.875</v>
      </c>
      <c r="J33" s="32"/>
    </row>
    <row r="34" spans="1:10" s="4" customFormat="1" ht="51" customHeight="1" outlineLevel="1">
      <c r="A34" s="27" t="str">
        <f t="shared" si="6"/>
        <v>23A.C3.2</v>
      </c>
      <c r="B34" s="28" t="s">
        <v>25</v>
      </c>
      <c r="C34" s="28" t="s">
        <v>515</v>
      </c>
      <c r="D34" s="29" t="s">
        <v>519</v>
      </c>
      <c r="E34" s="31">
        <v>66.203999999999994</v>
      </c>
      <c r="F34" s="30">
        <f>_xlfn.XLOOKUP(B34, Rate_Master!$A:$A, Rate_Master!$C:$C, "")</f>
        <v>1607444.4444444443</v>
      </c>
      <c r="G34" s="30">
        <f>_xlfn.XLOOKUP(B34, Rate_Master!$A:$A, Rate_Master!$D:$D, "")</f>
        <v>149500</v>
      </c>
      <c r="H34" s="66">
        <f t="shared" si="7"/>
        <v>1756944.4444444443</v>
      </c>
      <c r="I34" s="32">
        <f t="shared" si="8"/>
        <v>116316749.99999997</v>
      </c>
      <c r="J34" s="32"/>
    </row>
    <row r="35" spans="1:10" s="4" customFormat="1" ht="25.5" customHeight="1" outlineLevel="1">
      <c r="A35" s="27" t="str">
        <f t="shared" si="6"/>
        <v>23A.C3.3</v>
      </c>
      <c r="B35" s="28" t="s">
        <v>26</v>
      </c>
      <c r="C35" s="28" t="s">
        <v>515</v>
      </c>
      <c r="D35" s="29" t="s">
        <v>519</v>
      </c>
      <c r="E35" s="31">
        <v>0</v>
      </c>
      <c r="F35" s="30">
        <f>_xlfn.XLOOKUP(B35, Rate_Master!$A:$A, Rate_Master!$C:$C, "")</f>
        <v>1520555.5555555553</v>
      </c>
      <c r="G35" s="30">
        <f>_xlfn.XLOOKUP(B35, Rate_Master!$A:$A, Rate_Master!$D:$D, "")</f>
        <v>252999.99999999997</v>
      </c>
      <c r="H35" s="32">
        <f t="shared" si="7"/>
        <v>1773555.5555555553</v>
      </c>
      <c r="I35" s="32">
        <f t="shared" si="8"/>
        <v>0</v>
      </c>
      <c r="J35" s="32"/>
    </row>
    <row r="36" spans="1:10" s="4" customFormat="1" ht="25.5" customHeight="1" outlineLevel="1">
      <c r="A36" s="27" t="str">
        <f t="shared" si="6"/>
        <v>23A.C3.4</v>
      </c>
      <c r="B36" s="28" t="s">
        <v>27</v>
      </c>
      <c r="C36" s="28" t="s">
        <v>515</v>
      </c>
      <c r="D36" s="29" t="s">
        <v>519</v>
      </c>
      <c r="E36" s="31">
        <v>0</v>
      </c>
      <c r="F36" s="30">
        <f>_xlfn.XLOOKUP(B36, Rate_Master!$A:$A, Rate_Master!$C:$C, "")</f>
        <v>1520555.5555555553</v>
      </c>
      <c r="G36" s="30">
        <f>_xlfn.XLOOKUP(B36, Rate_Master!$A:$A, Rate_Master!$D:$D, "")</f>
        <v>149500</v>
      </c>
      <c r="H36" s="32">
        <f t="shared" si="7"/>
        <v>1670055.5555555553</v>
      </c>
      <c r="I36" s="32">
        <f t="shared" si="8"/>
        <v>0</v>
      </c>
      <c r="J36" s="32"/>
    </row>
    <row r="37" spans="1:10" s="4" customFormat="1" ht="25.5" customHeight="1" outlineLevel="1">
      <c r="A37" s="27" t="str">
        <f t="shared" si="6"/>
        <v>23A.C3.5</v>
      </c>
      <c r="B37" s="28" t="s">
        <v>28</v>
      </c>
      <c r="C37" s="28" t="s">
        <v>515</v>
      </c>
      <c r="D37" s="29" t="s">
        <v>519</v>
      </c>
      <c r="E37" s="31">
        <v>0</v>
      </c>
      <c r="F37" s="30">
        <f>_xlfn.XLOOKUP(B37, Rate_Master!$A:$A, Rate_Master!$C:$C, "")</f>
        <v>1390222.2222222222</v>
      </c>
      <c r="G37" s="30">
        <f>_xlfn.XLOOKUP(B37, Rate_Master!$A:$A, Rate_Master!$D:$D, "")</f>
        <v>149500</v>
      </c>
      <c r="H37" s="32">
        <f t="shared" si="7"/>
        <v>1539722.2222222222</v>
      </c>
      <c r="I37" s="32">
        <f t="shared" si="8"/>
        <v>0</v>
      </c>
      <c r="J37" s="32"/>
    </row>
    <row r="38" spans="1:10" s="4" customFormat="1" ht="25.5" customHeight="1" outlineLevel="1">
      <c r="A38" s="27" t="str">
        <f t="shared" si="6"/>
        <v>23A.C3.6</v>
      </c>
      <c r="B38" s="28" t="s">
        <v>29</v>
      </c>
      <c r="C38" s="28" t="s">
        <v>515</v>
      </c>
      <c r="D38" s="29" t="s">
        <v>519</v>
      </c>
      <c r="E38" s="31">
        <v>0</v>
      </c>
      <c r="F38" s="30">
        <f>_xlfn.XLOOKUP(B38, Rate_Master!$A:$A, Rate_Master!$C:$C, "")</f>
        <v>1390222.2222222222</v>
      </c>
      <c r="G38" s="30">
        <f>_xlfn.XLOOKUP(B38, Rate_Master!$A:$A, Rate_Master!$D:$D, "")</f>
        <v>149500</v>
      </c>
      <c r="H38" s="32">
        <f t="shared" si="7"/>
        <v>1539722.2222222222</v>
      </c>
      <c r="I38" s="32">
        <f t="shared" si="8"/>
        <v>0</v>
      </c>
      <c r="J38" s="32"/>
    </row>
    <row r="39" spans="1:10" s="4" customFormat="1" ht="38.25" customHeight="1" outlineLevel="1">
      <c r="A39" s="27" t="str">
        <f t="shared" si="6"/>
        <v>23A.C3.7</v>
      </c>
      <c r="B39" s="28" t="s">
        <v>30</v>
      </c>
      <c r="C39" s="28" t="s">
        <v>515</v>
      </c>
      <c r="D39" s="29" t="s">
        <v>519</v>
      </c>
      <c r="E39" s="31">
        <v>0</v>
      </c>
      <c r="F39" s="30">
        <f>_xlfn.XLOOKUP(B39, Rate_Master!$A:$A, Rate_Master!$C:$C, "")</f>
        <v>22425000</v>
      </c>
      <c r="G39" s="30">
        <f>_xlfn.XLOOKUP(B39, Rate_Master!$A:$A, Rate_Master!$D:$D, "")</f>
        <v>8003999.9999999991</v>
      </c>
      <c r="H39" s="32">
        <f t="shared" si="7"/>
        <v>30429000</v>
      </c>
      <c r="I39" s="32">
        <f t="shared" si="8"/>
        <v>0</v>
      </c>
      <c r="J39" s="32"/>
    </row>
    <row r="40" spans="1:10" s="3" customFormat="1" ht="25.5" customHeight="1">
      <c r="A40" s="22" t="str">
        <f>$A$10&amp;4</f>
        <v>23A.C4</v>
      </c>
      <c r="B40" s="23" t="s">
        <v>31</v>
      </c>
      <c r="C40" s="23" t="s">
        <v>515</v>
      </c>
      <c r="D40" s="22"/>
      <c r="E40" s="25"/>
      <c r="F40" s="25">
        <f>_xlfn.XLOOKUP(B40, Rate_Master!$A:$A, Rate_Master!$C:$C, "")</f>
        <v>0</v>
      </c>
      <c r="G40" s="25">
        <f>_xlfn.XLOOKUP(B40, Rate_Master!$A:$A, Rate_Master!$D:$D, "")</f>
        <v>0</v>
      </c>
      <c r="H40" s="26"/>
      <c r="I40" s="26">
        <f>SUBTOTAL(9,I41:I45)</f>
        <v>51887137.5</v>
      </c>
      <c r="J40" s="26"/>
    </row>
    <row r="41" spans="1:10" s="4" customFormat="1" ht="25.5" customHeight="1" outlineLevel="1">
      <c r="A41" s="27" t="str">
        <f>$A$40&amp;"."&amp;ROW()-ROW($A$40)</f>
        <v>23A.C4.1</v>
      </c>
      <c r="B41" s="28" t="s">
        <v>32</v>
      </c>
      <c r="C41" s="28" t="s">
        <v>515</v>
      </c>
      <c r="D41" s="29" t="s">
        <v>520</v>
      </c>
      <c r="E41" s="31">
        <v>6.8310000000000004</v>
      </c>
      <c r="F41" s="30">
        <f>_xlfn.XLOOKUP(B41, Rate_Master!$A:$A, Rate_Master!$C:$C, "")</f>
        <v>80500</v>
      </c>
      <c r="G41" s="30">
        <f>_xlfn.XLOOKUP(B41, Rate_Master!$A:$A, Rate_Master!$D:$D, "")</f>
        <v>92000</v>
      </c>
      <c r="H41" s="66">
        <f>F41+G41</f>
        <v>172500</v>
      </c>
      <c r="I41" s="32">
        <f>H41*E41</f>
        <v>1178347.5</v>
      </c>
      <c r="J41" s="32"/>
    </row>
    <row r="42" spans="1:10" s="4" customFormat="1" ht="38.25" customHeight="1" outlineLevel="1">
      <c r="A42" s="27" t="str">
        <f>$A$40&amp;"."&amp;ROW()-ROW($A$40)</f>
        <v>23A.C4.2</v>
      </c>
      <c r="B42" s="28" t="s">
        <v>33</v>
      </c>
      <c r="C42" s="28" t="s">
        <v>515</v>
      </c>
      <c r="D42" s="29" t="s">
        <v>520</v>
      </c>
      <c r="E42" s="31">
        <v>220.47300000000001</v>
      </c>
      <c r="F42" s="30">
        <f>_xlfn.XLOOKUP(B42, Rate_Master!$A:$A, Rate_Master!$C:$C, "")</f>
        <v>126499.99999999999</v>
      </c>
      <c r="G42" s="30">
        <f>_xlfn.XLOOKUP(B42, Rate_Master!$A:$A, Rate_Master!$D:$D, "")</f>
        <v>103499.99999999999</v>
      </c>
      <c r="H42" s="66">
        <f>F42+G42</f>
        <v>229999.99999999997</v>
      </c>
      <c r="I42" s="32">
        <f>H42*E42</f>
        <v>50708790</v>
      </c>
      <c r="J42" s="32"/>
    </row>
    <row r="43" spans="1:10" s="4" customFormat="1" ht="25.5" customHeight="1" outlineLevel="1">
      <c r="A43" s="27" t="str">
        <f>$A$40&amp;"."&amp;ROW()-ROW($A$40)</f>
        <v>23A.C4.3</v>
      </c>
      <c r="B43" s="28" t="s">
        <v>34</v>
      </c>
      <c r="C43" s="28" t="s">
        <v>515</v>
      </c>
      <c r="D43" s="29" t="s">
        <v>520</v>
      </c>
      <c r="E43" s="31">
        <v>0</v>
      </c>
      <c r="F43" s="30">
        <f>_xlfn.XLOOKUP(B43, Rate_Master!$A:$A, Rate_Master!$C:$C, "")</f>
        <v>126499.99999999999</v>
      </c>
      <c r="G43" s="30">
        <f>_xlfn.XLOOKUP(B43, Rate_Master!$A:$A, Rate_Master!$D:$D, "")</f>
        <v>149500</v>
      </c>
      <c r="H43" s="32">
        <f>F43+G43</f>
        <v>276000</v>
      </c>
      <c r="I43" s="32">
        <f>H43*E43</f>
        <v>0</v>
      </c>
      <c r="J43" s="32"/>
    </row>
    <row r="44" spans="1:10" s="4" customFormat="1" ht="25.5" customHeight="1" outlineLevel="1">
      <c r="A44" s="27" t="str">
        <f>$A$40&amp;"."&amp;ROW()-ROW($A$40)</f>
        <v>23A.C4.4</v>
      </c>
      <c r="B44" s="28" t="s">
        <v>35</v>
      </c>
      <c r="C44" s="28" t="s">
        <v>515</v>
      </c>
      <c r="D44" s="29" t="s">
        <v>520</v>
      </c>
      <c r="E44" s="31">
        <v>0</v>
      </c>
      <c r="F44" s="30">
        <f>_xlfn.XLOOKUP(B44, Rate_Master!$A:$A, Rate_Master!$C:$C, "")</f>
        <v>126499.99999999999</v>
      </c>
      <c r="G44" s="30">
        <f>_xlfn.XLOOKUP(B44, Rate_Master!$A:$A, Rate_Master!$D:$D, "")</f>
        <v>114999.99999999999</v>
      </c>
      <c r="H44" s="32">
        <f>F44+G44</f>
        <v>241499.99999999997</v>
      </c>
      <c r="I44" s="32">
        <f>H44*E44</f>
        <v>0</v>
      </c>
      <c r="J44" s="32"/>
    </row>
    <row r="45" spans="1:10" s="4" customFormat="1" ht="25.5" customHeight="1" outlineLevel="1">
      <c r="A45" s="27" t="str">
        <f>$A$40&amp;"."&amp;ROW()-ROW($A$40)</f>
        <v>23A.C4.5</v>
      </c>
      <c r="B45" s="28" t="s">
        <v>36</v>
      </c>
      <c r="C45" s="28" t="s">
        <v>515</v>
      </c>
      <c r="D45" s="29" t="s">
        <v>520</v>
      </c>
      <c r="E45" s="31">
        <v>0</v>
      </c>
      <c r="F45" s="30">
        <f>_xlfn.XLOOKUP(B45, Rate_Master!$A:$A, Rate_Master!$C:$C, "")</f>
        <v>126499.99999999999</v>
      </c>
      <c r="G45" s="30">
        <f>_xlfn.XLOOKUP(B45, Rate_Master!$A:$A, Rate_Master!$D:$D, "")</f>
        <v>97749.999999999985</v>
      </c>
      <c r="H45" s="32">
        <f>F45+G45</f>
        <v>224249.99999999997</v>
      </c>
      <c r="I45" s="32">
        <f>H45*E45</f>
        <v>0</v>
      </c>
      <c r="J45" s="32"/>
    </row>
    <row r="46" spans="1:10" s="3" customFormat="1" ht="25.5" customHeight="1">
      <c r="A46" s="22" t="str">
        <f>$A$10&amp;5</f>
        <v>23A.C5</v>
      </c>
      <c r="B46" s="23" t="s">
        <v>37</v>
      </c>
      <c r="C46" s="23" t="s">
        <v>515</v>
      </c>
      <c r="D46" s="22"/>
      <c r="E46" s="25"/>
      <c r="F46" s="25">
        <f>_xlfn.XLOOKUP(B46, Rate_Master!$A:$A, Rate_Master!$C:$C, "")</f>
        <v>0</v>
      </c>
      <c r="G46" s="25">
        <f>_xlfn.XLOOKUP(B46, Rate_Master!$A:$A, Rate_Master!$D:$D, "")</f>
        <v>0</v>
      </c>
      <c r="H46" s="26"/>
      <c r="I46" s="26">
        <f>SUBTOTAL(9,I47:I51)</f>
        <v>118448808.59885</v>
      </c>
      <c r="J46" s="26"/>
    </row>
    <row r="47" spans="1:10" s="4" customFormat="1" ht="38.25" customHeight="1" outlineLevel="1">
      <c r="A47" s="27" t="str">
        <f>$A$46&amp;"."&amp;ROW()-ROW($A$46)</f>
        <v>23A.C5.1</v>
      </c>
      <c r="B47" s="28" t="s">
        <v>38</v>
      </c>
      <c r="C47" s="28" t="s">
        <v>522</v>
      </c>
      <c r="D47" s="29" t="s">
        <v>523</v>
      </c>
      <c r="E47" s="31">
        <v>6029.29</v>
      </c>
      <c r="F47" s="30">
        <f>_xlfn.XLOOKUP(B47, Rate_Master!$A:$A, Rate_Master!$C:$C, "")</f>
        <v>16770.564999999999</v>
      </c>
      <c r="G47" s="30">
        <f>_xlfn.XLOOKUP(B47, Rate_Master!$A:$A, Rate_Master!$D:$D, "")</f>
        <v>2875</v>
      </c>
      <c r="H47" s="66">
        <f t="shared" ref="H47:H54" si="9">F47+G47</f>
        <v>19645.564999999999</v>
      </c>
      <c r="I47" s="32">
        <f>H47*E47</f>
        <v>118448808.59885</v>
      </c>
      <c r="J47" s="32"/>
    </row>
    <row r="48" spans="1:10" s="4" customFormat="1" ht="25.5" customHeight="1" outlineLevel="1">
      <c r="A48" s="27" t="str">
        <f>$A$46&amp;"."&amp;ROW()-ROW($A$46)</f>
        <v>23A.C5.2</v>
      </c>
      <c r="B48" s="28" t="s">
        <v>39</v>
      </c>
      <c r="C48" s="28" t="s">
        <v>522</v>
      </c>
      <c r="D48" s="29" t="s">
        <v>523</v>
      </c>
      <c r="E48" s="31">
        <v>0</v>
      </c>
      <c r="F48" s="30">
        <f>_xlfn.XLOOKUP(B48, Rate_Master!$A:$A, Rate_Master!$C:$C, "")</f>
        <v>16770.564999999999</v>
      </c>
      <c r="G48" s="30">
        <f>_xlfn.XLOOKUP(B48, Rate_Master!$A:$A, Rate_Master!$D:$D, "")</f>
        <v>3679.9999999999995</v>
      </c>
      <c r="H48" s="32">
        <f t="shared" si="9"/>
        <v>20450.564999999999</v>
      </c>
      <c r="I48" s="32">
        <f>H48*E48</f>
        <v>0</v>
      </c>
      <c r="J48" s="32"/>
    </row>
    <row r="49" spans="1:10" s="4" customFormat="1" ht="25.5" customHeight="1" outlineLevel="1">
      <c r="A49" s="27" t="str">
        <f>$A$46&amp;"."&amp;ROW()-ROW($A$46)</f>
        <v>23A.C5.3</v>
      </c>
      <c r="B49" s="28" t="s">
        <v>40</v>
      </c>
      <c r="C49" s="28" t="s">
        <v>522</v>
      </c>
      <c r="D49" s="29" t="s">
        <v>523</v>
      </c>
      <c r="E49" s="31">
        <v>0</v>
      </c>
      <c r="F49" s="30">
        <f>_xlfn.XLOOKUP(B49, Rate_Master!$A:$A, Rate_Master!$C:$C, "")</f>
        <v>16770.564999999999</v>
      </c>
      <c r="G49" s="30">
        <f>_xlfn.XLOOKUP(B49, Rate_Master!$A:$A, Rate_Master!$D:$D, "")</f>
        <v>3449.9999999999995</v>
      </c>
      <c r="H49" s="32">
        <f t="shared" si="9"/>
        <v>20220.564999999999</v>
      </c>
      <c r="I49" s="32">
        <f>H49*E49</f>
        <v>0</v>
      </c>
      <c r="J49" s="32"/>
    </row>
    <row r="50" spans="1:10" s="4" customFormat="1" ht="25.5" customHeight="1" outlineLevel="1">
      <c r="A50" s="27" t="str">
        <f>$A$46&amp;"."&amp;ROW()-ROW($A$46)</f>
        <v>23A.C5.4</v>
      </c>
      <c r="B50" s="28" t="s">
        <v>41</v>
      </c>
      <c r="C50" s="28" t="s">
        <v>522</v>
      </c>
      <c r="D50" s="29" t="s">
        <v>523</v>
      </c>
      <c r="E50" s="31">
        <v>0</v>
      </c>
      <c r="F50" s="30">
        <f>_xlfn.XLOOKUP(B50, Rate_Master!$A:$A, Rate_Master!$C:$C, "")</f>
        <v>16770.564999999999</v>
      </c>
      <c r="G50" s="30">
        <f>_xlfn.XLOOKUP(B50, Rate_Master!$A:$A, Rate_Master!$D:$D, "")</f>
        <v>3679.9999999999995</v>
      </c>
      <c r="H50" s="32">
        <f t="shared" si="9"/>
        <v>20450.564999999999</v>
      </c>
      <c r="I50" s="32">
        <f>H50*E50</f>
        <v>0</v>
      </c>
      <c r="J50" s="32"/>
    </row>
    <row r="51" spans="1:10" s="4" customFormat="1" ht="25.5" customHeight="1" outlineLevel="1">
      <c r="A51" s="27" t="str">
        <f>$A$46&amp;"."&amp;ROW()-ROW($A$46)</f>
        <v>23A.C5.5</v>
      </c>
      <c r="B51" s="28" t="s">
        <v>42</v>
      </c>
      <c r="C51" s="28" t="s">
        <v>524</v>
      </c>
      <c r="D51" s="29" t="s">
        <v>523</v>
      </c>
      <c r="E51" s="31">
        <v>0</v>
      </c>
      <c r="F51" s="30">
        <f>_xlfn.XLOOKUP(B51, Rate_Master!$A:$A, Rate_Master!$C:$C, "")</f>
        <v>17834.66</v>
      </c>
      <c r="G51" s="30">
        <f>_xlfn.XLOOKUP(B51, Rate_Master!$A:$A, Rate_Master!$D:$D, "")</f>
        <v>3449.9999999999995</v>
      </c>
      <c r="H51" s="32">
        <f t="shared" si="9"/>
        <v>21284.66</v>
      </c>
      <c r="I51" s="32">
        <f>H51*E51</f>
        <v>0</v>
      </c>
      <c r="J51" s="32"/>
    </row>
    <row r="52" spans="1:10" s="3" customFormat="1" ht="25.5" customHeight="1">
      <c r="A52" s="22" t="str">
        <f>$A$10&amp;6</f>
        <v>23A.C6</v>
      </c>
      <c r="B52" s="23" t="s">
        <v>43</v>
      </c>
      <c r="C52" s="23" t="s">
        <v>515</v>
      </c>
      <c r="D52" s="22"/>
      <c r="E52" s="25"/>
      <c r="F52" s="25">
        <f>_xlfn.XLOOKUP(B52, Rate_Master!$A:$A, Rate_Master!$C:$C, "")</f>
        <v>0</v>
      </c>
      <c r="G52" s="25">
        <f>_xlfn.XLOOKUP(B52, Rate_Master!$A:$A, Rate_Master!$D:$D, "")</f>
        <v>0</v>
      </c>
      <c r="H52" s="26">
        <f t="shared" si="9"/>
        <v>0</v>
      </c>
      <c r="I52" s="26">
        <f>SUBTOTAL(9,I53:I55)</f>
        <v>14577860</v>
      </c>
      <c r="J52" s="26"/>
    </row>
    <row r="53" spans="1:10" s="4" customFormat="1" ht="25.5" customHeight="1" outlineLevel="1">
      <c r="A53" s="27" t="str">
        <f>$A$52&amp;"."&amp;ROW()-ROW($A$52)</f>
        <v>23A.C6.1</v>
      </c>
      <c r="B53" s="28" t="s">
        <v>44</v>
      </c>
      <c r="C53" s="28" t="s">
        <v>515</v>
      </c>
      <c r="D53" s="29" t="s">
        <v>520</v>
      </c>
      <c r="E53" s="31">
        <v>0</v>
      </c>
      <c r="F53" s="30">
        <f>_xlfn.XLOOKUP(B53, Rate_Master!$A:$A, Rate_Master!$C:$C, "")</f>
        <v>14949.999999999998</v>
      </c>
      <c r="G53" s="30">
        <f>_xlfn.XLOOKUP(B53, Rate_Master!$A:$A, Rate_Master!$D:$D, "")</f>
        <v>17250</v>
      </c>
      <c r="H53" s="32">
        <f t="shared" si="9"/>
        <v>32200</v>
      </c>
      <c r="I53" s="32">
        <f>H53*E53</f>
        <v>0</v>
      </c>
      <c r="J53" s="32"/>
    </row>
    <row r="54" spans="1:10" s="4" customFormat="1" ht="51" customHeight="1" outlineLevel="1">
      <c r="A54" s="27" t="str">
        <f>$A$52&amp;"."&amp;ROW()-ROW($A$52)</f>
        <v>23A.C6.2</v>
      </c>
      <c r="B54" s="34" t="s">
        <v>45</v>
      </c>
      <c r="C54" s="28" t="s">
        <v>515</v>
      </c>
      <c r="D54" s="29" t="s">
        <v>517</v>
      </c>
      <c r="E54" s="31">
        <v>0</v>
      </c>
      <c r="F54" s="30">
        <f>_xlfn.XLOOKUP(B54, Rate_Master!$A:$A, Rate_Master!$C:$C, "")</f>
        <v>5750</v>
      </c>
      <c r="G54" s="30">
        <f>_xlfn.XLOOKUP(B54, Rate_Master!$A:$A, Rate_Master!$D:$D, "")</f>
        <v>23000</v>
      </c>
      <c r="H54" s="32">
        <f t="shared" si="9"/>
        <v>28750</v>
      </c>
      <c r="I54" s="32">
        <f>H54*E54</f>
        <v>0</v>
      </c>
      <c r="J54" s="32"/>
    </row>
    <row r="55" spans="1:10" s="4" customFormat="1" ht="38.25" customHeight="1" outlineLevel="1">
      <c r="A55" s="27" t="str">
        <f>$A$52&amp;"."&amp;ROW()-ROW($A$52)</f>
        <v>23A.C6.3</v>
      </c>
      <c r="B55" s="28" t="s">
        <v>46</v>
      </c>
      <c r="C55" s="28" t="s">
        <v>515</v>
      </c>
      <c r="D55" s="29" t="s">
        <v>517</v>
      </c>
      <c r="E55" s="31">
        <v>63.381999999999998</v>
      </c>
      <c r="F55" s="30">
        <f>_xlfn.XLOOKUP(B55, Rate_Master!$A:$A, Rate_Master!$C:$C, "")</f>
        <v>172500</v>
      </c>
      <c r="G55" s="30">
        <f>_xlfn.XLOOKUP(B55, Rate_Master!$A:$A, Rate_Master!$D:$D, "")</f>
        <v>57499.999999999993</v>
      </c>
      <c r="H55" s="32">
        <f>+G55+F55</f>
        <v>230000</v>
      </c>
      <c r="I55" s="32">
        <f>H55*E55</f>
        <v>14577860</v>
      </c>
      <c r="J55" s="32"/>
    </row>
    <row r="56" spans="1:10" s="3" customFormat="1" ht="25.5" customHeight="1">
      <c r="A56" s="22" t="str">
        <f>$A$9&amp;".F"</f>
        <v>23A.F</v>
      </c>
      <c r="B56" s="23" t="s">
        <v>93</v>
      </c>
      <c r="C56" s="23" t="s">
        <v>515</v>
      </c>
      <c r="D56" s="22"/>
      <c r="E56" s="25"/>
      <c r="F56" s="25">
        <f>_xlfn.XLOOKUP(B56, Rate_Master!$A:$A, Rate_Master!$C:$C, "")</f>
        <v>0</v>
      </c>
      <c r="G56" s="25">
        <f>_xlfn.XLOOKUP(B56, Rate_Master!$A:$A, Rate_Master!$D:$D, "")</f>
        <v>0</v>
      </c>
      <c r="H56" s="26">
        <f>F56+G56</f>
        <v>0</v>
      </c>
      <c r="I56" s="26"/>
      <c r="J56" s="26"/>
    </row>
    <row r="57" spans="1:10" s="3" customFormat="1" ht="25.5" customHeight="1">
      <c r="A57" s="22" t="str">
        <f>$A$56&amp;1</f>
        <v>23A.F1</v>
      </c>
      <c r="B57" s="23" t="s">
        <v>94</v>
      </c>
      <c r="C57" s="23" t="s">
        <v>515</v>
      </c>
      <c r="D57" s="22"/>
      <c r="E57" s="25"/>
      <c r="F57" s="25">
        <f>_xlfn.XLOOKUP(B57, Rate_Master!$A:$A, Rate_Master!$C:$C, "")</f>
        <v>0</v>
      </c>
      <c r="G57" s="25">
        <f>_xlfn.XLOOKUP(B57, Rate_Master!$A:$A, Rate_Master!$D:$D, "")</f>
        <v>0</v>
      </c>
      <c r="H57" s="26">
        <f>F57+G57</f>
        <v>0</v>
      </c>
      <c r="I57" s="26">
        <f>SUBTOTAL(9,I58:I59)</f>
        <v>51833310.715000004</v>
      </c>
      <c r="J57" s="26"/>
    </row>
    <row r="58" spans="1:10" s="4" customFormat="1" ht="25.5" customHeight="1" outlineLevel="1">
      <c r="A58" s="27" t="str">
        <f>$A$57&amp;"."&amp;ROW()-ROW($A$57)</f>
        <v>23A.F1.1</v>
      </c>
      <c r="B58" s="28" t="s">
        <v>106</v>
      </c>
      <c r="C58" s="34" t="s">
        <v>556</v>
      </c>
      <c r="D58" s="29" t="s">
        <v>520</v>
      </c>
      <c r="E58" s="31">
        <v>103.59099999999999</v>
      </c>
      <c r="F58" s="30">
        <f>_xlfn.XLOOKUP(B58, Rate_Master!$A:$A, Rate_Master!$C:$C, "")</f>
        <v>26565.000000000004</v>
      </c>
      <c r="G58" s="30">
        <f>_xlfn.XLOOKUP(B58, Rate_Master!$A:$A, Rate_Master!$D:$D, "")</f>
        <v>117299.99999999999</v>
      </c>
      <c r="H58" s="32">
        <f>+G58+F58</f>
        <v>143865</v>
      </c>
      <c r="I58" s="32">
        <f>H58*E58</f>
        <v>14903119.215</v>
      </c>
      <c r="J58" s="32"/>
    </row>
    <row r="59" spans="1:10" s="4" customFormat="1" ht="38.25" customHeight="1" outlineLevel="1">
      <c r="A59" s="27" t="str">
        <f>$A$57&amp;"."&amp;ROW()-ROW($A$57)</f>
        <v>23A.F1.2</v>
      </c>
      <c r="B59" s="28" t="s">
        <v>107</v>
      </c>
      <c r="C59" s="28" t="s">
        <v>515</v>
      </c>
      <c r="D59" s="29" t="s">
        <v>520</v>
      </c>
      <c r="E59" s="31">
        <v>103.59099999999999</v>
      </c>
      <c r="F59" s="31">
        <f>_xlfn.XLOOKUP(B59, Rate_Master!$A:$A, Rate_Master!$C:$C, "")</f>
        <v>218499.99999999997</v>
      </c>
      <c r="G59" s="31">
        <f>_xlfn.XLOOKUP(B59, Rate_Master!$A:$A, Rate_Master!$D:$D, "")</f>
        <v>138000</v>
      </c>
      <c r="H59" s="32">
        <f>+G59+F59</f>
        <v>356500</v>
      </c>
      <c r="I59" s="32">
        <f>H59*E59</f>
        <v>36930191.5</v>
      </c>
      <c r="J59" s="32"/>
    </row>
    <row r="60" spans="1:10" s="3" customFormat="1" ht="25.5" customHeight="1">
      <c r="A60" s="22" t="str">
        <f>$A$56&amp;2</f>
        <v>23A.F2</v>
      </c>
      <c r="B60" s="23" t="s">
        <v>113</v>
      </c>
      <c r="C60" s="23" t="s">
        <v>515</v>
      </c>
      <c r="D60" s="22"/>
      <c r="E60" s="25"/>
      <c r="F60" s="25">
        <f>_xlfn.XLOOKUP(B60, Rate_Master!$A:$A, Rate_Master!$C:$C, "")</f>
        <v>0</v>
      </c>
      <c r="G60" s="25">
        <f>_xlfn.XLOOKUP(B60, Rate_Master!$A:$A, Rate_Master!$D:$D, "")</f>
        <v>0</v>
      </c>
      <c r="H60" s="26">
        <f>F60+G60</f>
        <v>0</v>
      </c>
      <c r="I60" s="26">
        <f>SUBTOTAL(9,I61:I61)</f>
        <v>36445546.999999993</v>
      </c>
      <c r="J60" s="26"/>
    </row>
    <row r="61" spans="1:10" s="4" customFormat="1" ht="51" customHeight="1" outlineLevel="1">
      <c r="A61" s="27" t="str">
        <f>$A$60&amp;"."&amp;ROW()-ROW($A$60)</f>
        <v>23A.F2.1</v>
      </c>
      <c r="B61" s="34" t="s">
        <v>114</v>
      </c>
      <c r="C61" s="28" t="s">
        <v>515</v>
      </c>
      <c r="D61" s="29" t="s">
        <v>520</v>
      </c>
      <c r="E61" s="31">
        <v>109.282</v>
      </c>
      <c r="F61" s="30">
        <f>_xlfn.XLOOKUP(B61, Rate_Master!$A:$A, Rate_Master!$C:$C, "")</f>
        <v>206999.99999999997</v>
      </c>
      <c r="G61" s="30">
        <f>_xlfn.XLOOKUP(B61, Rate_Master!$A:$A, Rate_Master!$D:$D, "")</f>
        <v>126499.99999999999</v>
      </c>
      <c r="H61" s="32">
        <f>+G61+F61</f>
        <v>333499.99999999994</v>
      </c>
      <c r="I61" s="32">
        <f>H61*E61</f>
        <v>36445546.999999993</v>
      </c>
      <c r="J61" s="32"/>
    </row>
    <row r="62" spans="1:10" s="3" customFormat="1" ht="25.5" customHeight="1">
      <c r="A62" s="22" t="str">
        <f>$A$56&amp;3</f>
        <v>23A.F3</v>
      </c>
      <c r="B62" s="23" t="s">
        <v>147</v>
      </c>
      <c r="C62" s="23" t="s">
        <v>515</v>
      </c>
      <c r="D62" s="22"/>
      <c r="E62" s="25"/>
      <c r="F62" s="25">
        <f>_xlfn.XLOOKUP(B62, Rate_Master!$A:$A, Rate_Master!$C:$C, "")</f>
        <v>0</v>
      </c>
      <c r="G62" s="25">
        <f>_xlfn.XLOOKUP(B62, Rate_Master!$A:$A, Rate_Master!$D:$D, "")</f>
        <v>0</v>
      </c>
      <c r="H62" s="26">
        <f>F62+G62</f>
        <v>0</v>
      </c>
      <c r="I62" s="26">
        <f>SUBTOTAL(9,I63:I63)</f>
        <v>59145800</v>
      </c>
      <c r="J62" s="26"/>
    </row>
    <row r="63" spans="1:10" s="4" customFormat="1" ht="51" customHeight="1" outlineLevel="1">
      <c r="A63" s="27" t="str">
        <f>$A$62&amp;"."&amp;ROW()-ROW($A$62)</f>
        <v>23A.F3.1</v>
      </c>
      <c r="B63" s="34" t="s">
        <v>148</v>
      </c>
      <c r="C63" s="34" t="s">
        <v>515</v>
      </c>
      <c r="D63" s="29" t="s">
        <v>520</v>
      </c>
      <c r="E63" s="31">
        <v>295.72899999999998</v>
      </c>
      <c r="F63" s="31">
        <f>_xlfn.XLOOKUP(B63, Rate_Master!$A:$A, Rate_Master!$C:$C, "")</f>
        <v>155000</v>
      </c>
      <c r="G63" s="31">
        <f>_xlfn.XLOOKUP(B63, Rate_Master!$A:$A, Rate_Master!$D:$D, "")</f>
        <v>45000</v>
      </c>
      <c r="H63" s="32">
        <f>+G63+F63</f>
        <v>200000</v>
      </c>
      <c r="I63" s="32">
        <f>H63*E63</f>
        <v>59145800</v>
      </c>
      <c r="J63" s="32"/>
    </row>
    <row r="64" spans="1:10" s="3" customFormat="1" ht="25.5" customHeight="1">
      <c r="A64" s="22" t="str">
        <f>$A$56&amp;4</f>
        <v>23A.F4</v>
      </c>
      <c r="B64" s="23" t="s">
        <v>84</v>
      </c>
      <c r="C64" s="23" t="s">
        <v>515</v>
      </c>
      <c r="D64" s="22"/>
      <c r="E64" s="25"/>
      <c r="F64" s="25">
        <f>_xlfn.XLOOKUP(B64, Rate_Master!$A:$A, Rate_Master!$C:$C, "")</f>
        <v>0</v>
      </c>
      <c r="G64" s="25">
        <f>_xlfn.XLOOKUP(B64, Rate_Master!$A:$A, Rate_Master!$D:$D, "")</f>
        <v>0</v>
      </c>
      <c r="H64" s="26">
        <f>F64+G64</f>
        <v>0</v>
      </c>
      <c r="I64" s="26">
        <f>SUBTOTAL(9,I65:I66)</f>
        <v>62629499.100000001</v>
      </c>
      <c r="J64" s="26"/>
    </row>
    <row r="65" spans="1:10" s="4" customFormat="1" ht="25.5" customHeight="1" outlineLevel="1">
      <c r="A65" s="27" t="str">
        <f>$A$64&amp;"."&amp;ROW()-ROW($A$64)</f>
        <v>23A.F4.1</v>
      </c>
      <c r="B65" s="34" t="s">
        <v>300</v>
      </c>
      <c r="C65" s="28" t="s">
        <v>515</v>
      </c>
      <c r="D65" s="29" t="s">
        <v>518</v>
      </c>
      <c r="E65" s="31">
        <v>1</v>
      </c>
      <c r="F65" s="31">
        <f>_xlfn.XLOOKUP(B65, Rate_Master!$A:$A, Rate_Master!$C:$C, "")</f>
        <v>35279700</v>
      </c>
      <c r="G65" s="31">
        <f>_xlfn.XLOOKUP(B65, Rate_Master!$A:$A, Rate_Master!$D:$D, "")</f>
        <v>13719499.999999998</v>
      </c>
      <c r="H65" s="32">
        <f>+G65+F65</f>
        <v>48999200</v>
      </c>
      <c r="I65" s="32">
        <f>H65*E65</f>
        <v>48999200</v>
      </c>
      <c r="J65" s="32"/>
    </row>
    <row r="66" spans="1:10" s="4" customFormat="1" ht="25.5" customHeight="1" outlineLevel="1">
      <c r="A66" s="27" t="str">
        <f>$A$64&amp;"."&amp;ROW()-ROW($A$64)</f>
        <v>23A.F4.2</v>
      </c>
      <c r="B66" s="34" t="s">
        <v>301</v>
      </c>
      <c r="C66" s="28" t="s">
        <v>515</v>
      </c>
      <c r="D66" s="29" t="s">
        <v>517</v>
      </c>
      <c r="E66" s="31">
        <v>63.381999999999998</v>
      </c>
      <c r="F66" s="31">
        <f>_xlfn.XLOOKUP(B66, Rate_Master!$A:$A, Rate_Master!$C:$C, "")</f>
        <v>155250</v>
      </c>
      <c r="G66" s="31">
        <f>_xlfn.XLOOKUP(B66, Rate_Master!$A:$A, Rate_Master!$D:$D, "")</f>
        <v>59799.999999999993</v>
      </c>
      <c r="H66" s="32">
        <f>+G66+F66</f>
        <v>215050</v>
      </c>
      <c r="I66" s="32">
        <f>H66*E66</f>
        <v>13630299.1</v>
      </c>
      <c r="J66" s="32"/>
    </row>
  </sheetData>
  <mergeCells count="5">
    <mergeCell ref="C4:J4"/>
    <mergeCell ref="C3:J3"/>
    <mergeCell ref="C7:J7"/>
    <mergeCell ref="C6:J6"/>
    <mergeCell ref="C5:J5"/>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pageSetUpPr fitToPage="1"/>
  </sheetPr>
  <dimension ref="A1:J66"/>
  <sheetViews>
    <sheetView topLeftCell="A8" workbookViewId="0">
      <pane ySplit="1" topLeftCell="A9" activePane="bottomLeft" state="frozen"/>
      <selection activeCell="A8" sqref="A8"/>
      <selection pane="bottomLeft" activeCell="I9" sqref="I9"/>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7" width="14" style="8" customWidth="1" outlineLevel="1"/>
    <col min="8" max="10" width="14" style="9" customWidth="1"/>
    <col min="11" max="229" width="9.125" style="6" customWidth="1"/>
    <col min="230" max="230" width="6.375" style="6" customWidth="1"/>
    <col min="231" max="231" width="34.25" style="6" customWidth="1"/>
    <col min="232" max="232" width="7.375" style="6" customWidth="1"/>
    <col min="233" max="233" width="6.375" style="6" customWidth="1"/>
    <col min="234" max="234" width="13.125" style="6" customWidth="1"/>
    <col min="235" max="235" width="15.375" style="6" customWidth="1"/>
    <col min="236" max="236" width="21.25" style="6" customWidth="1"/>
    <col min="237" max="485" width="9.125" style="6" customWidth="1"/>
    <col min="486" max="486" width="6.375" style="6" customWidth="1"/>
    <col min="487" max="487" width="34.25" style="6" customWidth="1"/>
    <col min="488" max="488" width="7.375" style="6" customWidth="1"/>
    <col min="489" max="489" width="6.375" style="6" customWidth="1"/>
    <col min="490" max="490" width="13.125" style="6" customWidth="1"/>
    <col min="491" max="491" width="15.375" style="6" customWidth="1"/>
    <col min="492" max="492" width="21.25" style="6" customWidth="1"/>
    <col min="493" max="741" width="9.125" style="6" customWidth="1"/>
    <col min="742" max="742" width="6.375" style="6" customWidth="1"/>
    <col min="743" max="743" width="34.25" style="6" customWidth="1"/>
    <col min="744" max="744" width="7.375" style="6" customWidth="1"/>
    <col min="745" max="745" width="6.375" style="6" customWidth="1"/>
    <col min="746" max="746" width="13.125" style="6" customWidth="1"/>
    <col min="747" max="747" width="15.375" style="6" customWidth="1"/>
    <col min="748" max="748" width="21.25" style="6" customWidth="1"/>
    <col min="749" max="997" width="9.125" style="6" customWidth="1"/>
    <col min="998" max="998" width="6.375" style="6" customWidth="1"/>
    <col min="999" max="999" width="34.25" style="6" customWidth="1"/>
    <col min="1000" max="1000" width="7.375" style="6" customWidth="1"/>
    <col min="1001" max="1001" width="6.375" style="6" customWidth="1"/>
    <col min="1002" max="1002" width="13.125" style="6" customWidth="1"/>
    <col min="1003" max="1003" width="15.375" style="6" customWidth="1"/>
    <col min="1004" max="1004" width="21.25" style="6" customWidth="1"/>
    <col min="1005" max="1253" width="9.125" style="6" customWidth="1"/>
    <col min="1254" max="1254" width="6.375" style="6" customWidth="1"/>
    <col min="1255" max="1255" width="34.25" style="6" customWidth="1"/>
    <col min="1256" max="1256" width="7.375" style="6" customWidth="1"/>
    <col min="1257" max="1257" width="6.375" style="6" customWidth="1"/>
    <col min="1258" max="1258" width="13.125" style="6" customWidth="1"/>
    <col min="1259" max="1259" width="15.375" style="6" customWidth="1"/>
    <col min="1260" max="1260" width="21.25" style="6" customWidth="1"/>
    <col min="1261" max="1509" width="9.125" style="6" customWidth="1"/>
    <col min="1510" max="1510" width="6.375" style="6" customWidth="1"/>
    <col min="1511" max="1511" width="34.25" style="6" customWidth="1"/>
    <col min="1512" max="1512" width="7.375" style="6" customWidth="1"/>
    <col min="1513" max="1513" width="6.375" style="6" customWidth="1"/>
    <col min="1514" max="1514" width="13.125" style="6" customWidth="1"/>
    <col min="1515" max="1515" width="15.375" style="6" customWidth="1"/>
    <col min="1516" max="1516" width="21.25" style="6" customWidth="1"/>
    <col min="1517" max="1765" width="9.125" style="6" customWidth="1"/>
    <col min="1766" max="1766" width="6.375" style="6" customWidth="1"/>
    <col min="1767" max="1767" width="34.25" style="6" customWidth="1"/>
    <col min="1768" max="1768" width="7.375" style="6" customWidth="1"/>
    <col min="1769" max="1769" width="6.375" style="6" customWidth="1"/>
    <col min="1770" max="1770" width="13.125" style="6" customWidth="1"/>
    <col min="1771" max="1771" width="15.375" style="6" customWidth="1"/>
    <col min="1772" max="1772" width="21.25" style="6" customWidth="1"/>
    <col min="1773" max="2021" width="9.125" style="6" customWidth="1"/>
    <col min="2022" max="2022" width="6.375" style="6" customWidth="1"/>
    <col min="2023" max="2023" width="34.25" style="6" customWidth="1"/>
    <col min="2024" max="2024" width="7.375" style="6" customWidth="1"/>
    <col min="2025" max="2025" width="6.375" style="6" customWidth="1"/>
    <col min="2026" max="2026" width="13.125" style="6" customWidth="1"/>
    <col min="2027" max="2027" width="15.375" style="6" customWidth="1"/>
    <col min="2028" max="2028" width="21.25" style="6" customWidth="1"/>
    <col min="2029" max="2277" width="9.125" style="6" customWidth="1"/>
    <col min="2278" max="2278" width="6.375" style="6" customWidth="1"/>
    <col min="2279" max="2279" width="34.25" style="6" customWidth="1"/>
    <col min="2280" max="2280" width="7.375" style="6" customWidth="1"/>
    <col min="2281" max="2281" width="6.375" style="6" customWidth="1"/>
    <col min="2282" max="2282" width="13.125" style="6" customWidth="1"/>
    <col min="2283" max="2283" width="15.375" style="6" customWidth="1"/>
    <col min="2284" max="2284" width="21.25" style="6" customWidth="1"/>
    <col min="2285" max="2533" width="9.125" style="6" customWidth="1"/>
    <col min="2534" max="2534" width="6.375" style="6" customWidth="1"/>
    <col min="2535" max="2535" width="34.25" style="6" customWidth="1"/>
    <col min="2536" max="2536" width="7.375" style="6" customWidth="1"/>
    <col min="2537" max="2537" width="6.375" style="6" customWidth="1"/>
    <col min="2538" max="2538" width="13.125" style="6" customWidth="1"/>
    <col min="2539" max="2539" width="15.375" style="6" customWidth="1"/>
    <col min="2540" max="2540" width="21.25" style="6" customWidth="1"/>
    <col min="2541" max="2789" width="9.125" style="6" customWidth="1"/>
    <col min="2790" max="2790" width="6.375" style="6" customWidth="1"/>
    <col min="2791" max="2791" width="34.25" style="6" customWidth="1"/>
    <col min="2792" max="2792" width="7.375" style="6" customWidth="1"/>
    <col min="2793" max="2793" width="6.375" style="6" customWidth="1"/>
    <col min="2794" max="2794" width="13.125" style="6" customWidth="1"/>
    <col min="2795" max="2795" width="15.375" style="6" customWidth="1"/>
    <col min="2796" max="2796" width="21.25" style="6" customWidth="1"/>
    <col min="2797" max="3045" width="9.125" style="6" customWidth="1"/>
    <col min="3046" max="3046" width="6.375" style="6" customWidth="1"/>
    <col min="3047" max="3047" width="34.25" style="6" customWidth="1"/>
    <col min="3048" max="3048" width="7.375" style="6" customWidth="1"/>
    <col min="3049" max="3049" width="6.375" style="6" customWidth="1"/>
    <col min="3050" max="3050" width="13.125" style="6" customWidth="1"/>
    <col min="3051" max="3051" width="15.375" style="6" customWidth="1"/>
    <col min="3052" max="3052" width="21.25" style="6" customWidth="1"/>
    <col min="3053" max="3301" width="9.125" style="6" customWidth="1"/>
    <col min="3302" max="3302" width="6.375" style="6" customWidth="1"/>
    <col min="3303" max="3303" width="34.25" style="6" customWidth="1"/>
    <col min="3304" max="3304" width="7.375" style="6" customWidth="1"/>
    <col min="3305" max="3305" width="6.375" style="6" customWidth="1"/>
    <col min="3306" max="3306" width="13.125" style="6" customWidth="1"/>
    <col min="3307" max="3307" width="15.375" style="6" customWidth="1"/>
    <col min="3308" max="3308" width="21.25" style="6" customWidth="1"/>
    <col min="3309" max="3557" width="9.125" style="6" customWidth="1"/>
    <col min="3558" max="3558" width="6.375" style="6" customWidth="1"/>
    <col min="3559" max="3559" width="34.25" style="6" customWidth="1"/>
    <col min="3560" max="3560" width="7.375" style="6" customWidth="1"/>
    <col min="3561" max="3561" width="6.375" style="6" customWidth="1"/>
    <col min="3562" max="3562" width="13.125" style="6" customWidth="1"/>
    <col min="3563" max="3563" width="15.375" style="6" customWidth="1"/>
    <col min="3564" max="3564" width="21.25" style="6" customWidth="1"/>
    <col min="3565" max="3813" width="9.125" style="6" customWidth="1"/>
    <col min="3814" max="3814" width="6.375" style="6" customWidth="1"/>
    <col min="3815" max="3815" width="34.25" style="6" customWidth="1"/>
    <col min="3816" max="3816" width="7.375" style="6" customWidth="1"/>
    <col min="3817" max="3817" width="6.375" style="6" customWidth="1"/>
    <col min="3818" max="3818" width="13.125" style="6" customWidth="1"/>
    <col min="3819" max="3819" width="15.375" style="6" customWidth="1"/>
    <col min="3820" max="3820" width="21.25" style="6" customWidth="1"/>
    <col min="3821" max="4069" width="9.125" style="6" customWidth="1"/>
    <col min="4070" max="4070" width="6.375" style="6" customWidth="1"/>
    <col min="4071" max="4071" width="34.25" style="6" customWidth="1"/>
    <col min="4072" max="4072" width="7.375" style="6" customWidth="1"/>
    <col min="4073" max="4073" width="6.375" style="6" customWidth="1"/>
    <col min="4074" max="4074" width="13.125" style="6" customWidth="1"/>
    <col min="4075" max="4075" width="15.375" style="6" customWidth="1"/>
    <col min="4076" max="4076" width="21.25" style="6" customWidth="1"/>
    <col min="4077" max="4325" width="9.125" style="6" customWidth="1"/>
    <col min="4326" max="4326" width="6.375" style="6" customWidth="1"/>
    <col min="4327" max="4327" width="34.25" style="6" customWidth="1"/>
    <col min="4328" max="4328" width="7.375" style="6" customWidth="1"/>
    <col min="4329" max="4329" width="6.375" style="6" customWidth="1"/>
    <col min="4330" max="4330" width="13.125" style="6" customWidth="1"/>
    <col min="4331" max="4331" width="15.375" style="6" customWidth="1"/>
    <col min="4332" max="4332" width="21.25" style="6" customWidth="1"/>
    <col min="4333" max="4581" width="9.125" style="6" customWidth="1"/>
    <col min="4582" max="4582" width="6.375" style="6" customWidth="1"/>
    <col min="4583" max="4583" width="34.25" style="6" customWidth="1"/>
    <col min="4584" max="4584" width="7.375" style="6" customWidth="1"/>
    <col min="4585" max="4585" width="6.375" style="6" customWidth="1"/>
    <col min="4586" max="4586" width="13.125" style="6" customWidth="1"/>
    <col min="4587" max="4587" width="15.375" style="6" customWidth="1"/>
    <col min="4588" max="4588" width="21.25" style="6" customWidth="1"/>
    <col min="4589" max="4837" width="9.125" style="6" customWidth="1"/>
    <col min="4838" max="4838" width="6.375" style="6" customWidth="1"/>
    <col min="4839" max="4839" width="34.25" style="6" customWidth="1"/>
    <col min="4840" max="4840" width="7.375" style="6" customWidth="1"/>
    <col min="4841" max="4841" width="6.375" style="6" customWidth="1"/>
    <col min="4842" max="4842" width="13.125" style="6" customWidth="1"/>
    <col min="4843" max="4843" width="15.375" style="6" customWidth="1"/>
    <col min="4844" max="4844" width="21.25" style="6" customWidth="1"/>
    <col min="4845" max="5093" width="9.125" style="6" customWidth="1"/>
    <col min="5094" max="5094" width="6.375" style="6" customWidth="1"/>
    <col min="5095" max="5095" width="34.25" style="6" customWidth="1"/>
    <col min="5096" max="5096" width="7.375" style="6" customWidth="1"/>
    <col min="5097" max="5097" width="6.375" style="6" customWidth="1"/>
    <col min="5098" max="5098" width="13.125" style="6" customWidth="1"/>
    <col min="5099" max="5099" width="15.375" style="6" customWidth="1"/>
    <col min="5100" max="5100" width="21.25" style="6" customWidth="1"/>
    <col min="5101" max="5349" width="9.125" style="6" customWidth="1"/>
    <col min="5350" max="5350" width="6.375" style="6" customWidth="1"/>
    <col min="5351" max="5351" width="34.25" style="6" customWidth="1"/>
    <col min="5352" max="5352" width="7.375" style="6" customWidth="1"/>
    <col min="5353" max="5353" width="6.375" style="6" customWidth="1"/>
    <col min="5354" max="5354" width="13.125" style="6" customWidth="1"/>
    <col min="5355" max="5355" width="15.375" style="6" customWidth="1"/>
    <col min="5356" max="5356" width="21.25" style="6" customWidth="1"/>
    <col min="5357" max="5605" width="9.125" style="6" customWidth="1"/>
    <col min="5606" max="5606" width="6.375" style="6" customWidth="1"/>
    <col min="5607" max="5607" width="34.25" style="6" customWidth="1"/>
    <col min="5608" max="5608" width="7.375" style="6" customWidth="1"/>
    <col min="5609" max="5609" width="6.375" style="6" customWidth="1"/>
    <col min="5610" max="5610" width="13.125" style="6" customWidth="1"/>
    <col min="5611" max="5611" width="15.375" style="6" customWidth="1"/>
    <col min="5612" max="5612" width="21.25" style="6" customWidth="1"/>
    <col min="5613" max="5861" width="9.125" style="6" customWidth="1"/>
    <col min="5862" max="5862" width="6.375" style="6" customWidth="1"/>
    <col min="5863" max="5863" width="34.25" style="6" customWidth="1"/>
    <col min="5864" max="5864" width="7.375" style="6" customWidth="1"/>
    <col min="5865" max="5865" width="6.375" style="6" customWidth="1"/>
    <col min="5866" max="5866" width="13.125" style="6" customWidth="1"/>
    <col min="5867" max="5867" width="15.375" style="6" customWidth="1"/>
    <col min="5868" max="5868" width="21.25" style="6" customWidth="1"/>
    <col min="5869" max="6117" width="9.125" style="6" customWidth="1"/>
    <col min="6118" max="6118" width="6.375" style="6" customWidth="1"/>
    <col min="6119" max="6119" width="34.25" style="6" customWidth="1"/>
    <col min="6120" max="6120" width="7.375" style="6" customWidth="1"/>
    <col min="6121" max="6121" width="6.375" style="6" customWidth="1"/>
    <col min="6122" max="6122" width="13.125" style="6" customWidth="1"/>
    <col min="6123" max="6123" width="15.375" style="6" customWidth="1"/>
    <col min="6124" max="6124" width="21.25" style="6" customWidth="1"/>
    <col min="6125" max="6373" width="9.125" style="6" customWidth="1"/>
    <col min="6374" max="6374" width="6.375" style="6" customWidth="1"/>
    <col min="6375" max="6375" width="34.25" style="6" customWidth="1"/>
    <col min="6376" max="6376" width="7.375" style="6" customWidth="1"/>
    <col min="6377" max="6377" width="6.375" style="6" customWidth="1"/>
    <col min="6378" max="6378" width="13.125" style="6" customWidth="1"/>
    <col min="6379" max="6379" width="15.375" style="6" customWidth="1"/>
    <col min="6380" max="6380" width="21.25" style="6" customWidth="1"/>
    <col min="6381" max="6629" width="9.125" style="6" customWidth="1"/>
    <col min="6630" max="6630" width="6.375" style="6" customWidth="1"/>
    <col min="6631" max="6631" width="34.25" style="6" customWidth="1"/>
    <col min="6632" max="6632" width="7.375" style="6" customWidth="1"/>
    <col min="6633" max="6633" width="6.375" style="6" customWidth="1"/>
    <col min="6634" max="6634" width="13.125" style="6" customWidth="1"/>
    <col min="6635" max="6635" width="15.375" style="6" customWidth="1"/>
    <col min="6636" max="6636" width="21.25" style="6" customWidth="1"/>
    <col min="6637" max="6885" width="9.125" style="6" customWidth="1"/>
    <col min="6886" max="6886" width="6.375" style="6" customWidth="1"/>
    <col min="6887" max="6887" width="34.25" style="6" customWidth="1"/>
    <col min="6888" max="6888" width="7.375" style="6" customWidth="1"/>
    <col min="6889" max="6889" width="6.375" style="6" customWidth="1"/>
    <col min="6890" max="6890" width="13.125" style="6" customWidth="1"/>
    <col min="6891" max="6891" width="15.375" style="6" customWidth="1"/>
    <col min="6892" max="6892" width="21.25" style="6" customWidth="1"/>
    <col min="6893" max="7141" width="9.125" style="6" customWidth="1"/>
    <col min="7142" max="7142" width="6.375" style="6" customWidth="1"/>
    <col min="7143" max="7143" width="34.25" style="6" customWidth="1"/>
    <col min="7144" max="7144" width="7.375" style="6" customWidth="1"/>
    <col min="7145" max="7145" width="6.375" style="6" customWidth="1"/>
    <col min="7146" max="7146" width="13.125" style="6" customWidth="1"/>
    <col min="7147" max="7147" width="15.375" style="6" customWidth="1"/>
    <col min="7148" max="7148" width="21.25" style="6" customWidth="1"/>
    <col min="7149" max="7397" width="9.125" style="6" customWidth="1"/>
    <col min="7398" max="7398" width="6.375" style="6" customWidth="1"/>
    <col min="7399" max="7399" width="34.25" style="6" customWidth="1"/>
    <col min="7400" max="7400" width="7.375" style="6" customWidth="1"/>
    <col min="7401" max="7401" width="6.375" style="6" customWidth="1"/>
    <col min="7402" max="7402" width="13.125" style="6" customWidth="1"/>
    <col min="7403" max="7403" width="15.375" style="6" customWidth="1"/>
    <col min="7404" max="7404" width="21.25" style="6" customWidth="1"/>
    <col min="7405" max="7653" width="9.125" style="6" customWidth="1"/>
    <col min="7654" max="7654" width="6.375" style="6" customWidth="1"/>
    <col min="7655" max="7655" width="34.25" style="6" customWidth="1"/>
    <col min="7656" max="7656" width="7.375" style="6" customWidth="1"/>
    <col min="7657" max="7657" width="6.375" style="6" customWidth="1"/>
    <col min="7658" max="7658" width="13.125" style="6" customWidth="1"/>
    <col min="7659" max="7659" width="15.375" style="6" customWidth="1"/>
    <col min="7660" max="7660" width="21.25" style="6" customWidth="1"/>
    <col min="7661" max="7909" width="9.125" style="6" customWidth="1"/>
    <col min="7910" max="7910" width="6.375" style="6" customWidth="1"/>
    <col min="7911" max="7911" width="34.25" style="6" customWidth="1"/>
    <col min="7912" max="7912" width="7.375" style="6" customWidth="1"/>
    <col min="7913" max="7913" width="6.375" style="6" customWidth="1"/>
    <col min="7914" max="7914" width="13.125" style="6" customWidth="1"/>
    <col min="7915" max="7915" width="15.375" style="6" customWidth="1"/>
    <col min="7916" max="7916" width="21.25" style="6" customWidth="1"/>
    <col min="7917" max="8165" width="9.125" style="6" customWidth="1"/>
    <col min="8166" max="8166" width="6.375" style="6" customWidth="1"/>
    <col min="8167" max="8167" width="34.25" style="6" customWidth="1"/>
    <col min="8168" max="8168" width="7.375" style="6" customWidth="1"/>
    <col min="8169" max="8169" width="6.375" style="6" customWidth="1"/>
    <col min="8170" max="8170" width="13.125" style="6" customWidth="1"/>
    <col min="8171" max="8171" width="15.375" style="6" customWidth="1"/>
    <col min="8172" max="8172" width="21.25" style="6" customWidth="1"/>
    <col min="8173" max="8421" width="9.125" style="6" customWidth="1"/>
    <col min="8422" max="8422" width="6.375" style="6" customWidth="1"/>
    <col min="8423" max="8423" width="34.25" style="6" customWidth="1"/>
    <col min="8424" max="8424" width="7.375" style="6" customWidth="1"/>
    <col min="8425" max="8425" width="6.375" style="6" customWidth="1"/>
    <col min="8426" max="8426" width="13.125" style="6" customWidth="1"/>
    <col min="8427" max="8427" width="15.375" style="6" customWidth="1"/>
    <col min="8428" max="8428" width="21.25" style="6" customWidth="1"/>
    <col min="8429" max="8677" width="9.125" style="6" customWidth="1"/>
    <col min="8678" max="8678" width="6.375" style="6" customWidth="1"/>
    <col min="8679" max="8679" width="34.25" style="6" customWidth="1"/>
    <col min="8680" max="8680" width="7.375" style="6" customWidth="1"/>
    <col min="8681" max="8681" width="6.375" style="6" customWidth="1"/>
    <col min="8682" max="8682" width="13.125" style="6" customWidth="1"/>
    <col min="8683" max="8683" width="15.375" style="6" customWidth="1"/>
    <col min="8684" max="8684" width="21.25" style="6" customWidth="1"/>
    <col min="8685" max="8933" width="9.125" style="6" customWidth="1"/>
    <col min="8934" max="8934" width="6.375" style="6" customWidth="1"/>
    <col min="8935" max="8935" width="34.25" style="6" customWidth="1"/>
    <col min="8936" max="8936" width="7.375" style="6" customWidth="1"/>
    <col min="8937" max="8937" width="6.375" style="6" customWidth="1"/>
    <col min="8938" max="8938" width="13.125" style="6" customWidth="1"/>
    <col min="8939" max="8939" width="15.375" style="6" customWidth="1"/>
    <col min="8940" max="8940" width="21.25" style="6" customWidth="1"/>
    <col min="8941" max="9189" width="9.125" style="6" customWidth="1"/>
    <col min="9190" max="9190" width="6.375" style="6" customWidth="1"/>
    <col min="9191" max="9191" width="34.25" style="6" customWidth="1"/>
    <col min="9192" max="9192" width="7.375" style="6" customWidth="1"/>
    <col min="9193" max="9193" width="6.375" style="6" customWidth="1"/>
    <col min="9194" max="9194" width="13.125" style="6" customWidth="1"/>
    <col min="9195" max="9195" width="15.375" style="6" customWidth="1"/>
    <col min="9196" max="9196" width="21.25" style="6" customWidth="1"/>
    <col min="9197" max="9445" width="9.125" style="6" customWidth="1"/>
    <col min="9446" max="9446" width="6.375" style="6" customWidth="1"/>
    <col min="9447" max="9447" width="34.25" style="6" customWidth="1"/>
    <col min="9448" max="9448" width="7.375" style="6" customWidth="1"/>
    <col min="9449" max="9449" width="6.375" style="6" customWidth="1"/>
    <col min="9450" max="9450" width="13.125" style="6" customWidth="1"/>
    <col min="9451" max="9451" width="15.375" style="6" customWidth="1"/>
    <col min="9452" max="9452" width="21.25" style="6" customWidth="1"/>
    <col min="9453" max="9701" width="9.125" style="6" customWidth="1"/>
    <col min="9702" max="9702" width="6.375" style="6" customWidth="1"/>
    <col min="9703" max="9703" width="34.25" style="6" customWidth="1"/>
    <col min="9704" max="9704" width="7.375" style="6" customWidth="1"/>
    <col min="9705" max="9705" width="6.375" style="6" customWidth="1"/>
    <col min="9706" max="9706" width="13.125" style="6" customWidth="1"/>
    <col min="9707" max="9707" width="15.375" style="6" customWidth="1"/>
    <col min="9708" max="9708" width="21.25" style="6" customWidth="1"/>
    <col min="9709" max="9957" width="9.125" style="6" customWidth="1"/>
    <col min="9958" max="9958" width="6.375" style="6" customWidth="1"/>
    <col min="9959" max="9959" width="34.25" style="6" customWidth="1"/>
    <col min="9960" max="9960" width="7.375" style="6" customWidth="1"/>
    <col min="9961" max="9961" width="6.375" style="6" customWidth="1"/>
    <col min="9962" max="9962" width="13.125" style="6" customWidth="1"/>
    <col min="9963" max="9963" width="15.375" style="6" customWidth="1"/>
    <col min="9964" max="9964" width="21.25" style="6" customWidth="1"/>
    <col min="9965" max="10213" width="9.125" style="6" customWidth="1"/>
    <col min="10214" max="10214" width="6.375" style="6" customWidth="1"/>
    <col min="10215" max="10215" width="34.25" style="6" customWidth="1"/>
    <col min="10216" max="10216" width="7.375" style="6" customWidth="1"/>
    <col min="10217" max="10217" width="6.375" style="6" customWidth="1"/>
    <col min="10218" max="10218" width="13.125" style="6" customWidth="1"/>
    <col min="10219" max="10219" width="15.375" style="6" customWidth="1"/>
    <col min="10220" max="10220" width="21.25" style="6" customWidth="1"/>
    <col min="10221" max="10469" width="9.125" style="6" customWidth="1"/>
    <col min="10470" max="10470" width="6.375" style="6" customWidth="1"/>
    <col min="10471" max="10471" width="34.25" style="6" customWidth="1"/>
    <col min="10472" max="10472" width="7.375" style="6" customWidth="1"/>
    <col min="10473" max="10473" width="6.375" style="6" customWidth="1"/>
    <col min="10474" max="10474" width="13.125" style="6" customWidth="1"/>
    <col min="10475" max="10475" width="15.375" style="6" customWidth="1"/>
    <col min="10476" max="10476" width="21.25" style="6" customWidth="1"/>
    <col min="10477" max="10725" width="9.125" style="6" customWidth="1"/>
    <col min="10726" max="10726" width="6.375" style="6" customWidth="1"/>
    <col min="10727" max="10727" width="34.25" style="6" customWidth="1"/>
    <col min="10728" max="10728" width="7.375" style="6" customWidth="1"/>
    <col min="10729" max="10729" width="6.375" style="6" customWidth="1"/>
    <col min="10730" max="10730" width="13.125" style="6" customWidth="1"/>
    <col min="10731" max="10731" width="15.375" style="6" customWidth="1"/>
    <col min="10732" max="10732" width="21.25" style="6" customWidth="1"/>
    <col min="10733" max="10981" width="9.125" style="6" customWidth="1"/>
    <col min="10982" max="10982" width="6.375" style="6" customWidth="1"/>
    <col min="10983" max="10983" width="34.25" style="6" customWidth="1"/>
    <col min="10984" max="10984" width="7.375" style="6" customWidth="1"/>
    <col min="10985" max="10985" width="6.375" style="6" customWidth="1"/>
    <col min="10986" max="10986" width="13.125" style="6" customWidth="1"/>
    <col min="10987" max="10987" width="15.375" style="6" customWidth="1"/>
    <col min="10988" max="10988" width="21.25" style="6" customWidth="1"/>
    <col min="10989" max="11237" width="9.125" style="6" customWidth="1"/>
    <col min="11238" max="11238" width="6.375" style="6" customWidth="1"/>
    <col min="11239" max="11239" width="34.25" style="6" customWidth="1"/>
    <col min="11240" max="11240" width="7.375" style="6" customWidth="1"/>
    <col min="11241" max="11241" width="6.375" style="6" customWidth="1"/>
    <col min="11242" max="11242" width="13.125" style="6" customWidth="1"/>
    <col min="11243" max="11243" width="15.375" style="6" customWidth="1"/>
    <col min="11244" max="11244" width="21.25" style="6" customWidth="1"/>
    <col min="11245" max="11493" width="9.125" style="6" customWidth="1"/>
    <col min="11494" max="11494" width="6.375" style="6" customWidth="1"/>
    <col min="11495" max="11495" width="34.25" style="6" customWidth="1"/>
    <col min="11496" max="11496" width="7.375" style="6" customWidth="1"/>
    <col min="11497" max="11497" width="6.375" style="6" customWidth="1"/>
    <col min="11498" max="11498" width="13.125" style="6" customWidth="1"/>
    <col min="11499" max="11499" width="15.375" style="6" customWidth="1"/>
    <col min="11500" max="11500" width="21.25" style="6" customWidth="1"/>
    <col min="11501" max="11749" width="9.125" style="6" customWidth="1"/>
    <col min="11750" max="11750" width="6.375" style="6" customWidth="1"/>
    <col min="11751" max="11751" width="34.25" style="6" customWidth="1"/>
    <col min="11752" max="11752" width="7.375" style="6" customWidth="1"/>
    <col min="11753" max="11753" width="6.375" style="6" customWidth="1"/>
    <col min="11754" max="11754" width="13.125" style="6" customWidth="1"/>
    <col min="11755" max="11755" width="15.375" style="6" customWidth="1"/>
    <col min="11756" max="11756" width="21.25" style="6" customWidth="1"/>
    <col min="11757" max="12005" width="9.125" style="6" customWidth="1"/>
    <col min="12006" max="12006" width="6.375" style="6" customWidth="1"/>
    <col min="12007" max="12007" width="34.25" style="6" customWidth="1"/>
    <col min="12008" max="12008" width="7.375" style="6" customWidth="1"/>
    <col min="12009" max="12009" width="6.375" style="6" customWidth="1"/>
    <col min="12010" max="12010" width="13.125" style="6" customWidth="1"/>
    <col min="12011" max="12011" width="15.375" style="6" customWidth="1"/>
    <col min="12012" max="12012" width="21.25" style="6" customWidth="1"/>
    <col min="12013" max="12261" width="9.125" style="6" customWidth="1"/>
    <col min="12262" max="12262" width="6.375" style="6" customWidth="1"/>
    <col min="12263" max="12263" width="34.25" style="6" customWidth="1"/>
    <col min="12264" max="12264" width="7.375" style="6" customWidth="1"/>
    <col min="12265" max="12265" width="6.375" style="6" customWidth="1"/>
    <col min="12266" max="12266" width="13.125" style="6" customWidth="1"/>
    <col min="12267" max="12267" width="15.375" style="6" customWidth="1"/>
    <col min="12268" max="12268" width="21.25" style="6" customWidth="1"/>
    <col min="12269" max="12517" width="9.125" style="6" customWidth="1"/>
    <col min="12518" max="12518" width="6.375" style="6" customWidth="1"/>
    <col min="12519" max="12519" width="34.25" style="6" customWidth="1"/>
    <col min="12520" max="12520" width="7.375" style="6" customWidth="1"/>
    <col min="12521" max="12521" width="6.375" style="6" customWidth="1"/>
    <col min="12522" max="12522" width="13.125" style="6" customWidth="1"/>
    <col min="12523" max="12523" width="15.375" style="6" customWidth="1"/>
    <col min="12524" max="12524" width="21.25" style="6" customWidth="1"/>
    <col min="12525" max="12773" width="9.125" style="6" customWidth="1"/>
    <col min="12774" max="12774" width="6.375" style="6" customWidth="1"/>
    <col min="12775" max="12775" width="34.25" style="6" customWidth="1"/>
    <col min="12776" max="12776" width="7.375" style="6" customWidth="1"/>
    <col min="12777" max="12777" width="6.375" style="6" customWidth="1"/>
    <col min="12778" max="12778" width="13.125" style="6" customWidth="1"/>
    <col min="12779" max="12779" width="15.375" style="6" customWidth="1"/>
    <col min="12780" max="12780" width="21.25" style="6" customWidth="1"/>
    <col min="12781" max="13029" width="9.125" style="6" customWidth="1"/>
    <col min="13030" max="13030" width="6.375" style="6" customWidth="1"/>
    <col min="13031" max="13031" width="34.25" style="6" customWidth="1"/>
    <col min="13032" max="13032" width="7.375" style="6" customWidth="1"/>
    <col min="13033" max="13033" width="6.375" style="6" customWidth="1"/>
    <col min="13034" max="13034" width="13.125" style="6" customWidth="1"/>
    <col min="13035" max="13035" width="15.375" style="6" customWidth="1"/>
    <col min="13036" max="13036" width="21.25" style="6" customWidth="1"/>
    <col min="13037" max="13285" width="9.125" style="6" customWidth="1"/>
    <col min="13286" max="13286" width="6.375" style="6" customWidth="1"/>
    <col min="13287" max="13287" width="34.25" style="6" customWidth="1"/>
    <col min="13288" max="13288" width="7.375" style="6" customWidth="1"/>
    <col min="13289" max="13289" width="6.375" style="6" customWidth="1"/>
    <col min="13290" max="13290" width="13.125" style="6" customWidth="1"/>
    <col min="13291" max="13291" width="15.375" style="6" customWidth="1"/>
    <col min="13292" max="13292" width="21.25" style="6" customWidth="1"/>
    <col min="13293" max="13541" width="9.125" style="6" customWidth="1"/>
    <col min="13542" max="13542" width="6.375" style="6" customWidth="1"/>
    <col min="13543" max="13543" width="34.25" style="6" customWidth="1"/>
    <col min="13544" max="13544" width="7.375" style="6" customWidth="1"/>
    <col min="13545" max="13545" width="6.375" style="6" customWidth="1"/>
    <col min="13546" max="13546" width="13.125" style="6" customWidth="1"/>
    <col min="13547" max="13547" width="15.375" style="6" customWidth="1"/>
    <col min="13548" max="13548" width="21.25" style="6" customWidth="1"/>
    <col min="13549" max="13797" width="9.125" style="6" customWidth="1"/>
    <col min="13798" max="13798" width="6.375" style="6" customWidth="1"/>
    <col min="13799" max="13799" width="34.25" style="6" customWidth="1"/>
    <col min="13800" max="13800" width="7.375" style="6" customWidth="1"/>
    <col min="13801" max="13801" width="6.375" style="6" customWidth="1"/>
    <col min="13802" max="13802" width="13.125" style="6" customWidth="1"/>
    <col min="13803" max="13803" width="15.375" style="6" customWidth="1"/>
    <col min="13804" max="13804" width="21.25" style="6" customWidth="1"/>
    <col min="13805" max="14053" width="9.125" style="6" customWidth="1"/>
    <col min="14054" max="14054" width="6.375" style="6" customWidth="1"/>
    <col min="14055" max="14055" width="34.25" style="6" customWidth="1"/>
    <col min="14056" max="14056" width="7.375" style="6" customWidth="1"/>
    <col min="14057" max="14057" width="6.375" style="6" customWidth="1"/>
    <col min="14058" max="14058" width="13.125" style="6" customWidth="1"/>
    <col min="14059" max="14059" width="15.375" style="6" customWidth="1"/>
    <col min="14060" max="14060" width="21.25" style="6" customWidth="1"/>
    <col min="14061" max="14309" width="9.125" style="6" customWidth="1"/>
    <col min="14310" max="14310" width="6.375" style="6" customWidth="1"/>
    <col min="14311" max="14311" width="34.25" style="6" customWidth="1"/>
    <col min="14312" max="14312" width="7.375" style="6" customWidth="1"/>
    <col min="14313" max="14313" width="6.375" style="6" customWidth="1"/>
    <col min="14314" max="14314" width="13.125" style="6" customWidth="1"/>
    <col min="14315" max="14315" width="15.375" style="6" customWidth="1"/>
    <col min="14316" max="14316" width="21.25" style="6" customWidth="1"/>
    <col min="14317" max="14565" width="9.125" style="6" customWidth="1"/>
    <col min="14566" max="14566" width="6.375" style="6" customWidth="1"/>
    <col min="14567" max="14567" width="34.25" style="6" customWidth="1"/>
    <col min="14568" max="14568" width="7.375" style="6" customWidth="1"/>
    <col min="14569" max="14569" width="6.375" style="6" customWidth="1"/>
    <col min="14570" max="14570" width="13.125" style="6" customWidth="1"/>
    <col min="14571" max="14571" width="15.375" style="6" customWidth="1"/>
    <col min="14572" max="14572" width="21.25" style="6" customWidth="1"/>
    <col min="14573" max="14821" width="9.125" style="6" customWidth="1"/>
    <col min="14822" max="14822" width="6.375" style="6" customWidth="1"/>
    <col min="14823" max="14823" width="34.25" style="6" customWidth="1"/>
    <col min="14824" max="14824" width="7.375" style="6" customWidth="1"/>
    <col min="14825" max="14825" width="6.375" style="6" customWidth="1"/>
    <col min="14826" max="14826" width="13.125" style="6" customWidth="1"/>
    <col min="14827" max="14827" width="15.375" style="6" customWidth="1"/>
    <col min="14828" max="14828" width="21.25" style="6" customWidth="1"/>
    <col min="14829" max="15077" width="9.125" style="6" customWidth="1"/>
    <col min="15078" max="15078" width="6.375" style="6" customWidth="1"/>
    <col min="15079" max="15079" width="34.25" style="6" customWidth="1"/>
    <col min="15080" max="15080" width="7.375" style="6" customWidth="1"/>
    <col min="15081" max="15081" width="6.375" style="6" customWidth="1"/>
    <col min="15082" max="15082" width="13.125" style="6" customWidth="1"/>
    <col min="15083" max="15083" width="15.375" style="6" customWidth="1"/>
    <col min="15084" max="15084" width="21.25" style="6" customWidth="1"/>
    <col min="15085" max="15333" width="9.125" style="6" customWidth="1"/>
    <col min="15334" max="15334" width="6.375" style="6" customWidth="1"/>
    <col min="15335" max="15335" width="34.25" style="6" customWidth="1"/>
    <col min="15336" max="15336" width="7.375" style="6" customWidth="1"/>
    <col min="15337" max="15337" width="6.375" style="6" customWidth="1"/>
    <col min="15338" max="15338" width="13.125" style="6" customWidth="1"/>
    <col min="15339" max="15339" width="15.375" style="6" customWidth="1"/>
    <col min="15340" max="15340" width="21.25" style="6" customWidth="1"/>
    <col min="15341" max="15589" width="9.125" style="6" customWidth="1"/>
    <col min="15590" max="15590" width="6.375" style="6" customWidth="1"/>
    <col min="15591" max="15591" width="34.25" style="6" customWidth="1"/>
    <col min="15592" max="15592" width="7.375" style="6" customWidth="1"/>
    <col min="15593" max="15593" width="6.375" style="6" customWidth="1"/>
    <col min="15594" max="15594" width="13.125" style="6" customWidth="1"/>
    <col min="15595" max="15595" width="15.375" style="6" customWidth="1"/>
    <col min="15596" max="15596" width="21.25" style="6" customWidth="1"/>
    <col min="15597" max="15845" width="9.125" style="6" customWidth="1"/>
    <col min="15846" max="15846" width="6.375" style="6" customWidth="1"/>
    <col min="15847" max="15847" width="34.25" style="6" customWidth="1"/>
    <col min="15848" max="15848" width="7.375" style="6" customWidth="1"/>
    <col min="15849" max="15849" width="6.375" style="6" customWidth="1"/>
    <col min="15850" max="15850" width="13.125" style="6" customWidth="1"/>
    <col min="15851" max="15851" width="15.375" style="6" customWidth="1"/>
    <col min="15852" max="15852" width="21.25" style="6" customWidth="1"/>
    <col min="15853" max="16101" width="9.125" style="6" customWidth="1"/>
    <col min="16102" max="16102" width="6.375" style="6" customWidth="1"/>
    <col min="16103" max="16103" width="34.25" style="6" customWidth="1"/>
    <col min="16104" max="16104" width="7.375" style="6" customWidth="1"/>
    <col min="16105" max="16105" width="6.375" style="6" customWidth="1"/>
    <col min="16106" max="16106" width="13.125" style="6" customWidth="1"/>
    <col min="16107" max="16107" width="15.375" style="6" customWidth="1"/>
    <col min="16108" max="16108" width="21.25" style="6" customWidth="1"/>
    <col min="16109" max="16384" width="9.125" style="6" customWidth="1"/>
  </cols>
  <sheetData>
    <row r="1" spans="1:10" ht="48" customHeight="1"/>
    <row r="2" spans="1:10" s="1" customFormat="1" ht="51" customHeight="1">
      <c r="A2" s="10" t="s">
        <v>507</v>
      </c>
      <c r="B2" s="11"/>
      <c r="C2" s="12"/>
      <c r="D2" s="11"/>
      <c r="E2" s="14"/>
      <c r="F2" s="14"/>
      <c r="G2" s="14"/>
      <c r="H2" s="15"/>
      <c r="I2" s="15"/>
      <c r="J2" s="15"/>
    </row>
    <row r="3" spans="1:10" ht="26.25" customHeight="1">
      <c r="A3" s="16"/>
      <c r="B3" s="17" t="s">
        <v>440</v>
      </c>
      <c r="C3" s="213"/>
      <c r="D3" s="217"/>
      <c r="E3" s="214"/>
      <c r="F3" s="214"/>
      <c r="G3" s="214"/>
      <c r="H3" s="220"/>
      <c r="I3" s="220"/>
      <c r="J3" s="220"/>
    </row>
    <row r="4" spans="1:10" ht="26.25" customHeight="1">
      <c r="A4" s="18"/>
      <c r="B4" s="5" t="s">
        <v>441</v>
      </c>
      <c r="C4" s="222"/>
      <c r="D4" s="217"/>
      <c r="E4" s="214"/>
      <c r="F4" s="214"/>
      <c r="G4" s="214"/>
      <c r="H4" s="220"/>
      <c r="I4" s="220"/>
      <c r="J4" s="220"/>
    </row>
    <row r="5" spans="1:10" ht="26.25" customHeight="1">
      <c r="A5" s="18"/>
      <c r="B5" s="5" t="s">
        <v>442</v>
      </c>
      <c r="C5" s="216"/>
      <c r="D5" s="217"/>
      <c r="E5" s="214"/>
      <c r="F5" s="214"/>
      <c r="G5" s="214"/>
      <c r="H5" s="220"/>
      <c r="I5" s="220"/>
      <c r="J5" s="220"/>
    </row>
    <row r="6" spans="1:10" ht="26.25" customHeight="1">
      <c r="A6" s="18"/>
      <c r="B6" s="5" t="s">
        <v>443</v>
      </c>
      <c r="C6" s="213" t="str">
        <f>INDEX(總表!$B$9:$B$47,MATCH('24A'!A9,總表!$A$9:$A$48,0))</f>
        <v>Hồ cảnh quan 2
二號景觀湖</v>
      </c>
      <c r="D6" s="217"/>
      <c r="E6" s="214"/>
      <c r="F6" s="214"/>
      <c r="G6" s="214"/>
      <c r="H6" s="220"/>
      <c r="I6" s="220"/>
      <c r="J6" s="220"/>
    </row>
    <row r="7" spans="1:10" ht="26.25" customHeight="1">
      <c r="A7" s="18"/>
      <c r="B7" s="5" t="s">
        <v>444</v>
      </c>
      <c r="C7" s="223" t="s">
        <v>445</v>
      </c>
      <c r="D7" s="224"/>
      <c r="E7" s="224"/>
      <c r="F7" s="224"/>
      <c r="G7" s="224"/>
      <c r="H7" s="224"/>
      <c r="I7" s="224"/>
      <c r="J7" s="224"/>
    </row>
    <row r="8" spans="1:10" s="2" customFormat="1" ht="41.25" customHeight="1">
      <c r="A8" s="19" t="s">
        <v>446</v>
      </c>
      <c r="B8" s="19" t="s">
        <v>508</v>
      </c>
      <c r="C8" s="19" t="s">
        <v>509</v>
      </c>
      <c r="D8" s="19" t="s">
        <v>448</v>
      </c>
      <c r="E8" s="19" t="s">
        <v>449</v>
      </c>
      <c r="F8" s="19" t="s">
        <v>511</v>
      </c>
      <c r="G8" s="19" t="s">
        <v>512</v>
      </c>
      <c r="H8" s="21" t="s">
        <v>450</v>
      </c>
      <c r="I8" s="21" t="s">
        <v>452</v>
      </c>
      <c r="J8" s="21" t="s">
        <v>514</v>
      </c>
    </row>
    <row r="9" spans="1:10" s="3" customFormat="1" ht="25.5" customHeight="1">
      <c r="A9" s="22" t="s">
        <v>483</v>
      </c>
      <c r="B9" s="23" t="str">
        <f>C6</f>
        <v>Hồ cảnh quan 2
二號景觀湖</v>
      </c>
      <c r="C9" s="23" t="s">
        <v>515</v>
      </c>
      <c r="D9" s="22"/>
      <c r="E9" s="25"/>
      <c r="F9" s="25">
        <f>_xlfn.XLOOKUP(B9, Rate_Master!$A:$A, Rate_Master!$C:$C, "")</f>
        <v>0</v>
      </c>
      <c r="G9" s="25">
        <f>_xlfn.XLOOKUP(B9, Rate_Master!$A:$A, Rate_Master!$D:$D, "")</f>
        <v>0</v>
      </c>
      <c r="H9" s="26"/>
      <c r="I9" s="26">
        <f>SUBTOTAL(9,I10:I67)</f>
        <v>712701547.86176658</v>
      </c>
      <c r="J9" s="26"/>
    </row>
    <row r="10" spans="1:10" s="3" customFormat="1" ht="25.5" customHeight="1">
      <c r="A10" s="22" t="str">
        <f>$A$9&amp;".C"</f>
        <v>24A.C</v>
      </c>
      <c r="B10" s="23" t="s">
        <v>1</v>
      </c>
      <c r="C10" s="23" t="s">
        <v>515</v>
      </c>
      <c r="D10" s="22"/>
      <c r="E10" s="25"/>
      <c r="F10" s="25">
        <f>_xlfn.XLOOKUP(B10, Rate_Master!$A:$A, Rate_Master!$C:$C, "")</f>
        <v>0</v>
      </c>
      <c r="G10" s="25">
        <f>_xlfn.XLOOKUP(B10, Rate_Master!$A:$A, Rate_Master!$D:$D, "")</f>
        <v>0</v>
      </c>
      <c r="H10" s="26"/>
      <c r="I10" s="26"/>
      <c r="J10" s="26"/>
    </row>
    <row r="11" spans="1:10" s="3" customFormat="1" ht="25.5" customHeight="1">
      <c r="A11" s="22" t="str">
        <f>$A$10&amp;1</f>
        <v>24A.C1</v>
      </c>
      <c r="B11" s="23" t="s">
        <v>2</v>
      </c>
      <c r="C11" s="23" t="s">
        <v>515</v>
      </c>
      <c r="D11" s="22"/>
      <c r="E11" s="25"/>
      <c r="F11" s="25">
        <f>_xlfn.XLOOKUP(B11, Rate_Master!$A:$A, Rate_Master!$C:$C, "")</f>
        <v>0</v>
      </c>
      <c r="G11" s="25">
        <f>_xlfn.XLOOKUP(B11, Rate_Master!$A:$A, Rate_Master!$D:$D, "")</f>
        <v>0</v>
      </c>
      <c r="H11" s="26"/>
      <c r="I11" s="26">
        <f>SUBTOTAL(9,I12:I22)</f>
        <v>0</v>
      </c>
      <c r="J11" s="26"/>
    </row>
    <row r="12" spans="1:10" s="4" customFormat="1" ht="25.5" customHeight="1" outlineLevel="1">
      <c r="A12" s="37" t="str">
        <f t="shared" ref="A12:A22" si="0">$A$11&amp;"."&amp;ROW()-ROW($A$11)</f>
        <v>24A.C1.1</v>
      </c>
      <c r="B12" s="38" t="s">
        <v>3</v>
      </c>
      <c r="C12" s="38" t="s">
        <v>515</v>
      </c>
      <c r="D12" s="39" t="s">
        <v>516</v>
      </c>
      <c r="E12" s="40">
        <v>0</v>
      </c>
      <c r="F12" s="40">
        <f>_xlfn.XLOOKUP(B12, Rate_Master!$A:$A, Rate_Master!$C:$C, "")</f>
        <v>0</v>
      </c>
      <c r="G12" s="40">
        <f>_xlfn.XLOOKUP(B12, Rate_Master!$A:$A, Rate_Master!$D:$D, "")</f>
        <v>114999999.99999999</v>
      </c>
      <c r="H12" s="41"/>
      <c r="I12" s="41">
        <f t="shared" ref="I12:I22" si="1">H12*E12</f>
        <v>0</v>
      </c>
      <c r="J12" s="41"/>
    </row>
    <row r="13" spans="1:10" s="4" customFormat="1" ht="25.5" customHeight="1" outlineLevel="1">
      <c r="A13" s="37" t="str">
        <f t="shared" si="0"/>
        <v>24A.C1.2</v>
      </c>
      <c r="B13" s="38" t="s">
        <v>4</v>
      </c>
      <c r="C13" s="38" t="s">
        <v>515</v>
      </c>
      <c r="D13" s="39" t="s">
        <v>517</v>
      </c>
      <c r="E13" s="40">
        <v>0</v>
      </c>
      <c r="F13" s="40">
        <f>_xlfn.XLOOKUP(B13, Rate_Master!$A:$A, Rate_Master!$C:$C, "")</f>
        <v>425499.99999999994</v>
      </c>
      <c r="G13" s="40">
        <f>_xlfn.XLOOKUP(B13, Rate_Master!$A:$A, Rate_Master!$D:$D, "")</f>
        <v>0</v>
      </c>
      <c r="H13" s="41"/>
      <c r="I13" s="41">
        <f t="shared" si="1"/>
        <v>0</v>
      </c>
      <c r="J13" s="41"/>
    </row>
    <row r="14" spans="1:10" s="4" customFormat="1" ht="25.5" customHeight="1" outlineLevel="1">
      <c r="A14" s="37" t="str">
        <f t="shared" si="0"/>
        <v>24A.C1.3</v>
      </c>
      <c r="B14" s="38" t="s">
        <v>5</v>
      </c>
      <c r="C14" s="38" t="s">
        <v>515</v>
      </c>
      <c r="D14" s="39" t="s">
        <v>517</v>
      </c>
      <c r="E14" s="40">
        <v>0</v>
      </c>
      <c r="F14" s="40">
        <f>_xlfn.XLOOKUP(B14, Rate_Master!$A:$A, Rate_Master!$C:$C, "")</f>
        <v>0</v>
      </c>
      <c r="G14" s="40">
        <f>_xlfn.XLOOKUP(B14, Rate_Master!$A:$A, Rate_Master!$D:$D, "")</f>
        <v>69000</v>
      </c>
      <c r="H14" s="41"/>
      <c r="I14" s="41">
        <f t="shared" si="1"/>
        <v>0</v>
      </c>
      <c r="J14" s="41"/>
    </row>
    <row r="15" spans="1:10" s="4" customFormat="1" ht="25.5" customHeight="1" outlineLevel="1">
      <c r="A15" s="37" t="str">
        <f t="shared" si="0"/>
        <v>24A.C1.4</v>
      </c>
      <c r="B15" s="38" t="s">
        <v>6</v>
      </c>
      <c r="C15" s="38" t="s">
        <v>515</v>
      </c>
      <c r="D15" s="39" t="s">
        <v>517</v>
      </c>
      <c r="E15" s="40">
        <v>0</v>
      </c>
      <c r="F15" s="40">
        <f>_xlfn.XLOOKUP(B15, Rate_Master!$A:$A, Rate_Master!$C:$C, "")</f>
        <v>0</v>
      </c>
      <c r="G15" s="40">
        <f>_xlfn.XLOOKUP(B15, Rate_Master!$A:$A, Rate_Master!$D:$D, "")</f>
        <v>57499.999999999993</v>
      </c>
      <c r="H15" s="41"/>
      <c r="I15" s="41">
        <f t="shared" si="1"/>
        <v>0</v>
      </c>
      <c r="J15" s="41"/>
    </row>
    <row r="16" spans="1:10" s="4" customFormat="1" ht="102" customHeight="1" outlineLevel="1">
      <c r="A16" s="37" t="str">
        <f t="shared" si="0"/>
        <v>24A.C1.5</v>
      </c>
      <c r="B16" s="38" t="s">
        <v>7</v>
      </c>
      <c r="C16" s="38" t="s">
        <v>515</v>
      </c>
      <c r="D16" s="39" t="s">
        <v>518</v>
      </c>
      <c r="E16" s="40">
        <v>0</v>
      </c>
      <c r="F16" s="40">
        <f>_xlfn.XLOOKUP(B16, Rate_Master!$A:$A, Rate_Master!$C:$C, "")</f>
        <v>0</v>
      </c>
      <c r="G16" s="40">
        <f>_xlfn.XLOOKUP(B16, Rate_Master!$A:$A, Rate_Master!$D:$D, "")</f>
        <v>13799999.999999998</v>
      </c>
      <c r="H16" s="41"/>
      <c r="I16" s="41">
        <f t="shared" si="1"/>
        <v>0</v>
      </c>
      <c r="J16" s="41"/>
    </row>
    <row r="17" spans="1:10" s="4" customFormat="1" ht="25.5" customHeight="1" outlineLevel="1">
      <c r="A17" s="37" t="str">
        <f t="shared" si="0"/>
        <v>24A.C1.6</v>
      </c>
      <c r="B17" s="38" t="s">
        <v>8</v>
      </c>
      <c r="C17" s="38" t="s">
        <v>515</v>
      </c>
      <c r="D17" s="39" t="s">
        <v>518</v>
      </c>
      <c r="E17" s="40">
        <v>0</v>
      </c>
      <c r="F17" s="40">
        <f>_xlfn.XLOOKUP(B17, Rate_Master!$A:$A, Rate_Master!$C:$C, "")</f>
        <v>0</v>
      </c>
      <c r="G17" s="40">
        <f>_xlfn.XLOOKUP(B17, Rate_Master!$A:$A, Rate_Master!$D:$D, "")</f>
        <v>252999.99999999997</v>
      </c>
      <c r="H17" s="41"/>
      <c r="I17" s="41">
        <f t="shared" si="1"/>
        <v>0</v>
      </c>
      <c r="J17" s="41"/>
    </row>
    <row r="18" spans="1:10" s="4" customFormat="1" ht="25.5" customHeight="1" outlineLevel="1">
      <c r="A18" s="37" t="str">
        <f t="shared" si="0"/>
        <v>24A.C1.7</v>
      </c>
      <c r="B18" s="38" t="s">
        <v>9</v>
      </c>
      <c r="C18" s="38" t="s">
        <v>515</v>
      </c>
      <c r="D18" s="39" t="s">
        <v>517</v>
      </c>
      <c r="E18" s="40">
        <v>0</v>
      </c>
      <c r="F18" s="40">
        <f>_xlfn.XLOOKUP(B18, Rate_Master!$A:$A, Rate_Master!$C:$C, "")</f>
        <v>402499.99999999994</v>
      </c>
      <c r="G18" s="40">
        <f>_xlfn.XLOOKUP(B18, Rate_Master!$A:$A, Rate_Master!$D:$D, "")</f>
        <v>0</v>
      </c>
      <c r="H18" s="41"/>
      <c r="I18" s="41">
        <f t="shared" si="1"/>
        <v>0</v>
      </c>
      <c r="J18" s="41"/>
    </row>
    <row r="19" spans="1:10" s="4" customFormat="1" ht="25.5" customHeight="1" outlineLevel="1">
      <c r="A19" s="37" t="str">
        <f t="shared" si="0"/>
        <v>24A.C1.8</v>
      </c>
      <c r="B19" s="38" t="s">
        <v>10</v>
      </c>
      <c r="C19" s="38" t="s">
        <v>515</v>
      </c>
      <c r="D19" s="39" t="s">
        <v>518</v>
      </c>
      <c r="E19" s="40">
        <v>0</v>
      </c>
      <c r="F19" s="40">
        <f>_xlfn.XLOOKUP(B19, Rate_Master!$A:$A, Rate_Master!$C:$C, "")</f>
        <v>80500</v>
      </c>
      <c r="G19" s="40">
        <f>_xlfn.XLOOKUP(B19, Rate_Master!$A:$A, Rate_Master!$D:$D, "")</f>
        <v>0</v>
      </c>
      <c r="H19" s="41"/>
      <c r="I19" s="41">
        <f t="shared" si="1"/>
        <v>0</v>
      </c>
      <c r="J19" s="41"/>
    </row>
    <row r="20" spans="1:10" s="4" customFormat="1" ht="25.5" customHeight="1" outlineLevel="1">
      <c r="A20" s="37" t="str">
        <f t="shared" si="0"/>
        <v>24A.C1.9</v>
      </c>
      <c r="B20" s="38" t="s">
        <v>11</v>
      </c>
      <c r="C20" s="38" t="s">
        <v>515</v>
      </c>
      <c r="D20" s="39" t="s">
        <v>517</v>
      </c>
      <c r="E20" s="40">
        <v>0</v>
      </c>
      <c r="F20" s="40">
        <f>_xlfn.XLOOKUP(B20, Rate_Master!$A:$A, Rate_Master!$C:$C, "")</f>
        <v>0</v>
      </c>
      <c r="G20" s="40">
        <f>_xlfn.XLOOKUP(B20, Rate_Master!$A:$A, Rate_Master!$D:$D, "")</f>
        <v>69000</v>
      </c>
      <c r="H20" s="41"/>
      <c r="I20" s="41">
        <f t="shared" si="1"/>
        <v>0</v>
      </c>
      <c r="J20" s="41"/>
    </row>
    <row r="21" spans="1:10" s="4" customFormat="1" ht="25.5" customHeight="1" outlineLevel="1">
      <c r="A21" s="37" t="str">
        <f t="shared" si="0"/>
        <v>24A.C1.10</v>
      </c>
      <c r="B21" s="38" t="s">
        <v>12</v>
      </c>
      <c r="C21" s="38" t="s">
        <v>515</v>
      </c>
      <c r="D21" s="39" t="s">
        <v>517</v>
      </c>
      <c r="E21" s="40">
        <v>0</v>
      </c>
      <c r="F21" s="40">
        <f>_xlfn.XLOOKUP(B21, Rate_Master!$A:$A, Rate_Master!$C:$C, "")</f>
        <v>0</v>
      </c>
      <c r="G21" s="40">
        <f>_xlfn.XLOOKUP(B21, Rate_Master!$A:$A, Rate_Master!$D:$D, "")</f>
        <v>57499.999999999993</v>
      </c>
      <c r="H21" s="41"/>
      <c r="I21" s="41">
        <f t="shared" si="1"/>
        <v>0</v>
      </c>
      <c r="J21" s="41"/>
    </row>
    <row r="22" spans="1:10" s="4" customFormat="1" ht="63.75" customHeight="1" outlineLevel="1">
      <c r="A22" s="37" t="str">
        <f t="shared" si="0"/>
        <v>24A.C1.11</v>
      </c>
      <c r="B22" s="38" t="s">
        <v>13</v>
      </c>
      <c r="C22" s="38" t="s">
        <v>515</v>
      </c>
      <c r="D22" s="39" t="s">
        <v>518</v>
      </c>
      <c r="E22" s="40">
        <v>0</v>
      </c>
      <c r="F22" s="40">
        <f>_xlfn.XLOOKUP(B22, Rate_Master!$A:$A, Rate_Master!$C:$C, "")</f>
        <v>482999.99999999994</v>
      </c>
      <c r="G22" s="40">
        <f>_xlfn.XLOOKUP(B22, Rate_Master!$A:$A, Rate_Master!$D:$D, "")</f>
        <v>161000</v>
      </c>
      <c r="H22" s="41"/>
      <c r="I22" s="41">
        <f t="shared" si="1"/>
        <v>0</v>
      </c>
      <c r="J22" s="41"/>
    </row>
    <row r="23" spans="1:10" s="3" customFormat="1" ht="25.5" customHeight="1">
      <c r="A23" s="22" t="str">
        <f>$A$10&amp;2</f>
        <v>24A.C2</v>
      </c>
      <c r="B23" s="23" t="s">
        <v>14</v>
      </c>
      <c r="C23" s="23" t="s">
        <v>515</v>
      </c>
      <c r="D23" s="22"/>
      <c r="E23" s="25"/>
      <c r="F23" s="25">
        <f>_xlfn.XLOOKUP(B23, Rate_Master!$A:$A, Rate_Master!$C:$C, "")</f>
        <v>0</v>
      </c>
      <c r="G23" s="25">
        <f>_xlfn.XLOOKUP(B23, Rate_Master!$A:$A, Rate_Master!$D:$D, "")</f>
        <v>0</v>
      </c>
      <c r="H23" s="26"/>
      <c r="I23" s="26">
        <f>SUBTOTAL(9,I24:I31)</f>
        <v>78270858.400000006</v>
      </c>
      <c r="J23" s="26"/>
    </row>
    <row r="24" spans="1:10" s="4" customFormat="1" ht="25.5" customHeight="1" outlineLevel="1">
      <c r="A24" s="27" t="str">
        <f t="shared" ref="A24:A31" si="2">$A$23&amp;"."&amp;ROW()-ROW($A$23)</f>
        <v>24A.C2.1</v>
      </c>
      <c r="B24" s="28" t="s">
        <v>15</v>
      </c>
      <c r="C24" s="28" t="s">
        <v>515</v>
      </c>
      <c r="D24" s="29" t="s">
        <v>519</v>
      </c>
      <c r="E24" s="31">
        <v>471.02300000000002</v>
      </c>
      <c r="F24" s="31">
        <f>_xlfn.XLOOKUP(B24, Rate_Master!$A:$A, Rate_Master!$C:$C, "")</f>
        <v>0</v>
      </c>
      <c r="G24" s="31">
        <f>_xlfn.XLOOKUP(B24, Rate_Master!$A:$A, Rate_Master!$D:$D, "")</f>
        <v>32199.999999999996</v>
      </c>
      <c r="H24" s="66">
        <f t="shared" ref="H24:H31" si="3">F24+G24</f>
        <v>32199.999999999996</v>
      </c>
      <c r="I24" s="32">
        <f t="shared" ref="I24:I31" si="4">H24*E24</f>
        <v>15166940.6</v>
      </c>
      <c r="J24" s="32"/>
    </row>
    <row r="25" spans="1:10" s="4" customFormat="1" ht="25.5" customHeight="1" outlineLevel="1">
      <c r="A25" s="27" t="str">
        <f t="shared" si="2"/>
        <v>24A.C2.2</v>
      </c>
      <c r="B25" s="28" t="s">
        <v>16</v>
      </c>
      <c r="C25" s="28" t="s">
        <v>515</v>
      </c>
      <c r="D25" s="29" t="s">
        <v>520</v>
      </c>
      <c r="E25" s="31">
        <v>193.95099999999999</v>
      </c>
      <c r="F25" s="31">
        <f>_xlfn.XLOOKUP(B25, Rate_Master!$A:$A, Rate_Master!$C:$C, "")</f>
        <v>0</v>
      </c>
      <c r="G25" s="31">
        <f>_xlfn.XLOOKUP(B25, Rate_Master!$A:$A, Rate_Master!$D:$D, "")</f>
        <v>17250</v>
      </c>
      <c r="H25" s="66">
        <f t="shared" si="3"/>
        <v>17250</v>
      </c>
      <c r="I25" s="32">
        <f t="shared" si="4"/>
        <v>3345654.75</v>
      </c>
      <c r="J25" s="32"/>
    </row>
    <row r="26" spans="1:10" s="4" customFormat="1" ht="25.5" customHeight="1" outlineLevel="1">
      <c r="A26" s="27" t="str">
        <f t="shared" si="2"/>
        <v>24A.C2.3</v>
      </c>
      <c r="B26" s="28" t="s">
        <v>17</v>
      </c>
      <c r="C26" s="28" t="s">
        <v>515</v>
      </c>
      <c r="D26" s="29" t="s">
        <v>519</v>
      </c>
      <c r="E26" s="31">
        <v>198.315</v>
      </c>
      <c r="F26" s="31">
        <f>_xlfn.XLOOKUP(B26, Rate_Master!$A:$A, Rate_Master!$C:$C, "")</f>
        <v>0</v>
      </c>
      <c r="G26" s="31">
        <f>_xlfn.XLOOKUP(B26, Rate_Master!$A:$A, Rate_Master!$D:$D, "")</f>
        <v>37950</v>
      </c>
      <c r="H26" s="66">
        <f t="shared" si="3"/>
        <v>37950</v>
      </c>
      <c r="I26" s="32">
        <f t="shared" si="4"/>
        <v>7526054.25</v>
      </c>
      <c r="J26" s="32"/>
    </row>
    <row r="27" spans="1:10" s="4" customFormat="1" ht="25.5" customHeight="1" outlineLevel="1">
      <c r="A27" s="27" t="str">
        <f t="shared" si="2"/>
        <v>24A.C2.4</v>
      </c>
      <c r="B27" s="34" t="s">
        <v>18</v>
      </c>
      <c r="C27" s="34" t="s">
        <v>521</v>
      </c>
      <c r="D27" s="29" t="s">
        <v>519</v>
      </c>
      <c r="E27" s="31">
        <v>272.70800000000003</v>
      </c>
      <c r="F27" s="31">
        <f>_xlfn.XLOOKUP(B27, Rate_Master!$A:$A, Rate_Master!$C:$C, "")</f>
        <v>0</v>
      </c>
      <c r="G27" s="31">
        <f>_xlfn.XLOOKUP(B27, Rate_Master!$A:$A, Rate_Master!$D:$D, "")</f>
        <v>32199.999999999996</v>
      </c>
      <c r="H27" s="66">
        <f t="shared" si="3"/>
        <v>32199.999999999996</v>
      </c>
      <c r="I27" s="32">
        <f t="shared" si="4"/>
        <v>8781197.5999999996</v>
      </c>
      <c r="J27" s="32"/>
    </row>
    <row r="28" spans="1:10" s="4" customFormat="1" ht="25.5" customHeight="1" outlineLevel="1">
      <c r="A28" s="27" t="str">
        <f t="shared" si="2"/>
        <v>24A.C2.5</v>
      </c>
      <c r="B28" s="28" t="s">
        <v>19</v>
      </c>
      <c r="C28" s="28" t="s">
        <v>515</v>
      </c>
      <c r="D28" s="29" t="s">
        <v>520</v>
      </c>
      <c r="E28" s="31">
        <v>193.95099999999999</v>
      </c>
      <c r="F28" s="31">
        <f>_xlfn.XLOOKUP(B28, Rate_Master!$A:$A, Rate_Master!$C:$C, "")</f>
        <v>6899.9999999999991</v>
      </c>
      <c r="G28" s="31">
        <f>_xlfn.XLOOKUP(B28, Rate_Master!$A:$A, Rate_Master!$D:$D, "")</f>
        <v>1724.9999999999998</v>
      </c>
      <c r="H28" s="66">
        <f t="shared" si="3"/>
        <v>8624.9999999999982</v>
      </c>
      <c r="I28" s="32">
        <f t="shared" si="4"/>
        <v>1672827.3749999995</v>
      </c>
      <c r="J28" s="32"/>
    </row>
    <row r="29" spans="1:10" s="4" customFormat="1" ht="38.25" customHeight="1" outlineLevel="1">
      <c r="A29" s="27" t="str">
        <f t="shared" si="2"/>
        <v>24A.C2.6</v>
      </c>
      <c r="B29" s="28" t="s">
        <v>20</v>
      </c>
      <c r="C29" s="28" t="s">
        <v>515</v>
      </c>
      <c r="D29" s="29" t="s">
        <v>520</v>
      </c>
      <c r="E29" s="31">
        <v>0</v>
      </c>
      <c r="F29" s="31">
        <f>_xlfn.XLOOKUP(B29, Rate_Master!$A:$A, Rate_Master!$C:$C, "")</f>
        <v>34500</v>
      </c>
      <c r="G29" s="31">
        <f>_xlfn.XLOOKUP(B29, Rate_Master!$A:$A, Rate_Master!$D:$D, "")</f>
        <v>5750</v>
      </c>
      <c r="H29" s="66">
        <f t="shared" si="3"/>
        <v>40250</v>
      </c>
      <c r="I29" s="32">
        <f t="shared" si="4"/>
        <v>0</v>
      </c>
      <c r="J29" s="32"/>
    </row>
    <row r="30" spans="1:10" s="4" customFormat="1" ht="25.5" customHeight="1" outlineLevel="1">
      <c r="A30" s="27" t="str">
        <f t="shared" si="2"/>
        <v>24A.C2.7</v>
      </c>
      <c r="B30" s="34" t="s">
        <v>21</v>
      </c>
      <c r="C30" s="28" t="s">
        <v>515</v>
      </c>
      <c r="D30" s="29" t="s">
        <v>520</v>
      </c>
      <c r="E30" s="31">
        <v>0</v>
      </c>
      <c r="F30" s="31">
        <f>_xlfn.XLOOKUP(B30, Rate_Master!$A:$A, Rate_Master!$C:$C, "")</f>
        <v>0</v>
      </c>
      <c r="G30" s="31">
        <f>_xlfn.XLOOKUP(B30, Rate_Master!$A:$A, Rate_Master!$D:$D, "")</f>
        <v>13799.999999999998</v>
      </c>
      <c r="H30" s="32">
        <f t="shared" si="3"/>
        <v>13799.999999999998</v>
      </c>
      <c r="I30" s="32">
        <f t="shared" si="4"/>
        <v>0</v>
      </c>
      <c r="J30" s="32"/>
    </row>
    <row r="31" spans="1:10" s="4" customFormat="1" ht="25.5" customHeight="1" outlineLevel="1">
      <c r="A31" s="27" t="str">
        <f t="shared" si="2"/>
        <v>24A.C2.8</v>
      </c>
      <c r="B31" s="28" t="s">
        <v>22</v>
      </c>
      <c r="C31" s="28" t="s">
        <v>515</v>
      </c>
      <c r="D31" s="29" t="s">
        <v>519</v>
      </c>
      <c r="E31" s="31">
        <v>67.840999999999994</v>
      </c>
      <c r="F31" s="31">
        <f>_xlfn.XLOOKUP(B31, Rate_Master!$A:$A, Rate_Master!$C:$C, "")</f>
        <v>512325</v>
      </c>
      <c r="G31" s="31">
        <f>_xlfn.XLOOKUP(B31, Rate_Master!$A:$A, Rate_Master!$D:$D, "")</f>
        <v>103499.99999999999</v>
      </c>
      <c r="H31" s="66">
        <f t="shared" si="3"/>
        <v>615825</v>
      </c>
      <c r="I31" s="32">
        <f t="shared" si="4"/>
        <v>41778183.824999996</v>
      </c>
      <c r="J31" s="32"/>
    </row>
    <row r="32" spans="1:10" s="3" customFormat="1" ht="25.5" customHeight="1">
      <c r="A32" s="22" t="str">
        <f>$A$10&amp;3</f>
        <v>24A.C3</v>
      </c>
      <c r="B32" s="23" t="s">
        <v>23</v>
      </c>
      <c r="C32" s="23" t="s">
        <v>515</v>
      </c>
      <c r="D32" s="22"/>
      <c r="E32" s="25"/>
      <c r="F32" s="25">
        <f>_xlfn.XLOOKUP(B32, Rate_Master!$A:$A, Rate_Master!$C:$C, "")</f>
        <v>0</v>
      </c>
      <c r="G32" s="25">
        <f>_xlfn.XLOOKUP(B32, Rate_Master!$A:$A, Rate_Master!$D:$D, "")</f>
        <v>0</v>
      </c>
      <c r="H32" s="26"/>
      <c r="I32" s="26">
        <f>SUBTOTAL(9,I33:I39)</f>
        <v>173456282.11666667</v>
      </c>
      <c r="J32" s="26"/>
    </row>
    <row r="33" spans="1:10" s="4" customFormat="1" ht="25.5" customHeight="1" outlineLevel="1">
      <c r="A33" s="27" t="str">
        <f t="shared" ref="A33:A39" si="5">$A$32&amp;"."&amp;ROW()-ROW($A$32)</f>
        <v>24A.C3.1</v>
      </c>
      <c r="B33" s="28" t="s">
        <v>24</v>
      </c>
      <c r="C33" s="28" t="s">
        <v>515</v>
      </c>
      <c r="D33" s="29" t="s">
        <v>519</v>
      </c>
      <c r="E33" s="31">
        <v>19.396000000000001</v>
      </c>
      <c r="F33" s="30">
        <f>_xlfn.XLOOKUP(B33, Rate_Master!$A:$A, Rate_Master!$C:$C, "")</f>
        <v>1249762.5</v>
      </c>
      <c r="G33" s="30">
        <f>_xlfn.XLOOKUP(B33, Rate_Master!$A:$A, Rate_Master!$D:$D, "")</f>
        <v>206999.99999999997</v>
      </c>
      <c r="H33" s="66">
        <f t="shared" ref="H33:H39" si="6">F33+G33</f>
        <v>1456762.5</v>
      </c>
      <c r="I33" s="32">
        <f t="shared" ref="I33:I39" si="7">H33*E33</f>
        <v>28255365.450000003</v>
      </c>
      <c r="J33" s="32"/>
    </row>
    <row r="34" spans="1:10" s="4" customFormat="1" ht="51" customHeight="1" outlineLevel="1">
      <c r="A34" s="27" t="str">
        <f t="shared" si="5"/>
        <v>24A.C3.2</v>
      </c>
      <c r="B34" s="28" t="s">
        <v>25</v>
      </c>
      <c r="C34" s="28" t="s">
        <v>515</v>
      </c>
      <c r="D34" s="29" t="s">
        <v>519</v>
      </c>
      <c r="E34" s="31">
        <v>82.644000000000005</v>
      </c>
      <c r="F34" s="30">
        <f>_xlfn.XLOOKUP(B34, Rate_Master!$A:$A, Rate_Master!$C:$C, "")</f>
        <v>1607444.4444444443</v>
      </c>
      <c r="G34" s="30">
        <f>_xlfn.XLOOKUP(B34, Rate_Master!$A:$A, Rate_Master!$D:$D, "")</f>
        <v>149500</v>
      </c>
      <c r="H34" s="66">
        <f t="shared" si="6"/>
        <v>1756944.4444444443</v>
      </c>
      <c r="I34" s="32">
        <f t="shared" si="7"/>
        <v>145200916.66666666</v>
      </c>
      <c r="J34" s="32"/>
    </row>
    <row r="35" spans="1:10" s="4" customFormat="1" ht="25.5" customHeight="1" outlineLevel="1">
      <c r="A35" s="27" t="str">
        <f t="shared" si="5"/>
        <v>24A.C3.3</v>
      </c>
      <c r="B35" s="28" t="s">
        <v>26</v>
      </c>
      <c r="C35" s="28" t="s">
        <v>515</v>
      </c>
      <c r="D35" s="29" t="s">
        <v>519</v>
      </c>
      <c r="E35" s="31">
        <v>0</v>
      </c>
      <c r="F35" s="30">
        <f>_xlfn.XLOOKUP(B35, Rate_Master!$A:$A, Rate_Master!$C:$C, "")</f>
        <v>1520555.5555555553</v>
      </c>
      <c r="G35" s="30">
        <f>_xlfn.XLOOKUP(B35, Rate_Master!$A:$A, Rate_Master!$D:$D, "")</f>
        <v>252999.99999999997</v>
      </c>
      <c r="H35" s="32">
        <f t="shared" si="6"/>
        <v>1773555.5555555553</v>
      </c>
      <c r="I35" s="32">
        <f t="shared" si="7"/>
        <v>0</v>
      </c>
      <c r="J35" s="32"/>
    </row>
    <row r="36" spans="1:10" s="4" customFormat="1" ht="25.5" customHeight="1" outlineLevel="1">
      <c r="A36" s="27" t="str">
        <f t="shared" si="5"/>
        <v>24A.C3.4</v>
      </c>
      <c r="B36" s="28" t="s">
        <v>27</v>
      </c>
      <c r="C36" s="28" t="s">
        <v>515</v>
      </c>
      <c r="D36" s="29" t="s">
        <v>519</v>
      </c>
      <c r="E36" s="31">
        <v>0</v>
      </c>
      <c r="F36" s="30">
        <f>_xlfn.XLOOKUP(B36, Rate_Master!$A:$A, Rate_Master!$C:$C, "")</f>
        <v>1520555.5555555553</v>
      </c>
      <c r="G36" s="30">
        <f>_xlfn.XLOOKUP(B36, Rate_Master!$A:$A, Rate_Master!$D:$D, "")</f>
        <v>149500</v>
      </c>
      <c r="H36" s="32">
        <f t="shared" si="6"/>
        <v>1670055.5555555553</v>
      </c>
      <c r="I36" s="32">
        <f t="shared" si="7"/>
        <v>0</v>
      </c>
      <c r="J36" s="32"/>
    </row>
    <row r="37" spans="1:10" s="4" customFormat="1" ht="25.5" customHeight="1" outlineLevel="1">
      <c r="A37" s="27" t="str">
        <f t="shared" si="5"/>
        <v>24A.C3.5</v>
      </c>
      <c r="B37" s="28" t="s">
        <v>28</v>
      </c>
      <c r="C37" s="28" t="s">
        <v>515</v>
      </c>
      <c r="D37" s="29" t="s">
        <v>519</v>
      </c>
      <c r="E37" s="31">
        <v>0</v>
      </c>
      <c r="F37" s="30">
        <f>_xlfn.XLOOKUP(B37, Rate_Master!$A:$A, Rate_Master!$C:$C, "")</f>
        <v>1390222.2222222222</v>
      </c>
      <c r="G37" s="30">
        <f>_xlfn.XLOOKUP(B37, Rate_Master!$A:$A, Rate_Master!$D:$D, "")</f>
        <v>149500</v>
      </c>
      <c r="H37" s="32">
        <f t="shared" si="6"/>
        <v>1539722.2222222222</v>
      </c>
      <c r="I37" s="32">
        <f t="shared" si="7"/>
        <v>0</v>
      </c>
      <c r="J37" s="32"/>
    </row>
    <row r="38" spans="1:10" s="4" customFormat="1" ht="25.5" customHeight="1" outlineLevel="1">
      <c r="A38" s="27" t="str">
        <f t="shared" si="5"/>
        <v>24A.C3.6</v>
      </c>
      <c r="B38" s="28" t="s">
        <v>29</v>
      </c>
      <c r="C38" s="28" t="s">
        <v>515</v>
      </c>
      <c r="D38" s="29" t="s">
        <v>519</v>
      </c>
      <c r="E38" s="31">
        <v>0</v>
      </c>
      <c r="F38" s="30">
        <f>_xlfn.XLOOKUP(B38, Rate_Master!$A:$A, Rate_Master!$C:$C, "")</f>
        <v>1390222.2222222222</v>
      </c>
      <c r="G38" s="30">
        <f>_xlfn.XLOOKUP(B38, Rate_Master!$A:$A, Rate_Master!$D:$D, "")</f>
        <v>149500</v>
      </c>
      <c r="H38" s="32">
        <f t="shared" si="6"/>
        <v>1539722.2222222222</v>
      </c>
      <c r="I38" s="32">
        <f t="shared" si="7"/>
        <v>0</v>
      </c>
      <c r="J38" s="32"/>
    </row>
    <row r="39" spans="1:10" s="4" customFormat="1" ht="38.25" customHeight="1" outlineLevel="1">
      <c r="A39" s="27" t="str">
        <f t="shared" si="5"/>
        <v>24A.C3.7</v>
      </c>
      <c r="B39" s="28" t="s">
        <v>30</v>
      </c>
      <c r="C39" s="28" t="s">
        <v>515</v>
      </c>
      <c r="D39" s="29" t="s">
        <v>519</v>
      </c>
      <c r="E39" s="31">
        <v>0</v>
      </c>
      <c r="F39" s="30">
        <f>_xlfn.XLOOKUP(B39, Rate_Master!$A:$A, Rate_Master!$C:$C, "")</f>
        <v>22425000</v>
      </c>
      <c r="G39" s="30">
        <f>_xlfn.XLOOKUP(B39, Rate_Master!$A:$A, Rate_Master!$D:$D, "")</f>
        <v>8003999.9999999991</v>
      </c>
      <c r="H39" s="32">
        <f t="shared" si="6"/>
        <v>30429000</v>
      </c>
      <c r="I39" s="32">
        <f t="shared" si="7"/>
        <v>0</v>
      </c>
      <c r="J39" s="32"/>
    </row>
    <row r="40" spans="1:10" s="3" customFormat="1" ht="25.5" customHeight="1">
      <c r="A40" s="22" t="str">
        <f>$A$10&amp;4</f>
        <v>24A.C4</v>
      </c>
      <c r="B40" s="23" t="s">
        <v>31</v>
      </c>
      <c r="C40" s="23" t="s">
        <v>515</v>
      </c>
      <c r="D40" s="22"/>
      <c r="E40" s="25"/>
      <c r="F40" s="25">
        <f>_xlfn.XLOOKUP(B40, Rate_Master!$A:$A, Rate_Master!$C:$C, "")</f>
        <v>0</v>
      </c>
      <c r="G40" s="25">
        <f>_xlfn.XLOOKUP(B40, Rate_Master!$A:$A, Rate_Master!$D:$D, "")</f>
        <v>0</v>
      </c>
      <c r="H40" s="26"/>
      <c r="I40" s="26">
        <f>SUBTOTAL(9,I41:I45)</f>
        <v>57047359.999999993</v>
      </c>
      <c r="J40" s="26"/>
    </row>
    <row r="41" spans="1:10" s="4" customFormat="1" ht="25.5" customHeight="1" outlineLevel="1">
      <c r="A41" s="27" t="str">
        <f>$A$40&amp;"."&amp;ROW()-ROW($A$40)</f>
        <v>24A.C4.1</v>
      </c>
      <c r="B41" s="28" t="s">
        <v>32</v>
      </c>
      <c r="C41" s="28" t="s">
        <v>515</v>
      </c>
      <c r="D41" s="29" t="s">
        <v>520</v>
      </c>
      <c r="E41" s="31">
        <v>7.6479999999999997</v>
      </c>
      <c r="F41" s="30">
        <f>_xlfn.XLOOKUP(B41, Rate_Master!$A:$A, Rate_Master!$C:$C, "")</f>
        <v>80500</v>
      </c>
      <c r="G41" s="30">
        <f>_xlfn.XLOOKUP(B41, Rate_Master!$A:$A, Rate_Master!$D:$D, "")</f>
        <v>92000</v>
      </c>
      <c r="H41" s="66">
        <f>F41+G41</f>
        <v>172500</v>
      </c>
      <c r="I41" s="32">
        <f>H41*E41</f>
        <v>1319280</v>
      </c>
      <c r="J41" s="32"/>
    </row>
    <row r="42" spans="1:10" s="4" customFormat="1" ht="38.25" customHeight="1" outlineLevel="1">
      <c r="A42" s="27" t="str">
        <f>$A$40&amp;"."&amp;ROW()-ROW($A$40)</f>
        <v>24A.C4.2</v>
      </c>
      <c r="B42" s="28" t="s">
        <v>33</v>
      </c>
      <c r="C42" s="28" t="s">
        <v>515</v>
      </c>
      <c r="D42" s="29" t="s">
        <v>520</v>
      </c>
      <c r="E42" s="31">
        <v>242.29599999999999</v>
      </c>
      <c r="F42" s="30">
        <f>_xlfn.XLOOKUP(B42, Rate_Master!$A:$A, Rate_Master!$C:$C, "")</f>
        <v>126499.99999999999</v>
      </c>
      <c r="G42" s="30">
        <f>_xlfn.XLOOKUP(B42, Rate_Master!$A:$A, Rate_Master!$D:$D, "")</f>
        <v>103499.99999999999</v>
      </c>
      <c r="H42" s="66">
        <f>F42+G42</f>
        <v>229999.99999999997</v>
      </c>
      <c r="I42" s="32">
        <f>H42*E42</f>
        <v>55728079.999999993</v>
      </c>
      <c r="J42" s="32"/>
    </row>
    <row r="43" spans="1:10" s="4" customFormat="1" ht="25.5" customHeight="1" outlineLevel="1">
      <c r="A43" s="27" t="str">
        <f>$A$40&amp;"."&amp;ROW()-ROW($A$40)</f>
        <v>24A.C4.3</v>
      </c>
      <c r="B43" s="28" t="s">
        <v>34</v>
      </c>
      <c r="C43" s="28" t="s">
        <v>515</v>
      </c>
      <c r="D43" s="29" t="s">
        <v>520</v>
      </c>
      <c r="E43" s="31">
        <v>0</v>
      </c>
      <c r="F43" s="30">
        <f>_xlfn.XLOOKUP(B43, Rate_Master!$A:$A, Rate_Master!$C:$C, "")</f>
        <v>126499.99999999999</v>
      </c>
      <c r="G43" s="30">
        <f>_xlfn.XLOOKUP(B43, Rate_Master!$A:$A, Rate_Master!$D:$D, "")</f>
        <v>149500</v>
      </c>
      <c r="H43" s="32">
        <f>F43+G43</f>
        <v>276000</v>
      </c>
      <c r="I43" s="32">
        <f>H43*E43</f>
        <v>0</v>
      </c>
      <c r="J43" s="32"/>
    </row>
    <row r="44" spans="1:10" s="4" customFormat="1" ht="25.5" customHeight="1" outlineLevel="1">
      <c r="A44" s="27" t="str">
        <f>$A$40&amp;"."&amp;ROW()-ROW($A$40)</f>
        <v>24A.C4.4</v>
      </c>
      <c r="B44" s="28" t="s">
        <v>35</v>
      </c>
      <c r="C44" s="28" t="s">
        <v>515</v>
      </c>
      <c r="D44" s="29" t="s">
        <v>520</v>
      </c>
      <c r="E44" s="31">
        <v>0</v>
      </c>
      <c r="F44" s="30">
        <f>_xlfn.XLOOKUP(B44, Rate_Master!$A:$A, Rate_Master!$C:$C, "")</f>
        <v>126499.99999999999</v>
      </c>
      <c r="G44" s="30">
        <f>_xlfn.XLOOKUP(B44, Rate_Master!$A:$A, Rate_Master!$D:$D, "")</f>
        <v>114999.99999999999</v>
      </c>
      <c r="H44" s="32">
        <f>F44+G44</f>
        <v>241499.99999999997</v>
      </c>
      <c r="I44" s="32">
        <f>H44*E44</f>
        <v>0</v>
      </c>
      <c r="J44" s="32"/>
    </row>
    <row r="45" spans="1:10" s="4" customFormat="1" ht="25.5" customHeight="1" outlineLevel="1">
      <c r="A45" s="27" t="str">
        <f>$A$40&amp;"."&amp;ROW()-ROW($A$40)</f>
        <v>24A.C4.5</v>
      </c>
      <c r="B45" s="28" t="s">
        <v>36</v>
      </c>
      <c r="C45" s="28" t="s">
        <v>515</v>
      </c>
      <c r="D45" s="29" t="s">
        <v>520</v>
      </c>
      <c r="E45" s="31">
        <v>0</v>
      </c>
      <c r="F45" s="30">
        <f>_xlfn.XLOOKUP(B45, Rate_Master!$A:$A, Rate_Master!$C:$C, "")</f>
        <v>126499.99999999999</v>
      </c>
      <c r="G45" s="30">
        <f>_xlfn.XLOOKUP(B45, Rate_Master!$A:$A, Rate_Master!$D:$D, "")</f>
        <v>97749.999999999985</v>
      </c>
      <c r="H45" s="32">
        <f>F45+G45</f>
        <v>224249.99999999997</v>
      </c>
      <c r="I45" s="32">
        <f>H45*E45</f>
        <v>0</v>
      </c>
      <c r="J45" s="32"/>
    </row>
    <row r="46" spans="1:10" s="3" customFormat="1" ht="25.5" customHeight="1">
      <c r="A46" s="22" t="str">
        <f>$A$10&amp;5</f>
        <v>24A.C5</v>
      </c>
      <c r="B46" s="23" t="s">
        <v>37</v>
      </c>
      <c r="C46" s="23" t="s">
        <v>515</v>
      </c>
      <c r="D46" s="22"/>
      <c r="E46" s="25"/>
      <c r="F46" s="25">
        <f>_xlfn.XLOOKUP(B46, Rate_Master!$A:$A, Rate_Master!$C:$C, "")</f>
        <v>0</v>
      </c>
      <c r="G46" s="25">
        <f>_xlfn.XLOOKUP(B46, Rate_Master!$A:$A, Rate_Master!$D:$D, "")</f>
        <v>0</v>
      </c>
      <c r="H46" s="26"/>
      <c r="I46" s="26">
        <f>SUBTOTAL(9,I47:I51)</f>
        <v>141674777.82009998</v>
      </c>
      <c r="J46" s="26"/>
    </row>
    <row r="47" spans="1:10" s="4" customFormat="1" ht="38.25" customHeight="1" outlineLevel="1">
      <c r="A47" s="27" t="str">
        <f>$A$46&amp;"."&amp;ROW()-ROW($A$46)</f>
        <v>24A.C5.1</v>
      </c>
      <c r="B47" s="28" t="s">
        <v>38</v>
      </c>
      <c r="C47" s="28" t="s">
        <v>522</v>
      </c>
      <c r="D47" s="29" t="s">
        <v>523</v>
      </c>
      <c r="E47" s="31">
        <v>7211.54</v>
      </c>
      <c r="F47" s="30">
        <f>_xlfn.XLOOKUP(B47, Rate_Master!$A:$A, Rate_Master!$C:$C, "")</f>
        <v>16770.564999999999</v>
      </c>
      <c r="G47" s="30">
        <f>_xlfn.XLOOKUP(B47, Rate_Master!$A:$A, Rate_Master!$D:$D, "")</f>
        <v>2875</v>
      </c>
      <c r="H47" s="66">
        <f t="shared" ref="H47:H54" si="8">F47+G47</f>
        <v>19645.564999999999</v>
      </c>
      <c r="I47" s="32">
        <f>H47*E47</f>
        <v>141674777.82009998</v>
      </c>
      <c r="J47" s="32"/>
    </row>
    <row r="48" spans="1:10" s="4" customFormat="1" ht="25.5" customHeight="1" outlineLevel="1">
      <c r="A48" s="27" t="str">
        <f>$A$46&amp;"."&amp;ROW()-ROW($A$46)</f>
        <v>24A.C5.2</v>
      </c>
      <c r="B48" s="28" t="s">
        <v>39</v>
      </c>
      <c r="C48" s="28" t="s">
        <v>522</v>
      </c>
      <c r="D48" s="29" t="s">
        <v>523</v>
      </c>
      <c r="E48" s="31">
        <v>0</v>
      </c>
      <c r="F48" s="30">
        <f>_xlfn.XLOOKUP(B48, Rate_Master!$A:$A, Rate_Master!$C:$C, "")</f>
        <v>16770.564999999999</v>
      </c>
      <c r="G48" s="30">
        <f>_xlfn.XLOOKUP(B48, Rate_Master!$A:$A, Rate_Master!$D:$D, "")</f>
        <v>3679.9999999999995</v>
      </c>
      <c r="H48" s="32">
        <f t="shared" si="8"/>
        <v>20450.564999999999</v>
      </c>
      <c r="I48" s="32">
        <f>H48*E48</f>
        <v>0</v>
      </c>
      <c r="J48" s="32"/>
    </row>
    <row r="49" spans="1:10" s="4" customFormat="1" ht="25.5" customHeight="1" outlineLevel="1">
      <c r="A49" s="27" t="str">
        <f>$A$46&amp;"."&amp;ROW()-ROW($A$46)</f>
        <v>24A.C5.3</v>
      </c>
      <c r="B49" s="28" t="s">
        <v>40</v>
      </c>
      <c r="C49" s="28" t="s">
        <v>522</v>
      </c>
      <c r="D49" s="29" t="s">
        <v>523</v>
      </c>
      <c r="E49" s="31">
        <v>0</v>
      </c>
      <c r="F49" s="30">
        <f>_xlfn.XLOOKUP(B49, Rate_Master!$A:$A, Rate_Master!$C:$C, "")</f>
        <v>16770.564999999999</v>
      </c>
      <c r="G49" s="30">
        <f>_xlfn.XLOOKUP(B49, Rate_Master!$A:$A, Rate_Master!$D:$D, "")</f>
        <v>3449.9999999999995</v>
      </c>
      <c r="H49" s="32">
        <f t="shared" si="8"/>
        <v>20220.564999999999</v>
      </c>
      <c r="I49" s="32">
        <f>H49*E49</f>
        <v>0</v>
      </c>
      <c r="J49" s="32"/>
    </row>
    <row r="50" spans="1:10" s="4" customFormat="1" ht="25.5" customHeight="1" outlineLevel="1">
      <c r="A50" s="27" t="str">
        <f>$A$46&amp;"."&amp;ROW()-ROW($A$46)</f>
        <v>24A.C5.4</v>
      </c>
      <c r="B50" s="28" t="s">
        <v>41</v>
      </c>
      <c r="C50" s="28" t="s">
        <v>522</v>
      </c>
      <c r="D50" s="29" t="s">
        <v>523</v>
      </c>
      <c r="E50" s="31">
        <v>0</v>
      </c>
      <c r="F50" s="30">
        <f>_xlfn.XLOOKUP(B50, Rate_Master!$A:$A, Rate_Master!$C:$C, "")</f>
        <v>16770.564999999999</v>
      </c>
      <c r="G50" s="30">
        <f>_xlfn.XLOOKUP(B50, Rate_Master!$A:$A, Rate_Master!$D:$D, "")</f>
        <v>3679.9999999999995</v>
      </c>
      <c r="H50" s="32">
        <f t="shared" si="8"/>
        <v>20450.564999999999</v>
      </c>
      <c r="I50" s="32">
        <f>H50*E50</f>
        <v>0</v>
      </c>
      <c r="J50" s="32"/>
    </row>
    <row r="51" spans="1:10" s="4" customFormat="1" ht="25.5" customHeight="1" outlineLevel="1">
      <c r="A51" s="27" t="str">
        <f>$A$46&amp;"."&amp;ROW()-ROW($A$46)</f>
        <v>24A.C5.5</v>
      </c>
      <c r="B51" s="28" t="s">
        <v>42</v>
      </c>
      <c r="C51" s="28" t="s">
        <v>524</v>
      </c>
      <c r="D51" s="29" t="s">
        <v>523</v>
      </c>
      <c r="E51" s="31">
        <v>0</v>
      </c>
      <c r="F51" s="30">
        <f>_xlfn.XLOOKUP(B51, Rate_Master!$A:$A, Rate_Master!$C:$C, "")</f>
        <v>17834.66</v>
      </c>
      <c r="G51" s="30">
        <f>_xlfn.XLOOKUP(B51, Rate_Master!$A:$A, Rate_Master!$D:$D, "")</f>
        <v>3449.9999999999995</v>
      </c>
      <c r="H51" s="32">
        <f t="shared" si="8"/>
        <v>21284.66</v>
      </c>
      <c r="I51" s="32">
        <f>H51*E51</f>
        <v>0</v>
      </c>
      <c r="J51" s="32"/>
    </row>
    <row r="52" spans="1:10" s="3" customFormat="1" ht="25.5" customHeight="1">
      <c r="A52" s="22" t="str">
        <f>$A$10&amp;6</f>
        <v>24A.C6</v>
      </c>
      <c r="B52" s="23" t="s">
        <v>43</v>
      </c>
      <c r="C52" s="23" t="s">
        <v>515</v>
      </c>
      <c r="D52" s="22"/>
      <c r="E52" s="25"/>
      <c r="F52" s="25">
        <f>_xlfn.XLOOKUP(B52, Rate_Master!$A:$A, Rate_Master!$C:$C, "")</f>
        <v>0</v>
      </c>
      <c r="G52" s="25">
        <f>_xlfn.XLOOKUP(B52, Rate_Master!$A:$A, Rate_Master!$D:$D, "")</f>
        <v>0</v>
      </c>
      <c r="H52" s="26">
        <f t="shared" si="8"/>
        <v>0</v>
      </c>
      <c r="I52" s="26">
        <f>SUBTOTAL(9,I53:I55)</f>
        <v>16430510</v>
      </c>
      <c r="J52" s="26"/>
    </row>
    <row r="53" spans="1:10" s="4" customFormat="1" ht="25.5" customHeight="1" outlineLevel="1">
      <c r="A53" s="27" t="str">
        <f>$A$52&amp;"."&amp;ROW()-ROW($A$52)</f>
        <v>24A.C6.1</v>
      </c>
      <c r="B53" s="28" t="s">
        <v>44</v>
      </c>
      <c r="C53" s="28" t="s">
        <v>515</v>
      </c>
      <c r="D53" s="29" t="s">
        <v>520</v>
      </c>
      <c r="E53" s="31">
        <v>0</v>
      </c>
      <c r="F53" s="30">
        <f>_xlfn.XLOOKUP(B53, Rate_Master!$A:$A, Rate_Master!$C:$C, "")</f>
        <v>14949.999999999998</v>
      </c>
      <c r="G53" s="30">
        <f>_xlfn.XLOOKUP(B53, Rate_Master!$A:$A, Rate_Master!$D:$D, "")</f>
        <v>17250</v>
      </c>
      <c r="H53" s="32">
        <f t="shared" si="8"/>
        <v>32200</v>
      </c>
      <c r="I53" s="32">
        <f>H53*E53</f>
        <v>0</v>
      </c>
      <c r="J53" s="32"/>
    </row>
    <row r="54" spans="1:10" s="4" customFormat="1" ht="51" customHeight="1" outlineLevel="1">
      <c r="A54" s="27" t="str">
        <f>$A$52&amp;"."&amp;ROW()-ROW($A$52)</f>
        <v>24A.C6.2</v>
      </c>
      <c r="B54" s="34" t="s">
        <v>45</v>
      </c>
      <c r="C54" s="28" t="s">
        <v>515</v>
      </c>
      <c r="D54" s="29" t="s">
        <v>517</v>
      </c>
      <c r="E54" s="31">
        <v>0</v>
      </c>
      <c r="F54" s="30">
        <f>_xlfn.XLOOKUP(B54, Rate_Master!$A:$A, Rate_Master!$C:$C, "")</f>
        <v>5750</v>
      </c>
      <c r="G54" s="30">
        <f>_xlfn.XLOOKUP(B54, Rate_Master!$A:$A, Rate_Master!$D:$D, "")</f>
        <v>23000</v>
      </c>
      <c r="H54" s="32">
        <f t="shared" si="8"/>
        <v>28750</v>
      </c>
      <c r="I54" s="32">
        <f>H54*E54</f>
        <v>0</v>
      </c>
      <c r="J54" s="32"/>
    </row>
    <row r="55" spans="1:10" s="4" customFormat="1" ht="38.25" customHeight="1" outlineLevel="1">
      <c r="A55" s="27" t="str">
        <f>$A$52&amp;"."&amp;ROW()-ROW($A$52)</f>
        <v>24A.C6.3</v>
      </c>
      <c r="B55" s="28" t="s">
        <v>46</v>
      </c>
      <c r="C55" s="28" t="s">
        <v>515</v>
      </c>
      <c r="D55" s="29" t="s">
        <v>517</v>
      </c>
      <c r="E55" s="31">
        <v>71.436999999999998</v>
      </c>
      <c r="F55" s="30">
        <f>_xlfn.XLOOKUP(B55, Rate_Master!$A:$A, Rate_Master!$C:$C, "")</f>
        <v>172500</v>
      </c>
      <c r="G55" s="30">
        <f>_xlfn.XLOOKUP(B55, Rate_Master!$A:$A, Rate_Master!$D:$D, "")</f>
        <v>57499.999999999993</v>
      </c>
      <c r="H55" s="32">
        <f>+G55+F55</f>
        <v>230000</v>
      </c>
      <c r="I55" s="32">
        <f>H55*E55</f>
        <v>16430510</v>
      </c>
      <c r="J55" s="32"/>
    </row>
    <row r="56" spans="1:10" s="3" customFormat="1" ht="25.5" customHeight="1">
      <c r="A56" s="22" t="str">
        <f>$A$9&amp;".F"</f>
        <v>24A.F</v>
      </c>
      <c r="B56" s="23" t="s">
        <v>93</v>
      </c>
      <c r="C56" s="23" t="s">
        <v>515</v>
      </c>
      <c r="D56" s="22"/>
      <c r="E56" s="25"/>
      <c r="F56" s="25">
        <f>_xlfn.XLOOKUP(B56, Rate_Master!$A:$A, Rate_Master!$C:$C, "")</f>
        <v>0</v>
      </c>
      <c r="G56" s="25">
        <f>_xlfn.XLOOKUP(B56, Rate_Master!$A:$A, Rate_Master!$D:$D, "")</f>
        <v>0</v>
      </c>
      <c r="H56" s="26">
        <f>F56+G56</f>
        <v>0</v>
      </c>
      <c r="I56" s="26"/>
      <c r="J56" s="26"/>
    </row>
    <row r="57" spans="1:10" s="3" customFormat="1" ht="25.5" customHeight="1">
      <c r="A57" s="22" t="str">
        <f>$A$56&amp;1</f>
        <v>24A.F1</v>
      </c>
      <c r="B57" s="23" t="s">
        <v>94</v>
      </c>
      <c r="C57" s="23" t="s">
        <v>515</v>
      </c>
      <c r="D57" s="22"/>
      <c r="E57" s="25"/>
      <c r="F57" s="25">
        <f>_xlfn.XLOOKUP(B57, Rate_Master!$A:$A, Rate_Master!$C:$C, "")</f>
        <v>0</v>
      </c>
      <c r="G57" s="25">
        <f>_xlfn.XLOOKUP(B57, Rate_Master!$A:$A, Rate_Master!$D:$D, "")</f>
        <v>0</v>
      </c>
      <c r="H57" s="26">
        <f>F57+G57</f>
        <v>0</v>
      </c>
      <c r="I57" s="26">
        <f>SUBTOTAL(9,I58:I59)</f>
        <v>58390093.674999997</v>
      </c>
      <c r="J57" s="26"/>
    </row>
    <row r="58" spans="1:10" s="4" customFormat="1" ht="25.5" customHeight="1" outlineLevel="1">
      <c r="A58" s="27" t="str">
        <f>$A$57&amp;"."&amp;ROW()-ROW($A$57)</f>
        <v>24A.F1.1</v>
      </c>
      <c r="B58" s="28" t="s">
        <v>106</v>
      </c>
      <c r="C58" s="34" t="s">
        <v>556</v>
      </c>
      <c r="D58" s="29" t="s">
        <v>520</v>
      </c>
      <c r="E58" s="31">
        <v>116.69499999999999</v>
      </c>
      <c r="F58" s="30">
        <f>_xlfn.XLOOKUP(B58, Rate_Master!$A:$A, Rate_Master!$C:$C, "")</f>
        <v>26565.000000000004</v>
      </c>
      <c r="G58" s="30">
        <f>_xlfn.XLOOKUP(B58, Rate_Master!$A:$A, Rate_Master!$D:$D, "")</f>
        <v>117299.99999999999</v>
      </c>
      <c r="H58" s="32">
        <f>+G58+F58</f>
        <v>143865</v>
      </c>
      <c r="I58" s="32">
        <f>H58*E58</f>
        <v>16788326.175000001</v>
      </c>
      <c r="J58" s="32"/>
    </row>
    <row r="59" spans="1:10" s="4" customFormat="1" ht="38.25" customHeight="1" outlineLevel="1">
      <c r="A59" s="27" t="str">
        <f>$A$57&amp;"."&amp;ROW()-ROW($A$57)</f>
        <v>24A.F1.2</v>
      </c>
      <c r="B59" s="28" t="s">
        <v>107</v>
      </c>
      <c r="C59" s="28" t="s">
        <v>515</v>
      </c>
      <c r="D59" s="29" t="s">
        <v>520</v>
      </c>
      <c r="E59" s="31">
        <v>116.69499999999999</v>
      </c>
      <c r="F59" s="31">
        <f>_xlfn.XLOOKUP(B59, Rate_Master!$A:$A, Rate_Master!$C:$C, "")</f>
        <v>218499.99999999997</v>
      </c>
      <c r="G59" s="31">
        <f>_xlfn.XLOOKUP(B59, Rate_Master!$A:$A, Rate_Master!$D:$D, "")</f>
        <v>138000</v>
      </c>
      <c r="H59" s="32">
        <f>+G59+F59</f>
        <v>356500</v>
      </c>
      <c r="I59" s="32">
        <f>H59*E59</f>
        <v>41601767.5</v>
      </c>
      <c r="J59" s="32"/>
    </row>
    <row r="60" spans="1:10" s="3" customFormat="1" ht="25.5" customHeight="1">
      <c r="A60" s="22" t="str">
        <f>$A$56&amp;2</f>
        <v>24A.F2</v>
      </c>
      <c r="B60" s="23" t="s">
        <v>113</v>
      </c>
      <c r="C60" s="23" t="s">
        <v>515</v>
      </c>
      <c r="D60" s="22"/>
      <c r="E60" s="25"/>
      <c r="F60" s="25">
        <f>_xlfn.XLOOKUP(B60, Rate_Master!$A:$A, Rate_Master!$C:$C, "")</f>
        <v>0</v>
      </c>
      <c r="G60" s="25">
        <f>_xlfn.XLOOKUP(B60, Rate_Master!$A:$A, Rate_Master!$D:$D, "")</f>
        <v>0</v>
      </c>
      <c r="H60" s="26">
        <f>F60+G60</f>
        <v>0</v>
      </c>
      <c r="I60" s="26">
        <f>SUBTOTAL(9,I61:I61)</f>
        <v>51503738.999999993</v>
      </c>
      <c r="J60" s="26"/>
    </row>
    <row r="61" spans="1:10" s="4" customFormat="1" ht="51" customHeight="1" outlineLevel="1">
      <c r="A61" s="27" t="str">
        <f>$A$60&amp;"."&amp;ROW()-ROW($A$60)</f>
        <v>24A.F2.1</v>
      </c>
      <c r="B61" s="34" t="s">
        <v>114</v>
      </c>
      <c r="C61" s="28" t="s">
        <v>515</v>
      </c>
      <c r="D61" s="29" t="s">
        <v>520</v>
      </c>
      <c r="E61" s="31">
        <v>154.434</v>
      </c>
      <c r="F61" s="30">
        <f>_xlfn.XLOOKUP(B61, Rate_Master!$A:$A, Rate_Master!$C:$C, "")</f>
        <v>206999.99999999997</v>
      </c>
      <c r="G61" s="30">
        <f>_xlfn.XLOOKUP(B61, Rate_Master!$A:$A, Rate_Master!$D:$D, "")</f>
        <v>126499.99999999999</v>
      </c>
      <c r="H61" s="32">
        <f>+G61+F61</f>
        <v>333499.99999999994</v>
      </c>
      <c r="I61" s="32">
        <f>H61*E61</f>
        <v>51503738.999999993</v>
      </c>
      <c r="J61" s="32"/>
    </row>
    <row r="62" spans="1:10" s="3" customFormat="1" ht="25.5" customHeight="1">
      <c r="A62" s="22" t="str">
        <f>$A$56&amp;6</f>
        <v>24A.F6</v>
      </c>
      <c r="B62" s="23" t="s">
        <v>147</v>
      </c>
      <c r="C62" s="23" t="s">
        <v>515</v>
      </c>
      <c r="D62" s="22"/>
      <c r="E62" s="25"/>
      <c r="F62" s="25">
        <f>_xlfn.XLOOKUP(B62, Rate_Master!$A:$A, Rate_Master!$C:$C, "")</f>
        <v>0</v>
      </c>
      <c r="G62" s="25">
        <f>_xlfn.XLOOKUP(B62, Rate_Master!$A:$A, Rate_Master!$D:$D, "")</f>
        <v>0</v>
      </c>
      <c r="H62" s="26">
        <f>F62+G62</f>
        <v>0</v>
      </c>
      <c r="I62" s="26">
        <f>SUBTOTAL(9,I63:I63)</f>
        <v>71566200</v>
      </c>
      <c r="J62" s="26"/>
    </row>
    <row r="63" spans="1:10" s="4" customFormat="1" ht="51" customHeight="1" outlineLevel="1">
      <c r="A63" s="27" t="str">
        <f>$A$62&amp;"."&amp;ROW()-ROW($A$62)</f>
        <v>24A.F6.1</v>
      </c>
      <c r="B63" s="34" t="s">
        <v>148</v>
      </c>
      <c r="C63" s="34" t="s">
        <v>515</v>
      </c>
      <c r="D63" s="29" t="s">
        <v>520</v>
      </c>
      <c r="E63" s="31">
        <v>357.83100000000002</v>
      </c>
      <c r="F63" s="31">
        <f>_xlfn.XLOOKUP(B63, Rate_Master!$A:$A, Rate_Master!$C:$C, "")</f>
        <v>155000</v>
      </c>
      <c r="G63" s="31">
        <f>_xlfn.XLOOKUP(B63, Rate_Master!$A:$A, Rate_Master!$D:$D, "")</f>
        <v>45000</v>
      </c>
      <c r="H63" s="32">
        <f>+G63+F63</f>
        <v>200000</v>
      </c>
      <c r="I63" s="32">
        <f>H63*E63</f>
        <v>71566200</v>
      </c>
      <c r="J63" s="32"/>
    </row>
    <row r="64" spans="1:10" s="3" customFormat="1" ht="25.5" customHeight="1">
      <c r="A64" s="22" t="str">
        <f>$A$56&amp;7</f>
        <v>24A.F7</v>
      </c>
      <c r="B64" s="23" t="s">
        <v>84</v>
      </c>
      <c r="C64" s="23" t="s">
        <v>515</v>
      </c>
      <c r="D64" s="22"/>
      <c r="E64" s="25"/>
      <c r="F64" s="25">
        <f>_xlfn.XLOOKUP(B64, Rate_Master!$A:$A, Rate_Master!$C:$C, "")</f>
        <v>0</v>
      </c>
      <c r="G64" s="25">
        <f>_xlfn.XLOOKUP(B64, Rate_Master!$A:$A, Rate_Master!$D:$D, "")</f>
        <v>0</v>
      </c>
      <c r="H64" s="26">
        <f>F64+G64</f>
        <v>0</v>
      </c>
      <c r="I64" s="26">
        <f>SUBTOTAL(9,I65:I66)</f>
        <v>64361726.850000001</v>
      </c>
      <c r="J64" s="26"/>
    </row>
    <row r="65" spans="1:10" s="4" customFormat="1" ht="25.5" customHeight="1" outlineLevel="1">
      <c r="A65" s="27" t="str">
        <f>$A$64&amp;"."&amp;ROW()-ROW($A$64)</f>
        <v>24A.F7.1</v>
      </c>
      <c r="B65" s="34" t="s">
        <v>300</v>
      </c>
      <c r="C65" s="28" t="s">
        <v>515</v>
      </c>
      <c r="D65" s="29" t="s">
        <v>518</v>
      </c>
      <c r="E65" s="31">
        <v>1</v>
      </c>
      <c r="F65" s="31">
        <f>_xlfn.XLOOKUP(B65, Rate_Master!$A:$A, Rate_Master!$C:$C, "")</f>
        <v>35279700</v>
      </c>
      <c r="G65" s="31">
        <f>_xlfn.XLOOKUP(B65, Rate_Master!$A:$A, Rate_Master!$D:$D, "")</f>
        <v>13719499.999999998</v>
      </c>
      <c r="H65" s="32">
        <f>+G65+F65</f>
        <v>48999200</v>
      </c>
      <c r="I65" s="32">
        <f>H65*E65</f>
        <v>48999200</v>
      </c>
      <c r="J65" s="32"/>
    </row>
    <row r="66" spans="1:10" s="4" customFormat="1" ht="25.5" customHeight="1" outlineLevel="1">
      <c r="A66" s="27" t="str">
        <f>$A$64&amp;"."&amp;ROW()-ROW($A$64)</f>
        <v>24A.F7.2</v>
      </c>
      <c r="B66" s="34" t="s">
        <v>301</v>
      </c>
      <c r="C66" s="28" t="s">
        <v>515</v>
      </c>
      <c r="D66" s="29" t="s">
        <v>517</v>
      </c>
      <c r="E66" s="31">
        <v>71.436999999999998</v>
      </c>
      <c r="F66" s="31">
        <f>_xlfn.XLOOKUP(B66, Rate_Master!$A:$A, Rate_Master!$C:$C, "")</f>
        <v>155250</v>
      </c>
      <c r="G66" s="31">
        <f>_xlfn.XLOOKUP(B66, Rate_Master!$A:$A, Rate_Master!$D:$D, "")</f>
        <v>59799.999999999993</v>
      </c>
      <c r="H66" s="32">
        <f>+G66+F66</f>
        <v>215050</v>
      </c>
      <c r="I66" s="32">
        <f>H66*E66</f>
        <v>15362526.85</v>
      </c>
      <c r="J66" s="32"/>
    </row>
  </sheetData>
  <mergeCells count="5">
    <mergeCell ref="C4:J4"/>
    <mergeCell ref="C3:J3"/>
    <mergeCell ref="C7:J7"/>
    <mergeCell ref="C6:J6"/>
    <mergeCell ref="C5:J5"/>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pageSetUpPr fitToPage="1"/>
  </sheetPr>
  <dimension ref="A1:J30"/>
  <sheetViews>
    <sheetView topLeftCell="A8" zoomScale="115" zoomScaleNormal="115" workbookViewId="0">
      <pane ySplit="1" topLeftCell="A9" activePane="bottomLeft" state="frozen"/>
      <selection activeCell="A8" sqref="A8"/>
      <selection pane="bottomLeft" activeCell="A12" sqref="A12"/>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7" width="14" style="8" customWidth="1" outlineLevel="1"/>
    <col min="8" max="10" width="14" style="9" customWidth="1"/>
    <col min="11" max="229" width="9.125" style="6" customWidth="1"/>
    <col min="230" max="230" width="6.375" style="6" customWidth="1"/>
    <col min="231" max="231" width="34.25" style="6" customWidth="1"/>
    <col min="232" max="232" width="7.375" style="6" customWidth="1"/>
    <col min="233" max="233" width="6.375" style="6" customWidth="1"/>
    <col min="234" max="234" width="13.125" style="6" customWidth="1"/>
    <col min="235" max="235" width="15.375" style="6" customWidth="1"/>
    <col min="236" max="236" width="21.25" style="6" customWidth="1"/>
    <col min="237" max="485" width="9.125" style="6" customWidth="1"/>
    <col min="486" max="486" width="6.375" style="6" customWidth="1"/>
    <col min="487" max="487" width="34.25" style="6" customWidth="1"/>
    <col min="488" max="488" width="7.375" style="6" customWidth="1"/>
    <col min="489" max="489" width="6.375" style="6" customWidth="1"/>
    <col min="490" max="490" width="13.125" style="6" customWidth="1"/>
    <col min="491" max="491" width="15.375" style="6" customWidth="1"/>
    <col min="492" max="492" width="21.25" style="6" customWidth="1"/>
    <col min="493" max="741" width="9.125" style="6" customWidth="1"/>
    <col min="742" max="742" width="6.375" style="6" customWidth="1"/>
    <col min="743" max="743" width="34.25" style="6" customWidth="1"/>
    <col min="744" max="744" width="7.375" style="6" customWidth="1"/>
    <col min="745" max="745" width="6.375" style="6" customWidth="1"/>
    <col min="746" max="746" width="13.125" style="6" customWidth="1"/>
    <col min="747" max="747" width="15.375" style="6" customWidth="1"/>
    <col min="748" max="748" width="21.25" style="6" customWidth="1"/>
    <col min="749" max="997" width="9.125" style="6" customWidth="1"/>
    <col min="998" max="998" width="6.375" style="6" customWidth="1"/>
    <col min="999" max="999" width="34.25" style="6" customWidth="1"/>
    <col min="1000" max="1000" width="7.375" style="6" customWidth="1"/>
    <col min="1001" max="1001" width="6.375" style="6" customWidth="1"/>
    <col min="1002" max="1002" width="13.125" style="6" customWidth="1"/>
    <col min="1003" max="1003" width="15.375" style="6" customWidth="1"/>
    <col min="1004" max="1004" width="21.25" style="6" customWidth="1"/>
    <col min="1005" max="1253" width="9.125" style="6" customWidth="1"/>
    <col min="1254" max="1254" width="6.375" style="6" customWidth="1"/>
    <col min="1255" max="1255" width="34.25" style="6" customWidth="1"/>
    <col min="1256" max="1256" width="7.375" style="6" customWidth="1"/>
    <col min="1257" max="1257" width="6.375" style="6" customWidth="1"/>
    <col min="1258" max="1258" width="13.125" style="6" customWidth="1"/>
    <col min="1259" max="1259" width="15.375" style="6" customWidth="1"/>
    <col min="1260" max="1260" width="21.25" style="6" customWidth="1"/>
    <col min="1261" max="1509" width="9.125" style="6" customWidth="1"/>
    <col min="1510" max="1510" width="6.375" style="6" customWidth="1"/>
    <col min="1511" max="1511" width="34.25" style="6" customWidth="1"/>
    <col min="1512" max="1512" width="7.375" style="6" customWidth="1"/>
    <col min="1513" max="1513" width="6.375" style="6" customWidth="1"/>
    <col min="1514" max="1514" width="13.125" style="6" customWidth="1"/>
    <col min="1515" max="1515" width="15.375" style="6" customWidth="1"/>
    <col min="1516" max="1516" width="21.25" style="6" customWidth="1"/>
    <col min="1517" max="1765" width="9.125" style="6" customWidth="1"/>
    <col min="1766" max="1766" width="6.375" style="6" customWidth="1"/>
    <col min="1767" max="1767" width="34.25" style="6" customWidth="1"/>
    <col min="1768" max="1768" width="7.375" style="6" customWidth="1"/>
    <col min="1769" max="1769" width="6.375" style="6" customWidth="1"/>
    <col min="1770" max="1770" width="13.125" style="6" customWidth="1"/>
    <col min="1771" max="1771" width="15.375" style="6" customWidth="1"/>
    <col min="1772" max="1772" width="21.25" style="6" customWidth="1"/>
    <col min="1773" max="2021" width="9.125" style="6" customWidth="1"/>
    <col min="2022" max="2022" width="6.375" style="6" customWidth="1"/>
    <col min="2023" max="2023" width="34.25" style="6" customWidth="1"/>
    <col min="2024" max="2024" width="7.375" style="6" customWidth="1"/>
    <col min="2025" max="2025" width="6.375" style="6" customWidth="1"/>
    <col min="2026" max="2026" width="13.125" style="6" customWidth="1"/>
    <col min="2027" max="2027" width="15.375" style="6" customWidth="1"/>
    <col min="2028" max="2028" width="21.25" style="6" customWidth="1"/>
    <col min="2029" max="2277" width="9.125" style="6" customWidth="1"/>
    <col min="2278" max="2278" width="6.375" style="6" customWidth="1"/>
    <col min="2279" max="2279" width="34.25" style="6" customWidth="1"/>
    <col min="2280" max="2280" width="7.375" style="6" customWidth="1"/>
    <col min="2281" max="2281" width="6.375" style="6" customWidth="1"/>
    <col min="2282" max="2282" width="13.125" style="6" customWidth="1"/>
    <col min="2283" max="2283" width="15.375" style="6" customWidth="1"/>
    <col min="2284" max="2284" width="21.25" style="6" customWidth="1"/>
    <col min="2285" max="2533" width="9.125" style="6" customWidth="1"/>
    <col min="2534" max="2534" width="6.375" style="6" customWidth="1"/>
    <col min="2535" max="2535" width="34.25" style="6" customWidth="1"/>
    <col min="2536" max="2536" width="7.375" style="6" customWidth="1"/>
    <col min="2537" max="2537" width="6.375" style="6" customWidth="1"/>
    <col min="2538" max="2538" width="13.125" style="6" customWidth="1"/>
    <col min="2539" max="2539" width="15.375" style="6" customWidth="1"/>
    <col min="2540" max="2540" width="21.25" style="6" customWidth="1"/>
    <col min="2541" max="2789" width="9.125" style="6" customWidth="1"/>
    <col min="2790" max="2790" width="6.375" style="6" customWidth="1"/>
    <col min="2791" max="2791" width="34.25" style="6" customWidth="1"/>
    <col min="2792" max="2792" width="7.375" style="6" customWidth="1"/>
    <col min="2793" max="2793" width="6.375" style="6" customWidth="1"/>
    <col min="2794" max="2794" width="13.125" style="6" customWidth="1"/>
    <col min="2795" max="2795" width="15.375" style="6" customWidth="1"/>
    <col min="2796" max="2796" width="21.25" style="6" customWidth="1"/>
    <col min="2797" max="3045" width="9.125" style="6" customWidth="1"/>
    <col min="3046" max="3046" width="6.375" style="6" customWidth="1"/>
    <col min="3047" max="3047" width="34.25" style="6" customWidth="1"/>
    <col min="3048" max="3048" width="7.375" style="6" customWidth="1"/>
    <col min="3049" max="3049" width="6.375" style="6" customWidth="1"/>
    <col min="3050" max="3050" width="13.125" style="6" customWidth="1"/>
    <col min="3051" max="3051" width="15.375" style="6" customWidth="1"/>
    <col min="3052" max="3052" width="21.25" style="6" customWidth="1"/>
    <col min="3053" max="3301" width="9.125" style="6" customWidth="1"/>
    <col min="3302" max="3302" width="6.375" style="6" customWidth="1"/>
    <col min="3303" max="3303" width="34.25" style="6" customWidth="1"/>
    <col min="3304" max="3304" width="7.375" style="6" customWidth="1"/>
    <col min="3305" max="3305" width="6.375" style="6" customWidth="1"/>
    <col min="3306" max="3306" width="13.125" style="6" customWidth="1"/>
    <col min="3307" max="3307" width="15.375" style="6" customWidth="1"/>
    <col min="3308" max="3308" width="21.25" style="6" customWidth="1"/>
    <col min="3309" max="3557" width="9.125" style="6" customWidth="1"/>
    <col min="3558" max="3558" width="6.375" style="6" customWidth="1"/>
    <col min="3559" max="3559" width="34.25" style="6" customWidth="1"/>
    <col min="3560" max="3560" width="7.375" style="6" customWidth="1"/>
    <col min="3561" max="3561" width="6.375" style="6" customWidth="1"/>
    <col min="3562" max="3562" width="13.125" style="6" customWidth="1"/>
    <col min="3563" max="3563" width="15.375" style="6" customWidth="1"/>
    <col min="3564" max="3564" width="21.25" style="6" customWidth="1"/>
    <col min="3565" max="3813" width="9.125" style="6" customWidth="1"/>
    <col min="3814" max="3814" width="6.375" style="6" customWidth="1"/>
    <col min="3815" max="3815" width="34.25" style="6" customWidth="1"/>
    <col min="3816" max="3816" width="7.375" style="6" customWidth="1"/>
    <col min="3817" max="3817" width="6.375" style="6" customWidth="1"/>
    <col min="3818" max="3818" width="13.125" style="6" customWidth="1"/>
    <col min="3819" max="3819" width="15.375" style="6" customWidth="1"/>
    <col min="3820" max="3820" width="21.25" style="6" customWidth="1"/>
    <col min="3821" max="4069" width="9.125" style="6" customWidth="1"/>
    <col min="4070" max="4070" width="6.375" style="6" customWidth="1"/>
    <col min="4071" max="4071" width="34.25" style="6" customWidth="1"/>
    <col min="4072" max="4072" width="7.375" style="6" customWidth="1"/>
    <col min="4073" max="4073" width="6.375" style="6" customWidth="1"/>
    <col min="4074" max="4074" width="13.125" style="6" customWidth="1"/>
    <col min="4075" max="4075" width="15.375" style="6" customWidth="1"/>
    <col min="4076" max="4076" width="21.25" style="6" customWidth="1"/>
    <col min="4077" max="4325" width="9.125" style="6" customWidth="1"/>
    <col min="4326" max="4326" width="6.375" style="6" customWidth="1"/>
    <col min="4327" max="4327" width="34.25" style="6" customWidth="1"/>
    <col min="4328" max="4328" width="7.375" style="6" customWidth="1"/>
    <col min="4329" max="4329" width="6.375" style="6" customWidth="1"/>
    <col min="4330" max="4330" width="13.125" style="6" customWidth="1"/>
    <col min="4331" max="4331" width="15.375" style="6" customWidth="1"/>
    <col min="4332" max="4332" width="21.25" style="6" customWidth="1"/>
    <col min="4333" max="4581" width="9.125" style="6" customWidth="1"/>
    <col min="4582" max="4582" width="6.375" style="6" customWidth="1"/>
    <col min="4583" max="4583" width="34.25" style="6" customWidth="1"/>
    <col min="4584" max="4584" width="7.375" style="6" customWidth="1"/>
    <col min="4585" max="4585" width="6.375" style="6" customWidth="1"/>
    <col min="4586" max="4586" width="13.125" style="6" customWidth="1"/>
    <col min="4587" max="4587" width="15.375" style="6" customWidth="1"/>
    <col min="4588" max="4588" width="21.25" style="6" customWidth="1"/>
    <col min="4589" max="4837" width="9.125" style="6" customWidth="1"/>
    <col min="4838" max="4838" width="6.375" style="6" customWidth="1"/>
    <col min="4839" max="4839" width="34.25" style="6" customWidth="1"/>
    <col min="4840" max="4840" width="7.375" style="6" customWidth="1"/>
    <col min="4841" max="4841" width="6.375" style="6" customWidth="1"/>
    <col min="4842" max="4842" width="13.125" style="6" customWidth="1"/>
    <col min="4843" max="4843" width="15.375" style="6" customWidth="1"/>
    <col min="4844" max="4844" width="21.25" style="6" customWidth="1"/>
    <col min="4845" max="5093" width="9.125" style="6" customWidth="1"/>
    <col min="5094" max="5094" width="6.375" style="6" customWidth="1"/>
    <col min="5095" max="5095" width="34.25" style="6" customWidth="1"/>
    <col min="5096" max="5096" width="7.375" style="6" customWidth="1"/>
    <col min="5097" max="5097" width="6.375" style="6" customWidth="1"/>
    <col min="5098" max="5098" width="13.125" style="6" customWidth="1"/>
    <col min="5099" max="5099" width="15.375" style="6" customWidth="1"/>
    <col min="5100" max="5100" width="21.25" style="6" customWidth="1"/>
    <col min="5101" max="5349" width="9.125" style="6" customWidth="1"/>
    <col min="5350" max="5350" width="6.375" style="6" customWidth="1"/>
    <col min="5351" max="5351" width="34.25" style="6" customWidth="1"/>
    <col min="5352" max="5352" width="7.375" style="6" customWidth="1"/>
    <col min="5353" max="5353" width="6.375" style="6" customWidth="1"/>
    <col min="5354" max="5354" width="13.125" style="6" customWidth="1"/>
    <col min="5355" max="5355" width="15.375" style="6" customWidth="1"/>
    <col min="5356" max="5356" width="21.25" style="6" customWidth="1"/>
    <col min="5357" max="5605" width="9.125" style="6" customWidth="1"/>
    <col min="5606" max="5606" width="6.375" style="6" customWidth="1"/>
    <col min="5607" max="5607" width="34.25" style="6" customWidth="1"/>
    <col min="5608" max="5608" width="7.375" style="6" customWidth="1"/>
    <col min="5609" max="5609" width="6.375" style="6" customWidth="1"/>
    <col min="5610" max="5610" width="13.125" style="6" customWidth="1"/>
    <col min="5611" max="5611" width="15.375" style="6" customWidth="1"/>
    <col min="5612" max="5612" width="21.25" style="6" customWidth="1"/>
    <col min="5613" max="5861" width="9.125" style="6" customWidth="1"/>
    <col min="5862" max="5862" width="6.375" style="6" customWidth="1"/>
    <col min="5863" max="5863" width="34.25" style="6" customWidth="1"/>
    <col min="5864" max="5864" width="7.375" style="6" customWidth="1"/>
    <col min="5865" max="5865" width="6.375" style="6" customWidth="1"/>
    <col min="5866" max="5866" width="13.125" style="6" customWidth="1"/>
    <col min="5867" max="5867" width="15.375" style="6" customWidth="1"/>
    <col min="5868" max="5868" width="21.25" style="6" customWidth="1"/>
    <col min="5869" max="6117" width="9.125" style="6" customWidth="1"/>
    <col min="6118" max="6118" width="6.375" style="6" customWidth="1"/>
    <col min="6119" max="6119" width="34.25" style="6" customWidth="1"/>
    <col min="6120" max="6120" width="7.375" style="6" customWidth="1"/>
    <col min="6121" max="6121" width="6.375" style="6" customWidth="1"/>
    <col min="6122" max="6122" width="13.125" style="6" customWidth="1"/>
    <col min="6123" max="6123" width="15.375" style="6" customWidth="1"/>
    <col min="6124" max="6124" width="21.25" style="6" customWidth="1"/>
    <col min="6125" max="6373" width="9.125" style="6" customWidth="1"/>
    <col min="6374" max="6374" width="6.375" style="6" customWidth="1"/>
    <col min="6375" max="6375" width="34.25" style="6" customWidth="1"/>
    <col min="6376" max="6376" width="7.375" style="6" customWidth="1"/>
    <col min="6377" max="6377" width="6.375" style="6" customWidth="1"/>
    <col min="6378" max="6378" width="13.125" style="6" customWidth="1"/>
    <col min="6379" max="6379" width="15.375" style="6" customWidth="1"/>
    <col min="6380" max="6380" width="21.25" style="6" customWidth="1"/>
    <col min="6381" max="6629" width="9.125" style="6" customWidth="1"/>
    <col min="6630" max="6630" width="6.375" style="6" customWidth="1"/>
    <col min="6631" max="6631" width="34.25" style="6" customWidth="1"/>
    <col min="6632" max="6632" width="7.375" style="6" customWidth="1"/>
    <col min="6633" max="6633" width="6.375" style="6" customWidth="1"/>
    <col min="6634" max="6634" width="13.125" style="6" customWidth="1"/>
    <col min="6635" max="6635" width="15.375" style="6" customWidth="1"/>
    <col min="6636" max="6636" width="21.25" style="6" customWidth="1"/>
    <col min="6637" max="6885" width="9.125" style="6" customWidth="1"/>
    <col min="6886" max="6886" width="6.375" style="6" customWidth="1"/>
    <col min="6887" max="6887" width="34.25" style="6" customWidth="1"/>
    <col min="6888" max="6888" width="7.375" style="6" customWidth="1"/>
    <col min="6889" max="6889" width="6.375" style="6" customWidth="1"/>
    <col min="6890" max="6890" width="13.125" style="6" customWidth="1"/>
    <col min="6891" max="6891" width="15.375" style="6" customWidth="1"/>
    <col min="6892" max="6892" width="21.25" style="6" customWidth="1"/>
    <col min="6893" max="7141" width="9.125" style="6" customWidth="1"/>
    <col min="7142" max="7142" width="6.375" style="6" customWidth="1"/>
    <col min="7143" max="7143" width="34.25" style="6" customWidth="1"/>
    <col min="7144" max="7144" width="7.375" style="6" customWidth="1"/>
    <col min="7145" max="7145" width="6.375" style="6" customWidth="1"/>
    <col min="7146" max="7146" width="13.125" style="6" customWidth="1"/>
    <col min="7147" max="7147" width="15.375" style="6" customWidth="1"/>
    <col min="7148" max="7148" width="21.25" style="6" customWidth="1"/>
    <col min="7149" max="7397" width="9.125" style="6" customWidth="1"/>
    <col min="7398" max="7398" width="6.375" style="6" customWidth="1"/>
    <col min="7399" max="7399" width="34.25" style="6" customWidth="1"/>
    <col min="7400" max="7400" width="7.375" style="6" customWidth="1"/>
    <col min="7401" max="7401" width="6.375" style="6" customWidth="1"/>
    <col min="7402" max="7402" width="13.125" style="6" customWidth="1"/>
    <col min="7403" max="7403" width="15.375" style="6" customWidth="1"/>
    <col min="7404" max="7404" width="21.25" style="6" customWidth="1"/>
    <col min="7405" max="7653" width="9.125" style="6" customWidth="1"/>
    <col min="7654" max="7654" width="6.375" style="6" customWidth="1"/>
    <col min="7655" max="7655" width="34.25" style="6" customWidth="1"/>
    <col min="7656" max="7656" width="7.375" style="6" customWidth="1"/>
    <col min="7657" max="7657" width="6.375" style="6" customWidth="1"/>
    <col min="7658" max="7658" width="13.125" style="6" customWidth="1"/>
    <col min="7659" max="7659" width="15.375" style="6" customWidth="1"/>
    <col min="7660" max="7660" width="21.25" style="6" customWidth="1"/>
    <col min="7661" max="7909" width="9.125" style="6" customWidth="1"/>
    <col min="7910" max="7910" width="6.375" style="6" customWidth="1"/>
    <col min="7911" max="7911" width="34.25" style="6" customWidth="1"/>
    <col min="7912" max="7912" width="7.375" style="6" customWidth="1"/>
    <col min="7913" max="7913" width="6.375" style="6" customWidth="1"/>
    <col min="7914" max="7914" width="13.125" style="6" customWidth="1"/>
    <col min="7915" max="7915" width="15.375" style="6" customWidth="1"/>
    <col min="7916" max="7916" width="21.25" style="6" customWidth="1"/>
    <col min="7917" max="8165" width="9.125" style="6" customWidth="1"/>
    <col min="8166" max="8166" width="6.375" style="6" customWidth="1"/>
    <col min="8167" max="8167" width="34.25" style="6" customWidth="1"/>
    <col min="8168" max="8168" width="7.375" style="6" customWidth="1"/>
    <col min="8169" max="8169" width="6.375" style="6" customWidth="1"/>
    <col min="8170" max="8170" width="13.125" style="6" customWidth="1"/>
    <col min="8171" max="8171" width="15.375" style="6" customWidth="1"/>
    <col min="8172" max="8172" width="21.25" style="6" customWidth="1"/>
    <col min="8173" max="8421" width="9.125" style="6" customWidth="1"/>
    <col min="8422" max="8422" width="6.375" style="6" customWidth="1"/>
    <col min="8423" max="8423" width="34.25" style="6" customWidth="1"/>
    <col min="8424" max="8424" width="7.375" style="6" customWidth="1"/>
    <col min="8425" max="8425" width="6.375" style="6" customWidth="1"/>
    <col min="8426" max="8426" width="13.125" style="6" customWidth="1"/>
    <col min="8427" max="8427" width="15.375" style="6" customWidth="1"/>
    <col min="8428" max="8428" width="21.25" style="6" customWidth="1"/>
    <col min="8429" max="8677" width="9.125" style="6" customWidth="1"/>
    <col min="8678" max="8678" width="6.375" style="6" customWidth="1"/>
    <col min="8679" max="8679" width="34.25" style="6" customWidth="1"/>
    <col min="8680" max="8680" width="7.375" style="6" customWidth="1"/>
    <col min="8681" max="8681" width="6.375" style="6" customWidth="1"/>
    <col min="8682" max="8682" width="13.125" style="6" customWidth="1"/>
    <col min="8683" max="8683" width="15.375" style="6" customWidth="1"/>
    <col min="8684" max="8684" width="21.25" style="6" customWidth="1"/>
    <col min="8685" max="8933" width="9.125" style="6" customWidth="1"/>
    <col min="8934" max="8934" width="6.375" style="6" customWidth="1"/>
    <col min="8935" max="8935" width="34.25" style="6" customWidth="1"/>
    <col min="8936" max="8936" width="7.375" style="6" customWidth="1"/>
    <col min="8937" max="8937" width="6.375" style="6" customWidth="1"/>
    <col min="8938" max="8938" width="13.125" style="6" customWidth="1"/>
    <col min="8939" max="8939" width="15.375" style="6" customWidth="1"/>
    <col min="8940" max="8940" width="21.25" style="6" customWidth="1"/>
    <col min="8941" max="9189" width="9.125" style="6" customWidth="1"/>
    <col min="9190" max="9190" width="6.375" style="6" customWidth="1"/>
    <col min="9191" max="9191" width="34.25" style="6" customWidth="1"/>
    <col min="9192" max="9192" width="7.375" style="6" customWidth="1"/>
    <col min="9193" max="9193" width="6.375" style="6" customWidth="1"/>
    <col min="9194" max="9194" width="13.125" style="6" customWidth="1"/>
    <col min="9195" max="9195" width="15.375" style="6" customWidth="1"/>
    <col min="9196" max="9196" width="21.25" style="6" customWidth="1"/>
    <col min="9197" max="9445" width="9.125" style="6" customWidth="1"/>
    <col min="9446" max="9446" width="6.375" style="6" customWidth="1"/>
    <col min="9447" max="9447" width="34.25" style="6" customWidth="1"/>
    <col min="9448" max="9448" width="7.375" style="6" customWidth="1"/>
    <col min="9449" max="9449" width="6.375" style="6" customWidth="1"/>
    <col min="9450" max="9450" width="13.125" style="6" customWidth="1"/>
    <col min="9451" max="9451" width="15.375" style="6" customWidth="1"/>
    <col min="9452" max="9452" width="21.25" style="6" customWidth="1"/>
    <col min="9453" max="9701" width="9.125" style="6" customWidth="1"/>
    <col min="9702" max="9702" width="6.375" style="6" customWidth="1"/>
    <col min="9703" max="9703" width="34.25" style="6" customWidth="1"/>
    <col min="9704" max="9704" width="7.375" style="6" customWidth="1"/>
    <col min="9705" max="9705" width="6.375" style="6" customWidth="1"/>
    <col min="9706" max="9706" width="13.125" style="6" customWidth="1"/>
    <col min="9707" max="9707" width="15.375" style="6" customWidth="1"/>
    <col min="9708" max="9708" width="21.25" style="6" customWidth="1"/>
    <col min="9709" max="9957" width="9.125" style="6" customWidth="1"/>
    <col min="9958" max="9958" width="6.375" style="6" customWidth="1"/>
    <col min="9959" max="9959" width="34.25" style="6" customWidth="1"/>
    <col min="9960" max="9960" width="7.375" style="6" customWidth="1"/>
    <col min="9961" max="9961" width="6.375" style="6" customWidth="1"/>
    <col min="9962" max="9962" width="13.125" style="6" customWidth="1"/>
    <col min="9963" max="9963" width="15.375" style="6" customWidth="1"/>
    <col min="9964" max="9964" width="21.25" style="6" customWidth="1"/>
    <col min="9965" max="10213" width="9.125" style="6" customWidth="1"/>
    <col min="10214" max="10214" width="6.375" style="6" customWidth="1"/>
    <col min="10215" max="10215" width="34.25" style="6" customWidth="1"/>
    <col min="10216" max="10216" width="7.375" style="6" customWidth="1"/>
    <col min="10217" max="10217" width="6.375" style="6" customWidth="1"/>
    <col min="10218" max="10218" width="13.125" style="6" customWidth="1"/>
    <col min="10219" max="10219" width="15.375" style="6" customWidth="1"/>
    <col min="10220" max="10220" width="21.25" style="6" customWidth="1"/>
    <col min="10221" max="10469" width="9.125" style="6" customWidth="1"/>
    <col min="10470" max="10470" width="6.375" style="6" customWidth="1"/>
    <col min="10471" max="10471" width="34.25" style="6" customWidth="1"/>
    <col min="10472" max="10472" width="7.375" style="6" customWidth="1"/>
    <col min="10473" max="10473" width="6.375" style="6" customWidth="1"/>
    <col min="10474" max="10474" width="13.125" style="6" customWidth="1"/>
    <col min="10475" max="10475" width="15.375" style="6" customWidth="1"/>
    <col min="10476" max="10476" width="21.25" style="6" customWidth="1"/>
    <col min="10477" max="10725" width="9.125" style="6" customWidth="1"/>
    <col min="10726" max="10726" width="6.375" style="6" customWidth="1"/>
    <col min="10727" max="10727" width="34.25" style="6" customWidth="1"/>
    <col min="10728" max="10728" width="7.375" style="6" customWidth="1"/>
    <col min="10729" max="10729" width="6.375" style="6" customWidth="1"/>
    <col min="10730" max="10730" width="13.125" style="6" customWidth="1"/>
    <col min="10731" max="10731" width="15.375" style="6" customWidth="1"/>
    <col min="10732" max="10732" width="21.25" style="6" customWidth="1"/>
    <col min="10733" max="10981" width="9.125" style="6" customWidth="1"/>
    <col min="10982" max="10982" width="6.375" style="6" customWidth="1"/>
    <col min="10983" max="10983" width="34.25" style="6" customWidth="1"/>
    <col min="10984" max="10984" width="7.375" style="6" customWidth="1"/>
    <col min="10985" max="10985" width="6.375" style="6" customWidth="1"/>
    <col min="10986" max="10986" width="13.125" style="6" customWidth="1"/>
    <col min="10987" max="10987" width="15.375" style="6" customWidth="1"/>
    <col min="10988" max="10988" width="21.25" style="6" customWidth="1"/>
    <col min="10989" max="11237" width="9.125" style="6" customWidth="1"/>
    <col min="11238" max="11238" width="6.375" style="6" customWidth="1"/>
    <col min="11239" max="11239" width="34.25" style="6" customWidth="1"/>
    <col min="11240" max="11240" width="7.375" style="6" customWidth="1"/>
    <col min="11241" max="11241" width="6.375" style="6" customWidth="1"/>
    <col min="11242" max="11242" width="13.125" style="6" customWidth="1"/>
    <col min="11243" max="11243" width="15.375" style="6" customWidth="1"/>
    <col min="11244" max="11244" width="21.25" style="6" customWidth="1"/>
    <col min="11245" max="11493" width="9.125" style="6" customWidth="1"/>
    <col min="11494" max="11494" width="6.375" style="6" customWidth="1"/>
    <col min="11495" max="11495" width="34.25" style="6" customWidth="1"/>
    <col min="11496" max="11496" width="7.375" style="6" customWidth="1"/>
    <col min="11497" max="11497" width="6.375" style="6" customWidth="1"/>
    <col min="11498" max="11498" width="13.125" style="6" customWidth="1"/>
    <col min="11499" max="11499" width="15.375" style="6" customWidth="1"/>
    <col min="11500" max="11500" width="21.25" style="6" customWidth="1"/>
    <col min="11501" max="11749" width="9.125" style="6" customWidth="1"/>
    <col min="11750" max="11750" width="6.375" style="6" customWidth="1"/>
    <col min="11751" max="11751" width="34.25" style="6" customWidth="1"/>
    <col min="11752" max="11752" width="7.375" style="6" customWidth="1"/>
    <col min="11753" max="11753" width="6.375" style="6" customWidth="1"/>
    <col min="11754" max="11754" width="13.125" style="6" customWidth="1"/>
    <col min="11755" max="11755" width="15.375" style="6" customWidth="1"/>
    <col min="11756" max="11756" width="21.25" style="6" customWidth="1"/>
    <col min="11757" max="12005" width="9.125" style="6" customWidth="1"/>
    <col min="12006" max="12006" width="6.375" style="6" customWidth="1"/>
    <col min="12007" max="12007" width="34.25" style="6" customWidth="1"/>
    <col min="12008" max="12008" width="7.375" style="6" customWidth="1"/>
    <col min="12009" max="12009" width="6.375" style="6" customWidth="1"/>
    <col min="12010" max="12010" width="13.125" style="6" customWidth="1"/>
    <col min="12011" max="12011" width="15.375" style="6" customWidth="1"/>
    <col min="12012" max="12012" width="21.25" style="6" customWidth="1"/>
    <col min="12013" max="12261" width="9.125" style="6" customWidth="1"/>
    <col min="12262" max="12262" width="6.375" style="6" customWidth="1"/>
    <col min="12263" max="12263" width="34.25" style="6" customWidth="1"/>
    <col min="12264" max="12264" width="7.375" style="6" customWidth="1"/>
    <col min="12265" max="12265" width="6.375" style="6" customWidth="1"/>
    <col min="12266" max="12266" width="13.125" style="6" customWidth="1"/>
    <col min="12267" max="12267" width="15.375" style="6" customWidth="1"/>
    <col min="12268" max="12268" width="21.25" style="6" customWidth="1"/>
    <col min="12269" max="12517" width="9.125" style="6" customWidth="1"/>
    <col min="12518" max="12518" width="6.375" style="6" customWidth="1"/>
    <col min="12519" max="12519" width="34.25" style="6" customWidth="1"/>
    <col min="12520" max="12520" width="7.375" style="6" customWidth="1"/>
    <col min="12521" max="12521" width="6.375" style="6" customWidth="1"/>
    <col min="12522" max="12522" width="13.125" style="6" customWidth="1"/>
    <col min="12523" max="12523" width="15.375" style="6" customWidth="1"/>
    <col min="12524" max="12524" width="21.25" style="6" customWidth="1"/>
    <col min="12525" max="12773" width="9.125" style="6" customWidth="1"/>
    <col min="12774" max="12774" width="6.375" style="6" customWidth="1"/>
    <col min="12775" max="12775" width="34.25" style="6" customWidth="1"/>
    <col min="12776" max="12776" width="7.375" style="6" customWidth="1"/>
    <col min="12777" max="12777" width="6.375" style="6" customWidth="1"/>
    <col min="12778" max="12778" width="13.125" style="6" customWidth="1"/>
    <col min="12779" max="12779" width="15.375" style="6" customWidth="1"/>
    <col min="12780" max="12780" width="21.25" style="6" customWidth="1"/>
    <col min="12781" max="13029" width="9.125" style="6" customWidth="1"/>
    <col min="13030" max="13030" width="6.375" style="6" customWidth="1"/>
    <col min="13031" max="13031" width="34.25" style="6" customWidth="1"/>
    <col min="13032" max="13032" width="7.375" style="6" customWidth="1"/>
    <col min="13033" max="13033" width="6.375" style="6" customWidth="1"/>
    <col min="13034" max="13034" width="13.125" style="6" customWidth="1"/>
    <col min="13035" max="13035" width="15.375" style="6" customWidth="1"/>
    <col min="13036" max="13036" width="21.25" style="6" customWidth="1"/>
    <col min="13037" max="13285" width="9.125" style="6" customWidth="1"/>
    <col min="13286" max="13286" width="6.375" style="6" customWidth="1"/>
    <col min="13287" max="13287" width="34.25" style="6" customWidth="1"/>
    <col min="13288" max="13288" width="7.375" style="6" customWidth="1"/>
    <col min="13289" max="13289" width="6.375" style="6" customWidth="1"/>
    <col min="13290" max="13290" width="13.125" style="6" customWidth="1"/>
    <col min="13291" max="13291" width="15.375" style="6" customWidth="1"/>
    <col min="13292" max="13292" width="21.25" style="6" customWidth="1"/>
    <col min="13293" max="13541" width="9.125" style="6" customWidth="1"/>
    <col min="13542" max="13542" width="6.375" style="6" customWidth="1"/>
    <col min="13543" max="13543" width="34.25" style="6" customWidth="1"/>
    <col min="13544" max="13544" width="7.375" style="6" customWidth="1"/>
    <col min="13545" max="13545" width="6.375" style="6" customWidth="1"/>
    <col min="13546" max="13546" width="13.125" style="6" customWidth="1"/>
    <col min="13547" max="13547" width="15.375" style="6" customWidth="1"/>
    <col min="13548" max="13548" width="21.25" style="6" customWidth="1"/>
    <col min="13549" max="13797" width="9.125" style="6" customWidth="1"/>
    <col min="13798" max="13798" width="6.375" style="6" customWidth="1"/>
    <col min="13799" max="13799" width="34.25" style="6" customWidth="1"/>
    <col min="13800" max="13800" width="7.375" style="6" customWidth="1"/>
    <col min="13801" max="13801" width="6.375" style="6" customWidth="1"/>
    <col min="13802" max="13802" width="13.125" style="6" customWidth="1"/>
    <col min="13803" max="13803" width="15.375" style="6" customWidth="1"/>
    <col min="13804" max="13804" width="21.25" style="6" customWidth="1"/>
    <col min="13805" max="14053" width="9.125" style="6" customWidth="1"/>
    <col min="14054" max="14054" width="6.375" style="6" customWidth="1"/>
    <col min="14055" max="14055" width="34.25" style="6" customWidth="1"/>
    <col min="14056" max="14056" width="7.375" style="6" customWidth="1"/>
    <col min="14057" max="14057" width="6.375" style="6" customWidth="1"/>
    <col min="14058" max="14058" width="13.125" style="6" customWidth="1"/>
    <col min="14059" max="14059" width="15.375" style="6" customWidth="1"/>
    <col min="14060" max="14060" width="21.25" style="6" customWidth="1"/>
    <col min="14061" max="14309" width="9.125" style="6" customWidth="1"/>
    <col min="14310" max="14310" width="6.375" style="6" customWidth="1"/>
    <col min="14311" max="14311" width="34.25" style="6" customWidth="1"/>
    <col min="14312" max="14312" width="7.375" style="6" customWidth="1"/>
    <col min="14313" max="14313" width="6.375" style="6" customWidth="1"/>
    <col min="14314" max="14314" width="13.125" style="6" customWidth="1"/>
    <col min="14315" max="14315" width="15.375" style="6" customWidth="1"/>
    <col min="14316" max="14316" width="21.25" style="6" customWidth="1"/>
    <col min="14317" max="14565" width="9.125" style="6" customWidth="1"/>
    <col min="14566" max="14566" width="6.375" style="6" customWidth="1"/>
    <col min="14567" max="14567" width="34.25" style="6" customWidth="1"/>
    <col min="14568" max="14568" width="7.375" style="6" customWidth="1"/>
    <col min="14569" max="14569" width="6.375" style="6" customWidth="1"/>
    <col min="14570" max="14570" width="13.125" style="6" customWidth="1"/>
    <col min="14571" max="14571" width="15.375" style="6" customWidth="1"/>
    <col min="14572" max="14572" width="21.25" style="6" customWidth="1"/>
    <col min="14573" max="14821" width="9.125" style="6" customWidth="1"/>
    <col min="14822" max="14822" width="6.375" style="6" customWidth="1"/>
    <col min="14823" max="14823" width="34.25" style="6" customWidth="1"/>
    <col min="14824" max="14824" width="7.375" style="6" customWidth="1"/>
    <col min="14825" max="14825" width="6.375" style="6" customWidth="1"/>
    <col min="14826" max="14826" width="13.125" style="6" customWidth="1"/>
    <col min="14827" max="14827" width="15.375" style="6" customWidth="1"/>
    <col min="14828" max="14828" width="21.25" style="6" customWidth="1"/>
    <col min="14829" max="15077" width="9.125" style="6" customWidth="1"/>
    <col min="15078" max="15078" width="6.375" style="6" customWidth="1"/>
    <col min="15079" max="15079" width="34.25" style="6" customWidth="1"/>
    <col min="15080" max="15080" width="7.375" style="6" customWidth="1"/>
    <col min="15081" max="15081" width="6.375" style="6" customWidth="1"/>
    <col min="15082" max="15082" width="13.125" style="6" customWidth="1"/>
    <col min="15083" max="15083" width="15.375" style="6" customWidth="1"/>
    <col min="15084" max="15084" width="21.25" style="6" customWidth="1"/>
    <col min="15085" max="15333" width="9.125" style="6" customWidth="1"/>
    <col min="15334" max="15334" width="6.375" style="6" customWidth="1"/>
    <col min="15335" max="15335" width="34.25" style="6" customWidth="1"/>
    <col min="15336" max="15336" width="7.375" style="6" customWidth="1"/>
    <col min="15337" max="15337" width="6.375" style="6" customWidth="1"/>
    <col min="15338" max="15338" width="13.125" style="6" customWidth="1"/>
    <col min="15339" max="15339" width="15.375" style="6" customWidth="1"/>
    <col min="15340" max="15340" width="21.25" style="6" customWidth="1"/>
    <col min="15341" max="15589" width="9.125" style="6" customWidth="1"/>
    <col min="15590" max="15590" width="6.375" style="6" customWidth="1"/>
    <col min="15591" max="15591" width="34.25" style="6" customWidth="1"/>
    <col min="15592" max="15592" width="7.375" style="6" customWidth="1"/>
    <col min="15593" max="15593" width="6.375" style="6" customWidth="1"/>
    <col min="15594" max="15594" width="13.125" style="6" customWidth="1"/>
    <col min="15595" max="15595" width="15.375" style="6" customWidth="1"/>
    <col min="15596" max="15596" width="21.25" style="6" customWidth="1"/>
    <col min="15597" max="15845" width="9.125" style="6" customWidth="1"/>
    <col min="15846" max="15846" width="6.375" style="6" customWidth="1"/>
    <col min="15847" max="15847" width="34.25" style="6" customWidth="1"/>
    <col min="15848" max="15848" width="7.375" style="6" customWidth="1"/>
    <col min="15849" max="15849" width="6.375" style="6" customWidth="1"/>
    <col min="15850" max="15850" width="13.125" style="6" customWidth="1"/>
    <col min="15851" max="15851" width="15.375" style="6" customWidth="1"/>
    <col min="15852" max="15852" width="21.25" style="6" customWidth="1"/>
    <col min="15853" max="16101" width="9.125" style="6" customWidth="1"/>
    <col min="16102" max="16102" width="6.375" style="6" customWidth="1"/>
    <col min="16103" max="16103" width="34.25" style="6" customWidth="1"/>
    <col min="16104" max="16104" width="7.375" style="6" customWidth="1"/>
    <col min="16105" max="16105" width="6.375" style="6" customWidth="1"/>
    <col min="16106" max="16106" width="13.125" style="6" customWidth="1"/>
    <col min="16107" max="16107" width="15.375" style="6" customWidth="1"/>
    <col min="16108" max="16108" width="21.25" style="6" customWidth="1"/>
    <col min="16109" max="16384" width="9.125" style="6" customWidth="1"/>
  </cols>
  <sheetData>
    <row r="1" spans="1:10" ht="48" customHeight="1"/>
    <row r="2" spans="1:10" s="1" customFormat="1" ht="51" customHeight="1">
      <c r="A2" s="10" t="s">
        <v>507</v>
      </c>
      <c r="B2" s="11"/>
      <c r="C2" s="12"/>
      <c r="D2" s="11"/>
      <c r="E2" s="14"/>
      <c r="F2" s="14"/>
      <c r="G2" s="14"/>
      <c r="H2" s="15"/>
      <c r="I2" s="15"/>
      <c r="J2" s="15"/>
    </row>
    <row r="3" spans="1:10" ht="26.25" customHeight="1">
      <c r="A3" s="16"/>
      <c r="B3" s="17" t="s">
        <v>440</v>
      </c>
      <c r="C3" s="213"/>
      <c r="D3" s="217"/>
      <c r="E3" s="214"/>
      <c r="F3" s="214"/>
      <c r="G3" s="214"/>
      <c r="H3" s="220"/>
      <c r="I3" s="220"/>
      <c r="J3" s="220"/>
    </row>
    <row r="4" spans="1:10" ht="26.25" customHeight="1">
      <c r="A4" s="18"/>
      <c r="B4" s="5" t="s">
        <v>441</v>
      </c>
      <c r="C4" s="222"/>
      <c r="D4" s="217"/>
      <c r="E4" s="214"/>
      <c r="F4" s="214"/>
      <c r="G4" s="214"/>
      <c r="H4" s="220"/>
      <c r="I4" s="220"/>
      <c r="J4" s="220"/>
    </row>
    <row r="5" spans="1:10" ht="26.25" customHeight="1">
      <c r="A5" s="18"/>
      <c r="B5" s="5" t="s">
        <v>442</v>
      </c>
      <c r="C5" s="216"/>
      <c r="D5" s="217"/>
      <c r="E5" s="214"/>
      <c r="F5" s="214"/>
      <c r="G5" s="214"/>
      <c r="H5" s="220"/>
      <c r="I5" s="220"/>
      <c r="J5" s="220"/>
    </row>
    <row r="6" spans="1:10" ht="26.25" customHeight="1">
      <c r="A6" s="18"/>
      <c r="B6" s="5" t="s">
        <v>443</v>
      </c>
      <c r="C6" s="213" t="str">
        <f>INDEX(總表!$B$9:$B$47,MATCH('25A'!A9,總表!$A$9:$A$48,0))</f>
        <v>Trạm cân
地磅</v>
      </c>
      <c r="D6" s="217"/>
      <c r="E6" s="214"/>
      <c r="F6" s="214"/>
      <c r="G6" s="214"/>
      <c r="H6" s="220"/>
      <c r="I6" s="220"/>
      <c r="J6" s="220"/>
    </row>
    <row r="7" spans="1:10" ht="26.25" customHeight="1">
      <c r="A7" s="18"/>
      <c r="B7" s="5" t="s">
        <v>444</v>
      </c>
      <c r="C7" s="223" t="s">
        <v>445</v>
      </c>
      <c r="D7" s="224"/>
      <c r="E7" s="224"/>
      <c r="F7" s="224"/>
      <c r="G7" s="224"/>
      <c r="H7" s="224"/>
      <c r="I7" s="224"/>
      <c r="J7" s="224"/>
    </row>
    <row r="8" spans="1:10" s="2" customFormat="1" ht="41.25" customHeight="1">
      <c r="A8" s="19" t="s">
        <v>446</v>
      </c>
      <c r="B8" s="19" t="s">
        <v>508</v>
      </c>
      <c r="C8" s="19" t="s">
        <v>509</v>
      </c>
      <c r="D8" s="19" t="s">
        <v>448</v>
      </c>
      <c r="E8" s="19" t="s">
        <v>449</v>
      </c>
      <c r="F8" s="19" t="s">
        <v>511</v>
      </c>
      <c r="G8" s="19" t="s">
        <v>512</v>
      </c>
      <c r="H8" s="21" t="s">
        <v>450</v>
      </c>
      <c r="I8" s="21" t="s">
        <v>452</v>
      </c>
      <c r="J8" s="21" t="s">
        <v>514</v>
      </c>
    </row>
    <row r="9" spans="1:10" s="3" customFormat="1" ht="25.5" customHeight="1">
      <c r="A9" s="22" t="s">
        <v>484</v>
      </c>
      <c r="B9" s="23" t="str">
        <f>C6</f>
        <v>Trạm cân
地磅</v>
      </c>
      <c r="C9" s="23" t="s">
        <v>583</v>
      </c>
      <c r="D9" s="22"/>
      <c r="E9" s="25"/>
      <c r="F9" s="25">
        <f>_xlfn.XLOOKUP(B9, Rate_Master!$A:$A, Rate_Master!$C:$C, "")</f>
        <v>0</v>
      </c>
      <c r="G9" s="25">
        <f>_xlfn.XLOOKUP(B9, Rate_Master!$A:$A, Rate_Master!$D:$D, "")</f>
        <v>0</v>
      </c>
      <c r="H9" s="26"/>
      <c r="I9" s="26">
        <f>SUBTOTAL(9,I10:I31)</f>
        <v>640482250.10962105</v>
      </c>
      <c r="J9" s="26"/>
    </row>
    <row r="10" spans="1:10" s="3" customFormat="1" ht="25.5" customHeight="1">
      <c r="A10" s="22" t="str">
        <f>$A$9&amp;".C"</f>
        <v>25A.C</v>
      </c>
      <c r="B10" s="23" t="s">
        <v>1</v>
      </c>
      <c r="C10" s="23" t="s">
        <v>515</v>
      </c>
      <c r="D10" s="22"/>
      <c r="E10" s="25"/>
      <c r="F10" s="25">
        <f>_xlfn.XLOOKUP(B10, Rate_Master!$A:$A, Rate_Master!$C:$C, "")</f>
        <v>0</v>
      </c>
      <c r="G10" s="25">
        <f>_xlfn.XLOOKUP(B10, Rate_Master!$A:$A, Rate_Master!$D:$D, "")</f>
        <v>0</v>
      </c>
      <c r="H10" s="26"/>
      <c r="I10" s="26"/>
      <c r="J10" s="26"/>
    </row>
    <row r="11" spans="1:10" s="3" customFormat="1" ht="25.5" customHeight="1">
      <c r="A11" s="22" t="str">
        <f>$A$10&amp;1</f>
        <v>25A.C1</v>
      </c>
      <c r="B11" s="23" t="s">
        <v>2</v>
      </c>
      <c r="C11" s="23" t="s">
        <v>515</v>
      </c>
      <c r="D11" s="22"/>
      <c r="E11" s="25"/>
      <c r="F11" s="25">
        <f>_xlfn.XLOOKUP(B11, Rate_Master!$A:$A, Rate_Master!$C:$C, "")</f>
        <v>0</v>
      </c>
      <c r="G11" s="25">
        <f>_xlfn.XLOOKUP(B11, Rate_Master!$A:$A, Rate_Master!$D:$D, "")</f>
        <v>0</v>
      </c>
      <c r="H11" s="26"/>
      <c r="I11" s="26">
        <f>SUBTOTAL(9,I12:I16)</f>
        <v>99562399.999999985</v>
      </c>
      <c r="J11" s="26"/>
    </row>
    <row r="12" spans="1:10" s="4" customFormat="1" ht="25.5" customHeight="1" outlineLevel="1">
      <c r="A12" s="27" t="str">
        <f>$A$11&amp;"."&amp;ROW()-ROW($A$11)</f>
        <v>25A.C1.1</v>
      </c>
      <c r="B12" s="28" t="s">
        <v>9</v>
      </c>
      <c r="C12" s="28" t="s">
        <v>515</v>
      </c>
      <c r="D12" s="29" t="s">
        <v>517</v>
      </c>
      <c r="E12" s="31">
        <v>176</v>
      </c>
      <c r="F12" s="31">
        <f>_xlfn.XLOOKUP(B12, Rate_Master!$A:$A, Rate_Master!$C:$C, "")</f>
        <v>402499.99999999994</v>
      </c>
      <c r="G12" s="31">
        <f>_xlfn.XLOOKUP(B12, Rate_Master!$A:$A, Rate_Master!$D:$D, "")</f>
        <v>0</v>
      </c>
      <c r="H12" s="66">
        <f>F12+G12</f>
        <v>402499.99999999994</v>
      </c>
      <c r="I12" s="32">
        <f>H12*E12</f>
        <v>70839999.999999985</v>
      </c>
      <c r="J12" s="32"/>
    </row>
    <row r="13" spans="1:10" s="4" customFormat="1" ht="25.5" customHeight="1" outlineLevel="1">
      <c r="A13" s="27" t="str">
        <f>$A$11&amp;"."&amp;ROW()-ROW($A$11)</f>
        <v>25A.C1.2</v>
      </c>
      <c r="B13" s="28" t="s">
        <v>10</v>
      </c>
      <c r="C13" s="28" t="s">
        <v>515</v>
      </c>
      <c r="D13" s="29" t="s">
        <v>518</v>
      </c>
      <c r="E13" s="31">
        <v>8</v>
      </c>
      <c r="F13" s="31">
        <f>_xlfn.XLOOKUP(B13, Rate_Master!$A:$A, Rate_Master!$C:$C, "")</f>
        <v>80500</v>
      </c>
      <c r="G13" s="31">
        <f>_xlfn.XLOOKUP(B13, Rate_Master!$A:$A, Rate_Master!$D:$D, "")</f>
        <v>0</v>
      </c>
      <c r="H13" s="66">
        <f>F13+G13</f>
        <v>80500</v>
      </c>
      <c r="I13" s="32">
        <f>H13*E13</f>
        <v>644000</v>
      </c>
      <c r="J13" s="32"/>
    </row>
    <row r="14" spans="1:10" s="4" customFormat="1" ht="25.5" customHeight="1" outlineLevel="1">
      <c r="A14" s="27" t="str">
        <f>$A$11&amp;"."&amp;ROW()-ROW($A$11)</f>
        <v>25A.C1.3</v>
      </c>
      <c r="B14" s="28" t="s">
        <v>11</v>
      </c>
      <c r="C14" s="28" t="s">
        <v>515</v>
      </c>
      <c r="D14" s="29" t="s">
        <v>517</v>
      </c>
      <c r="E14" s="36">
        <v>177.6</v>
      </c>
      <c r="F14" s="31">
        <f>_xlfn.XLOOKUP(B14, Rate_Master!$A:$A, Rate_Master!$C:$C, "")</f>
        <v>0</v>
      </c>
      <c r="G14" s="31">
        <f>_xlfn.XLOOKUP(B14, Rate_Master!$A:$A, Rate_Master!$D:$D, "")</f>
        <v>69000</v>
      </c>
      <c r="H14" s="66">
        <f>F14+G14</f>
        <v>69000</v>
      </c>
      <c r="I14" s="32">
        <f>H14*E14</f>
        <v>12254400</v>
      </c>
      <c r="J14" s="32"/>
    </row>
    <row r="15" spans="1:10" s="4" customFormat="1" ht="25.5" customHeight="1" outlineLevel="1">
      <c r="A15" s="27" t="str">
        <f>$A$11&amp;"."&amp;ROW()-ROW($A$11)</f>
        <v>25A.C1.4</v>
      </c>
      <c r="B15" s="28" t="s">
        <v>12</v>
      </c>
      <c r="C15" s="28" t="s">
        <v>515</v>
      </c>
      <c r="D15" s="29" t="s">
        <v>517</v>
      </c>
      <c r="E15" s="36">
        <v>185.6</v>
      </c>
      <c r="F15" s="31">
        <f>_xlfn.XLOOKUP(B15, Rate_Master!$A:$A, Rate_Master!$C:$C, "")</f>
        <v>0</v>
      </c>
      <c r="G15" s="31">
        <f>_xlfn.XLOOKUP(B15, Rate_Master!$A:$A, Rate_Master!$D:$D, "")</f>
        <v>57499.999999999993</v>
      </c>
      <c r="H15" s="66">
        <f>F15+G15</f>
        <v>57499.999999999993</v>
      </c>
      <c r="I15" s="32">
        <f>H15*E15</f>
        <v>10671999.999999998</v>
      </c>
      <c r="J15" s="32"/>
    </row>
    <row r="16" spans="1:10" s="4" customFormat="1" ht="63.75" customHeight="1" outlineLevel="1">
      <c r="A16" s="27" t="str">
        <f>$A$11&amp;"."&amp;ROW()-ROW($A$11)</f>
        <v>25A.C1.5</v>
      </c>
      <c r="B16" s="28" t="s">
        <v>13</v>
      </c>
      <c r="C16" s="28" t="s">
        <v>515</v>
      </c>
      <c r="D16" s="29" t="s">
        <v>518</v>
      </c>
      <c r="E16" s="31">
        <v>8</v>
      </c>
      <c r="F16" s="31">
        <f>_xlfn.XLOOKUP(B16, Rate_Master!$A:$A, Rate_Master!$C:$C, "")</f>
        <v>482999.99999999994</v>
      </c>
      <c r="G16" s="31">
        <f>_xlfn.XLOOKUP(B16, Rate_Master!$A:$A, Rate_Master!$D:$D, "")</f>
        <v>161000</v>
      </c>
      <c r="H16" s="66">
        <f>F16+G16</f>
        <v>644000</v>
      </c>
      <c r="I16" s="32">
        <f>H16*E16</f>
        <v>5152000</v>
      </c>
      <c r="J16" s="32"/>
    </row>
    <row r="17" spans="1:10" s="3" customFormat="1" ht="25.5" customHeight="1">
      <c r="A17" s="22" t="str">
        <f>$A$10&amp;2</f>
        <v>25A.C2</v>
      </c>
      <c r="B17" s="23" t="s">
        <v>14</v>
      </c>
      <c r="C17" s="23" t="s">
        <v>515</v>
      </c>
      <c r="D17" s="22"/>
      <c r="E17" s="25"/>
      <c r="F17" s="25">
        <f>_xlfn.XLOOKUP(B17, Rate_Master!$A:$A, Rate_Master!$C:$C, "")</f>
        <v>0</v>
      </c>
      <c r="G17" s="25">
        <f>_xlfn.XLOOKUP(B17, Rate_Master!$A:$A, Rate_Master!$D:$D, "")</f>
        <v>0</v>
      </c>
      <c r="H17" s="26"/>
      <c r="I17" s="26">
        <f>SUBTOTAL(9,I18:I19)</f>
        <v>3319969.5</v>
      </c>
      <c r="J17" s="26"/>
    </row>
    <row r="18" spans="1:10" s="4" customFormat="1" ht="25.5" hidden="1" customHeight="1" outlineLevel="1">
      <c r="A18" s="27" t="str">
        <f>$A$17&amp;"."&amp;ROW()-ROW($A$17)</f>
        <v>25A.C2.1</v>
      </c>
      <c r="B18" s="28" t="s">
        <v>16</v>
      </c>
      <c r="C18" s="28" t="s">
        <v>515</v>
      </c>
      <c r="D18" s="29" t="s">
        <v>520</v>
      </c>
      <c r="E18" s="31">
        <v>128.30799999999999</v>
      </c>
      <c r="F18" s="31">
        <f>_xlfn.XLOOKUP(B18, Rate_Master!$A:$A, Rate_Master!$C:$C, "")</f>
        <v>0</v>
      </c>
      <c r="G18" s="31">
        <f>_xlfn.XLOOKUP(B18, Rate_Master!$A:$A, Rate_Master!$D:$D, "")</f>
        <v>17250</v>
      </c>
      <c r="H18" s="66">
        <f>F18+G18</f>
        <v>17250</v>
      </c>
      <c r="I18" s="32">
        <f>H18*E18</f>
        <v>2213313</v>
      </c>
      <c r="J18" s="32"/>
    </row>
    <row r="19" spans="1:10" s="4" customFormat="1" ht="25.5" hidden="1" customHeight="1" outlineLevel="1">
      <c r="A19" s="27" t="str">
        <f>$A$17&amp;"."&amp;ROW()-ROW($A$17)</f>
        <v>25A.C2.2</v>
      </c>
      <c r="B19" s="28" t="s">
        <v>19</v>
      </c>
      <c r="C19" s="28" t="s">
        <v>515</v>
      </c>
      <c r="D19" s="29" t="s">
        <v>520</v>
      </c>
      <c r="E19" s="31">
        <v>128.30799999999999</v>
      </c>
      <c r="F19" s="31">
        <f>_xlfn.XLOOKUP(B19, Rate_Master!$A:$A, Rate_Master!$C:$C, "")</f>
        <v>6899.9999999999991</v>
      </c>
      <c r="G19" s="31">
        <f>_xlfn.XLOOKUP(B19, Rate_Master!$A:$A, Rate_Master!$D:$D, "")</f>
        <v>1724.9999999999998</v>
      </c>
      <c r="H19" s="66">
        <f>F19+G19</f>
        <v>8624.9999999999982</v>
      </c>
      <c r="I19" s="32">
        <f>H19*E19</f>
        <v>1106656.4999999998</v>
      </c>
      <c r="J19" s="32"/>
    </row>
    <row r="20" spans="1:10" s="3" customFormat="1" ht="25.5" customHeight="1" collapsed="1">
      <c r="A20" s="22" t="str">
        <f>$A$10&amp;3</f>
        <v>25A.C3</v>
      </c>
      <c r="B20" s="23" t="s">
        <v>23</v>
      </c>
      <c r="C20" s="23" t="s">
        <v>515</v>
      </c>
      <c r="D20" s="22"/>
      <c r="E20" s="25"/>
      <c r="F20" s="25">
        <f>_xlfn.XLOOKUP(B20, Rate_Master!$A:$A, Rate_Master!$C:$C, "")</f>
        <v>0</v>
      </c>
      <c r="G20" s="25">
        <f>_xlfn.XLOOKUP(B20, Rate_Master!$A:$A, Rate_Master!$D:$D, "")</f>
        <v>0</v>
      </c>
      <c r="H20" s="26"/>
      <c r="I20" s="26">
        <f>SUBTOTAL(9,I21:I22)</f>
        <v>79017502.161111102</v>
      </c>
      <c r="J20" s="26"/>
    </row>
    <row r="21" spans="1:10" s="4" customFormat="1" ht="25.5" hidden="1" customHeight="1" outlineLevel="1">
      <c r="A21" s="27" t="str">
        <f>$A$20&amp;"."&amp;ROW()-ROW($A$20)</f>
        <v>25A.C3.1</v>
      </c>
      <c r="B21" s="28" t="s">
        <v>24</v>
      </c>
      <c r="C21" s="28" t="s">
        <v>515</v>
      </c>
      <c r="D21" s="29" t="s">
        <v>519</v>
      </c>
      <c r="E21" s="31">
        <v>12.324</v>
      </c>
      <c r="F21" s="30">
        <f>_xlfn.XLOOKUP(B21, Rate_Master!$A:$A, Rate_Master!$C:$C, "")</f>
        <v>1249762.5</v>
      </c>
      <c r="G21" s="30">
        <f>_xlfn.XLOOKUP(B21, Rate_Master!$A:$A, Rate_Master!$D:$D, "")</f>
        <v>206999.99999999997</v>
      </c>
      <c r="H21" s="66">
        <f>F21+G21</f>
        <v>1456762.5</v>
      </c>
      <c r="I21" s="32">
        <f>H21*E21</f>
        <v>17953141.050000001</v>
      </c>
      <c r="J21" s="32"/>
    </row>
    <row r="22" spans="1:10" s="4" customFormat="1" ht="51" hidden="1" customHeight="1" outlineLevel="1">
      <c r="A22" s="27" t="str">
        <f>$A$20&amp;"."&amp;ROW()-ROW($A$20)</f>
        <v>25A.C3.2</v>
      </c>
      <c r="B22" s="28" t="s">
        <v>25</v>
      </c>
      <c r="C22" s="28" t="s">
        <v>515</v>
      </c>
      <c r="D22" s="29" t="s">
        <v>519</v>
      </c>
      <c r="E22" s="31">
        <v>34.756</v>
      </c>
      <c r="F22" s="30">
        <f>_xlfn.XLOOKUP(B22, Rate_Master!$A:$A, Rate_Master!$C:$C, "")</f>
        <v>1607444.4444444443</v>
      </c>
      <c r="G22" s="30">
        <f>_xlfn.XLOOKUP(B22, Rate_Master!$A:$A, Rate_Master!$D:$D, "")</f>
        <v>149500</v>
      </c>
      <c r="H22" s="66">
        <f>F22+G22</f>
        <v>1756944.4444444443</v>
      </c>
      <c r="I22" s="32">
        <f>H22*E22</f>
        <v>61064361.111111104</v>
      </c>
      <c r="J22" s="32"/>
    </row>
    <row r="23" spans="1:10" s="3" customFormat="1" ht="25.5" customHeight="1" collapsed="1">
      <c r="A23" s="22" t="str">
        <f>$A$10&amp;4</f>
        <v>25A.C4</v>
      </c>
      <c r="B23" s="23" t="s">
        <v>31</v>
      </c>
      <c r="C23" s="23" t="s">
        <v>515</v>
      </c>
      <c r="D23" s="22"/>
      <c r="E23" s="25"/>
      <c r="F23" s="25">
        <f>_xlfn.XLOOKUP(B23, Rate_Master!$A:$A, Rate_Master!$C:$C, "")</f>
        <v>0</v>
      </c>
      <c r="G23" s="25">
        <f>_xlfn.XLOOKUP(B23, Rate_Master!$A:$A, Rate_Master!$D:$D, "")</f>
        <v>0</v>
      </c>
      <c r="H23" s="26"/>
      <c r="I23" s="26">
        <f>SUBTOTAL(9,I24:I25)</f>
        <v>20232697.499999996</v>
      </c>
      <c r="J23" s="26"/>
    </row>
    <row r="24" spans="1:10" s="4" customFormat="1" ht="25.5" customHeight="1" outlineLevel="1">
      <c r="A24" s="27" t="str">
        <f>$A$23&amp;"."&amp;ROW()-ROW($A$23)</f>
        <v>25A.C4.1</v>
      </c>
      <c r="B24" s="28" t="s">
        <v>32</v>
      </c>
      <c r="C24" s="28" t="s">
        <v>515</v>
      </c>
      <c r="D24" s="29" t="s">
        <v>520</v>
      </c>
      <c r="E24" s="31">
        <v>18.303000000000001</v>
      </c>
      <c r="F24" s="30">
        <f>_xlfn.XLOOKUP(B24, Rate_Master!$A:$A, Rate_Master!$C:$C, "")</f>
        <v>80500</v>
      </c>
      <c r="G24" s="30">
        <f>_xlfn.XLOOKUP(B24, Rate_Master!$A:$A, Rate_Master!$D:$D, "")</f>
        <v>92000</v>
      </c>
      <c r="H24" s="66">
        <f>F24+G24</f>
        <v>172500</v>
      </c>
      <c r="I24" s="32">
        <f>H24*E24</f>
        <v>3157267.5</v>
      </c>
      <c r="J24" s="32"/>
    </row>
    <row r="25" spans="1:10" s="4" customFormat="1" ht="38.25" customHeight="1" outlineLevel="1">
      <c r="A25" s="27" t="str">
        <f>$A$23&amp;"."&amp;ROW()-ROW($A$23)</f>
        <v>25A.C4.2</v>
      </c>
      <c r="B25" s="28" t="s">
        <v>33</v>
      </c>
      <c r="C25" s="28" t="s">
        <v>515</v>
      </c>
      <c r="D25" s="29" t="s">
        <v>520</v>
      </c>
      <c r="E25" s="31">
        <v>74.241</v>
      </c>
      <c r="F25" s="30">
        <f>_xlfn.XLOOKUP(B25, Rate_Master!$A:$A, Rate_Master!$C:$C, "")</f>
        <v>126499.99999999999</v>
      </c>
      <c r="G25" s="30">
        <f>_xlfn.XLOOKUP(B25, Rate_Master!$A:$A, Rate_Master!$D:$D, "")</f>
        <v>103499.99999999999</v>
      </c>
      <c r="H25" s="66">
        <f>F25+G25</f>
        <v>229999.99999999997</v>
      </c>
      <c r="I25" s="32">
        <f>H25*E25</f>
        <v>17075429.999999996</v>
      </c>
      <c r="J25" s="32"/>
    </row>
    <row r="26" spans="1:10" s="3" customFormat="1" ht="25.5" customHeight="1">
      <c r="A26" s="22" t="str">
        <f>$A$10&amp;5</f>
        <v>25A.C5</v>
      </c>
      <c r="B26" s="23" t="s">
        <v>37</v>
      </c>
      <c r="C26" s="23" t="s">
        <v>515</v>
      </c>
      <c r="D26" s="22"/>
      <c r="E26" s="25"/>
      <c r="F26" s="25">
        <f>_xlfn.XLOOKUP(B26, Rate_Master!$A:$A, Rate_Master!$C:$C, "")</f>
        <v>0</v>
      </c>
      <c r="G26" s="25">
        <f>_xlfn.XLOOKUP(B26, Rate_Master!$A:$A, Rate_Master!$D:$D, "")</f>
        <v>0</v>
      </c>
      <c r="H26" s="26"/>
      <c r="I26" s="26">
        <f>SUBTOTAL(9,I27:I27)</f>
        <v>108350280.94850999</v>
      </c>
      <c r="J26" s="26"/>
    </row>
    <row r="27" spans="1:10" s="4" customFormat="1" ht="38.25" customHeight="1" outlineLevel="1">
      <c r="A27" s="27" t="str">
        <f>$A$26&amp;"."&amp;ROW()-ROW($A$26)</f>
        <v>25A.C5.1</v>
      </c>
      <c r="B27" s="28" t="s">
        <v>38</v>
      </c>
      <c r="C27" s="28" t="s">
        <v>522</v>
      </c>
      <c r="D27" s="29" t="s">
        <v>523</v>
      </c>
      <c r="E27" s="31">
        <v>5515.2539999999999</v>
      </c>
      <c r="F27" s="30">
        <f>_xlfn.XLOOKUP(B27, Rate_Master!$A:$A, Rate_Master!$C:$C, "")</f>
        <v>16770.564999999999</v>
      </c>
      <c r="G27" s="30">
        <f>_xlfn.XLOOKUP(B27, Rate_Master!$A:$A, Rate_Master!$D:$D, "")</f>
        <v>2875</v>
      </c>
      <c r="H27" s="66">
        <f>F27+G27</f>
        <v>19645.564999999999</v>
      </c>
      <c r="I27" s="32">
        <f>H27*E27</f>
        <v>108350280.94850999</v>
      </c>
      <c r="J27" s="32"/>
    </row>
    <row r="28" spans="1:10" s="3" customFormat="1" ht="25.5" customHeight="1">
      <c r="A28" s="22" t="str">
        <f>$A$10&amp;6</f>
        <v>25A.C6</v>
      </c>
      <c r="B28" s="23" t="s">
        <v>43</v>
      </c>
      <c r="C28" s="23" t="s">
        <v>515</v>
      </c>
      <c r="D28" s="22"/>
      <c r="E28" s="25"/>
      <c r="F28" s="25">
        <f>_xlfn.XLOOKUP(B28, Rate_Master!$A:$A, Rate_Master!$C:$C, "")</f>
        <v>0</v>
      </c>
      <c r="G28" s="25">
        <f>_xlfn.XLOOKUP(B28, Rate_Master!$A:$A, Rate_Master!$D:$D, "")</f>
        <v>0</v>
      </c>
      <c r="H28" s="26">
        <v>0</v>
      </c>
      <c r="I28" s="26">
        <f>SUBTOTAL(9,I29:I30)</f>
        <v>329999400</v>
      </c>
      <c r="J28" s="26"/>
    </row>
    <row r="29" spans="1:10" s="4" customFormat="1" ht="25.5" customHeight="1" outlineLevel="1">
      <c r="A29" s="27" t="str">
        <f>$A$28&amp;"."&amp;ROW()-ROW($A$28)</f>
        <v>25A.C6.1</v>
      </c>
      <c r="B29" s="28" t="s">
        <v>304</v>
      </c>
      <c r="C29" s="28" t="s">
        <v>515</v>
      </c>
      <c r="D29" s="29" t="s">
        <v>457</v>
      </c>
      <c r="E29" s="31">
        <v>1</v>
      </c>
      <c r="F29" s="30">
        <f>_xlfn.XLOOKUP(B29, Rate_Master!$A:$A, Rate_Master!$C:$C, "")</f>
        <v>35999600</v>
      </c>
      <c r="G29" s="30">
        <f>_xlfn.XLOOKUP(B29, Rate_Master!$A:$A, Rate_Master!$D:$D, "")</f>
        <v>14000099.999999998</v>
      </c>
      <c r="H29" s="72">
        <f>F29+G29</f>
        <v>49999700</v>
      </c>
      <c r="I29" s="32">
        <f>H29*E29</f>
        <v>49999700</v>
      </c>
      <c r="J29" s="32"/>
    </row>
    <row r="30" spans="1:10" s="4" customFormat="1" ht="51" customHeight="1" outlineLevel="1">
      <c r="A30" s="27" t="str">
        <f>$A$28&amp;"."&amp;ROW()-ROW($A$28)</f>
        <v>25A.C6.2</v>
      </c>
      <c r="B30" s="34" t="s">
        <v>305</v>
      </c>
      <c r="C30" s="28" t="s">
        <v>515</v>
      </c>
      <c r="D30" s="29" t="s">
        <v>457</v>
      </c>
      <c r="E30" s="31">
        <v>1</v>
      </c>
      <c r="F30" s="30">
        <f>_xlfn.XLOOKUP(B30, Rate_Master!$A:$A, Rate_Master!$C:$C, "")</f>
        <v>201599599.99999997</v>
      </c>
      <c r="G30" s="30">
        <f>_xlfn.XLOOKUP(B30, Rate_Master!$A:$A, Rate_Master!$D:$D, "")</f>
        <v>78400100</v>
      </c>
      <c r="H30" s="32">
        <f>F30+G30</f>
        <v>279999700</v>
      </c>
      <c r="I30" s="32">
        <f>H30*E30</f>
        <v>279999700</v>
      </c>
      <c r="J30" s="32"/>
    </row>
  </sheetData>
  <mergeCells count="5">
    <mergeCell ref="C4:J4"/>
    <mergeCell ref="C3:J3"/>
    <mergeCell ref="C7:J7"/>
    <mergeCell ref="C6:J6"/>
    <mergeCell ref="C5:J5"/>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tint="0.499984740745262"/>
    <pageSetUpPr fitToPage="1"/>
  </sheetPr>
  <dimension ref="A1:J12"/>
  <sheetViews>
    <sheetView topLeftCell="A7" workbookViewId="0">
      <selection activeCell="C11" sqref="C11"/>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7" width="14" style="8" hidden="1" customWidth="1" outlineLevel="1"/>
    <col min="8" max="8" width="14" style="9" customWidth="1" collapsed="1"/>
    <col min="9" max="10" width="14" style="9" customWidth="1"/>
    <col min="11" max="232" width="9.125" style="6" customWidth="1"/>
    <col min="233" max="233" width="6.375" style="6" customWidth="1"/>
    <col min="234" max="234" width="34.25" style="6" customWidth="1"/>
    <col min="235" max="235" width="7.375" style="6" customWidth="1"/>
    <col min="236" max="236" width="6.375" style="6" customWidth="1"/>
    <col min="237" max="237" width="13.125" style="6" customWidth="1"/>
    <col min="238" max="238" width="15.375" style="6" customWidth="1"/>
    <col min="239" max="239" width="21.25" style="6" customWidth="1"/>
    <col min="240" max="488" width="9.125" style="6" customWidth="1"/>
    <col min="489" max="489" width="6.375" style="6" customWidth="1"/>
    <col min="490" max="490" width="34.25" style="6" customWidth="1"/>
    <col min="491" max="491" width="7.375" style="6" customWidth="1"/>
    <col min="492" max="492" width="6.375" style="6" customWidth="1"/>
    <col min="493" max="493" width="13.125" style="6" customWidth="1"/>
    <col min="494" max="494" width="15.375" style="6" customWidth="1"/>
    <col min="495" max="495" width="21.25" style="6" customWidth="1"/>
    <col min="496" max="744" width="9.125" style="6" customWidth="1"/>
    <col min="745" max="745" width="6.375" style="6" customWidth="1"/>
    <col min="746" max="746" width="34.25" style="6" customWidth="1"/>
    <col min="747" max="747" width="7.375" style="6" customWidth="1"/>
    <col min="748" max="748" width="6.375" style="6" customWidth="1"/>
    <col min="749" max="749" width="13.125" style="6" customWidth="1"/>
    <col min="750" max="750" width="15.375" style="6" customWidth="1"/>
    <col min="751" max="751" width="21.25" style="6" customWidth="1"/>
    <col min="752" max="1000" width="9.125" style="6" customWidth="1"/>
    <col min="1001" max="1001" width="6.375" style="6" customWidth="1"/>
    <col min="1002" max="1002" width="34.25" style="6" customWidth="1"/>
    <col min="1003" max="1003" width="7.375" style="6" customWidth="1"/>
    <col min="1004" max="1004" width="6.375" style="6" customWidth="1"/>
    <col min="1005" max="1005" width="13.125" style="6" customWidth="1"/>
    <col min="1006" max="1006" width="15.375" style="6" customWidth="1"/>
    <col min="1007" max="1007" width="21.25" style="6" customWidth="1"/>
    <col min="1008" max="1256" width="9.125" style="6" customWidth="1"/>
    <col min="1257" max="1257" width="6.375" style="6" customWidth="1"/>
    <col min="1258" max="1258" width="34.25" style="6" customWidth="1"/>
    <col min="1259" max="1259" width="7.375" style="6" customWidth="1"/>
    <col min="1260" max="1260" width="6.375" style="6" customWidth="1"/>
    <col min="1261" max="1261" width="13.125" style="6" customWidth="1"/>
    <col min="1262" max="1262" width="15.375" style="6" customWidth="1"/>
    <col min="1263" max="1263" width="21.25" style="6" customWidth="1"/>
    <col min="1264" max="1512" width="9.125" style="6" customWidth="1"/>
    <col min="1513" max="1513" width="6.375" style="6" customWidth="1"/>
    <col min="1514" max="1514" width="34.25" style="6" customWidth="1"/>
    <col min="1515" max="1515" width="7.375" style="6" customWidth="1"/>
    <col min="1516" max="1516" width="6.375" style="6" customWidth="1"/>
    <col min="1517" max="1517" width="13.125" style="6" customWidth="1"/>
    <col min="1518" max="1518" width="15.375" style="6" customWidth="1"/>
    <col min="1519" max="1519" width="21.25" style="6" customWidth="1"/>
    <col min="1520" max="1768" width="9.125" style="6" customWidth="1"/>
    <col min="1769" max="1769" width="6.375" style="6" customWidth="1"/>
    <col min="1770" max="1770" width="34.25" style="6" customWidth="1"/>
    <col min="1771" max="1771" width="7.375" style="6" customWidth="1"/>
    <col min="1772" max="1772" width="6.375" style="6" customWidth="1"/>
    <col min="1773" max="1773" width="13.125" style="6" customWidth="1"/>
    <col min="1774" max="1774" width="15.375" style="6" customWidth="1"/>
    <col min="1775" max="1775" width="21.25" style="6" customWidth="1"/>
    <col min="1776" max="2024" width="9.125" style="6" customWidth="1"/>
    <col min="2025" max="2025" width="6.375" style="6" customWidth="1"/>
    <col min="2026" max="2026" width="34.25" style="6" customWidth="1"/>
    <col min="2027" max="2027" width="7.375" style="6" customWidth="1"/>
    <col min="2028" max="2028" width="6.375" style="6" customWidth="1"/>
    <col min="2029" max="2029" width="13.125" style="6" customWidth="1"/>
    <col min="2030" max="2030" width="15.375" style="6" customWidth="1"/>
    <col min="2031" max="2031" width="21.25" style="6" customWidth="1"/>
    <col min="2032" max="2280" width="9.125" style="6" customWidth="1"/>
    <col min="2281" max="2281" width="6.375" style="6" customWidth="1"/>
    <col min="2282" max="2282" width="34.25" style="6" customWidth="1"/>
    <col min="2283" max="2283" width="7.375" style="6" customWidth="1"/>
    <col min="2284" max="2284" width="6.375" style="6" customWidth="1"/>
    <col min="2285" max="2285" width="13.125" style="6" customWidth="1"/>
    <col min="2286" max="2286" width="15.375" style="6" customWidth="1"/>
    <col min="2287" max="2287" width="21.25" style="6" customWidth="1"/>
    <col min="2288" max="2536" width="9.125" style="6" customWidth="1"/>
    <col min="2537" max="2537" width="6.375" style="6" customWidth="1"/>
    <col min="2538" max="2538" width="34.25" style="6" customWidth="1"/>
    <col min="2539" max="2539" width="7.375" style="6" customWidth="1"/>
    <col min="2540" max="2540" width="6.375" style="6" customWidth="1"/>
    <col min="2541" max="2541" width="13.125" style="6" customWidth="1"/>
    <col min="2542" max="2542" width="15.375" style="6" customWidth="1"/>
    <col min="2543" max="2543" width="21.25" style="6" customWidth="1"/>
    <col min="2544" max="2792" width="9.125" style="6" customWidth="1"/>
    <col min="2793" max="2793" width="6.375" style="6" customWidth="1"/>
    <col min="2794" max="2794" width="34.25" style="6" customWidth="1"/>
    <col min="2795" max="2795" width="7.375" style="6" customWidth="1"/>
    <col min="2796" max="2796" width="6.375" style="6" customWidth="1"/>
    <col min="2797" max="2797" width="13.125" style="6" customWidth="1"/>
    <col min="2798" max="2798" width="15.375" style="6" customWidth="1"/>
    <col min="2799" max="2799" width="21.25" style="6" customWidth="1"/>
    <col min="2800" max="3048" width="9.125" style="6" customWidth="1"/>
    <col min="3049" max="3049" width="6.375" style="6" customWidth="1"/>
    <col min="3050" max="3050" width="34.25" style="6" customWidth="1"/>
    <col min="3051" max="3051" width="7.375" style="6" customWidth="1"/>
    <col min="3052" max="3052" width="6.375" style="6" customWidth="1"/>
    <col min="3053" max="3053" width="13.125" style="6" customWidth="1"/>
    <col min="3054" max="3054" width="15.375" style="6" customWidth="1"/>
    <col min="3055" max="3055" width="21.25" style="6" customWidth="1"/>
    <col min="3056" max="3304" width="9.125" style="6" customWidth="1"/>
    <col min="3305" max="3305" width="6.375" style="6" customWidth="1"/>
    <col min="3306" max="3306" width="34.25" style="6" customWidth="1"/>
    <col min="3307" max="3307" width="7.375" style="6" customWidth="1"/>
    <col min="3308" max="3308" width="6.375" style="6" customWidth="1"/>
    <col min="3309" max="3309" width="13.125" style="6" customWidth="1"/>
    <col min="3310" max="3310" width="15.375" style="6" customWidth="1"/>
    <col min="3311" max="3311" width="21.25" style="6" customWidth="1"/>
    <col min="3312" max="3560" width="9.125" style="6" customWidth="1"/>
    <col min="3561" max="3561" width="6.375" style="6" customWidth="1"/>
    <col min="3562" max="3562" width="34.25" style="6" customWidth="1"/>
    <col min="3563" max="3563" width="7.375" style="6" customWidth="1"/>
    <col min="3564" max="3564" width="6.375" style="6" customWidth="1"/>
    <col min="3565" max="3565" width="13.125" style="6" customWidth="1"/>
    <col min="3566" max="3566" width="15.375" style="6" customWidth="1"/>
    <col min="3567" max="3567" width="21.25" style="6" customWidth="1"/>
    <col min="3568" max="3816" width="9.125" style="6" customWidth="1"/>
    <col min="3817" max="3817" width="6.375" style="6" customWidth="1"/>
    <col min="3818" max="3818" width="34.25" style="6" customWidth="1"/>
    <col min="3819" max="3819" width="7.375" style="6" customWidth="1"/>
    <col min="3820" max="3820" width="6.375" style="6" customWidth="1"/>
    <col min="3821" max="3821" width="13.125" style="6" customWidth="1"/>
    <col min="3822" max="3822" width="15.375" style="6" customWidth="1"/>
    <col min="3823" max="3823" width="21.25" style="6" customWidth="1"/>
    <col min="3824" max="4072" width="9.125" style="6" customWidth="1"/>
    <col min="4073" max="4073" width="6.375" style="6" customWidth="1"/>
    <col min="4074" max="4074" width="34.25" style="6" customWidth="1"/>
    <col min="4075" max="4075" width="7.375" style="6" customWidth="1"/>
    <col min="4076" max="4076" width="6.375" style="6" customWidth="1"/>
    <col min="4077" max="4077" width="13.125" style="6" customWidth="1"/>
    <col min="4078" max="4078" width="15.375" style="6" customWidth="1"/>
    <col min="4079" max="4079" width="21.25" style="6" customWidth="1"/>
    <col min="4080" max="4328" width="9.125" style="6" customWidth="1"/>
    <col min="4329" max="4329" width="6.375" style="6" customWidth="1"/>
    <col min="4330" max="4330" width="34.25" style="6" customWidth="1"/>
    <col min="4331" max="4331" width="7.375" style="6" customWidth="1"/>
    <col min="4332" max="4332" width="6.375" style="6" customWidth="1"/>
    <col min="4333" max="4333" width="13.125" style="6" customWidth="1"/>
    <col min="4334" max="4334" width="15.375" style="6" customWidth="1"/>
    <col min="4335" max="4335" width="21.25" style="6" customWidth="1"/>
    <col min="4336" max="4584" width="9.125" style="6" customWidth="1"/>
    <col min="4585" max="4585" width="6.375" style="6" customWidth="1"/>
    <col min="4586" max="4586" width="34.25" style="6" customWidth="1"/>
    <col min="4587" max="4587" width="7.375" style="6" customWidth="1"/>
    <col min="4588" max="4588" width="6.375" style="6" customWidth="1"/>
    <col min="4589" max="4589" width="13.125" style="6" customWidth="1"/>
    <col min="4590" max="4590" width="15.375" style="6" customWidth="1"/>
    <col min="4591" max="4591" width="21.25" style="6" customWidth="1"/>
    <col min="4592" max="4840" width="9.125" style="6" customWidth="1"/>
    <col min="4841" max="4841" width="6.375" style="6" customWidth="1"/>
    <col min="4842" max="4842" width="34.25" style="6" customWidth="1"/>
    <col min="4843" max="4843" width="7.375" style="6" customWidth="1"/>
    <col min="4844" max="4844" width="6.375" style="6" customWidth="1"/>
    <col min="4845" max="4845" width="13.125" style="6" customWidth="1"/>
    <col min="4846" max="4846" width="15.375" style="6" customWidth="1"/>
    <col min="4847" max="4847" width="21.25" style="6" customWidth="1"/>
    <col min="4848" max="5096" width="9.125" style="6" customWidth="1"/>
    <col min="5097" max="5097" width="6.375" style="6" customWidth="1"/>
    <col min="5098" max="5098" width="34.25" style="6" customWidth="1"/>
    <col min="5099" max="5099" width="7.375" style="6" customWidth="1"/>
    <col min="5100" max="5100" width="6.375" style="6" customWidth="1"/>
    <col min="5101" max="5101" width="13.125" style="6" customWidth="1"/>
    <col min="5102" max="5102" width="15.375" style="6" customWidth="1"/>
    <col min="5103" max="5103" width="21.25" style="6" customWidth="1"/>
    <col min="5104" max="5352" width="9.125" style="6" customWidth="1"/>
    <col min="5353" max="5353" width="6.375" style="6" customWidth="1"/>
    <col min="5354" max="5354" width="34.25" style="6" customWidth="1"/>
    <col min="5355" max="5355" width="7.375" style="6" customWidth="1"/>
    <col min="5356" max="5356" width="6.375" style="6" customWidth="1"/>
    <col min="5357" max="5357" width="13.125" style="6" customWidth="1"/>
    <col min="5358" max="5358" width="15.375" style="6" customWidth="1"/>
    <col min="5359" max="5359" width="21.25" style="6" customWidth="1"/>
    <col min="5360" max="5608" width="9.125" style="6" customWidth="1"/>
    <col min="5609" max="5609" width="6.375" style="6" customWidth="1"/>
    <col min="5610" max="5610" width="34.25" style="6" customWidth="1"/>
    <col min="5611" max="5611" width="7.375" style="6" customWidth="1"/>
    <col min="5612" max="5612" width="6.375" style="6" customWidth="1"/>
    <col min="5613" max="5613" width="13.125" style="6" customWidth="1"/>
    <col min="5614" max="5614" width="15.375" style="6" customWidth="1"/>
    <col min="5615" max="5615" width="21.25" style="6" customWidth="1"/>
    <col min="5616" max="5864" width="9.125" style="6" customWidth="1"/>
    <col min="5865" max="5865" width="6.375" style="6" customWidth="1"/>
    <col min="5866" max="5866" width="34.25" style="6" customWidth="1"/>
    <col min="5867" max="5867" width="7.375" style="6" customWidth="1"/>
    <col min="5868" max="5868" width="6.375" style="6" customWidth="1"/>
    <col min="5869" max="5869" width="13.125" style="6" customWidth="1"/>
    <col min="5870" max="5870" width="15.375" style="6" customWidth="1"/>
    <col min="5871" max="5871" width="21.25" style="6" customWidth="1"/>
    <col min="5872" max="6120" width="9.125" style="6" customWidth="1"/>
    <col min="6121" max="6121" width="6.375" style="6" customWidth="1"/>
    <col min="6122" max="6122" width="34.25" style="6" customWidth="1"/>
    <col min="6123" max="6123" width="7.375" style="6" customWidth="1"/>
    <col min="6124" max="6124" width="6.375" style="6" customWidth="1"/>
    <col min="6125" max="6125" width="13.125" style="6" customWidth="1"/>
    <col min="6126" max="6126" width="15.375" style="6" customWidth="1"/>
    <col min="6127" max="6127" width="21.25" style="6" customWidth="1"/>
    <col min="6128" max="6376" width="9.125" style="6" customWidth="1"/>
    <col min="6377" max="6377" width="6.375" style="6" customWidth="1"/>
    <col min="6378" max="6378" width="34.25" style="6" customWidth="1"/>
    <col min="6379" max="6379" width="7.375" style="6" customWidth="1"/>
    <col min="6380" max="6380" width="6.375" style="6" customWidth="1"/>
    <col min="6381" max="6381" width="13.125" style="6" customWidth="1"/>
    <col min="6382" max="6382" width="15.375" style="6" customWidth="1"/>
    <col min="6383" max="6383" width="21.25" style="6" customWidth="1"/>
    <col min="6384" max="6632" width="9.125" style="6" customWidth="1"/>
    <col min="6633" max="6633" width="6.375" style="6" customWidth="1"/>
    <col min="6634" max="6634" width="34.25" style="6" customWidth="1"/>
    <col min="6635" max="6635" width="7.375" style="6" customWidth="1"/>
    <col min="6636" max="6636" width="6.375" style="6" customWidth="1"/>
    <col min="6637" max="6637" width="13.125" style="6" customWidth="1"/>
    <col min="6638" max="6638" width="15.375" style="6" customWidth="1"/>
    <col min="6639" max="6639" width="21.25" style="6" customWidth="1"/>
    <col min="6640" max="6888" width="9.125" style="6" customWidth="1"/>
    <col min="6889" max="6889" width="6.375" style="6" customWidth="1"/>
    <col min="6890" max="6890" width="34.25" style="6" customWidth="1"/>
    <col min="6891" max="6891" width="7.375" style="6" customWidth="1"/>
    <col min="6892" max="6892" width="6.375" style="6" customWidth="1"/>
    <col min="6893" max="6893" width="13.125" style="6" customWidth="1"/>
    <col min="6894" max="6894" width="15.375" style="6" customWidth="1"/>
    <col min="6895" max="6895" width="21.25" style="6" customWidth="1"/>
    <col min="6896" max="7144" width="9.125" style="6" customWidth="1"/>
    <col min="7145" max="7145" width="6.375" style="6" customWidth="1"/>
    <col min="7146" max="7146" width="34.25" style="6" customWidth="1"/>
    <col min="7147" max="7147" width="7.375" style="6" customWidth="1"/>
    <col min="7148" max="7148" width="6.375" style="6" customWidth="1"/>
    <col min="7149" max="7149" width="13.125" style="6" customWidth="1"/>
    <col min="7150" max="7150" width="15.375" style="6" customWidth="1"/>
    <col min="7151" max="7151" width="21.25" style="6" customWidth="1"/>
    <col min="7152" max="7400" width="9.125" style="6" customWidth="1"/>
    <col min="7401" max="7401" width="6.375" style="6" customWidth="1"/>
    <col min="7402" max="7402" width="34.25" style="6" customWidth="1"/>
    <col min="7403" max="7403" width="7.375" style="6" customWidth="1"/>
    <col min="7404" max="7404" width="6.375" style="6" customWidth="1"/>
    <col min="7405" max="7405" width="13.125" style="6" customWidth="1"/>
    <col min="7406" max="7406" width="15.375" style="6" customWidth="1"/>
    <col min="7407" max="7407" width="21.25" style="6" customWidth="1"/>
    <col min="7408" max="7656" width="9.125" style="6" customWidth="1"/>
    <col min="7657" max="7657" width="6.375" style="6" customWidth="1"/>
    <col min="7658" max="7658" width="34.25" style="6" customWidth="1"/>
    <col min="7659" max="7659" width="7.375" style="6" customWidth="1"/>
    <col min="7660" max="7660" width="6.375" style="6" customWidth="1"/>
    <col min="7661" max="7661" width="13.125" style="6" customWidth="1"/>
    <col min="7662" max="7662" width="15.375" style="6" customWidth="1"/>
    <col min="7663" max="7663" width="21.25" style="6" customWidth="1"/>
    <col min="7664" max="7912" width="9.125" style="6" customWidth="1"/>
    <col min="7913" max="7913" width="6.375" style="6" customWidth="1"/>
    <col min="7914" max="7914" width="34.25" style="6" customWidth="1"/>
    <col min="7915" max="7915" width="7.375" style="6" customWidth="1"/>
    <col min="7916" max="7916" width="6.375" style="6" customWidth="1"/>
    <col min="7917" max="7917" width="13.125" style="6" customWidth="1"/>
    <col min="7918" max="7918" width="15.375" style="6" customWidth="1"/>
    <col min="7919" max="7919" width="21.25" style="6" customWidth="1"/>
    <col min="7920" max="8168" width="9.125" style="6" customWidth="1"/>
    <col min="8169" max="8169" width="6.375" style="6" customWidth="1"/>
    <col min="8170" max="8170" width="34.25" style="6" customWidth="1"/>
    <col min="8171" max="8171" width="7.375" style="6" customWidth="1"/>
    <col min="8172" max="8172" width="6.375" style="6" customWidth="1"/>
    <col min="8173" max="8173" width="13.125" style="6" customWidth="1"/>
    <col min="8174" max="8174" width="15.375" style="6" customWidth="1"/>
    <col min="8175" max="8175" width="21.25" style="6" customWidth="1"/>
    <col min="8176" max="8424" width="9.125" style="6" customWidth="1"/>
    <col min="8425" max="8425" width="6.375" style="6" customWidth="1"/>
    <col min="8426" max="8426" width="34.25" style="6" customWidth="1"/>
    <col min="8427" max="8427" width="7.375" style="6" customWidth="1"/>
    <col min="8428" max="8428" width="6.375" style="6" customWidth="1"/>
    <col min="8429" max="8429" width="13.125" style="6" customWidth="1"/>
    <col min="8430" max="8430" width="15.375" style="6" customWidth="1"/>
    <col min="8431" max="8431" width="21.25" style="6" customWidth="1"/>
    <col min="8432" max="8680" width="9.125" style="6" customWidth="1"/>
    <col min="8681" max="8681" width="6.375" style="6" customWidth="1"/>
    <col min="8682" max="8682" width="34.25" style="6" customWidth="1"/>
    <col min="8683" max="8683" width="7.375" style="6" customWidth="1"/>
    <col min="8684" max="8684" width="6.375" style="6" customWidth="1"/>
    <col min="8685" max="8685" width="13.125" style="6" customWidth="1"/>
    <col min="8686" max="8686" width="15.375" style="6" customWidth="1"/>
    <col min="8687" max="8687" width="21.25" style="6" customWidth="1"/>
    <col min="8688" max="8936" width="9.125" style="6" customWidth="1"/>
    <col min="8937" max="8937" width="6.375" style="6" customWidth="1"/>
    <col min="8938" max="8938" width="34.25" style="6" customWidth="1"/>
    <col min="8939" max="8939" width="7.375" style="6" customWidth="1"/>
    <col min="8940" max="8940" width="6.375" style="6" customWidth="1"/>
    <col min="8941" max="8941" width="13.125" style="6" customWidth="1"/>
    <col min="8942" max="8942" width="15.375" style="6" customWidth="1"/>
    <col min="8943" max="8943" width="21.25" style="6" customWidth="1"/>
    <col min="8944" max="9192" width="9.125" style="6" customWidth="1"/>
    <col min="9193" max="9193" width="6.375" style="6" customWidth="1"/>
    <col min="9194" max="9194" width="34.25" style="6" customWidth="1"/>
    <col min="9195" max="9195" width="7.375" style="6" customWidth="1"/>
    <col min="9196" max="9196" width="6.375" style="6" customWidth="1"/>
    <col min="9197" max="9197" width="13.125" style="6" customWidth="1"/>
    <col min="9198" max="9198" width="15.375" style="6" customWidth="1"/>
    <col min="9199" max="9199" width="21.25" style="6" customWidth="1"/>
    <col min="9200" max="9448" width="9.125" style="6" customWidth="1"/>
    <col min="9449" max="9449" width="6.375" style="6" customWidth="1"/>
    <col min="9450" max="9450" width="34.25" style="6" customWidth="1"/>
    <col min="9451" max="9451" width="7.375" style="6" customWidth="1"/>
    <col min="9452" max="9452" width="6.375" style="6" customWidth="1"/>
    <col min="9453" max="9453" width="13.125" style="6" customWidth="1"/>
    <col min="9454" max="9454" width="15.375" style="6" customWidth="1"/>
    <col min="9455" max="9455" width="21.25" style="6" customWidth="1"/>
    <col min="9456" max="9704" width="9.125" style="6" customWidth="1"/>
    <col min="9705" max="9705" width="6.375" style="6" customWidth="1"/>
    <col min="9706" max="9706" width="34.25" style="6" customWidth="1"/>
    <col min="9707" max="9707" width="7.375" style="6" customWidth="1"/>
    <col min="9708" max="9708" width="6.375" style="6" customWidth="1"/>
    <col min="9709" max="9709" width="13.125" style="6" customWidth="1"/>
    <col min="9710" max="9710" width="15.375" style="6" customWidth="1"/>
    <col min="9711" max="9711" width="21.25" style="6" customWidth="1"/>
    <col min="9712" max="9960" width="9.125" style="6" customWidth="1"/>
    <col min="9961" max="9961" width="6.375" style="6" customWidth="1"/>
    <col min="9962" max="9962" width="34.25" style="6" customWidth="1"/>
    <col min="9963" max="9963" width="7.375" style="6" customWidth="1"/>
    <col min="9964" max="9964" width="6.375" style="6" customWidth="1"/>
    <col min="9965" max="9965" width="13.125" style="6" customWidth="1"/>
    <col min="9966" max="9966" width="15.375" style="6" customWidth="1"/>
    <col min="9967" max="9967" width="21.25" style="6" customWidth="1"/>
    <col min="9968" max="10216" width="9.125" style="6" customWidth="1"/>
    <col min="10217" max="10217" width="6.375" style="6" customWidth="1"/>
    <col min="10218" max="10218" width="34.25" style="6" customWidth="1"/>
    <col min="10219" max="10219" width="7.375" style="6" customWidth="1"/>
    <col min="10220" max="10220" width="6.375" style="6" customWidth="1"/>
    <col min="10221" max="10221" width="13.125" style="6" customWidth="1"/>
    <col min="10222" max="10222" width="15.375" style="6" customWidth="1"/>
    <col min="10223" max="10223" width="21.25" style="6" customWidth="1"/>
    <col min="10224" max="10472" width="9.125" style="6" customWidth="1"/>
    <col min="10473" max="10473" width="6.375" style="6" customWidth="1"/>
    <col min="10474" max="10474" width="34.25" style="6" customWidth="1"/>
    <col min="10475" max="10475" width="7.375" style="6" customWidth="1"/>
    <col min="10476" max="10476" width="6.375" style="6" customWidth="1"/>
    <col min="10477" max="10477" width="13.125" style="6" customWidth="1"/>
    <col min="10478" max="10478" width="15.375" style="6" customWidth="1"/>
    <col min="10479" max="10479" width="21.25" style="6" customWidth="1"/>
    <col min="10480" max="10728" width="9.125" style="6" customWidth="1"/>
    <col min="10729" max="10729" width="6.375" style="6" customWidth="1"/>
    <col min="10730" max="10730" width="34.25" style="6" customWidth="1"/>
    <col min="10731" max="10731" width="7.375" style="6" customWidth="1"/>
    <col min="10732" max="10732" width="6.375" style="6" customWidth="1"/>
    <col min="10733" max="10733" width="13.125" style="6" customWidth="1"/>
    <col min="10734" max="10734" width="15.375" style="6" customWidth="1"/>
    <col min="10735" max="10735" width="21.25" style="6" customWidth="1"/>
    <col min="10736" max="10984" width="9.125" style="6" customWidth="1"/>
    <col min="10985" max="10985" width="6.375" style="6" customWidth="1"/>
    <col min="10986" max="10986" width="34.25" style="6" customWidth="1"/>
    <col min="10987" max="10987" width="7.375" style="6" customWidth="1"/>
    <col min="10988" max="10988" width="6.375" style="6" customWidth="1"/>
    <col min="10989" max="10989" width="13.125" style="6" customWidth="1"/>
    <col min="10990" max="10990" width="15.375" style="6" customWidth="1"/>
    <col min="10991" max="10991" width="21.25" style="6" customWidth="1"/>
    <col min="10992" max="11240" width="9.125" style="6" customWidth="1"/>
    <col min="11241" max="11241" width="6.375" style="6" customWidth="1"/>
    <col min="11242" max="11242" width="34.25" style="6" customWidth="1"/>
    <col min="11243" max="11243" width="7.375" style="6" customWidth="1"/>
    <col min="11244" max="11244" width="6.375" style="6" customWidth="1"/>
    <col min="11245" max="11245" width="13.125" style="6" customWidth="1"/>
    <col min="11246" max="11246" width="15.375" style="6" customWidth="1"/>
    <col min="11247" max="11247" width="21.25" style="6" customWidth="1"/>
    <col min="11248" max="11496" width="9.125" style="6" customWidth="1"/>
    <col min="11497" max="11497" width="6.375" style="6" customWidth="1"/>
    <col min="11498" max="11498" width="34.25" style="6" customWidth="1"/>
    <col min="11499" max="11499" width="7.375" style="6" customWidth="1"/>
    <col min="11500" max="11500" width="6.375" style="6" customWidth="1"/>
    <col min="11501" max="11501" width="13.125" style="6" customWidth="1"/>
    <col min="11502" max="11502" width="15.375" style="6" customWidth="1"/>
    <col min="11503" max="11503" width="21.25" style="6" customWidth="1"/>
    <col min="11504" max="11752" width="9.125" style="6" customWidth="1"/>
    <col min="11753" max="11753" width="6.375" style="6" customWidth="1"/>
    <col min="11754" max="11754" width="34.25" style="6" customWidth="1"/>
    <col min="11755" max="11755" width="7.375" style="6" customWidth="1"/>
    <col min="11756" max="11756" width="6.375" style="6" customWidth="1"/>
    <col min="11757" max="11757" width="13.125" style="6" customWidth="1"/>
    <col min="11758" max="11758" width="15.375" style="6" customWidth="1"/>
    <col min="11759" max="11759" width="21.25" style="6" customWidth="1"/>
    <col min="11760" max="12008" width="9.125" style="6" customWidth="1"/>
    <col min="12009" max="12009" width="6.375" style="6" customWidth="1"/>
    <col min="12010" max="12010" width="34.25" style="6" customWidth="1"/>
    <col min="12011" max="12011" width="7.375" style="6" customWidth="1"/>
    <col min="12012" max="12012" width="6.375" style="6" customWidth="1"/>
    <col min="12013" max="12013" width="13.125" style="6" customWidth="1"/>
    <col min="12014" max="12014" width="15.375" style="6" customWidth="1"/>
    <col min="12015" max="12015" width="21.25" style="6" customWidth="1"/>
    <col min="12016" max="12264" width="9.125" style="6" customWidth="1"/>
    <col min="12265" max="12265" width="6.375" style="6" customWidth="1"/>
    <col min="12266" max="12266" width="34.25" style="6" customWidth="1"/>
    <col min="12267" max="12267" width="7.375" style="6" customWidth="1"/>
    <col min="12268" max="12268" width="6.375" style="6" customWidth="1"/>
    <col min="12269" max="12269" width="13.125" style="6" customWidth="1"/>
    <col min="12270" max="12270" width="15.375" style="6" customWidth="1"/>
    <col min="12271" max="12271" width="21.25" style="6" customWidth="1"/>
    <col min="12272" max="12520" width="9.125" style="6" customWidth="1"/>
    <col min="12521" max="12521" width="6.375" style="6" customWidth="1"/>
    <col min="12522" max="12522" width="34.25" style="6" customWidth="1"/>
    <col min="12523" max="12523" width="7.375" style="6" customWidth="1"/>
    <col min="12524" max="12524" width="6.375" style="6" customWidth="1"/>
    <col min="12525" max="12525" width="13.125" style="6" customWidth="1"/>
    <col min="12526" max="12526" width="15.375" style="6" customWidth="1"/>
    <col min="12527" max="12527" width="21.25" style="6" customWidth="1"/>
    <col min="12528" max="12776" width="9.125" style="6" customWidth="1"/>
    <col min="12777" max="12777" width="6.375" style="6" customWidth="1"/>
    <col min="12778" max="12778" width="34.25" style="6" customWidth="1"/>
    <col min="12779" max="12779" width="7.375" style="6" customWidth="1"/>
    <col min="12780" max="12780" width="6.375" style="6" customWidth="1"/>
    <col min="12781" max="12781" width="13.125" style="6" customWidth="1"/>
    <col min="12782" max="12782" width="15.375" style="6" customWidth="1"/>
    <col min="12783" max="12783" width="21.25" style="6" customWidth="1"/>
    <col min="12784" max="13032" width="9.125" style="6" customWidth="1"/>
    <col min="13033" max="13033" width="6.375" style="6" customWidth="1"/>
    <col min="13034" max="13034" width="34.25" style="6" customWidth="1"/>
    <col min="13035" max="13035" width="7.375" style="6" customWidth="1"/>
    <col min="13036" max="13036" width="6.375" style="6" customWidth="1"/>
    <col min="13037" max="13037" width="13.125" style="6" customWidth="1"/>
    <col min="13038" max="13038" width="15.375" style="6" customWidth="1"/>
    <col min="13039" max="13039" width="21.25" style="6" customWidth="1"/>
    <col min="13040" max="13288" width="9.125" style="6" customWidth="1"/>
    <col min="13289" max="13289" width="6.375" style="6" customWidth="1"/>
    <col min="13290" max="13290" width="34.25" style="6" customWidth="1"/>
    <col min="13291" max="13291" width="7.375" style="6" customWidth="1"/>
    <col min="13292" max="13292" width="6.375" style="6" customWidth="1"/>
    <col min="13293" max="13293" width="13.125" style="6" customWidth="1"/>
    <col min="13294" max="13294" width="15.375" style="6" customWidth="1"/>
    <col min="13295" max="13295" width="21.25" style="6" customWidth="1"/>
    <col min="13296" max="13544" width="9.125" style="6" customWidth="1"/>
    <col min="13545" max="13545" width="6.375" style="6" customWidth="1"/>
    <col min="13546" max="13546" width="34.25" style="6" customWidth="1"/>
    <col min="13547" max="13547" width="7.375" style="6" customWidth="1"/>
    <col min="13548" max="13548" width="6.375" style="6" customWidth="1"/>
    <col min="13549" max="13549" width="13.125" style="6" customWidth="1"/>
    <col min="13550" max="13550" width="15.375" style="6" customWidth="1"/>
    <col min="13551" max="13551" width="21.25" style="6" customWidth="1"/>
    <col min="13552" max="13800" width="9.125" style="6" customWidth="1"/>
    <col min="13801" max="13801" width="6.375" style="6" customWidth="1"/>
    <col min="13802" max="13802" width="34.25" style="6" customWidth="1"/>
    <col min="13803" max="13803" width="7.375" style="6" customWidth="1"/>
    <col min="13804" max="13804" width="6.375" style="6" customWidth="1"/>
    <col min="13805" max="13805" width="13.125" style="6" customWidth="1"/>
    <col min="13806" max="13806" width="15.375" style="6" customWidth="1"/>
    <col min="13807" max="13807" width="21.25" style="6" customWidth="1"/>
    <col min="13808" max="14056" width="9.125" style="6" customWidth="1"/>
    <col min="14057" max="14057" width="6.375" style="6" customWidth="1"/>
    <col min="14058" max="14058" width="34.25" style="6" customWidth="1"/>
    <col min="14059" max="14059" width="7.375" style="6" customWidth="1"/>
    <col min="14060" max="14060" width="6.375" style="6" customWidth="1"/>
    <col min="14061" max="14061" width="13.125" style="6" customWidth="1"/>
    <col min="14062" max="14062" width="15.375" style="6" customWidth="1"/>
    <col min="14063" max="14063" width="21.25" style="6" customWidth="1"/>
    <col min="14064" max="14312" width="9.125" style="6" customWidth="1"/>
    <col min="14313" max="14313" width="6.375" style="6" customWidth="1"/>
    <col min="14314" max="14314" width="34.25" style="6" customWidth="1"/>
    <col min="14315" max="14315" width="7.375" style="6" customWidth="1"/>
    <col min="14316" max="14316" width="6.375" style="6" customWidth="1"/>
    <col min="14317" max="14317" width="13.125" style="6" customWidth="1"/>
    <col min="14318" max="14318" width="15.375" style="6" customWidth="1"/>
    <col min="14319" max="14319" width="21.25" style="6" customWidth="1"/>
    <col min="14320" max="14568" width="9.125" style="6" customWidth="1"/>
    <col min="14569" max="14569" width="6.375" style="6" customWidth="1"/>
    <col min="14570" max="14570" width="34.25" style="6" customWidth="1"/>
    <col min="14571" max="14571" width="7.375" style="6" customWidth="1"/>
    <col min="14572" max="14572" width="6.375" style="6" customWidth="1"/>
    <col min="14573" max="14573" width="13.125" style="6" customWidth="1"/>
    <col min="14574" max="14574" width="15.375" style="6" customWidth="1"/>
    <col min="14575" max="14575" width="21.25" style="6" customWidth="1"/>
    <col min="14576" max="14824" width="9.125" style="6" customWidth="1"/>
    <col min="14825" max="14825" width="6.375" style="6" customWidth="1"/>
    <col min="14826" max="14826" width="34.25" style="6" customWidth="1"/>
    <col min="14827" max="14827" width="7.375" style="6" customWidth="1"/>
    <col min="14828" max="14828" width="6.375" style="6" customWidth="1"/>
    <col min="14829" max="14829" width="13.125" style="6" customWidth="1"/>
    <col min="14830" max="14830" width="15.375" style="6" customWidth="1"/>
    <col min="14831" max="14831" width="21.25" style="6" customWidth="1"/>
    <col min="14832" max="15080" width="9.125" style="6" customWidth="1"/>
    <col min="15081" max="15081" width="6.375" style="6" customWidth="1"/>
    <col min="15082" max="15082" width="34.25" style="6" customWidth="1"/>
    <col min="15083" max="15083" width="7.375" style="6" customWidth="1"/>
    <col min="15084" max="15084" width="6.375" style="6" customWidth="1"/>
    <col min="15085" max="15085" width="13.125" style="6" customWidth="1"/>
    <col min="15086" max="15086" width="15.375" style="6" customWidth="1"/>
    <col min="15087" max="15087" width="21.25" style="6" customWidth="1"/>
    <col min="15088" max="15336" width="9.125" style="6" customWidth="1"/>
    <col min="15337" max="15337" width="6.375" style="6" customWidth="1"/>
    <col min="15338" max="15338" width="34.25" style="6" customWidth="1"/>
    <col min="15339" max="15339" width="7.375" style="6" customWidth="1"/>
    <col min="15340" max="15340" width="6.375" style="6" customWidth="1"/>
    <col min="15341" max="15341" width="13.125" style="6" customWidth="1"/>
    <col min="15342" max="15342" width="15.375" style="6" customWidth="1"/>
    <col min="15343" max="15343" width="21.25" style="6" customWidth="1"/>
    <col min="15344" max="15592" width="9.125" style="6" customWidth="1"/>
    <col min="15593" max="15593" width="6.375" style="6" customWidth="1"/>
    <col min="15594" max="15594" width="34.25" style="6" customWidth="1"/>
    <col min="15595" max="15595" width="7.375" style="6" customWidth="1"/>
    <col min="15596" max="15596" width="6.375" style="6" customWidth="1"/>
    <col min="15597" max="15597" width="13.125" style="6" customWidth="1"/>
    <col min="15598" max="15598" width="15.375" style="6" customWidth="1"/>
    <col min="15599" max="15599" width="21.25" style="6" customWidth="1"/>
    <col min="15600" max="15848" width="9.125" style="6" customWidth="1"/>
    <col min="15849" max="15849" width="6.375" style="6" customWidth="1"/>
    <col min="15850" max="15850" width="34.25" style="6" customWidth="1"/>
    <col min="15851" max="15851" width="7.375" style="6" customWidth="1"/>
    <col min="15852" max="15852" width="6.375" style="6" customWidth="1"/>
    <col min="15853" max="15853" width="13.125" style="6" customWidth="1"/>
    <col min="15854" max="15854" width="15.375" style="6" customWidth="1"/>
    <col min="15855" max="15855" width="21.25" style="6" customWidth="1"/>
    <col min="15856" max="16104" width="9.125" style="6" customWidth="1"/>
    <col min="16105" max="16105" width="6.375" style="6" customWidth="1"/>
    <col min="16106" max="16106" width="34.25" style="6" customWidth="1"/>
    <col min="16107" max="16107" width="7.375" style="6" customWidth="1"/>
    <col min="16108" max="16108" width="6.375" style="6" customWidth="1"/>
    <col min="16109" max="16109" width="13.125" style="6" customWidth="1"/>
    <col min="16110" max="16110" width="15.375" style="6" customWidth="1"/>
    <col min="16111" max="16111" width="21.25" style="6" customWidth="1"/>
    <col min="16112" max="16384" width="9.125" style="6" customWidth="1"/>
  </cols>
  <sheetData>
    <row r="1" spans="1:10" ht="48" customHeight="1"/>
    <row r="2" spans="1:10" s="1" customFormat="1" ht="51" customHeight="1">
      <c r="A2" s="10" t="s">
        <v>507</v>
      </c>
      <c r="B2" s="11"/>
      <c r="C2" s="12"/>
      <c r="D2" s="11"/>
      <c r="E2" s="14"/>
      <c r="F2" s="14"/>
      <c r="G2" s="14"/>
      <c r="H2" s="15"/>
      <c r="I2" s="15"/>
      <c r="J2" s="15"/>
    </row>
    <row r="3" spans="1:10" ht="26.25" customHeight="1">
      <c r="A3" s="16"/>
      <c r="B3" s="17" t="s">
        <v>440</v>
      </c>
      <c r="C3" s="213"/>
      <c r="D3" s="217"/>
      <c r="E3" s="214"/>
      <c r="F3" s="214"/>
      <c r="G3" s="214"/>
      <c r="H3" s="220"/>
      <c r="I3" s="220"/>
      <c r="J3" s="220"/>
    </row>
    <row r="4" spans="1:10" ht="26.25" customHeight="1">
      <c r="A4" s="18"/>
      <c r="B4" s="5" t="s">
        <v>441</v>
      </c>
      <c r="C4" s="222"/>
      <c r="D4" s="217"/>
      <c r="E4" s="214"/>
      <c r="F4" s="214"/>
      <c r="G4" s="214"/>
      <c r="H4" s="220"/>
      <c r="I4" s="220"/>
      <c r="J4" s="220"/>
    </row>
    <row r="5" spans="1:10" ht="26.25" customHeight="1">
      <c r="A5" s="18"/>
      <c r="B5" s="5" t="s">
        <v>442</v>
      </c>
      <c r="C5" s="216"/>
      <c r="D5" s="217"/>
      <c r="E5" s="214"/>
      <c r="F5" s="214"/>
      <c r="G5" s="214"/>
      <c r="H5" s="220"/>
      <c r="I5" s="220"/>
      <c r="J5" s="220"/>
    </row>
    <row r="6" spans="1:10" ht="26.25" customHeight="1">
      <c r="A6" s="18"/>
      <c r="B6" s="5" t="s">
        <v>443</v>
      </c>
      <c r="C6" s="213" t="str">
        <f>INDEX(總表!$B$9:$B$47,MATCH('1B'!A9,總表!$A$9:$A$48,0))</f>
        <v>San lấp mặt bằng
場地土方回填</v>
      </c>
      <c r="D6" s="217"/>
      <c r="E6" s="214"/>
      <c r="F6" s="214"/>
      <c r="G6" s="214"/>
      <c r="H6" s="220"/>
      <c r="I6" s="220"/>
      <c r="J6" s="220"/>
    </row>
    <row r="7" spans="1:10" ht="26.25" customHeight="1">
      <c r="A7" s="18"/>
      <c r="B7" s="5" t="s">
        <v>444</v>
      </c>
      <c r="C7" s="223" t="s">
        <v>445</v>
      </c>
      <c r="D7" s="224"/>
      <c r="E7" s="224"/>
      <c r="F7" s="224"/>
      <c r="G7" s="224"/>
      <c r="H7" s="224"/>
      <c r="I7" s="224"/>
      <c r="J7" s="224"/>
    </row>
    <row r="8" spans="1:10" s="2" customFormat="1" ht="41.25" customHeight="1">
      <c r="A8" s="19" t="s">
        <v>446</v>
      </c>
      <c r="B8" s="19" t="s">
        <v>508</v>
      </c>
      <c r="C8" s="19" t="s">
        <v>509</v>
      </c>
      <c r="D8" s="19" t="s">
        <v>448</v>
      </c>
      <c r="E8" s="19" t="s">
        <v>449</v>
      </c>
      <c r="F8" s="19" t="s">
        <v>511</v>
      </c>
      <c r="G8" s="19" t="s">
        <v>512</v>
      </c>
      <c r="H8" s="21" t="s">
        <v>450</v>
      </c>
      <c r="I8" s="21" t="s">
        <v>452</v>
      </c>
      <c r="J8" s="21" t="s">
        <v>514</v>
      </c>
    </row>
    <row r="9" spans="1:10" s="3" customFormat="1" ht="25.5" customHeight="1">
      <c r="A9" s="22" t="s">
        <v>487</v>
      </c>
      <c r="B9" s="23" t="str">
        <f>C6</f>
        <v>San lấp mặt bằng
場地土方回填</v>
      </c>
      <c r="C9" s="23" t="s">
        <v>515</v>
      </c>
      <c r="D9" s="22"/>
      <c r="E9" s="25"/>
      <c r="F9" s="25">
        <f>_xlfn.XLOOKUP(B9, Rate_Master!$A:$A, Rate_Master!$C:$C, "")</f>
        <v>0</v>
      </c>
      <c r="G9" s="25">
        <f>_xlfn.XLOOKUP(B9, Rate_Master!$A:$A, Rate_Master!$D:$D, "")</f>
        <v>0</v>
      </c>
      <c r="H9" s="26"/>
      <c r="I9" s="26">
        <f>SUBTOTAL(9,I10:I12)</f>
        <v>4562641176</v>
      </c>
      <c r="J9" s="26"/>
    </row>
    <row r="10" spans="1:10" s="4" customFormat="1" ht="25.5" customHeight="1" outlineLevel="1">
      <c r="A10" s="27" t="str">
        <f>$A$9&amp;"."&amp;ROW()-ROW($A$9)</f>
        <v>1B.1</v>
      </c>
      <c r="B10" s="28" t="s">
        <v>307</v>
      </c>
      <c r="C10" s="28" t="s">
        <v>515</v>
      </c>
      <c r="D10" s="29" t="s">
        <v>520</v>
      </c>
      <c r="E10" s="31">
        <v>213933</v>
      </c>
      <c r="F10" s="31">
        <f>_xlfn.XLOOKUP(B10, Rate_Master!$A:$A, Rate_Master!$C:$C, "")</f>
        <v>0</v>
      </c>
      <c r="G10" s="31">
        <f>_xlfn.XLOOKUP(B10, Rate_Master!$A:$A, Rate_Master!$D:$D, "")</f>
        <v>0</v>
      </c>
      <c r="H10" s="32">
        <v>5500</v>
      </c>
      <c r="I10" s="32">
        <f>H10*E10</f>
        <v>1176631500</v>
      </c>
      <c r="J10" s="32"/>
    </row>
    <row r="11" spans="1:10" s="4" customFormat="1" ht="25.5" customHeight="1" outlineLevel="1">
      <c r="A11" s="27" t="str">
        <f>$A$9&amp;"."&amp;ROW()-ROW($A$9)</f>
        <v>1B.2</v>
      </c>
      <c r="B11" s="28" t="s">
        <v>308</v>
      </c>
      <c r="C11" s="28" t="s">
        <v>584</v>
      </c>
      <c r="D11" s="29" t="s">
        <v>519</v>
      </c>
      <c r="E11" s="31">
        <v>52577.79</v>
      </c>
      <c r="F11" s="31">
        <f>_xlfn.XLOOKUP(B11, Rate_Master!$A:$A, Rate_Master!$C:$C, "")</f>
        <v>0</v>
      </c>
      <c r="G11" s="31">
        <f>_xlfn.XLOOKUP(B11, Rate_Master!$A:$A, Rate_Master!$D:$D, "")</f>
        <v>0</v>
      </c>
      <c r="H11" s="66">
        <v>32199.999999999996</v>
      </c>
      <c r="I11" s="32">
        <f>H11*E11</f>
        <v>1693004837.9999998</v>
      </c>
      <c r="J11" s="32"/>
    </row>
    <row r="12" spans="1:10" s="4" customFormat="1" ht="51" customHeight="1" outlineLevel="1">
      <c r="A12" s="27" t="str">
        <f>$A$9&amp;"."&amp;ROW()-ROW($A$9)</f>
        <v>1B.3</v>
      </c>
      <c r="B12" s="28" t="s">
        <v>309</v>
      </c>
      <c r="C12" s="28" t="s">
        <v>585</v>
      </c>
      <c r="D12" s="29" t="s">
        <v>519</v>
      </c>
      <c r="E12" s="31">
        <v>52577.79</v>
      </c>
      <c r="F12" s="31">
        <f>_xlfn.XLOOKUP(B12, Rate_Master!$A:$A, Rate_Master!$C:$C, "")</f>
        <v>0</v>
      </c>
      <c r="G12" s="31">
        <f>_xlfn.XLOOKUP(B12, Rate_Master!$A:$A, Rate_Master!$D:$D, "")</f>
        <v>0</v>
      </c>
      <c r="H12" s="66">
        <v>32199.999999999996</v>
      </c>
      <c r="I12" s="32">
        <f>H12*E12</f>
        <v>1693004837.9999998</v>
      </c>
      <c r="J12" s="32"/>
    </row>
  </sheetData>
  <mergeCells count="5">
    <mergeCell ref="C4:J4"/>
    <mergeCell ref="C3:J3"/>
    <mergeCell ref="C7:J7"/>
    <mergeCell ref="C6:J6"/>
    <mergeCell ref="C5:J5"/>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tint="0.499984740745262"/>
    <pageSetUpPr fitToPage="1"/>
  </sheetPr>
  <dimension ref="A1:J37"/>
  <sheetViews>
    <sheetView topLeftCell="A8" zoomScale="85" zoomScaleNormal="85" workbookViewId="0">
      <pane ySplit="1" topLeftCell="A30" activePane="bottomLeft" state="frozen"/>
      <selection activeCell="A8" sqref="A8"/>
      <selection pane="bottomLeft" activeCell="G37" sqref="G37"/>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7" width="14" style="8" customWidth="1" outlineLevel="1"/>
    <col min="8" max="10" width="14" style="9" customWidth="1"/>
    <col min="11" max="229" width="9.125" style="6" customWidth="1"/>
    <col min="230" max="230" width="6.375" style="6" customWidth="1"/>
    <col min="231" max="231" width="34.25" style="6" customWidth="1"/>
    <col min="232" max="232" width="7.375" style="6" customWidth="1"/>
    <col min="233" max="233" width="6.375" style="6" customWidth="1"/>
    <col min="234" max="234" width="13.125" style="6" customWidth="1"/>
    <col min="235" max="235" width="15.375" style="6" customWidth="1"/>
    <col min="236" max="236" width="21.25" style="6" customWidth="1"/>
    <col min="237" max="485" width="9.125" style="6" customWidth="1"/>
    <col min="486" max="486" width="6.375" style="6" customWidth="1"/>
    <col min="487" max="487" width="34.25" style="6" customWidth="1"/>
    <col min="488" max="488" width="7.375" style="6" customWidth="1"/>
    <col min="489" max="489" width="6.375" style="6" customWidth="1"/>
    <col min="490" max="490" width="13.125" style="6" customWidth="1"/>
    <col min="491" max="491" width="15.375" style="6" customWidth="1"/>
    <col min="492" max="492" width="21.25" style="6" customWidth="1"/>
    <col min="493" max="741" width="9.125" style="6" customWidth="1"/>
    <col min="742" max="742" width="6.375" style="6" customWidth="1"/>
    <col min="743" max="743" width="34.25" style="6" customWidth="1"/>
    <col min="744" max="744" width="7.375" style="6" customWidth="1"/>
    <col min="745" max="745" width="6.375" style="6" customWidth="1"/>
    <col min="746" max="746" width="13.125" style="6" customWidth="1"/>
    <col min="747" max="747" width="15.375" style="6" customWidth="1"/>
    <col min="748" max="748" width="21.25" style="6" customWidth="1"/>
    <col min="749" max="997" width="9.125" style="6" customWidth="1"/>
    <col min="998" max="998" width="6.375" style="6" customWidth="1"/>
    <col min="999" max="999" width="34.25" style="6" customWidth="1"/>
    <col min="1000" max="1000" width="7.375" style="6" customWidth="1"/>
    <col min="1001" max="1001" width="6.375" style="6" customWidth="1"/>
    <col min="1002" max="1002" width="13.125" style="6" customWidth="1"/>
    <col min="1003" max="1003" width="15.375" style="6" customWidth="1"/>
    <col min="1004" max="1004" width="21.25" style="6" customWidth="1"/>
    <col min="1005" max="1253" width="9.125" style="6" customWidth="1"/>
    <col min="1254" max="1254" width="6.375" style="6" customWidth="1"/>
    <col min="1255" max="1255" width="34.25" style="6" customWidth="1"/>
    <col min="1256" max="1256" width="7.375" style="6" customWidth="1"/>
    <col min="1257" max="1257" width="6.375" style="6" customWidth="1"/>
    <col min="1258" max="1258" width="13.125" style="6" customWidth="1"/>
    <col min="1259" max="1259" width="15.375" style="6" customWidth="1"/>
    <col min="1260" max="1260" width="21.25" style="6" customWidth="1"/>
    <col min="1261" max="1509" width="9.125" style="6" customWidth="1"/>
    <col min="1510" max="1510" width="6.375" style="6" customWidth="1"/>
    <col min="1511" max="1511" width="34.25" style="6" customWidth="1"/>
    <col min="1512" max="1512" width="7.375" style="6" customWidth="1"/>
    <col min="1513" max="1513" width="6.375" style="6" customWidth="1"/>
    <col min="1514" max="1514" width="13.125" style="6" customWidth="1"/>
    <col min="1515" max="1515" width="15.375" style="6" customWidth="1"/>
    <col min="1516" max="1516" width="21.25" style="6" customWidth="1"/>
    <col min="1517" max="1765" width="9.125" style="6" customWidth="1"/>
    <col min="1766" max="1766" width="6.375" style="6" customWidth="1"/>
    <col min="1767" max="1767" width="34.25" style="6" customWidth="1"/>
    <col min="1768" max="1768" width="7.375" style="6" customWidth="1"/>
    <col min="1769" max="1769" width="6.375" style="6" customWidth="1"/>
    <col min="1770" max="1770" width="13.125" style="6" customWidth="1"/>
    <col min="1771" max="1771" width="15.375" style="6" customWidth="1"/>
    <col min="1772" max="1772" width="21.25" style="6" customWidth="1"/>
    <col min="1773" max="2021" width="9.125" style="6" customWidth="1"/>
    <col min="2022" max="2022" width="6.375" style="6" customWidth="1"/>
    <col min="2023" max="2023" width="34.25" style="6" customWidth="1"/>
    <col min="2024" max="2024" width="7.375" style="6" customWidth="1"/>
    <col min="2025" max="2025" width="6.375" style="6" customWidth="1"/>
    <col min="2026" max="2026" width="13.125" style="6" customWidth="1"/>
    <col min="2027" max="2027" width="15.375" style="6" customWidth="1"/>
    <col min="2028" max="2028" width="21.25" style="6" customWidth="1"/>
    <col min="2029" max="2277" width="9.125" style="6" customWidth="1"/>
    <col min="2278" max="2278" width="6.375" style="6" customWidth="1"/>
    <col min="2279" max="2279" width="34.25" style="6" customWidth="1"/>
    <col min="2280" max="2280" width="7.375" style="6" customWidth="1"/>
    <col min="2281" max="2281" width="6.375" style="6" customWidth="1"/>
    <col min="2282" max="2282" width="13.125" style="6" customWidth="1"/>
    <col min="2283" max="2283" width="15.375" style="6" customWidth="1"/>
    <col min="2284" max="2284" width="21.25" style="6" customWidth="1"/>
    <col min="2285" max="2533" width="9.125" style="6" customWidth="1"/>
    <col min="2534" max="2534" width="6.375" style="6" customWidth="1"/>
    <col min="2535" max="2535" width="34.25" style="6" customWidth="1"/>
    <col min="2536" max="2536" width="7.375" style="6" customWidth="1"/>
    <col min="2537" max="2537" width="6.375" style="6" customWidth="1"/>
    <col min="2538" max="2538" width="13.125" style="6" customWidth="1"/>
    <col min="2539" max="2539" width="15.375" style="6" customWidth="1"/>
    <col min="2540" max="2540" width="21.25" style="6" customWidth="1"/>
    <col min="2541" max="2789" width="9.125" style="6" customWidth="1"/>
    <col min="2790" max="2790" width="6.375" style="6" customWidth="1"/>
    <col min="2791" max="2791" width="34.25" style="6" customWidth="1"/>
    <col min="2792" max="2792" width="7.375" style="6" customWidth="1"/>
    <col min="2793" max="2793" width="6.375" style="6" customWidth="1"/>
    <col min="2794" max="2794" width="13.125" style="6" customWidth="1"/>
    <col min="2795" max="2795" width="15.375" style="6" customWidth="1"/>
    <col min="2796" max="2796" width="21.25" style="6" customWidth="1"/>
    <col min="2797" max="3045" width="9.125" style="6" customWidth="1"/>
    <col min="3046" max="3046" width="6.375" style="6" customWidth="1"/>
    <col min="3047" max="3047" width="34.25" style="6" customWidth="1"/>
    <col min="3048" max="3048" width="7.375" style="6" customWidth="1"/>
    <col min="3049" max="3049" width="6.375" style="6" customWidth="1"/>
    <col min="3050" max="3050" width="13.125" style="6" customWidth="1"/>
    <col min="3051" max="3051" width="15.375" style="6" customWidth="1"/>
    <col min="3052" max="3052" width="21.25" style="6" customWidth="1"/>
    <col min="3053" max="3301" width="9.125" style="6" customWidth="1"/>
    <col min="3302" max="3302" width="6.375" style="6" customWidth="1"/>
    <col min="3303" max="3303" width="34.25" style="6" customWidth="1"/>
    <col min="3304" max="3304" width="7.375" style="6" customWidth="1"/>
    <col min="3305" max="3305" width="6.375" style="6" customWidth="1"/>
    <col min="3306" max="3306" width="13.125" style="6" customWidth="1"/>
    <col min="3307" max="3307" width="15.375" style="6" customWidth="1"/>
    <col min="3308" max="3308" width="21.25" style="6" customWidth="1"/>
    <col min="3309" max="3557" width="9.125" style="6" customWidth="1"/>
    <col min="3558" max="3558" width="6.375" style="6" customWidth="1"/>
    <col min="3559" max="3559" width="34.25" style="6" customWidth="1"/>
    <col min="3560" max="3560" width="7.375" style="6" customWidth="1"/>
    <col min="3561" max="3561" width="6.375" style="6" customWidth="1"/>
    <col min="3562" max="3562" width="13.125" style="6" customWidth="1"/>
    <col min="3563" max="3563" width="15.375" style="6" customWidth="1"/>
    <col min="3564" max="3564" width="21.25" style="6" customWidth="1"/>
    <col min="3565" max="3813" width="9.125" style="6" customWidth="1"/>
    <col min="3814" max="3814" width="6.375" style="6" customWidth="1"/>
    <col min="3815" max="3815" width="34.25" style="6" customWidth="1"/>
    <col min="3816" max="3816" width="7.375" style="6" customWidth="1"/>
    <col min="3817" max="3817" width="6.375" style="6" customWidth="1"/>
    <col min="3818" max="3818" width="13.125" style="6" customWidth="1"/>
    <col min="3819" max="3819" width="15.375" style="6" customWidth="1"/>
    <col min="3820" max="3820" width="21.25" style="6" customWidth="1"/>
    <col min="3821" max="4069" width="9.125" style="6" customWidth="1"/>
    <col min="4070" max="4070" width="6.375" style="6" customWidth="1"/>
    <col min="4071" max="4071" width="34.25" style="6" customWidth="1"/>
    <col min="4072" max="4072" width="7.375" style="6" customWidth="1"/>
    <col min="4073" max="4073" width="6.375" style="6" customWidth="1"/>
    <col min="4074" max="4074" width="13.125" style="6" customWidth="1"/>
    <col min="4075" max="4075" width="15.375" style="6" customWidth="1"/>
    <col min="4076" max="4076" width="21.25" style="6" customWidth="1"/>
    <col min="4077" max="4325" width="9.125" style="6" customWidth="1"/>
    <col min="4326" max="4326" width="6.375" style="6" customWidth="1"/>
    <col min="4327" max="4327" width="34.25" style="6" customWidth="1"/>
    <col min="4328" max="4328" width="7.375" style="6" customWidth="1"/>
    <col min="4329" max="4329" width="6.375" style="6" customWidth="1"/>
    <col min="4330" max="4330" width="13.125" style="6" customWidth="1"/>
    <col min="4331" max="4331" width="15.375" style="6" customWidth="1"/>
    <col min="4332" max="4332" width="21.25" style="6" customWidth="1"/>
    <col min="4333" max="4581" width="9.125" style="6" customWidth="1"/>
    <col min="4582" max="4582" width="6.375" style="6" customWidth="1"/>
    <col min="4583" max="4583" width="34.25" style="6" customWidth="1"/>
    <col min="4584" max="4584" width="7.375" style="6" customWidth="1"/>
    <col min="4585" max="4585" width="6.375" style="6" customWidth="1"/>
    <col min="4586" max="4586" width="13.125" style="6" customWidth="1"/>
    <col min="4587" max="4587" width="15.375" style="6" customWidth="1"/>
    <col min="4588" max="4588" width="21.25" style="6" customWidth="1"/>
    <col min="4589" max="4837" width="9.125" style="6" customWidth="1"/>
    <col min="4838" max="4838" width="6.375" style="6" customWidth="1"/>
    <col min="4839" max="4839" width="34.25" style="6" customWidth="1"/>
    <col min="4840" max="4840" width="7.375" style="6" customWidth="1"/>
    <col min="4841" max="4841" width="6.375" style="6" customWidth="1"/>
    <col min="4842" max="4842" width="13.125" style="6" customWidth="1"/>
    <col min="4843" max="4843" width="15.375" style="6" customWidth="1"/>
    <col min="4844" max="4844" width="21.25" style="6" customWidth="1"/>
    <col min="4845" max="5093" width="9.125" style="6" customWidth="1"/>
    <col min="5094" max="5094" width="6.375" style="6" customWidth="1"/>
    <col min="5095" max="5095" width="34.25" style="6" customWidth="1"/>
    <col min="5096" max="5096" width="7.375" style="6" customWidth="1"/>
    <col min="5097" max="5097" width="6.375" style="6" customWidth="1"/>
    <col min="5098" max="5098" width="13.125" style="6" customWidth="1"/>
    <col min="5099" max="5099" width="15.375" style="6" customWidth="1"/>
    <col min="5100" max="5100" width="21.25" style="6" customWidth="1"/>
    <col min="5101" max="5349" width="9.125" style="6" customWidth="1"/>
    <col min="5350" max="5350" width="6.375" style="6" customWidth="1"/>
    <col min="5351" max="5351" width="34.25" style="6" customWidth="1"/>
    <col min="5352" max="5352" width="7.375" style="6" customWidth="1"/>
    <col min="5353" max="5353" width="6.375" style="6" customWidth="1"/>
    <col min="5354" max="5354" width="13.125" style="6" customWidth="1"/>
    <col min="5355" max="5355" width="15.375" style="6" customWidth="1"/>
    <col min="5356" max="5356" width="21.25" style="6" customWidth="1"/>
    <col min="5357" max="5605" width="9.125" style="6" customWidth="1"/>
    <col min="5606" max="5606" width="6.375" style="6" customWidth="1"/>
    <col min="5607" max="5607" width="34.25" style="6" customWidth="1"/>
    <col min="5608" max="5608" width="7.375" style="6" customWidth="1"/>
    <col min="5609" max="5609" width="6.375" style="6" customWidth="1"/>
    <col min="5610" max="5610" width="13.125" style="6" customWidth="1"/>
    <col min="5611" max="5611" width="15.375" style="6" customWidth="1"/>
    <col min="5612" max="5612" width="21.25" style="6" customWidth="1"/>
    <col min="5613" max="5861" width="9.125" style="6" customWidth="1"/>
    <col min="5862" max="5862" width="6.375" style="6" customWidth="1"/>
    <col min="5863" max="5863" width="34.25" style="6" customWidth="1"/>
    <col min="5864" max="5864" width="7.375" style="6" customWidth="1"/>
    <col min="5865" max="5865" width="6.375" style="6" customWidth="1"/>
    <col min="5866" max="5866" width="13.125" style="6" customWidth="1"/>
    <col min="5867" max="5867" width="15.375" style="6" customWidth="1"/>
    <col min="5868" max="5868" width="21.25" style="6" customWidth="1"/>
    <col min="5869" max="6117" width="9.125" style="6" customWidth="1"/>
    <col min="6118" max="6118" width="6.375" style="6" customWidth="1"/>
    <col min="6119" max="6119" width="34.25" style="6" customWidth="1"/>
    <col min="6120" max="6120" width="7.375" style="6" customWidth="1"/>
    <col min="6121" max="6121" width="6.375" style="6" customWidth="1"/>
    <col min="6122" max="6122" width="13.125" style="6" customWidth="1"/>
    <col min="6123" max="6123" width="15.375" style="6" customWidth="1"/>
    <col min="6124" max="6124" width="21.25" style="6" customWidth="1"/>
    <col min="6125" max="6373" width="9.125" style="6" customWidth="1"/>
    <col min="6374" max="6374" width="6.375" style="6" customWidth="1"/>
    <col min="6375" max="6375" width="34.25" style="6" customWidth="1"/>
    <col min="6376" max="6376" width="7.375" style="6" customWidth="1"/>
    <col min="6377" max="6377" width="6.375" style="6" customWidth="1"/>
    <col min="6378" max="6378" width="13.125" style="6" customWidth="1"/>
    <col min="6379" max="6379" width="15.375" style="6" customWidth="1"/>
    <col min="6380" max="6380" width="21.25" style="6" customWidth="1"/>
    <col min="6381" max="6629" width="9.125" style="6" customWidth="1"/>
    <col min="6630" max="6630" width="6.375" style="6" customWidth="1"/>
    <col min="6631" max="6631" width="34.25" style="6" customWidth="1"/>
    <col min="6632" max="6632" width="7.375" style="6" customWidth="1"/>
    <col min="6633" max="6633" width="6.375" style="6" customWidth="1"/>
    <col min="6634" max="6634" width="13.125" style="6" customWidth="1"/>
    <col min="6635" max="6635" width="15.375" style="6" customWidth="1"/>
    <col min="6636" max="6636" width="21.25" style="6" customWidth="1"/>
    <col min="6637" max="6885" width="9.125" style="6" customWidth="1"/>
    <col min="6886" max="6886" width="6.375" style="6" customWidth="1"/>
    <col min="6887" max="6887" width="34.25" style="6" customWidth="1"/>
    <col min="6888" max="6888" width="7.375" style="6" customWidth="1"/>
    <col min="6889" max="6889" width="6.375" style="6" customWidth="1"/>
    <col min="6890" max="6890" width="13.125" style="6" customWidth="1"/>
    <col min="6891" max="6891" width="15.375" style="6" customWidth="1"/>
    <col min="6892" max="6892" width="21.25" style="6" customWidth="1"/>
    <col min="6893" max="7141" width="9.125" style="6" customWidth="1"/>
    <col min="7142" max="7142" width="6.375" style="6" customWidth="1"/>
    <col min="7143" max="7143" width="34.25" style="6" customWidth="1"/>
    <col min="7144" max="7144" width="7.375" style="6" customWidth="1"/>
    <col min="7145" max="7145" width="6.375" style="6" customWidth="1"/>
    <col min="7146" max="7146" width="13.125" style="6" customWidth="1"/>
    <col min="7147" max="7147" width="15.375" style="6" customWidth="1"/>
    <col min="7148" max="7148" width="21.25" style="6" customWidth="1"/>
    <col min="7149" max="7397" width="9.125" style="6" customWidth="1"/>
    <col min="7398" max="7398" width="6.375" style="6" customWidth="1"/>
    <col min="7399" max="7399" width="34.25" style="6" customWidth="1"/>
    <col min="7400" max="7400" width="7.375" style="6" customWidth="1"/>
    <col min="7401" max="7401" width="6.375" style="6" customWidth="1"/>
    <col min="7402" max="7402" width="13.125" style="6" customWidth="1"/>
    <col min="7403" max="7403" width="15.375" style="6" customWidth="1"/>
    <col min="7404" max="7404" width="21.25" style="6" customWidth="1"/>
    <col min="7405" max="7653" width="9.125" style="6" customWidth="1"/>
    <col min="7654" max="7654" width="6.375" style="6" customWidth="1"/>
    <col min="7655" max="7655" width="34.25" style="6" customWidth="1"/>
    <col min="7656" max="7656" width="7.375" style="6" customWidth="1"/>
    <col min="7657" max="7657" width="6.375" style="6" customWidth="1"/>
    <col min="7658" max="7658" width="13.125" style="6" customWidth="1"/>
    <col min="7659" max="7659" width="15.375" style="6" customWidth="1"/>
    <col min="7660" max="7660" width="21.25" style="6" customWidth="1"/>
    <col min="7661" max="7909" width="9.125" style="6" customWidth="1"/>
    <col min="7910" max="7910" width="6.375" style="6" customWidth="1"/>
    <col min="7911" max="7911" width="34.25" style="6" customWidth="1"/>
    <col min="7912" max="7912" width="7.375" style="6" customWidth="1"/>
    <col min="7913" max="7913" width="6.375" style="6" customWidth="1"/>
    <col min="7914" max="7914" width="13.125" style="6" customWidth="1"/>
    <col min="7915" max="7915" width="15.375" style="6" customWidth="1"/>
    <col min="7916" max="7916" width="21.25" style="6" customWidth="1"/>
    <col min="7917" max="8165" width="9.125" style="6" customWidth="1"/>
    <col min="8166" max="8166" width="6.375" style="6" customWidth="1"/>
    <col min="8167" max="8167" width="34.25" style="6" customWidth="1"/>
    <col min="8168" max="8168" width="7.375" style="6" customWidth="1"/>
    <col min="8169" max="8169" width="6.375" style="6" customWidth="1"/>
    <col min="8170" max="8170" width="13.125" style="6" customWidth="1"/>
    <col min="8171" max="8171" width="15.375" style="6" customWidth="1"/>
    <col min="8172" max="8172" width="21.25" style="6" customWidth="1"/>
    <col min="8173" max="8421" width="9.125" style="6" customWidth="1"/>
    <col min="8422" max="8422" width="6.375" style="6" customWidth="1"/>
    <col min="8423" max="8423" width="34.25" style="6" customWidth="1"/>
    <col min="8424" max="8424" width="7.375" style="6" customWidth="1"/>
    <col min="8425" max="8425" width="6.375" style="6" customWidth="1"/>
    <col min="8426" max="8426" width="13.125" style="6" customWidth="1"/>
    <col min="8427" max="8427" width="15.375" style="6" customWidth="1"/>
    <col min="8428" max="8428" width="21.25" style="6" customWidth="1"/>
    <col min="8429" max="8677" width="9.125" style="6" customWidth="1"/>
    <col min="8678" max="8678" width="6.375" style="6" customWidth="1"/>
    <col min="8679" max="8679" width="34.25" style="6" customWidth="1"/>
    <col min="8680" max="8680" width="7.375" style="6" customWidth="1"/>
    <col min="8681" max="8681" width="6.375" style="6" customWidth="1"/>
    <col min="8682" max="8682" width="13.125" style="6" customWidth="1"/>
    <col min="8683" max="8683" width="15.375" style="6" customWidth="1"/>
    <col min="8684" max="8684" width="21.25" style="6" customWidth="1"/>
    <col min="8685" max="8933" width="9.125" style="6" customWidth="1"/>
    <col min="8934" max="8934" width="6.375" style="6" customWidth="1"/>
    <col min="8935" max="8935" width="34.25" style="6" customWidth="1"/>
    <col min="8936" max="8936" width="7.375" style="6" customWidth="1"/>
    <col min="8937" max="8937" width="6.375" style="6" customWidth="1"/>
    <col min="8938" max="8938" width="13.125" style="6" customWidth="1"/>
    <col min="8939" max="8939" width="15.375" style="6" customWidth="1"/>
    <col min="8940" max="8940" width="21.25" style="6" customWidth="1"/>
    <col min="8941" max="9189" width="9.125" style="6" customWidth="1"/>
    <col min="9190" max="9190" width="6.375" style="6" customWidth="1"/>
    <col min="9191" max="9191" width="34.25" style="6" customWidth="1"/>
    <col min="9192" max="9192" width="7.375" style="6" customWidth="1"/>
    <col min="9193" max="9193" width="6.375" style="6" customWidth="1"/>
    <col min="9194" max="9194" width="13.125" style="6" customWidth="1"/>
    <col min="9195" max="9195" width="15.375" style="6" customWidth="1"/>
    <col min="9196" max="9196" width="21.25" style="6" customWidth="1"/>
    <col min="9197" max="9445" width="9.125" style="6" customWidth="1"/>
    <col min="9446" max="9446" width="6.375" style="6" customWidth="1"/>
    <col min="9447" max="9447" width="34.25" style="6" customWidth="1"/>
    <col min="9448" max="9448" width="7.375" style="6" customWidth="1"/>
    <col min="9449" max="9449" width="6.375" style="6" customWidth="1"/>
    <col min="9450" max="9450" width="13.125" style="6" customWidth="1"/>
    <col min="9451" max="9451" width="15.375" style="6" customWidth="1"/>
    <col min="9452" max="9452" width="21.25" style="6" customWidth="1"/>
    <col min="9453" max="9701" width="9.125" style="6" customWidth="1"/>
    <col min="9702" max="9702" width="6.375" style="6" customWidth="1"/>
    <col min="9703" max="9703" width="34.25" style="6" customWidth="1"/>
    <col min="9704" max="9704" width="7.375" style="6" customWidth="1"/>
    <col min="9705" max="9705" width="6.375" style="6" customWidth="1"/>
    <col min="9706" max="9706" width="13.125" style="6" customWidth="1"/>
    <col min="9707" max="9707" width="15.375" style="6" customWidth="1"/>
    <col min="9708" max="9708" width="21.25" style="6" customWidth="1"/>
    <col min="9709" max="9957" width="9.125" style="6" customWidth="1"/>
    <col min="9958" max="9958" width="6.375" style="6" customWidth="1"/>
    <col min="9959" max="9959" width="34.25" style="6" customWidth="1"/>
    <col min="9960" max="9960" width="7.375" style="6" customWidth="1"/>
    <col min="9961" max="9961" width="6.375" style="6" customWidth="1"/>
    <col min="9962" max="9962" width="13.125" style="6" customWidth="1"/>
    <col min="9963" max="9963" width="15.375" style="6" customWidth="1"/>
    <col min="9964" max="9964" width="21.25" style="6" customWidth="1"/>
    <col min="9965" max="10213" width="9.125" style="6" customWidth="1"/>
    <col min="10214" max="10214" width="6.375" style="6" customWidth="1"/>
    <col min="10215" max="10215" width="34.25" style="6" customWidth="1"/>
    <col min="10216" max="10216" width="7.375" style="6" customWidth="1"/>
    <col min="10217" max="10217" width="6.375" style="6" customWidth="1"/>
    <col min="10218" max="10218" width="13.125" style="6" customWidth="1"/>
    <col min="10219" max="10219" width="15.375" style="6" customWidth="1"/>
    <col min="10220" max="10220" width="21.25" style="6" customWidth="1"/>
    <col min="10221" max="10469" width="9.125" style="6" customWidth="1"/>
    <col min="10470" max="10470" width="6.375" style="6" customWidth="1"/>
    <col min="10471" max="10471" width="34.25" style="6" customWidth="1"/>
    <col min="10472" max="10472" width="7.375" style="6" customWidth="1"/>
    <col min="10473" max="10473" width="6.375" style="6" customWidth="1"/>
    <col min="10474" max="10474" width="13.125" style="6" customWidth="1"/>
    <col min="10475" max="10475" width="15.375" style="6" customWidth="1"/>
    <col min="10476" max="10476" width="21.25" style="6" customWidth="1"/>
    <col min="10477" max="10725" width="9.125" style="6" customWidth="1"/>
    <col min="10726" max="10726" width="6.375" style="6" customWidth="1"/>
    <col min="10727" max="10727" width="34.25" style="6" customWidth="1"/>
    <col min="10728" max="10728" width="7.375" style="6" customWidth="1"/>
    <col min="10729" max="10729" width="6.375" style="6" customWidth="1"/>
    <col min="10730" max="10730" width="13.125" style="6" customWidth="1"/>
    <col min="10731" max="10731" width="15.375" style="6" customWidth="1"/>
    <col min="10732" max="10732" width="21.25" style="6" customWidth="1"/>
    <col min="10733" max="10981" width="9.125" style="6" customWidth="1"/>
    <col min="10982" max="10982" width="6.375" style="6" customWidth="1"/>
    <col min="10983" max="10983" width="34.25" style="6" customWidth="1"/>
    <col min="10984" max="10984" width="7.375" style="6" customWidth="1"/>
    <col min="10985" max="10985" width="6.375" style="6" customWidth="1"/>
    <col min="10986" max="10986" width="13.125" style="6" customWidth="1"/>
    <col min="10987" max="10987" width="15.375" style="6" customWidth="1"/>
    <col min="10988" max="10988" width="21.25" style="6" customWidth="1"/>
    <col min="10989" max="11237" width="9.125" style="6" customWidth="1"/>
    <col min="11238" max="11238" width="6.375" style="6" customWidth="1"/>
    <col min="11239" max="11239" width="34.25" style="6" customWidth="1"/>
    <col min="11240" max="11240" width="7.375" style="6" customWidth="1"/>
    <col min="11241" max="11241" width="6.375" style="6" customWidth="1"/>
    <col min="11242" max="11242" width="13.125" style="6" customWidth="1"/>
    <col min="11243" max="11243" width="15.375" style="6" customWidth="1"/>
    <col min="11244" max="11244" width="21.25" style="6" customWidth="1"/>
    <col min="11245" max="11493" width="9.125" style="6" customWidth="1"/>
    <col min="11494" max="11494" width="6.375" style="6" customWidth="1"/>
    <col min="11495" max="11495" width="34.25" style="6" customWidth="1"/>
    <col min="11496" max="11496" width="7.375" style="6" customWidth="1"/>
    <col min="11497" max="11497" width="6.375" style="6" customWidth="1"/>
    <col min="11498" max="11498" width="13.125" style="6" customWidth="1"/>
    <col min="11499" max="11499" width="15.375" style="6" customWidth="1"/>
    <col min="11500" max="11500" width="21.25" style="6" customWidth="1"/>
    <col min="11501" max="11749" width="9.125" style="6" customWidth="1"/>
    <col min="11750" max="11750" width="6.375" style="6" customWidth="1"/>
    <col min="11751" max="11751" width="34.25" style="6" customWidth="1"/>
    <col min="11752" max="11752" width="7.375" style="6" customWidth="1"/>
    <col min="11753" max="11753" width="6.375" style="6" customWidth="1"/>
    <col min="11754" max="11754" width="13.125" style="6" customWidth="1"/>
    <col min="11755" max="11755" width="15.375" style="6" customWidth="1"/>
    <col min="11756" max="11756" width="21.25" style="6" customWidth="1"/>
    <col min="11757" max="12005" width="9.125" style="6" customWidth="1"/>
    <col min="12006" max="12006" width="6.375" style="6" customWidth="1"/>
    <col min="12007" max="12007" width="34.25" style="6" customWidth="1"/>
    <col min="12008" max="12008" width="7.375" style="6" customWidth="1"/>
    <col min="12009" max="12009" width="6.375" style="6" customWidth="1"/>
    <col min="12010" max="12010" width="13.125" style="6" customWidth="1"/>
    <col min="12011" max="12011" width="15.375" style="6" customWidth="1"/>
    <col min="12012" max="12012" width="21.25" style="6" customWidth="1"/>
    <col min="12013" max="12261" width="9.125" style="6" customWidth="1"/>
    <col min="12262" max="12262" width="6.375" style="6" customWidth="1"/>
    <col min="12263" max="12263" width="34.25" style="6" customWidth="1"/>
    <col min="12264" max="12264" width="7.375" style="6" customWidth="1"/>
    <col min="12265" max="12265" width="6.375" style="6" customWidth="1"/>
    <col min="12266" max="12266" width="13.125" style="6" customWidth="1"/>
    <col min="12267" max="12267" width="15.375" style="6" customWidth="1"/>
    <col min="12268" max="12268" width="21.25" style="6" customWidth="1"/>
    <col min="12269" max="12517" width="9.125" style="6" customWidth="1"/>
    <col min="12518" max="12518" width="6.375" style="6" customWidth="1"/>
    <col min="12519" max="12519" width="34.25" style="6" customWidth="1"/>
    <col min="12520" max="12520" width="7.375" style="6" customWidth="1"/>
    <col min="12521" max="12521" width="6.375" style="6" customWidth="1"/>
    <col min="12522" max="12522" width="13.125" style="6" customWidth="1"/>
    <col min="12523" max="12523" width="15.375" style="6" customWidth="1"/>
    <col min="12524" max="12524" width="21.25" style="6" customWidth="1"/>
    <col min="12525" max="12773" width="9.125" style="6" customWidth="1"/>
    <col min="12774" max="12774" width="6.375" style="6" customWidth="1"/>
    <col min="12775" max="12775" width="34.25" style="6" customWidth="1"/>
    <col min="12776" max="12776" width="7.375" style="6" customWidth="1"/>
    <col min="12777" max="12777" width="6.375" style="6" customWidth="1"/>
    <col min="12778" max="12778" width="13.125" style="6" customWidth="1"/>
    <col min="12779" max="12779" width="15.375" style="6" customWidth="1"/>
    <col min="12780" max="12780" width="21.25" style="6" customWidth="1"/>
    <col min="12781" max="13029" width="9.125" style="6" customWidth="1"/>
    <col min="13030" max="13030" width="6.375" style="6" customWidth="1"/>
    <col min="13031" max="13031" width="34.25" style="6" customWidth="1"/>
    <col min="13032" max="13032" width="7.375" style="6" customWidth="1"/>
    <col min="13033" max="13033" width="6.375" style="6" customWidth="1"/>
    <col min="13034" max="13034" width="13.125" style="6" customWidth="1"/>
    <col min="13035" max="13035" width="15.375" style="6" customWidth="1"/>
    <col min="13036" max="13036" width="21.25" style="6" customWidth="1"/>
    <col min="13037" max="13285" width="9.125" style="6" customWidth="1"/>
    <col min="13286" max="13286" width="6.375" style="6" customWidth="1"/>
    <col min="13287" max="13287" width="34.25" style="6" customWidth="1"/>
    <col min="13288" max="13288" width="7.375" style="6" customWidth="1"/>
    <col min="13289" max="13289" width="6.375" style="6" customWidth="1"/>
    <col min="13290" max="13290" width="13.125" style="6" customWidth="1"/>
    <col min="13291" max="13291" width="15.375" style="6" customWidth="1"/>
    <col min="13292" max="13292" width="21.25" style="6" customWidth="1"/>
    <col min="13293" max="13541" width="9.125" style="6" customWidth="1"/>
    <col min="13542" max="13542" width="6.375" style="6" customWidth="1"/>
    <col min="13543" max="13543" width="34.25" style="6" customWidth="1"/>
    <col min="13544" max="13544" width="7.375" style="6" customWidth="1"/>
    <col min="13545" max="13545" width="6.375" style="6" customWidth="1"/>
    <col min="13546" max="13546" width="13.125" style="6" customWidth="1"/>
    <col min="13547" max="13547" width="15.375" style="6" customWidth="1"/>
    <col min="13548" max="13548" width="21.25" style="6" customWidth="1"/>
    <col min="13549" max="13797" width="9.125" style="6" customWidth="1"/>
    <col min="13798" max="13798" width="6.375" style="6" customWidth="1"/>
    <col min="13799" max="13799" width="34.25" style="6" customWidth="1"/>
    <col min="13800" max="13800" width="7.375" style="6" customWidth="1"/>
    <col min="13801" max="13801" width="6.375" style="6" customWidth="1"/>
    <col min="13802" max="13802" width="13.125" style="6" customWidth="1"/>
    <col min="13803" max="13803" width="15.375" style="6" customWidth="1"/>
    <col min="13804" max="13804" width="21.25" style="6" customWidth="1"/>
    <col min="13805" max="14053" width="9.125" style="6" customWidth="1"/>
    <col min="14054" max="14054" width="6.375" style="6" customWidth="1"/>
    <col min="14055" max="14055" width="34.25" style="6" customWidth="1"/>
    <col min="14056" max="14056" width="7.375" style="6" customWidth="1"/>
    <col min="14057" max="14057" width="6.375" style="6" customWidth="1"/>
    <col min="14058" max="14058" width="13.125" style="6" customWidth="1"/>
    <col min="14059" max="14059" width="15.375" style="6" customWidth="1"/>
    <col min="14060" max="14060" width="21.25" style="6" customWidth="1"/>
    <col min="14061" max="14309" width="9.125" style="6" customWidth="1"/>
    <col min="14310" max="14310" width="6.375" style="6" customWidth="1"/>
    <col min="14311" max="14311" width="34.25" style="6" customWidth="1"/>
    <col min="14312" max="14312" width="7.375" style="6" customWidth="1"/>
    <col min="14313" max="14313" width="6.375" style="6" customWidth="1"/>
    <col min="14314" max="14314" width="13.125" style="6" customWidth="1"/>
    <col min="14315" max="14315" width="15.375" style="6" customWidth="1"/>
    <col min="14316" max="14316" width="21.25" style="6" customWidth="1"/>
    <col min="14317" max="14565" width="9.125" style="6" customWidth="1"/>
    <col min="14566" max="14566" width="6.375" style="6" customWidth="1"/>
    <col min="14567" max="14567" width="34.25" style="6" customWidth="1"/>
    <col min="14568" max="14568" width="7.375" style="6" customWidth="1"/>
    <col min="14569" max="14569" width="6.375" style="6" customWidth="1"/>
    <col min="14570" max="14570" width="13.125" style="6" customWidth="1"/>
    <col min="14571" max="14571" width="15.375" style="6" customWidth="1"/>
    <col min="14572" max="14572" width="21.25" style="6" customWidth="1"/>
    <col min="14573" max="14821" width="9.125" style="6" customWidth="1"/>
    <col min="14822" max="14822" width="6.375" style="6" customWidth="1"/>
    <col min="14823" max="14823" width="34.25" style="6" customWidth="1"/>
    <col min="14824" max="14824" width="7.375" style="6" customWidth="1"/>
    <col min="14825" max="14825" width="6.375" style="6" customWidth="1"/>
    <col min="14826" max="14826" width="13.125" style="6" customWidth="1"/>
    <col min="14827" max="14827" width="15.375" style="6" customWidth="1"/>
    <col min="14828" max="14828" width="21.25" style="6" customWidth="1"/>
    <col min="14829" max="15077" width="9.125" style="6" customWidth="1"/>
    <col min="15078" max="15078" width="6.375" style="6" customWidth="1"/>
    <col min="15079" max="15079" width="34.25" style="6" customWidth="1"/>
    <col min="15080" max="15080" width="7.375" style="6" customWidth="1"/>
    <col min="15081" max="15081" width="6.375" style="6" customWidth="1"/>
    <col min="15082" max="15082" width="13.125" style="6" customWidth="1"/>
    <col min="15083" max="15083" width="15.375" style="6" customWidth="1"/>
    <col min="15084" max="15084" width="21.25" style="6" customWidth="1"/>
    <col min="15085" max="15333" width="9.125" style="6" customWidth="1"/>
    <col min="15334" max="15334" width="6.375" style="6" customWidth="1"/>
    <col min="15335" max="15335" width="34.25" style="6" customWidth="1"/>
    <col min="15336" max="15336" width="7.375" style="6" customWidth="1"/>
    <col min="15337" max="15337" width="6.375" style="6" customWidth="1"/>
    <col min="15338" max="15338" width="13.125" style="6" customWidth="1"/>
    <col min="15339" max="15339" width="15.375" style="6" customWidth="1"/>
    <col min="15340" max="15340" width="21.25" style="6" customWidth="1"/>
    <col min="15341" max="15589" width="9.125" style="6" customWidth="1"/>
    <col min="15590" max="15590" width="6.375" style="6" customWidth="1"/>
    <col min="15591" max="15591" width="34.25" style="6" customWidth="1"/>
    <col min="15592" max="15592" width="7.375" style="6" customWidth="1"/>
    <col min="15593" max="15593" width="6.375" style="6" customWidth="1"/>
    <col min="15594" max="15594" width="13.125" style="6" customWidth="1"/>
    <col min="15595" max="15595" width="15.375" style="6" customWidth="1"/>
    <col min="15596" max="15596" width="21.25" style="6" customWidth="1"/>
    <col min="15597" max="15845" width="9.125" style="6" customWidth="1"/>
    <col min="15846" max="15846" width="6.375" style="6" customWidth="1"/>
    <col min="15847" max="15847" width="34.25" style="6" customWidth="1"/>
    <col min="15848" max="15848" width="7.375" style="6" customWidth="1"/>
    <col min="15849" max="15849" width="6.375" style="6" customWidth="1"/>
    <col min="15850" max="15850" width="13.125" style="6" customWidth="1"/>
    <col min="15851" max="15851" width="15.375" style="6" customWidth="1"/>
    <col min="15852" max="15852" width="21.25" style="6" customWidth="1"/>
    <col min="15853" max="16101" width="9.125" style="6" customWidth="1"/>
    <col min="16102" max="16102" width="6.375" style="6" customWidth="1"/>
    <col min="16103" max="16103" width="34.25" style="6" customWidth="1"/>
    <col min="16104" max="16104" width="7.375" style="6" customWidth="1"/>
    <col min="16105" max="16105" width="6.375" style="6" customWidth="1"/>
    <col min="16106" max="16106" width="13.125" style="6" customWidth="1"/>
    <col min="16107" max="16107" width="15.375" style="6" customWidth="1"/>
    <col min="16108" max="16108" width="21.25" style="6" customWidth="1"/>
    <col min="16109" max="16384" width="9.125" style="6" customWidth="1"/>
  </cols>
  <sheetData>
    <row r="1" spans="1:10" ht="48" customHeight="1"/>
    <row r="2" spans="1:10" s="1" customFormat="1" ht="51" customHeight="1">
      <c r="A2" s="10" t="s">
        <v>507</v>
      </c>
      <c r="B2" s="11"/>
      <c r="C2" s="12"/>
      <c r="D2" s="11"/>
      <c r="E2" s="14"/>
      <c r="F2" s="14"/>
      <c r="G2" s="14"/>
      <c r="H2" s="15"/>
      <c r="I2" s="15"/>
      <c r="J2" s="15"/>
    </row>
    <row r="3" spans="1:10" ht="26.25" customHeight="1">
      <c r="A3" s="16"/>
      <c r="B3" s="17" t="s">
        <v>440</v>
      </c>
      <c r="C3" s="213"/>
      <c r="D3" s="217"/>
      <c r="E3" s="214"/>
      <c r="F3" s="214"/>
      <c r="G3" s="214"/>
      <c r="H3" s="220"/>
      <c r="I3" s="220"/>
      <c r="J3" s="220"/>
    </row>
    <row r="4" spans="1:10" ht="26.25" customHeight="1">
      <c r="A4" s="18"/>
      <c r="B4" s="5" t="s">
        <v>441</v>
      </c>
      <c r="C4" s="222"/>
      <c r="D4" s="217"/>
      <c r="E4" s="214"/>
      <c r="F4" s="214"/>
      <c r="G4" s="214"/>
      <c r="H4" s="220"/>
      <c r="I4" s="220"/>
      <c r="J4" s="220"/>
    </row>
    <row r="5" spans="1:10" ht="26.25" customHeight="1">
      <c r="A5" s="18"/>
      <c r="B5" s="5" t="s">
        <v>442</v>
      </c>
      <c r="C5" s="216"/>
      <c r="D5" s="217"/>
      <c r="E5" s="214"/>
      <c r="F5" s="214"/>
      <c r="G5" s="214"/>
      <c r="H5" s="220"/>
      <c r="I5" s="220"/>
      <c r="J5" s="220"/>
    </row>
    <row r="6" spans="1:10" ht="26.25" customHeight="1">
      <c r="A6" s="18"/>
      <c r="B6" s="5" t="s">
        <v>443</v>
      </c>
      <c r="C6" s="213" t="str">
        <f>INDEX(總表!$B$9:$B$47,MATCH('2B'!A9,總表!$A$9:$A$48,0))</f>
        <v>Hàng rào
圍墻</v>
      </c>
      <c r="D6" s="217"/>
      <c r="E6" s="214"/>
      <c r="F6" s="214"/>
      <c r="G6" s="214"/>
      <c r="H6" s="220"/>
      <c r="I6" s="220"/>
      <c r="J6" s="220"/>
    </row>
    <row r="7" spans="1:10" ht="26.25" customHeight="1">
      <c r="A7" s="18"/>
      <c r="B7" s="5" t="s">
        <v>444</v>
      </c>
      <c r="C7" s="223" t="s">
        <v>445</v>
      </c>
      <c r="D7" s="224"/>
      <c r="E7" s="224"/>
      <c r="F7" s="224"/>
      <c r="G7" s="224"/>
      <c r="H7" s="224"/>
      <c r="I7" s="224"/>
      <c r="J7" s="224"/>
    </row>
    <row r="8" spans="1:10" s="2" customFormat="1" ht="41.25" customHeight="1">
      <c r="A8" s="19" t="s">
        <v>446</v>
      </c>
      <c r="B8" s="19" t="s">
        <v>508</v>
      </c>
      <c r="C8" s="19" t="s">
        <v>509</v>
      </c>
      <c r="D8" s="19" t="s">
        <v>448</v>
      </c>
      <c r="E8" s="19" t="s">
        <v>449</v>
      </c>
      <c r="F8" s="19" t="s">
        <v>511</v>
      </c>
      <c r="G8" s="19" t="s">
        <v>512</v>
      </c>
      <c r="H8" s="21" t="s">
        <v>450</v>
      </c>
      <c r="I8" s="21" t="s">
        <v>452</v>
      </c>
      <c r="J8" s="21" t="s">
        <v>514</v>
      </c>
    </row>
    <row r="9" spans="1:10" s="3" customFormat="1" ht="25.5" customHeight="1">
      <c r="A9" s="22" t="s">
        <v>488</v>
      </c>
      <c r="B9" s="23" t="str">
        <f>C6</f>
        <v>Hàng rào
圍墻</v>
      </c>
      <c r="C9" s="23" t="s">
        <v>515</v>
      </c>
      <c r="D9" s="22"/>
      <c r="E9" s="25"/>
      <c r="F9" s="145">
        <f>_xlfn.XLOOKUP(B9, Rate_Master!$A:$A, Rate_Master!$C:$C, "")</f>
        <v>0</v>
      </c>
      <c r="G9" s="25">
        <f>_xlfn.XLOOKUP(B9, Rate_Master!$A:$A, Rate_Master!$D:$D, "")</f>
        <v>0</v>
      </c>
      <c r="H9" s="26"/>
      <c r="I9" s="26">
        <f>SUBTOTAL(9,I10:I37)</f>
        <v>18877213870.243271</v>
      </c>
      <c r="J9" s="26"/>
    </row>
    <row r="10" spans="1:10" s="3" customFormat="1" ht="25.5" customHeight="1">
      <c r="A10" s="22" t="str">
        <f>$A$9&amp;".C"</f>
        <v>2B.C</v>
      </c>
      <c r="B10" s="23" t="s">
        <v>1</v>
      </c>
      <c r="C10" s="23" t="s">
        <v>515</v>
      </c>
      <c r="D10" s="22"/>
      <c r="E10" s="25"/>
      <c r="F10" s="145">
        <f>_xlfn.XLOOKUP(B10, Rate_Master!$A:$A, Rate_Master!$C:$C, "")</f>
        <v>0</v>
      </c>
      <c r="G10" s="25">
        <f>_xlfn.XLOOKUP(B10, Rate_Master!$A:$A, Rate_Master!$D:$D, "")</f>
        <v>0</v>
      </c>
      <c r="H10" s="26"/>
      <c r="I10" s="26"/>
      <c r="J10" s="26"/>
    </row>
    <row r="11" spans="1:10" s="3" customFormat="1" ht="25.5" customHeight="1">
      <c r="A11" s="22" t="str">
        <f>$A$10&amp;1</f>
        <v>2B.C1</v>
      </c>
      <c r="B11" s="23" t="s">
        <v>14</v>
      </c>
      <c r="C11" s="23" t="s">
        <v>515</v>
      </c>
      <c r="D11" s="22"/>
      <c r="E11" s="25"/>
      <c r="F11" s="145">
        <f>_xlfn.XLOOKUP(B11, Rate_Master!$A:$A, Rate_Master!$C:$C, "")</f>
        <v>0</v>
      </c>
      <c r="G11" s="25">
        <f>_xlfn.XLOOKUP(B11, Rate_Master!$A:$A, Rate_Master!$D:$D, "")</f>
        <v>0</v>
      </c>
      <c r="H11" s="26"/>
      <c r="I11" s="26">
        <f>SUBTOTAL(9,I12:I16)</f>
        <v>1325530563.9499998</v>
      </c>
      <c r="J11" s="26"/>
    </row>
    <row r="12" spans="1:10" s="4" customFormat="1" ht="25.5" customHeight="1" outlineLevel="1">
      <c r="A12" s="27" t="str">
        <f>$A$11&amp;"."&amp;ROW()-ROW($A$11)</f>
        <v>2B.C1.1</v>
      </c>
      <c r="B12" s="28" t="s">
        <v>15</v>
      </c>
      <c r="C12" s="28" t="s">
        <v>515</v>
      </c>
      <c r="D12" s="29" t="s">
        <v>519</v>
      </c>
      <c r="E12" s="31">
        <v>17742.936000000002</v>
      </c>
      <c r="F12" s="144">
        <f>_xlfn.XLOOKUP(B12, Rate_Master!$A:$A, Rate_Master!$C:$C, "")</f>
        <v>0</v>
      </c>
      <c r="G12" s="31">
        <f>_xlfn.XLOOKUP(B12, Rate_Master!$A:$A, Rate_Master!$D:$D, "")</f>
        <v>32199.999999999996</v>
      </c>
      <c r="H12" s="66">
        <f>F12+G12</f>
        <v>32199.999999999996</v>
      </c>
      <c r="I12" s="32">
        <f>H12*E12</f>
        <v>571322539.19999993</v>
      </c>
      <c r="J12" s="32"/>
    </row>
    <row r="13" spans="1:10" s="4" customFormat="1" ht="25.5" customHeight="1" outlineLevel="1">
      <c r="A13" s="27" t="str">
        <f>$A$11&amp;"."&amp;ROW()-ROW($A$11)</f>
        <v>2B.C1.2</v>
      </c>
      <c r="B13" s="28" t="s">
        <v>16</v>
      </c>
      <c r="C13" s="28" t="s">
        <v>515</v>
      </c>
      <c r="D13" s="29" t="s">
        <v>520</v>
      </c>
      <c r="E13" s="31">
        <v>3735.08</v>
      </c>
      <c r="F13" s="144">
        <f>_xlfn.XLOOKUP(B13, Rate_Master!$A:$A, Rate_Master!$C:$C, "")</f>
        <v>0</v>
      </c>
      <c r="G13" s="31">
        <f>_xlfn.XLOOKUP(B13, Rate_Master!$A:$A, Rate_Master!$D:$D, "")</f>
        <v>17250</v>
      </c>
      <c r="H13" s="66">
        <f>F13+G13</f>
        <v>17250</v>
      </c>
      <c r="I13" s="32">
        <f>H13*E13</f>
        <v>64430130</v>
      </c>
      <c r="J13" s="32"/>
    </row>
    <row r="14" spans="1:10" s="4" customFormat="1" ht="25.5" customHeight="1" outlineLevel="1">
      <c r="A14" s="27" t="str">
        <f>$A$11&amp;"."&amp;ROW()-ROW($A$11)</f>
        <v>2B.C1.3</v>
      </c>
      <c r="B14" s="28" t="s">
        <v>17</v>
      </c>
      <c r="C14" s="28" t="s">
        <v>515</v>
      </c>
      <c r="D14" s="29" t="s">
        <v>519</v>
      </c>
      <c r="E14" s="31">
        <v>14998.316999999999</v>
      </c>
      <c r="F14" s="144">
        <f>_xlfn.XLOOKUP(B14, Rate_Master!$A:$A, Rate_Master!$C:$C, "")</f>
        <v>0</v>
      </c>
      <c r="G14" s="31">
        <f>_xlfn.XLOOKUP(B14, Rate_Master!$A:$A, Rate_Master!$D:$D, "")</f>
        <v>37950</v>
      </c>
      <c r="H14" s="66">
        <f>F14+G14</f>
        <v>37950</v>
      </c>
      <c r="I14" s="32">
        <f>H14*E14</f>
        <v>569186130.14999998</v>
      </c>
      <c r="J14" s="32"/>
    </row>
    <row r="15" spans="1:10" s="4" customFormat="1" ht="25.5" customHeight="1" outlineLevel="1">
      <c r="A15" s="27" t="str">
        <f>$A$11&amp;"."&amp;ROW()-ROW($A$11)</f>
        <v>2B.C1.4</v>
      </c>
      <c r="B15" s="34" t="s">
        <v>18</v>
      </c>
      <c r="C15" s="34" t="s">
        <v>521</v>
      </c>
      <c r="D15" s="29" t="s">
        <v>519</v>
      </c>
      <c r="E15" s="31">
        <v>2744.6179999999999</v>
      </c>
      <c r="F15" s="144">
        <f>_xlfn.XLOOKUP(B15, Rate_Master!$A:$A, Rate_Master!$C:$C, "")</f>
        <v>0</v>
      </c>
      <c r="G15" s="31">
        <f>_xlfn.XLOOKUP(B15, Rate_Master!$A:$A, Rate_Master!$D:$D, "")</f>
        <v>32199.999999999996</v>
      </c>
      <c r="H15" s="66">
        <f>F15+G15</f>
        <v>32199.999999999996</v>
      </c>
      <c r="I15" s="32">
        <f>H15*E15</f>
        <v>88376699.599999994</v>
      </c>
      <c r="J15" s="32"/>
    </row>
    <row r="16" spans="1:10" s="4" customFormat="1" ht="25.5" customHeight="1" outlineLevel="1">
      <c r="A16" s="27" t="str">
        <f>$A$11&amp;"."&amp;ROW()-ROW($A$11)</f>
        <v>2B.C1.5</v>
      </c>
      <c r="B16" s="28" t="s">
        <v>19</v>
      </c>
      <c r="C16" s="28" t="s">
        <v>515</v>
      </c>
      <c r="D16" s="29" t="s">
        <v>520</v>
      </c>
      <c r="E16" s="31">
        <v>3735.08</v>
      </c>
      <c r="F16" s="144">
        <f>_xlfn.XLOOKUP(B16, Rate_Master!$A:$A, Rate_Master!$C:$C, "")</f>
        <v>6899.9999999999991</v>
      </c>
      <c r="G16" s="31">
        <f>_xlfn.XLOOKUP(B16, Rate_Master!$A:$A, Rate_Master!$D:$D, "")</f>
        <v>1724.9999999999998</v>
      </c>
      <c r="H16" s="66">
        <f>F16+G16</f>
        <v>8624.9999999999982</v>
      </c>
      <c r="I16" s="32">
        <f>H16*E16</f>
        <v>32215064.999999993</v>
      </c>
      <c r="J16" s="32"/>
    </row>
    <row r="17" spans="1:10" s="3" customFormat="1" ht="25.5" customHeight="1">
      <c r="A17" s="22" t="str">
        <f>$A$10&amp;2</f>
        <v>2B.C2</v>
      </c>
      <c r="B17" s="23" t="s">
        <v>23</v>
      </c>
      <c r="C17" s="23" t="s">
        <v>515</v>
      </c>
      <c r="D17" s="22"/>
      <c r="E17" s="25"/>
      <c r="F17" s="145">
        <f>_xlfn.XLOOKUP(B17, Rate_Master!$A:$A, Rate_Master!$C:$C, "")</f>
        <v>0</v>
      </c>
      <c r="G17" s="25">
        <f>_xlfn.XLOOKUP(B17, Rate_Master!$A:$A, Rate_Master!$D:$D, "")</f>
        <v>0</v>
      </c>
      <c r="H17" s="26"/>
      <c r="I17" s="26">
        <f>SUBTOTAL(9,I18:I20)</f>
        <v>5933295420.0444441</v>
      </c>
      <c r="J17" s="26"/>
    </row>
    <row r="18" spans="1:10" s="4" customFormat="1" ht="25.5" customHeight="1" outlineLevel="1">
      <c r="A18" s="27" t="str">
        <f>$A$17&amp;"."&amp;ROW()-ROW($A$17)</f>
        <v>2B.C2.1</v>
      </c>
      <c r="B18" s="28" t="s">
        <v>24</v>
      </c>
      <c r="C18" s="28" t="s">
        <v>515</v>
      </c>
      <c r="D18" s="29" t="s">
        <v>519</v>
      </c>
      <c r="E18" s="31">
        <v>373.40800000000002</v>
      </c>
      <c r="F18" s="142">
        <f>_xlfn.XLOOKUP(B18, Rate_Master!$A:$A, Rate_Master!$C:$C, "")</f>
        <v>1249762.5</v>
      </c>
      <c r="G18" s="30">
        <f>_xlfn.XLOOKUP(B18, Rate_Master!$A:$A, Rate_Master!$D:$D, "")</f>
        <v>206999.99999999997</v>
      </c>
      <c r="H18" s="66">
        <f>F18+G18</f>
        <v>1456762.5</v>
      </c>
      <c r="I18" s="32">
        <f>H18*E18</f>
        <v>543966771.60000002</v>
      </c>
      <c r="J18" s="32"/>
    </row>
    <row r="19" spans="1:10" s="4" customFormat="1" ht="51" customHeight="1" outlineLevel="1">
      <c r="A19" s="27" t="str">
        <f>$A$17&amp;"."&amp;ROW()-ROW($A$17)</f>
        <v>2B.C2.2</v>
      </c>
      <c r="B19" s="28" t="s">
        <v>25</v>
      </c>
      <c r="C19" s="28" t="s">
        <v>515</v>
      </c>
      <c r="D19" s="29" t="s">
        <v>519</v>
      </c>
      <c r="E19" s="31">
        <v>3052.0720000000001</v>
      </c>
      <c r="F19" s="142">
        <f>_xlfn.XLOOKUP(B19, Rate_Master!$A:$A, Rate_Master!$C:$C, "")</f>
        <v>1607444.4444444443</v>
      </c>
      <c r="G19" s="30">
        <f>_xlfn.XLOOKUP(B19, Rate_Master!$A:$A, Rate_Master!$D:$D, "")</f>
        <v>149500</v>
      </c>
      <c r="H19" s="66">
        <f>F19+G19</f>
        <v>1756944.4444444443</v>
      </c>
      <c r="I19" s="32">
        <f>H19*E19</f>
        <v>5362320944.4444437</v>
      </c>
      <c r="J19" s="32"/>
    </row>
    <row r="20" spans="1:10" s="4" customFormat="1" ht="25.5" customHeight="1" outlineLevel="1">
      <c r="A20" s="27" t="str">
        <f>$A$17&amp;"."&amp;ROW()-ROW($A$17)</f>
        <v>2B.C2.3</v>
      </c>
      <c r="B20" s="28" t="s">
        <v>26</v>
      </c>
      <c r="C20" s="28" t="s">
        <v>515</v>
      </c>
      <c r="D20" s="29" t="s">
        <v>519</v>
      </c>
      <c r="E20" s="31">
        <v>15.228</v>
      </c>
      <c r="F20" s="142">
        <f>_xlfn.XLOOKUP(B20, Rate_Master!$A:$A, Rate_Master!$C:$C, "")</f>
        <v>1520555.5555555553</v>
      </c>
      <c r="G20" s="30">
        <f>_xlfn.XLOOKUP(B20, Rate_Master!$A:$A, Rate_Master!$D:$D, "")</f>
        <v>252999.99999999997</v>
      </c>
      <c r="H20" s="66">
        <f>F20+G20</f>
        <v>1773555.5555555553</v>
      </c>
      <c r="I20" s="32">
        <f>H20*E20</f>
        <v>27007703.999999996</v>
      </c>
      <c r="J20" s="32"/>
    </row>
    <row r="21" spans="1:10" s="3" customFormat="1" ht="25.5" customHeight="1">
      <c r="A21" s="22" t="str">
        <f>$A$10&amp;3</f>
        <v>2B.C3</v>
      </c>
      <c r="B21" s="23" t="s">
        <v>31</v>
      </c>
      <c r="C21" s="23" t="s">
        <v>515</v>
      </c>
      <c r="D21" s="22"/>
      <c r="E21" s="25"/>
      <c r="F21" s="145">
        <f>_xlfn.XLOOKUP(B21, Rate_Master!$A:$A, Rate_Master!$C:$C, "")</f>
        <v>0</v>
      </c>
      <c r="G21" s="25">
        <f>_xlfn.XLOOKUP(B21, Rate_Master!$A:$A, Rate_Master!$D:$D, "")</f>
        <v>0</v>
      </c>
      <c r="H21" s="26"/>
      <c r="I21" s="26">
        <f>SUBTOTAL(9,I22:I24)</f>
        <v>2309947154.9999995</v>
      </c>
      <c r="J21" s="26"/>
    </row>
    <row r="22" spans="1:10" s="4" customFormat="1" ht="25.5" customHeight="1" outlineLevel="1">
      <c r="A22" s="27" t="str">
        <f>$A$21&amp;"."&amp;ROW()-ROW($A$21)</f>
        <v>2B.C3.1</v>
      </c>
      <c r="B22" s="28" t="s">
        <v>32</v>
      </c>
      <c r="C22" s="28" t="s">
        <v>515</v>
      </c>
      <c r="D22" s="29" t="s">
        <v>520</v>
      </c>
      <c r="E22" s="31">
        <v>457.18599999999998</v>
      </c>
      <c r="F22" s="142">
        <f>_xlfn.XLOOKUP(B22, Rate_Master!$A:$A, Rate_Master!$C:$C, "")</f>
        <v>80500</v>
      </c>
      <c r="G22" s="30">
        <f>_xlfn.XLOOKUP(B22, Rate_Master!$A:$A, Rate_Master!$D:$D, "")</f>
        <v>92000</v>
      </c>
      <c r="H22" s="66">
        <f>+G22+F22</f>
        <v>172500</v>
      </c>
      <c r="I22" s="32">
        <f>H22*E22</f>
        <v>78864585</v>
      </c>
      <c r="J22" s="32"/>
    </row>
    <row r="23" spans="1:10" s="4" customFormat="1" ht="38.25" customHeight="1" outlineLevel="1">
      <c r="A23" s="27" t="str">
        <f>$A$21&amp;"."&amp;ROW()-ROW($A$21)</f>
        <v>2B.C3.2</v>
      </c>
      <c r="B23" s="28" t="s">
        <v>33</v>
      </c>
      <c r="C23" s="28" t="s">
        <v>515</v>
      </c>
      <c r="D23" s="29" t="s">
        <v>520</v>
      </c>
      <c r="E23" s="31">
        <v>9407.6669999999995</v>
      </c>
      <c r="F23" s="142">
        <f>_xlfn.XLOOKUP(B23, Rate_Master!$A:$A, Rate_Master!$C:$C, "")</f>
        <v>126499.99999999999</v>
      </c>
      <c r="G23" s="30">
        <f>_xlfn.XLOOKUP(B23, Rate_Master!$A:$A, Rate_Master!$D:$D, "")</f>
        <v>103499.99999999999</v>
      </c>
      <c r="H23" s="66">
        <f>+G23+F23</f>
        <v>229999.99999999997</v>
      </c>
      <c r="I23" s="32">
        <f>H23*E23</f>
        <v>2163763409.9999995</v>
      </c>
      <c r="J23" s="32"/>
    </row>
    <row r="24" spans="1:10" s="4" customFormat="1" ht="25.5" customHeight="1" outlineLevel="1">
      <c r="A24" s="27" t="str">
        <f>$A$21&amp;"."&amp;ROW()-ROW($A$21)</f>
        <v>2B.C3.3</v>
      </c>
      <c r="B24" s="28" t="s">
        <v>34</v>
      </c>
      <c r="C24" s="28" t="s">
        <v>515</v>
      </c>
      <c r="D24" s="29" t="s">
        <v>520</v>
      </c>
      <c r="E24" s="31">
        <v>243.91</v>
      </c>
      <c r="F24" s="142">
        <f>_xlfn.XLOOKUP(B24, Rate_Master!$A:$A, Rate_Master!$C:$C, "")</f>
        <v>126499.99999999999</v>
      </c>
      <c r="G24" s="30">
        <f>_xlfn.XLOOKUP(B24, Rate_Master!$A:$A, Rate_Master!$D:$D, "")</f>
        <v>149500</v>
      </c>
      <c r="H24" s="66">
        <f>+G24+F24</f>
        <v>276000</v>
      </c>
      <c r="I24" s="32">
        <f>H24*E24</f>
        <v>67319160</v>
      </c>
      <c r="J24" s="32"/>
    </row>
    <row r="25" spans="1:10" s="3" customFormat="1" ht="25.5" customHeight="1">
      <c r="A25" s="22" t="str">
        <f>$A$10&amp;4</f>
        <v>2B.C4</v>
      </c>
      <c r="B25" s="23" t="s">
        <v>37</v>
      </c>
      <c r="C25" s="23" t="s">
        <v>515</v>
      </c>
      <c r="D25" s="22"/>
      <c r="E25" s="25"/>
      <c r="F25" s="145">
        <f>_xlfn.XLOOKUP(B25, Rate_Master!$A:$A, Rate_Master!$C:$C, "")</f>
        <v>0</v>
      </c>
      <c r="G25" s="25">
        <f>_xlfn.XLOOKUP(B25, Rate_Master!$A:$A, Rate_Master!$D:$D, "")</f>
        <v>0</v>
      </c>
      <c r="H25" s="26"/>
      <c r="I25" s="26">
        <f>SUBTOTAL(9,I26:I27)</f>
        <v>4958749979.5238695</v>
      </c>
      <c r="J25" s="26"/>
    </row>
    <row r="26" spans="1:10" s="4" customFormat="1" ht="38.25" customHeight="1" outlineLevel="1">
      <c r="A26" s="27" t="str">
        <f>$A$25&amp;"."&amp;ROW()-ROW($A$25)</f>
        <v>2B.C4.1</v>
      </c>
      <c r="B26" s="28" t="s">
        <v>38</v>
      </c>
      <c r="C26" s="28" t="s">
        <v>522</v>
      </c>
      <c r="D26" s="29" t="s">
        <v>523</v>
      </c>
      <c r="E26" s="31">
        <v>249777.24600000001</v>
      </c>
      <c r="F26" s="142">
        <f>_xlfn.XLOOKUP(B26, Rate_Master!$A:$A, Rate_Master!$C:$C, "")</f>
        <v>16770.564999999999</v>
      </c>
      <c r="G26" s="30">
        <f>_xlfn.XLOOKUP(B26, Rate_Master!$A:$A, Rate_Master!$D:$D, "")</f>
        <v>2875</v>
      </c>
      <c r="H26" s="66">
        <f>+G26+F26</f>
        <v>19645.564999999999</v>
      </c>
      <c r="I26" s="32">
        <f>H26*E26</f>
        <v>4907015121.8139896</v>
      </c>
      <c r="J26" s="32"/>
    </row>
    <row r="27" spans="1:10" s="4" customFormat="1" ht="25.5" customHeight="1" outlineLevel="1">
      <c r="A27" s="27" t="str">
        <f>$A$25&amp;"."&amp;ROW()-ROW($A$25)</f>
        <v>2B.C4.2</v>
      </c>
      <c r="B27" s="28" t="s">
        <v>39</v>
      </c>
      <c r="C27" s="28" t="s">
        <v>522</v>
      </c>
      <c r="D27" s="29" t="s">
        <v>523</v>
      </c>
      <c r="E27" s="31">
        <v>2529.752</v>
      </c>
      <c r="F27" s="142">
        <f>_xlfn.XLOOKUP(B27, Rate_Master!$A:$A, Rate_Master!$C:$C, "")</f>
        <v>16770.564999999999</v>
      </c>
      <c r="G27" s="30">
        <f>_xlfn.XLOOKUP(B27, Rate_Master!$A:$A, Rate_Master!$D:$D, "")</f>
        <v>3679.9999999999995</v>
      </c>
      <c r="H27" s="66">
        <f>+G27+F27</f>
        <v>20450.564999999999</v>
      </c>
      <c r="I27" s="32">
        <f>H27*E27</f>
        <v>51734857.709879994</v>
      </c>
      <c r="J27" s="32"/>
    </row>
    <row r="28" spans="1:10" s="3" customFormat="1" ht="25.5" customHeight="1">
      <c r="A28" s="22" t="str">
        <f>$A$10&amp;5</f>
        <v>2B.C5</v>
      </c>
      <c r="B28" s="23" t="s">
        <v>43</v>
      </c>
      <c r="C28" s="23" t="s">
        <v>515</v>
      </c>
      <c r="D28" s="22"/>
      <c r="E28" s="25"/>
      <c r="F28" s="145">
        <f>_xlfn.XLOOKUP(B28, Rate_Master!$A:$A, Rate_Master!$C:$C, "")</f>
        <v>0</v>
      </c>
      <c r="G28" s="25">
        <f>_xlfn.XLOOKUP(B28, Rate_Master!$A:$A, Rate_Master!$D:$D, "")</f>
        <v>0</v>
      </c>
      <c r="H28" s="26">
        <f>F28+G28</f>
        <v>0</v>
      </c>
      <c r="I28" s="26">
        <f>SUBTOTAL(9,I29:I29)</f>
        <v>242420000</v>
      </c>
      <c r="J28" s="26"/>
    </row>
    <row r="29" spans="1:10" s="4" customFormat="1" ht="38.25" customHeight="1" outlineLevel="1">
      <c r="A29" s="27" t="str">
        <f>$A$28&amp;"."&amp;ROW()-ROW($A$28)</f>
        <v>2B.C5.1</v>
      </c>
      <c r="B29" s="28" t="s">
        <v>311</v>
      </c>
      <c r="C29" s="28" t="s">
        <v>515</v>
      </c>
      <c r="D29" s="29" t="s">
        <v>517</v>
      </c>
      <c r="E29" s="31">
        <v>1054</v>
      </c>
      <c r="F29" s="142">
        <f>_xlfn.XLOOKUP(B29, Rate_Master!$A:$A, Rate_Master!$C:$C, "")</f>
        <v>172500</v>
      </c>
      <c r="G29" s="30">
        <f>_xlfn.XLOOKUP(B29, Rate_Master!$A:$A, Rate_Master!$D:$D, "")</f>
        <v>57499.999999999993</v>
      </c>
      <c r="H29" s="32">
        <f>+G29+F29</f>
        <v>230000</v>
      </c>
      <c r="I29" s="32">
        <f>H29*E29</f>
        <v>242420000</v>
      </c>
      <c r="J29" s="32"/>
    </row>
    <row r="30" spans="1:10" s="4" customFormat="1" ht="38.25" customHeight="1" outlineLevel="1">
      <c r="A30" s="27" t="str">
        <f>$A$28&amp;"."&amp;ROW()-ROW($A$28)</f>
        <v>2B.C5.2</v>
      </c>
      <c r="B30" s="28" t="s">
        <v>312</v>
      </c>
      <c r="C30" s="28" t="s">
        <v>586</v>
      </c>
      <c r="D30" s="29" t="s">
        <v>517</v>
      </c>
      <c r="E30" s="31">
        <v>1054</v>
      </c>
      <c r="F30" s="142">
        <f>_xlfn.XLOOKUP(B30, Rate_Master!$A:$A, Rate_Master!$C:$C, "")</f>
        <v>75900</v>
      </c>
      <c r="G30" s="30">
        <f>_xlfn.XLOOKUP(B30, Rate_Master!$A:$A, Rate_Master!$D:$D, "")</f>
        <v>29899.999999999996</v>
      </c>
      <c r="H30" s="32">
        <f>+G30+F30</f>
        <v>105800</v>
      </c>
      <c r="I30" s="32">
        <f>H30*E30</f>
        <v>111513200</v>
      </c>
      <c r="J30" s="32"/>
    </row>
    <row r="31" spans="1:10" s="3" customFormat="1" ht="25.5" customHeight="1">
      <c r="A31" s="22" t="str">
        <f>$A$9&amp;".F"</f>
        <v>2B.F</v>
      </c>
      <c r="B31" s="23" t="s">
        <v>93</v>
      </c>
      <c r="C31" s="23" t="s">
        <v>515</v>
      </c>
      <c r="D31" s="22"/>
      <c r="E31" s="25"/>
      <c r="F31" s="145">
        <f>_xlfn.XLOOKUP(B31, Rate_Master!$A:$A, Rate_Master!$C:$C, "")</f>
        <v>0</v>
      </c>
      <c r="G31" s="25">
        <f>_xlfn.XLOOKUP(B31, Rate_Master!$A:$A, Rate_Master!$D:$D, "")</f>
        <v>0</v>
      </c>
      <c r="H31" s="26">
        <f>F31+G31</f>
        <v>0</v>
      </c>
      <c r="I31" s="26"/>
      <c r="J31" s="26"/>
    </row>
    <row r="32" spans="1:10" s="3" customFormat="1" ht="25.5" customHeight="1">
      <c r="A32" s="22" t="str">
        <f>$A$31&amp;1</f>
        <v>2B.F1</v>
      </c>
      <c r="B32" s="23" t="s">
        <v>94</v>
      </c>
      <c r="C32" s="23" t="s">
        <v>515</v>
      </c>
      <c r="D32" s="22"/>
      <c r="E32" s="25"/>
      <c r="F32" s="145">
        <f>_xlfn.XLOOKUP(B32, Rate_Master!$A:$A, Rate_Master!$C:$C, "")</f>
        <v>0</v>
      </c>
      <c r="G32" s="25">
        <f>_xlfn.XLOOKUP(B32, Rate_Master!$A:$A, Rate_Master!$D:$D, "")</f>
        <v>0</v>
      </c>
      <c r="H32" s="26">
        <f>F32+G32</f>
        <v>0</v>
      </c>
      <c r="I32" s="26">
        <f>SUBTOTAL(9,I33:I37)</f>
        <v>3995757551.7249527</v>
      </c>
      <c r="J32" s="26"/>
    </row>
    <row r="33" spans="1:10" s="4" customFormat="1" ht="40.5" customHeight="1" outlineLevel="1">
      <c r="A33" s="27" t="str">
        <f>$A$32&amp;"."&amp;ROW()-ROW($A$32)</f>
        <v>2B.F1.1</v>
      </c>
      <c r="B33" s="35" t="s">
        <v>95</v>
      </c>
      <c r="C33" s="34" t="s">
        <v>551</v>
      </c>
      <c r="D33" s="29" t="s">
        <v>519</v>
      </c>
      <c r="E33" s="31">
        <v>221.32</v>
      </c>
      <c r="F33" s="142">
        <f>_xlfn.XLOOKUP(B33, Rate_Master!$A:$A, Rate_Master!$C:$C, "")</f>
        <v>1587600.0077618286</v>
      </c>
      <c r="G33" s="30">
        <f>_xlfn.XLOOKUP(B33, Rate_Master!$A:$A, Rate_Master!$D:$D, "")</f>
        <v>1086539.80861244</v>
      </c>
      <c r="H33" s="32">
        <f>+G33+F33</f>
        <v>2674139.8163742684</v>
      </c>
      <c r="I33" s="32">
        <f>H33*E33</f>
        <v>591840624.15995312</v>
      </c>
      <c r="J33" s="32"/>
    </row>
    <row r="34" spans="1:10" s="4" customFormat="1" ht="25.5" customHeight="1" outlineLevel="1">
      <c r="A34" s="27" t="str">
        <f>$A$32&amp;"."&amp;ROW()-ROW($A$32)</f>
        <v>2B.F1.2</v>
      </c>
      <c r="B34" s="28" t="s">
        <v>105</v>
      </c>
      <c r="C34" s="34" t="s">
        <v>556</v>
      </c>
      <c r="D34" s="29" t="s">
        <v>520</v>
      </c>
      <c r="E34" s="31">
        <v>5809.3209999999999</v>
      </c>
      <c r="F34" s="142">
        <f>_xlfn.XLOOKUP(B34, Rate_Master!$A:$A, Rate_Master!$C:$C, "")</f>
        <v>26565.000000000004</v>
      </c>
      <c r="G34" s="30">
        <f>_xlfn.XLOOKUP(B34, Rate_Master!$A:$A, Rate_Master!$D:$D, "")</f>
        <v>132250</v>
      </c>
      <c r="H34" s="32">
        <f>+G34+F34</f>
        <v>158815</v>
      </c>
      <c r="I34" s="32">
        <f>H34*E34</f>
        <v>922607314.61500001</v>
      </c>
      <c r="J34" s="32"/>
    </row>
    <row r="35" spans="1:10" s="4" customFormat="1" ht="25.5" customHeight="1" outlineLevel="1">
      <c r="A35" s="27" t="str">
        <f>$A$32&amp;"."&amp;ROW()-ROW($A$32)</f>
        <v>2B.F1.3</v>
      </c>
      <c r="B35" s="34" t="s">
        <v>108</v>
      </c>
      <c r="C35" s="28" t="s">
        <v>515</v>
      </c>
      <c r="D35" s="29" t="s">
        <v>520</v>
      </c>
      <c r="E35" s="31">
        <v>3553.895</v>
      </c>
      <c r="F35" s="142">
        <f>_xlfn.XLOOKUP(B35, Rate_Master!$A:$A, Rate_Master!$C:$C, "")</f>
        <v>51749.999999999993</v>
      </c>
      <c r="G35" s="30">
        <f>_xlfn.XLOOKUP(B35, Rate_Master!$A:$A, Rate_Master!$D:$D, "")</f>
        <v>34500</v>
      </c>
      <c r="H35" s="32">
        <f>+G35+F35</f>
        <v>86250</v>
      </c>
      <c r="I35" s="32">
        <f>H35*E35</f>
        <v>306523443.75</v>
      </c>
      <c r="J35" s="32"/>
    </row>
    <row r="36" spans="1:10" s="4" customFormat="1" ht="25.5" customHeight="1" outlineLevel="1">
      <c r="A36" s="27" t="str">
        <f>$A$32&amp;"."&amp;ROW()-ROW($A$32)</f>
        <v>2B.F1.4</v>
      </c>
      <c r="B36" s="34" t="s">
        <v>313</v>
      </c>
      <c r="C36" s="28" t="s">
        <v>587</v>
      </c>
      <c r="D36" s="29" t="s">
        <v>520</v>
      </c>
      <c r="E36" s="31">
        <v>2255.4259999999999</v>
      </c>
      <c r="F36" s="144">
        <f>_xlfn.XLOOKUP(B36, Rate_Master!$A:$A, Rate_Master!$C:$C, "")</f>
        <v>155250</v>
      </c>
      <c r="G36" s="31">
        <f>_xlfn.XLOOKUP(B36, Rate_Master!$A:$A, Rate_Master!$D:$D, "")</f>
        <v>59799.999999999993</v>
      </c>
      <c r="H36" s="32">
        <f>+G36+F36</f>
        <v>215050</v>
      </c>
      <c r="I36" s="32">
        <f>H36*E36</f>
        <v>485029361.30000001</v>
      </c>
      <c r="J36" s="32"/>
    </row>
    <row r="37" spans="1:10" s="4" customFormat="1" ht="89.25" customHeight="1" outlineLevel="1">
      <c r="A37" s="27" t="str">
        <f>$A$32&amp;"."&amp;ROW()-ROW($A$32)</f>
        <v>2B.F1.5</v>
      </c>
      <c r="B37" s="34" t="s">
        <v>314</v>
      </c>
      <c r="C37" s="28" t="s">
        <v>515</v>
      </c>
      <c r="D37" s="29" t="s">
        <v>517</v>
      </c>
      <c r="E37" s="31">
        <v>1251.579</v>
      </c>
      <c r="F37" s="144">
        <f>_xlfn.XLOOKUP(B37, Rate_Master!$A:$A, Rate_Master!$C:$C, "")</f>
        <v>971749.99999999988</v>
      </c>
      <c r="G37" s="31">
        <f>_xlfn.XLOOKUP(B37, Rate_Master!$A:$A, Rate_Master!$D:$D, "")</f>
        <v>378349.99999999994</v>
      </c>
      <c r="H37" s="32">
        <f>+G37+F37</f>
        <v>1350099.9999999998</v>
      </c>
      <c r="I37" s="32">
        <f>H37*E37</f>
        <v>1689756807.8999996</v>
      </c>
      <c r="J37" s="32"/>
    </row>
  </sheetData>
  <mergeCells count="5">
    <mergeCell ref="C4:J4"/>
    <mergeCell ref="C3:J3"/>
    <mergeCell ref="C7:J7"/>
    <mergeCell ref="C6:J6"/>
    <mergeCell ref="C5:J5"/>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tint="0.499984740745262"/>
    <pageSetUpPr fitToPage="1"/>
  </sheetPr>
  <dimension ref="A1:J52"/>
  <sheetViews>
    <sheetView topLeftCell="A8" workbookViewId="0">
      <pane ySplit="1" topLeftCell="A45" activePane="bottomLeft" state="frozen"/>
      <selection activeCell="A8" sqref="A8"/>
      <selection pane="bottomLeft" activeCell="C47" sqref="C47"/>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7" width="14" style="8" customWidth="1" outlineLevel="1"/>
    <col min="8" max="10" width="14" style="9" customWidth="1"/>
    <col min="11" max="232" width="8.875" style="6" customWidth="1"/>
    <col min="233" max="233" width="6.375" style="6" customWidth="1"/>
    <col min="234" max="234" width="34.25" style="6" customWidth="1"/>
    <col min="235" max="235" width="7.375" style="6" customWidth="1"/>
    <col min="236" max="236" width="6.375" style="6" customWidth="1"/>
    <col min="237" max="237" width="13.125" style="6" customWidth="1"/>
    <col min="238" max="238" width="15.375" style="6" customWidth="1"/>
    <col min="239" max="239" width="21.25" style="6" customWidth="1"/>
    <col min="240" max="488" width="8.875" style="6" customWidth="1"/>
    <col min="489" max="489" width="6.375" style="6" customWidth="1"/>
    <col min="490" max="490" width="34.25" style="6" customWidth="1"/>
    <col min="491" max="491" width="7.375" style="6" customWidth="1"/>
    <col min="492" max="492" width="6.375" style="6" customWidth="1"/>
    <col min="493" max="493" width="13.125" style="6" customWidth="1"/>
    <col min="494" max="494" width="15.375" style="6" customWidth="1"/>
    <col min="495" max="495" width="21.25" style="6" customWidth="1"/>
    <col min="496" max="744" width="8.875" style="6" customWidth="1"/>
    <col min="745" max="745" width="6.375" style="6" customWidth="1"/>
    <col min="746" max="746" width="34.25" style="6" customWidth="1"/>
    <col min="747" max="747" width="7.375" style="6" customWidth="1"/>
    <col min="748" max="748" width="6.375" style="6" customWidth="1"/>
    <col min="749" max="749" width="13.125" style="6" customWidth="1"/>
    <col min="750" max="750" width="15.375" style="6" customWidth="1"/>
    <col min="751" max="751" width="21.25" style="6" customWidth="1"/>
    <col min="752" max="1000" width="8.875" style="6" customWidth="1"/>
    <col min="1001" max="1001" width="6.375" style="6" customWidth="1"/>
    <col min="1002" max="1002" width="34.25" style="6" customWidth="1"/>
    <col min="1003" max="1003" width="7.375" style="6" customWidth="1"/>
    <col min="1004" max="1004" width="6.375" style="6" customWidth="1"/>
    <col min="1005" max="1005" width="13.125" style="6" customWidth="1"/>
    <col min="1006" max="1006" width="15.375" style="6" customWidth="1"/>
    <col min="1007" max="1007" width="21.25" style="6" customWidth="1"/>
    <col min="1008" max="1256" width="8.875" style="6" customWidth="1"/>
    <col min="1257" max="1257" width="6.375" style="6" customWidth="1"/>
    <col min="1258" max="1258" width="34.25" style="6" customWidth="1"/>
    <col min="1259" max="1259" width="7.375" style="6" customWidth="1"/>
    <col min="1260" max="1260" width="6.375" style="6" customWidth="1"/>
    <col min="1261" max="1261" width="13.125" style="6" customWidth="1"/>
    <col min="1262" max="1262" width="15.375" style="6" customWidth="1"/>
    <col min="1263" max="1263" width="21.25" style="6" customWidth="1"/>
    <col min="1264" max="1512" width="8.875" style="6" customWidth="1"/>
    <col min="1513" max="1513" width="6.375" style="6" customWidth="1"/>
    <col min="1514" max="1514" width="34.25" style="6" customWidth="1"/>
    <col min="1515" max="1515" width="7.375" style="6" customWidth="1"/>
    <col min="1516" max="1516" width="6.375" style="6" customWidth="1"/>
    <col min="1517" max="1517" width="13.125" style="6" customWidth="1"/>
    <col min="1518" max="1518" width="15.375" style="6" customWidth="1"/>
    <col min="1519" max="1519" width="21.25" style="6" customWidth="1"/>
    <col min="1520" max="1768" width="8.875" style="6" customWidth="1"/>
    <col min="1769" max="1769" width="6.375" style="6" customWidth="1"/>
    <col min="1770" max="1770" width="34.25" style="6" customWidth="1"/>
    <col min="1771" max="1771" width="7.375" style="6" customWidth="1"/>
    <col min="1772" max="1772" width="6.375" style="6" customWidth="1"/>
    <col min="1773" max="1773" width="13.125" style="6" customWidth="1"/>
    <col min="1774" max="1774" width="15.375" style="6" customWidth="1"/>
    <col min="1775" max="1775" width="21.25" style="6" customWidth="1"/>
    <col min="1776" max="2024" width="8.875" style="6" customWidth="1"/>
    <col min="2025" max="2025" width="6.375" style="6" customWidth="1"/>
    <col min="2026" max="2026" width="34.25" style="6" customWidth="1"/>
    <col min="2027" max="2027" width="7.375" style="6" customWidth="1"/>
    <col min="2028" max="2028" width="6.375" style="6" customWidth="1"/>
    <col min="2029" max="2029" width="13.125" style="6" customWidth="1"/>
    <col min="2030" max="2030" width="15.375" style="6" customWidth="1"/>
    <col min="2031" max="2031" width="21.25" style="6" customWidth="1"/>
    <col min="2032" max="2280" width="8.875" style="6" customWidth="1"/>
    <col min="2281" max="2281" width="6.375" style="6" customWidth="1"/>
    <col min="2282" max="2282" width="34.25" style="6" customWidth="1"/>
    <col min="2283" max="2283" width="7.375" style="6" customWidth="1"/>
    <col min="2284" max="2284" width="6.375" style="6" customWidth="1"/>
    <col min="2285" max="2285" width="13.125" style="6" customWidth="1"/>
    <col min="2286" max="2286" width="15.375" style="6" customWidth="1"/>
    <col min="2287" max="2287" width="21.25" style="6" customWidth="1"/>
    <col min="2288" max="2536" width="8.875" style="6" customWidth="1"/>
    <col min="2537" max="2537" width="6.375" style="6" customWidth="1"/>
    <col min="2538" max="2538" width="34.25" style="6" customWidth="1"/>
    <col min="2539" max="2539" width="7.375" style="6" customWidth="1"/>
    <col min="2540" max="2540" width="6.375" style="6" customWidth="1"/>
    <col min="2541" max="2541" width="13.125" style="6" customWidth="1"/>
    <col min="2542" max="2542" width="15.375" style="6" customWidth="1"/>
    <col min="2543" max="2543" width="21.25" style="6" customWidth="1"/>
    <col min="2544" max="2792" width="8.875" style="6" customWidth="1"/>
    <col min="2793" max="2793" width="6.375" style="6" customWidth="1"/>
    <col min="2794" max="2794" width="34.25" style="6" customWidth="1"/>
    <col min="2795" max="2795" width="7.375" style="6" customWidth="1"/>
    <col min="2796" max="2796" width="6.375" style="6" customWidth="1"/>
    <col min="2797" max="2797" width="13.125" style="6" customWidth="1"/>
    <col min="2798" max="2798" width="15.375" style="6" customWidth="1"/>
    <col min="2799" max="2799" width="21.25" style="6" customWidth="1"/>
    <col min="2800" max="3048" width="8.875" style="6" customWidth="1"/>
    <col min="3049" max="3049" width="6.375" style="6" customWidth="1"/>
    <col min="3050" max="3050" width="34.25" style="6" customWidth="1"/>
    <col min="3051" max="3051" width="7.375" style="6" customWidth="1"/>
    <col min="3052" max="3052" width="6.375" style="6" customWidth="1"/>
    <col min="3053" max="3053" width="13.125" style="6" customWidth="1"/>
    <col min="3054" max="3054" width="15.375" style="6" customWidth="1"/>
    <col min="3055" max="3055" width="21.25" style="6" customWidth="1"/>
    <col min="3056" max="3304" width="8.875" style="6" customWidth="1"/>
    <col min="3305" max="3305" width="6.375" style="6" customWidth="1"/>
    <col min="3306" max="3306" width="34.25" style="6" customWidth="1"/>
    <col min="3307" max="3307" width="7.375" style="6" customWidth="1"/>
    <col min="3308" max="3308" width="6.375" style="6" customWidth="1"/>
    <col min="3309" max="3309" width="13.125" style="6" customWidth="1"/>
    <col min="3310" max="3310" width="15.375" style="6" customWidth="1"/>
    <col min="3311" max="3311" width="21.25" style="6" customWidth="1"/>
    <col min="3312" max="3560" width="8.875" style="6" customWidth="1"/>
    <col min="3561" max="3561" width="6.375" style="6" customWidth="1"/>
    <col min="3562" max="3562" width="34.25" style="6" customWidth="1"/>
    <col min="3563" max="3563" width="7.375" style="6" customWidth="1"/>
    <col min="3564" max="3564" width="6.375" style="6" customWidth="1"/>
    <col min="3565" max="3565" width="13.125" style="6" customWidth="1"/>
    <col min="3566" max="3566" width="15.375" style="6" customWidth="1"/>
    <col min="3567" max="3567" width="21.25" style="6" customWidth="1"/>
    <col min="3568" max="3816" width="8.875" style="6" customWidth="1"/>
    <col min="3817" max="3817" width="6.375" style="6" customWidth="1"/>
    <col min="3818" max="3818" width="34.25" style="6" customWidth="1"/>
    <col min="3819" max="3819" width="7.375" style="6" customWidth="1"/>
    <col min="3820" max="3820" width="6.375" style="6" customWidth="1"/>
    <col min="3821" max="3821" width="13.125" style="6" customWidth="1"/>
    <col min="3822" max="3822" width="15.375" style="6" customWidth="1"/>
    <col min="3823" max="3823" width="21.25" style="6" customWidth="1"/>
    <col min="3824" max="4072" width="8.875" style="6" customWidth="1"/>
    <col min="4073" max="4073" width="6.375" style="6" customWidth="1"/>
    <col min="4074" max="4074" width="34.25" style="6" customWidth="1"/>
    <col min="4075" max="4075" width="7.375" style="6" customWidth="1"/>
    <col min="4076" max="4076" width="6.375" style="6" customWidth="1"/>
    <col min="4077" max="4077" width="13.125" style="6" customWidth="1"/>
    <col min="4078" max="4078" width="15.375" style="6" customWidth="1"/>
    <col min="4079" max="4079" width="21.25" style="6" customWidth="1"/>
    <col min="4080" max="4328" width="8.875" style="6" customWidth="1"/>
    <col min="4329" max="4329" width="6.375" style="6" customWidth="1"/>
    <col min="4330" max="4330" width="34.25" style="6" customWidth="1"/>
    <col min="4331" max="4331" width="7.375" style="6" customWidth="1"/>
    <col min="4332" max="4332" width="6.375" style="6" customWidth="1"/>
    <col min="4333" max="4333" width="13.125" style="6" customWidth="1"/>
    <col min="4334" max="4334" width="15.375" style="6" customWidth="1"/>
    <col min="4335" max="4335" width="21.25" style="6" customWidth="1"/>
    <col min="4336" max="4584" width="8.875" style="6" customWidth="1"/>
    <col min="4585" max="4585" width="6.375" style="6" customWidth="1"/>
    <col min="4586" max="4586" width="34.25" style="6" customWidth="1"/>
    <col min="4587" max="4587" width="7.375" style="6" customWidth="1"/>
    <col min="4588" max="4588" width="6.375" style="6" customWidth="1"/>
    <col min="4589" max="4589" width="13.125" style="6" customWidth="1"/>
    <col min="4590" max="4590" width="15.375" style="6" customWidth="1"/>
    <col min="4591" max="4591" width="21.25" style="6" customWidth="1"/>
    <col min="4592" max="4840" width="8.875" style="6" customWidth="1"/>
    <col min="4841" max="4841" width="6.375" style="6" customWidth="1"/>
    <col min="4842" max="4842" width="34.25" style="6" customWidth="1"/>
    <col min="4843" max="4843" width="7.375" style="6" customWidth="1"/>
    <col min="4844" max="4844" width="6.375" style="6" customWidth="1"/>
    <col min="4845" max="4845" width="13.125" style="6" customWidth="1"/>
    <col min="4846" max="4846" width="15.375" style="6" customWidth="1"/>
    <col min="4847" max="4847" width="21.25" style="6" customWidth="1"/>
    <col min="4848" max="5096" width="8.875" style="6" customWidth="1"/>
    <col min="5097" max="5097" width="6.375" style="6" customWidth="1"/>
    <col min="5098" max="5098" width="34.25" style="6" customWidth="1"/>
    <col min="5099" max="5099" width="7.375" style="6" customWidth="1"/>
    <col min="5100" max="5100" width="6.375" style="6" customWidth="1"/>
    <col min="5101" max="5101" width="13.125" style="6" customWidth="1"/>
    <col min="5102" max="5102" width="15.375" style="6" customWidth="1"/>
    <col min="5103" max="5103" width="21.25" style="6" customWidth="1"/>
    <col min="5104" max="5352" width="8.875" style="6" customWidth="1"/>
    <col min="5353" max="5353" width="6.375" style="6" customWidth="1"/>
    <col min="5354" max="5354" width="34.25" style="6" customWidth="1"/>
    <col min="5355" max="5355" width="7.375" style="6" customWidth="1"/>
    <col min="5356" max="5356" width="6.375" style="6" customWidth="1"/>
    <col min="5357" max="5357" width="13.125" style="6" customWidth="1"/>
    <col min="5358" max="5358" width="15.375" style="6" customWidth="1"/>
    <col min="5359" max="5359" width="21.25" style="6" customWidth="1"/>
    <col min="5360" max="5608" width="8.875" style="6" customWidth="1"/>
    <col min="5609" max="5609" width="6.375" style="6" customWidth="1"/>
    <col min="5610" max="5610" width="34.25" style="6" customWidth="1"/>
    <col min="5611" max="5611" width="7.375" style="6" customWidth="1"/>
    <col min="5612" max="5612" width="6.375" style="6" customWidth="1"/>
    <col min="5613" max="5613" width="13.125" style="6" customWidth="1"/>
    <col min="5614" max="5614" width="15.375" style="6" customWidth="1"/>
    <col min="5615" max="5615" width="21.25" style="6" customWidth="1"/>
    <col min="5616" max="5864" width="8.875" style="6" customWidth="1"/>
    <col min="5865" max="5865" width="6.375" style="6" customWidth="1"/>
    <col min="5866" max="5866" width="34.25" style="6" customWidth="1"/>
    <col min="5867" max="5867" width="7.375" style="6" customWidth="1"/>
    <col min="5868" max="5868" width="6.375" style="6" customWidth="1"/>
    <col min="5869" max="5869" width="13.125" style="6" customWidth="1"/>
    <col min="5870" max="5870" width="15.375" style="6" customWidth="1"/>
    <col min="5871" max="5871" width="21.25" style="6" customWidth="1"/>
    <col min="5872" max="6120" width="8.875" style="6" customWidth="1"/>
    <col min="6121" max="6121" width="6.375" style="6" customWidth="1"/>
    <col min="6122" max="6122" width="34.25" style="6" customWidth="1"/>
    <col min="6123" max="6123" width="7.375" style="6" customWidth="1"/>
    <col min="6124" max="6124" width="6.375" style="6" customWidth="1"/>
    <col min="6125" max="6125" width="13.125" style="6" customWidth="1"/>
    <col min="6126" max="6126" width="15.375" style="6" customWidth="1"/>
    <col min="6127" max="6127" width="21.25" style="6" customWidth="1"/>
    <col min="6128" max="6376" width="8.875" style="6" customWidth="1"/>
    <col min="6377" max="6377" width="6.375" style="6" customWidth="1"/>
    <col min="6378" max="6378" width="34.25" style="6" customWidth="1"/>
    <col min="6379" max="6379" width="7.375" style="6" customWidth="1"/>
    <col min="6380" max="6380" width="6.375" style="6" customWidth="1"/>
    <col min="6381" max="6381" width="13.125" style="6" customWidth="1"/>
    <col min="6382" max="6382" width="15.375" style="6" customWidth="1"/>
    <col min="6383" max="6383" width="21.25" style="6" customWidth="1"/>
    <col min="6384" max="6632" width="8.875" style="6" customWidth="1"/>
    <col min="6633" max="6633" width="6.375" style="6" customWidth="1"/>
    <col min="6634" max="6634" width="34.25" style="6" customWidth="1"/>
    <col min="6635" max="6635" width="7.375" style="6" customWidth="1"/>
    <col min="6636" max="6636" width="6.375" style="6" customWidth="1"/>
    <col min="6637" max="6637" width="13.125" style="6" customWidth="1"/>
    <col min="6638" max="6638" width="15.375" style="6" customWidth="1"/>
    <col min="6639" max="6639" width="21.25" style="6" customWidth="1"/>
    <col min="6640" max="6888" width="8.875" style="6" customWidth="1"/>
    <col min="6889" max="6889" width="6.375" style="6" customWidth="1"/>
    <col min="6890" max="6890" width="34.25" style="6" customWidth="1"/>
    <col min="6891" max="6891" width="7.375" style="6" customWidth="1"/>
    <col min="6892" max="6892" width="6.375" style="6" customWidth="1"/>
    <col min="6893" max="6893" width="13.125" style="6" customWidth="1"/>
    <col min="6894" max="6894" width="15.375" style="6" customWidth="1"/>
    <col min="6895" max="6895" width="21.25" style="6" customWidth="1"/>
    <col min="6896" max="7144" width="8.875" style="6" customWidth="1"/>
    <col min="7145" max="7145" width="6.375" style="6" customWidth="1"/>
    <col min="7146" max="7146" width="34.25" style="6" customWidth="1"/>
    <col min="7147" max="7147" width="7.375" style="6" customWidth="1"/>
    <col min="7148" max="7148" width="6.375" style="6" customWidth="1"/>
    <col min="7149" max="7149" width="13.125" style="6" customWidth="1"/>
    <col min="7150" max="7150" width="15.375" style="6" customWidth="1"/>
    <col min="7151" max="7151" width="21.25" style="6" customWidth="1"/>
    <col min="7152" max="7400" width="8.875" style="6" customWidth="1"/>
    <col min="7401" max="7401" width="6.375" style="6" customWidth="1"/>
    <col min="7402" max="7402" width="34.25" style="6" customWidth="1"/>
    <col min="7403" max="7403" width="7.375" style="6" customWidth="1"/>
    <col min="7404" max="7404" width="6.375" style="6" customWidth="1"/>
    <col min="7405" max="7405" width="13.125" style="6" customWidth="1"/>
    <col min="7406" max="7406" width="15.375" style="6" customWidth="1"/>
    <col min="7407" max="7407" width="21.25" style="6" customWidth="1"/>
    <col min="7408" max="7656" width="8.875" style="6" customWidth="1"/>
    <col min="7657" max="7657" width="6.375" style="6" customWidth="1"/>
    <col min="7658" max="7658" width="34.25" style="6" customWidth="1"/>
    <col min="7659" max="7659" width="7.375" style="6" customWidth="1"/>
    <col min="7660" max="7660" width="6.375" style="6" customWidth="1"/>
    <col min="7661" max="7661" width="13.125" style="6" customWidth="1"/>
    <col min="7662" max="7662" width="15.375" style="6" customWidth="1"/>
    <col min="7663" max="7663" width="21.25" style="6" customWidth="1"/>
    <col min="7664" max="7912" width="8.875" style="6" customWidth="1"/>
    <col min="7913" max="7913" width="6.375" style="6" customWidth="1"/>
    <col min="7914" max="7914" width="34.25" style="6" customWidth="1"/>
    <col min="7915" max="7915" width="7.375" style="6" customWidth="1"/>
    <col min="7916" max="7916" width="6.375" style="6" customWidth="1"/>
    <col min="7917" max="7917" width="13.125" style="6" customWidth="1"/>
    <col min="7918" max="7918" width="15.375" style="6" customWidth="1"/>
    <col min="7919" max="7919" width="21.25" style="6" customWidth="1"/>
    <col min="7920" max="8168" width="8.875" style="6" customWidth="1"/>
    <col min="8169" max="8169" width="6.375" style="6" customWidth="1"/>
    <col min="8170" max="8170" width="34.25" style="6" customWidth="1"/>
    <col min="8171" max="8171" width="7.375" style="6" customWidth="1"/>
    <col min="8172" max="8172" width="6.375" style="6" customWidth="1"/>
    <col min="8173" max="8173" width="13.125" style="6" customWidth="1"/>
    <col min="8174" max="8174" width="15.375" style="6" customWidth="1"/>
    <col min="8175" max="8175" width="21.25" style="6" customWidth="1"/>
    <col min="8176" max="8424" width="8.875" style="6" customWidth="1"/>
    <col min="8425" max="8425" width="6.375" style="6" customWidth="1"/>
    <col min="8426" max="8426" width="34.25" style="6" customWidth="1"/>
    <col min="8427" max="8427" width="7.375" style="6" customWidth="1"/>
    <col min="8428" max="8428" width="6.375" style="6" customWidth="1"/>
    <col min="8429" max="8429" width="13.125" style="6" customWidth="1"/>
    <col min="8430" max="8430" width="15.375" style="6" customWidth="1"/>
    <col min="8431" max="8431" width="21.25" style="6" customWidth="1"/>
    <col min="8432" max="8680" width="8.875" style="6" customWidth="1"/>
    <col min="8681" max="8681" width="6.375" style="6" customWidth="1"/>
    <col min="8682" max="8682" width="34.25" style="6" customWidth="1"/>
    <col min="8683" max="8683" width="7.375" style="6" customWidth="1"/>
    <col min="8684" max="8684" width="6.375" style="6" customWidth="1"/>
    <col min="8685" max="8685" width="13.125" style="6" customWidth="1"/>
    <col min="8686" max="8686" width="15.375" style="6" customWidth="1"/>
    <col min="8687" max="8687" width="21.25" style="6" customWidth="1"/>
    <col min="8688" max="8936" width="8.875" style="6" customWidth="1"/>
    <col min="8937" max="8937" width="6.375" style="6" customWidth="1"/>
    <col min="8938" max="8938" width="34.25" style="6" customWidth="1"/>
    <col min="8939" max="8939" width="7.375" style="6" customWidth="1"/>
    <col min="8940" max="8940" width="6.375" style="6" customWidth="1"/>
    <col min="8941" max="8941" width="13.125" style="6" customWidth="1"/>
    <col min="8942" max="8942" width="15.375" style="6" customWidth="1"/>
    <col min="8943" max="8943" width="21.25" style="6" customWidth="1"/>
    <col min="8944" max="9192" width="8.875" style="6" customWidth="1"/>
    <col min="9193" max="9193" width="6.375" style="6" customWidth="1"/>
    <col min="9194" max="9194" width="34.25" style="6" customWidth="1"/>
    <col min="9195" max="9195" width="7.375" style="6" customWidth="1"/>
    <col min="9196" max="9196" width="6.375" style="6" customWidth="1"/>
    <col min="9197" max="9197" width="13.125" style="6" customWidth="1"/>
    <col min="9198" max="9198" width="15.375" style="6" customWidth="1"/>
    <col min="9199" max="9199" width="21.25" style="6" customWidth="1"/>
    <col min="9200" max="9448" width="8.875" style="6" customWidth="1"/>
    <col min="9449" max="9449" width="6.375" style="6" customWidth="1"/>
    <col min="9450" max="9450" width="34.25" style="6" customWidth="1"/>
    <col min="9451" max="9451" width="7.375" style="6" customWidth="1"/>
    <col min="9452" max="9452" width="6.375" style="6" customWidth="1"/>
    <col min="9453" max="9453" width="13.125" style="6" customWidth="1"/>
    <col min="9454" max="9454" width="15.375" style="6" customWidth="1"/>
    <col min="9455" max="9455" width="21.25" style="6" customWidth="1"/>
    <col min="9456" max="9704" width="8.875" style="6" customWidth="1"/>
    <col min="9705" max="9705" width="6.375" style="6" customWidth="1"/>
    <col min="9706" max="9706" width="34.25" style="6" customWidth="1"/>
    <col min="9707" max="9707" width="7.375" style="6" customWidth="1"/>
    <col min="9708" max="9708" width="6.375" style="6" customWidth="1"/>
    <col min="9709" max="9709" width="13.125" style="6" customWidth="1"/>
    <col min="9710" max="9710" width="15.375" style="6" customWidth="1"/>
    <col min="9711" max="9711" width="21.25" style="6" customWidth="1"/>
    <col min="9712" max="9960" width="8.875" style="6" customWidth="1"/>
    <col min="9961" max="9961" width="6.375" style="6" customWidth="1"/>
    <col min="9962" max="9962" width="34.25" style="6" customWidth="1"/>
    <col min="9963" max="9963" width="7.375" style="6" customWidth="1"/>
    <col min="9964" max="9964" width="6.375" style="6" customWidth="1"/>
    <col min="9965" max="9965" width="13.125" style="6" customWidth="1"/>
    <col min="9966" max="9966" width="15.375" style="6" customWidth="1"/>
    <col min="9967" max="9967" width="21.25" style="6" customWidth="1"/>
    <col min="9968" max="10216" width="8.875" style="6" customWidth="1"/>
    <col min="10217" max="10217" width="6.375" style="6" customWidth="1"/>
    <col min="10218" max="10218" width="34.25" style="6" customWidth="1"/>
    <col min="10219" max="10219" width="7.375" style="6" customWidth="1"/>
    <col min="10220" max="10220" width="6.375" style="6" customWidth="1"/>
    <col min="10221" max="10221" width="13.125" style="6" customWidth="1"/>
    <col min="10222" max="10222" width="15.375" style="6" customWidth="1"/>
    <col min="10223" max="10223" width="21.25" style="6" customWidth="1"/>
    <col min="10224" max="10472" width="8.875" style="6" customWidth="1"/>
    <col min="10473" max="10473" width="6.375" style="6" customWidth="1"/>
    <col min="10474" max="10474" width="34.25" style="6" customWidth="1"/>
    <col min="10475" max="10475" width="7.375" style="6" customWidth="1"/>
    <col min="10476" max="10476" width="6.375" style="6" customWidth="1"/>
    <col min="10477" max="10477" width="13.125" style="6" customWidth="1"/>
    <col min="10478" max="10478" width="15.375" style="6" customWidth="1"/>
    <col min="10479" max="10479" width="21.25" style="6" customWidth="1"/>
    <col min="10480" max="10728" width="8.875" style="6" customWidth="1"/>
    <col min="10729" max="10729" width="6.375" style="6" customWidth="1"/>
    <col min="10730" max="10730" width="34.25" style="6" customWidth="1"/>
    <col min="10731" max="10731" width="7.375" style="6" customWidth="1"/>
    <col min="10732" max="10732" width="6.375" style="6" customWidth="1"/>
    <col min="10733" max="10733" width="13.125" style="6" customWidth="1"/>
    <col min="10734" max="10734" width="15.375" style="6" customWidth="1"/>
    <col min="10735" max="10735" width="21.25" style="6" customWidth="1"/>
    <col min="10736" max="10984" width="8.875" style="6" customWidth="1"/>
    <col min="10985" max="10985" width="6.375" style="6" customWidth="1"/>
    <col min="10986" max="10986" width="34.25" style="6" customWidth="1"/>
    <col min="10987" max="10987" width="7.375" style="6" customWidth="1"/>
    <col min="10988" max="10988" width="6.375" style="6" customWidth="1"/>
    <col min="10989" max="10989" width="13.125" style="6" customWidth="1"/>
    <col min="10990" max="10990" width="15.375" style="6" customWidth="1"/>
    <col min="10991" max="10991" width="21.25" style="6" customWidth="1"/>
    <col min="10992" max="11240" width="8.875" style="6" customWidth="1"/>
    <col min="11241" max="11241" width="6.375" style="6" customWidth="1"/>
    <col min="11242" max="11242" width="34.25" style="6" customWidth="1"/>
    <col min="11243" max="11243" width="7.375" style="6" customWidth="1"/>
    <col min="11244" max="11244" width="6.375" style="6" customWidth="1"/>
    <col min="11245" max="11245" width="13.125" style="6" customWidth="1"/>
    <col min="11246" max="11246" width="15.375" style="6" customWidth="1"/>
    <col min="11247" max="11247" width="21.25" style="6" customWidth="1"/>
    <col min="11248" max="11496" width="8.875" style="6" customWidth="1"/>
    <col min="11497" max="11497" width="6.375" style="6" customWidth="1"/>
    <col min="11498" max="11498" width="34.25" style="6" customWidth="1"/>
    <col min="11499" max="11499" width="7.375" style="6" customWidth="1"/>
    <col min="11500" max="11500" width="6.375" style="6" customWidth="1"/>
    <col min="11501" max="11501" width="13.125" style="6" customWidth="1"/>
    <col min="11502" max="11502" width="15.375" style="6" customWidth="1"/>
    <col min="11503" max="11503" width="21.25" style="6" customWidth="1"/>
    <col min="11504" max="11752" width="8.875" style="6" customWidth="1"/>
    <col min="11753" max="11753" width="6.375" style="6" customWidth="1"/>
    <col min="11754" max="11754" width="34.25" style="6" customWidth="1"/>
    <col min="11755" max="11755" width="7.375" style="6" customWidth="1"/>
    <col min="11756" max="11756" width="6.375" style="6" customWidth="1"/>
    <col min="11757" max="11757" width="13.125" style="6" customWidth="1"/>
    <col min="11758" max="11758" width="15.375" style="6" customWidth="1"/>
    <col min="11759" max="11759" width="21.25" style="6" customWidth="1"/>
    <col min="11760" max="12008" width="8.875" style="6" customWidth="1"/>
    <col min="12009" max="12009" width="6.375" style="6" customWidth="1"/>
    <col min="12010" max="12010" width="34.25" style="6" customWidth="1"/>
    <col min="12011" max="12011" width="7.375" style="6" customWidth="1"/>
    <col min="12012" max="12012" width="6.375" style="6" customWidth="1"/>
    <col min="12013" max="12013" width="13.125" style="6" customWidth="1"/>
    <col min="12014" max="12014" width="15.375" style="6" customWidth="1"/>
    <col min="12015" max="12015" width="21.25" style="6" customWidth="1"/>
    <col min="12016" max="12264" width="8.875" style="6" customWidth="1"/>
    <col min="12265" max="12265" width="6.375" style="6" customWidth="1"/>
    <col min="12266" max="12266" width="34.25" style="6" customWidth="1"/>
    <col min="12267" max="12267" width="7.375" style="6" customWidth="1"/>
    <col min="12268" max="12268" width="6.375" style="6" customWidth="1"/>
    <col min="12269" max="12269" width="13.125" style="6" customWidth="1"/>
    <col min="12270" max="12270" width="15.375" style="6" customWidth="1"/>
    <col min="12271" max="12271" width="21.25" style="6" customWidth="1"/>
    <col min="12272" max="12520" width="8.875" style="6" customWidth="1"/>
    <col min="12521" max="12521" width="6.375" style="6" customWidth="1"/>
    <col min="12522" max="12522" width="34.25" style="6" customWidth="1"/>
    <col min="12523" max="12523" width="7.375" style="6" customWidth="1"/>
    <col min="12524" max="12524" width="6.375" style="6" customWidth="1"/>
    <col min="12525" max="12525" width="13.125" style="6" customWidth="1"/>
    <col min="12526" max="12526" width="15.375" style="6" customWidth="1"/>
    <col min="12527" max="12527" width="21.25" style="6" customWidth="1"/>
    <col min="12528" max="12776" width="8.875" style="6" customWidth="1"/>
    <col min="12777" max="12777" width="6.375" style="6" customWidth="1"/>
    <col min="12778" max="12778" width="34.25" style="6" customWidth="1"/>
    <col min="12779" max="12779" width="7.375" style="6" customWidth="1"/>
    <col min="12780" max="12780" width="6.375" style="6" customWidth="1"/>
    <col min="12781" max="12781" width="13.125" style="6" customWidth="1"/>
    <col min="12782" max="12782" width="15.375" style="6" customWidth="1"/>
    <col min="12783" max="12783" width="21.25" style="6" customWidth="1"/>
    <col min="12784" max="13032" width="8.875" style="6" customWidth="1"/>
    <col min="13033" max="13033" width="6.375" style="6" customWidth="1"/>
    <col min="13034" max="13034" width="34.25" style="6" customWidth="1"/>
    <col min="13035" max="13035" width="7.375" style="6" customWidth="1"/>
    <col min="13036" max="13036" width="6.375" style="6" customWidth="1"/>
    <col min="13037" max="13037" width="13.125" style="6" customWidth="1"/>
    <col min="13038" max="13038" width="15.375" style="6" customWidth="1"/>
    <col min="13039" max="13039" width="21.25" style="6" customWidth="1"/>
    <col min="13040" max="13288" width="8.875" style="6" customWidth="1"/>
    <col min="13289" max="13289" width="6.375" style="6" customWidth="1"/>
    <col min="13290" max="13290" width="34.25" style="6" customWidth="1"/>
    <col min="13291" max="13291" width="7.375" style="6" customWidth="1"/>
    <col min="13292" max="13292" width="6.375" style="6" customWidth="1"/>
    <col min="13293" max="13293" width="13.125" style="6" customWidth="1"/>
    <col min="13294" max="13294" width="15.375" style="6" customWidth="1"/>
    <col min="13295" max="13295" width="21.25" style="6" customWidth="1"/>
    <col min="13296" max="13544" width="8.875" style="6" customWidth="1"/>
    <col min="13545" max="13545" width="6.375" style="6" customWidth="1"/>
    <col min="13546" max="13546" width="34.25" style="6" customWidth="1"/>
    <col min="13547" max="13547" width="7.375" style="6" customWidth="1"/>
    <col min="13548" max="13548" width="6.375" style="6" customWidth="1"/>
    <col min="13549" max="13549" width="13.125" style="6" customWidth="1"/>
    <col min="13550" max="13550" width="15.375" style="6" customWidth="1"/>
    <col min="13551" max="13551" width="21.25" style="6" customWidth="1"/>
    <col min="13552" max="13800" width="8.875" style="6" customWidth="1"/>
    <col min="13801" max="13801" width="6.375" style="6" customWidth="1"/>
    <col min="13802" max="13802" width="34.25" style="6" customWidth="1"/>
    <col min="13803" max="13803" width="7.375" style="6" customWidth="1"/>
    <col min="13804" max="13804" width="6.375" style="6" customWidth="1"/>
    <col min="13805" max="13805" width="13.125" style="6" customWidth="1"/>
    <col min="13806" max="13806" width="15.375" style="6" customWidth="1"/>
    <col min="13807" max="13807" width="21.25" style="6" customWidth="1"/>
    <col min="13808" max="14056" width="8.875" style="6" customWidth="1"/>
    <col min="14057" max="14057" width="6.375" style="6" customWidth="1"/>
    <col min="14058" max="14058" width="34.25" style="6" customWidth="1"/>
    <col min="14059" max="14059" width="7.375" style="6" customWidth="1"/>
    <col min="14060" max="14060" width="6.375" style="6" customWidth="1"/>
    <col min="14061" max="14061" width="13.125" style="6" customWidth="1"/>
    <col min="14062" max="14062" width="15.375" style="6" customWidth="1"/>
    <col min="14063" max="14063" width="21.25" style="6" customWidth="1"/>
    <col min="14064" max="14312" width="8.875" style="6" customWidth="1"/>
    <col min="14313" max="14313" width="6.375" style="6" customWidth="1"/>
    <col min="14314" max="14314" width="34.25" style="6" customWidth="1"/>
    <col min="14315" max="14315" width="7.375" style="6" customWidth="1"/>
    <col min="14316" max="14316" width="6.375" style="6" customWidth="1"/>
    <col min="14317" max="14317" width="13.125" style="6" customWidth="1"/>
    <col min="14318" max="14318" width="15.375" style="6" customWidth="1"/>
    <col min="14319" max="14319" width="21.25" style="6" customWidth="1"/>
    <col min="14320" max="14568" width="8.875" style="6" customWidth="1"/>
    <col min="14569" max="14569" width="6.375" style="6" customWidth="1"/>
    <col min="14570" max="14570" width="34.25" style="6" customWidth="1"/>
    <col min="14571" max="14571" width="7.375" style="6" customWidth="1"/>
    <col min="14572" max="14572" width="6.375" style="6" customWidth="1"/>
    <col min="14573" max="14573" width="13.125" style="6" customWidth="1"/>
    <col min="14574" max="14574" width="15.375" style="6" customWidth="1"/>
    <col min="14575" max="14575" width="21.25" style="6" customWidth="1"/>
    <col min="14576" max="14824" width="8.875" style="6" customWidth="1"/>
    <col min="14825" max="14825" width="6.375" style="6" customWidth="1"/>
    <col min="14826" max="14826" width="34.25" style="6" customWidth="1"/>
    <col min="14827" max="14827" width="7.375" style="6" customWidth="1"/>
    <col min="14828" max="14828" width="6.375" style="6" customWidth="1"/>
    <col min="14829" max="14829" width="13.125" style="6" customWidth="1"/>
    <col min="14830" max="14830" width="15.375" style="6" customWidth="1"/>
    <col min="14831" max="14831" width="21.25" style="6" customWidth="1"/>
    <col min="14832" max="15080" width="8.875" style="6" customWidth="1"/>
    <col min="15081" max="15081" width="6.375" style="6" customWidth="1"/>
    <col min="15082" max="15082" width="34.25" style="6" customWidth="1"/>
    <col min="15083" max="15083" width="7.375" style="6" customWidth="1"/>
    <col min="15084" max="15084" width="6.375" style="6" customWidth="1"/>
    <col min="15085" max="15085" width="13.125" style="6" customWidth="1"/>
    <col min="15086" max="15086" width="15.375" style="6" customWidth="1"/>
    <col min="15087" max="15087" width="21.25" style="6" customWidth="1"/>
    <col min="15088" max="15336" width="8.875" style="6" customWidth="1"/>
    <col min="15337" max="15337" width="6.375" style="6" customWidth="1"/>
    <col min="15338" max="15338" width="34.25" style="6" customWidth="1"/>
    <col min="15339" max="15339" width="7.375" style="6" customWidth="1"/>
    <col min="15340" max="15340" width="6.375" style="6" customWidth="1"/>
    <col min="15341" max="15341" width="13.125" style="6" customWidth="1"/>
    <col min="15342" max="15342" width="15.375" style="6" customWidth="1"/>
    <col min="15343" max="15343" width="21.25" style="6" customWidth="1"/>
    <col min="15344" max="15592" width="8.875" style="6" customWidth="1"/>
    <col min="15593" max="15593" width="6.375" style="6" customWidth="1"/>
    <col min="15594" max="15594" width="34.25" style="6" customWidth="1"/>
    <col min="15595" max="15595" width="7.375" style="6" customWidth="1"/>
    <col min="15596" max="15596" width="6.375" style="6" customWidth="1"/>
    <col min="15597" max="15597" width="13.125" style="6" customWidth="1"/>
    <col min="15598" max="15598" width="15.375" style="6" customWidth="1"/>
    <col min="15599" max="15599" width="21.25" style="6" customWidth="1"/>
    <col min="15600" max="15848" width="8.875" style="6" customWidth="1"/>
    <col min="15849" max="15849" width="6.375" style="6" customWidth="1"/>
    <col min="15850" max="15850" width="34.25" style="6" customWidth="1"/>
    <col min="15851" max="15851" width="7.375" style="6" customWidth="1"/>
    <col min="15852" max="15852" width="6.375" style="6" customWidth="1"/>
    <col min="15853" max="15853" width="13.125" style="6" customWidth="1"/>
    <col min="15854" max="15854" width="15.375" style="6" customWidth="1"/>
    <col min="15855" max="15855" width="21.25" style="6" customWidth="1"/>
    <col min="15856" max="16104" width="8.875" style="6" customWidth="1"/>
    <col min="16105" max="16105" width="6.375" style="6" customWidth="1"/>
    <col min="16106" max="16106" width="34.25" style="6" customWidth="1"/>
    <col min="16107" max="16107" width="7.375" style="6" customWidth="1"/>
    <col min="16108" max="16108" width="6.375" style="6" customWidth="1"/>
    <col min="16109" max="16109" width="13.125" style="6" customWidth="1"/>
    <col min="16110" max="16110" width="15.375" style="6" customWidth="1"/>
    <col min="16111" max="16111" width="21.25" style="6" customWidth="1"/>
    <col min="16112" max="16384" width="8.875" style="6" customWidth="1"/>
  </cols>
  <sheetData>
    <row r="1" spans="1:10" ht="48" customHeight="1"/>
    <row r="2" spans="1:10" s="1" customFormat="1" ht="51" customHeight="1">
      <c r="A2" s="10" t="s">
        <v>507</v>
      </c>
      <c r="B2" s="11"/>
      <c r="C2" s="12"/>
      <c r="D2" s="11"/>
      <c r="E2" s="14"/>
      <c r="F2" s="14"/>
      <c r="G2" s="14"/>
      <c r="H2" s="15"/>
      <c r="I2" s="15"/>
      <c r="J2" s="15"/>
    </row>
    <row r="3" spans="1:10" ht="26.25" customHeight="1">
      <c r="A3" s="16"/>
      <c r="B3" s="17" t="s">
        <v>440</v>
      </c>
      <c r="C3" s="213"/>
      <c r="D3" s="217"/>
      <c r="E3" s="214"/>
      <c r="F3" s="214"/>
      <c r="G3" s="214"/>
      <c r="H3" s="220"/>
      <c r="I3" s="220"/>
      <c r="J3" s="220"/>
    </row>
    <row r="4" spans="1:10" ht="26.25" customHeight="1">
      <c r="A4" s="18"/>
      <c r="B4" s="5" t="s">
        <v>441</v>
      </c>
      <c r="C4" s="222"/>
      <c r="D4" s="217"/>
      <c r="E4" s="214"/>
      <c r="F4" s="214"/>
      <c r="G4" s="214"/>
      <c r="H4" s="220"/>
      <c r="I4" s="220"/>
      <c r="J4" s="220"/>
    </row>
    <row r="5" spans="1:10" ht="26.25" customHeight="1">
      <c r="A5" s="18"/>
      <c r="B5" s="5" t="s">
        <v>442</v>
      </c>
      <c r="C5" s="216"/>
      <c r="D5" s="217"/>
      <c r="E5" s="214"/>
      <c r="F5" s="214"/>
      <c r="G5" s="214"/>
      <c r="H5" s="220"/>
      <c r="I5" s="220"/>
      <c r="J5" s="220"/>
    </row>
    <row r="6" spans="1:10" ht="26.25" customHeight="1">
      <c r="A6" s="18"/>
      <c r="B6" s="5" t="s">
        <v>443</v>
      </c>
      <c r="C6" s="213" t="str">
        <f>INDEX(總表!$B$9:$B$47,MATCH('3B'!A9,總表!$A$9:$A$48,0))</f>
        <v>Hệ thống thoát nước mưa
雨水排水系統</v>
      </c>
      <c r="D6" s="217"/>
      <c r="E6" s="214"/>
      <c r="F6" s="214"/>
      <c r="G6" s="214"/>
      <c r="H6" s="220"/>
      <c r="I6" s="220"/>
      <c r="J6" s="220"/>
    </row>
    <row r="7" spans="1:10" ht="26.25" customHeight="1">
      <c r="A7" s="18"/>
      <c r="B7" s="5" t="s">
        <v>444</v>
      </c>
      <c r="C7" s="223" t="s">
        <v>445</v>
      </c>
      <c r="D7" s="224"/>
      <c r="E7" s="224"/>
      <c r="F7" s="224"/>
      <c r="G7" s="224"/>
      <c r="H7" s="224"/>
      <c r="I7" s="224"/>
      <c r="J7" s="224"/>
    </row>
    <row r="8" spans="1:10" s="2" customFormat="1" ht="41.25" customHeight="1">
      <c r="A8" s="19" t="s">
        <v>446</v>
      </c>
      <c r="B8" s="19" t="s">
        <v>508</v>
      </c>
      <c r="C8" s="19" t="s">
        <v>509</v>
      </c>
      <c r="D8" s="19" t="s">
        <v>448</v>
      </c>
      <c r="E8" s="19" t="s">
        <v>449</v>
      </c>
      <c r="F8" s="19" t="s">
        <v>511</v>
      </c>
      <c r="G8" s="19" t="s">
        <v>512</v>
      </c>
      <c r="H8" s="21" t="s">
        <v>450</v>
      </c>
      <c r="I8" s="21" t="s">
        <v>452</v>
      </c>
      <c r="J8" s="21" t="s">
        <v>514</v>
      </c>
    </row>
    <row r="9" spans="1:10" s="3" customFormat="1" ht="25.5" customHeight="1">
      <c r="A9" s="22" t="s">
        <v>489</v>
      </c>
      <c r="B9" s="23" t="str">
        <f>C6</f>
        <v>Hệ thống thoát nước mưa
雨水排水系統</v>
      </c>
      <c r="C9" s="23" t="s">
        <v>515</v>
      </c>
      <c r="D9" s="22"/>
      <c r="E9" s="25"/>
      <c r="F9" s="25">
        <f>_xlfn.XLOOKUP(B9, Rate_Master!$A:$A, Rate_Master!$C:$C, "")</f>
        <v>0</v>
      </c>
      <c r="G9" s="25">
        <f>_xlfn.XLOOKUP(B9, Rate_Master!$A:$A, Rate_Master!$D:$D, "")</f>
        <v>0</v>
      </c>
      <c r="H9" s="26"/>
      <c r="I9" s="26">
        <f>SUBTOTAL(9,I10:I52)</f>
        <v>38094529654</v>
      </c>
      <c r="J9" s="26"/>
    </row>
    <row r="10" spans="1:10" s="3" customFormat="1" ht="25.5" customHeight="1">
      <c r="A10" s="22" t="str">
        <f>A9&amp;".1"</f>
        <v>3B.1</v>
      </c>
      <c r="B10" s="23" t="s">
        <v>316</v>
      </c>
      <c r="C10" s="23" t="s">
        <v>515</v>
      </c>
      <c r="D10" s="22"/>
      <c r="E10" s="25"/>
      <c r="F10" s="25">
        <f>_xlfn.XLOOKUP(B10, Rate_Master!$A:$A, Rate_Master!$C:$C, "")</f>
        <v>0</v>
      </c>
      <c r="G10" s="25">
        <f>_xlfn.XLOOKUP(B10, Rate_Master!$A:$A, Rate_Master!$D:$D, "")</f>
        <v>0</v>
      </c>
      <c r="H10" s="26"/>
      <c r="I10" s="26">
        <f>SUBTOTAL(9,I11:I20)</f>
        <v>2096350985</v>
      </c>
      <c r="J10" s="26"/>
    </row>
    <row r="11" spans="1:10" s="4" customFormat="1" ht="25.5" customHeight="1" outlineLevel="1">
      <c r="A11" s="27" t="str">
        <f t="shared" ref="A11:A20" si="0">$A$10&amp;"."&amp;ROW()-ROW($A$10)</f>
        <v>3B.1.1</v>
      </c>
      <c r="B11" s="28" t="s">
        <v>317</v>
      </c>
      <c r="C11" s="28" t="s">
        <v>515</v>
      </c>
      <c r="D11" s="29" t="s">
        <v>517</v>
      </c>
      <c r="E11" s="31">
        <v>33.200000000000003</v>
      </c>
      <c r="F11" s="31">
        <f>_xlfn.XLOOKUP(B11, Rate_Master!$A:$A, Rate_Master!$C:$C, "")</f>
        <v>2232150</v>
      </c>
      <c r="G11" s="31">
        <f>_xlfn.XLOOKUP(B11, Rate_Master!$A:$A, Rate_Master!$D:$D, "")</f>
        <v>868249.99999999988</v>
      </c>
      <c r="H11" s="70">
        <f t="shared" ref="H11:H20" si="1">+F11+G11</f>
        <v>3100400</v>
      </c>
      <c r="I11" s="32">
        <f t="shared" ref="I11:I20" si="2">H11*E11</f>
        <v>102933280.00000001</v>
      </c>
      <c r="J11" s="32"/>
    </row>
    <row r="12" spans="1:10" s="4" customFormat="1" ht="25.5" customHeight="1" outlineLevel="1">
      <c r="A12" s="27" t="str">
        <f t="shared" si="0"/>
        <v>3B.1.2</v>
      </c>
      <c r="B12" s="28" t="s">
        <v>318</v>
      </c>
      <c r="C12" s="28" t="s">
        <v>515</v>
      </c>
      <c r="D12" s="29" t="s">
        <v>517</v>
      </c>
      <c r="E12" s="31">
        <v>80.599999999999994</v>
      </c>
      <c r="F12" s="31">
        <f>_xlfn.XLOOKUP(B12, Rate_Master!$A:$A, Rate_Master!$C:$C, "")</f>
        <v>2700200</v>
      </c>
      <c r="G12" s="31">
        <f>_xlfn.XLOOKUP(B12, Rate_Master!$A:$A, Rate_Master!$D:$D, "")</f>
        <v>1049950</v>
      </c>
      <c r="H12" s="70">
        <f t="shared" si="1"/>
        <v>3750150</v>
      </c>
      <c r="I12" s="32">
        <f t="shared" si="2"/>
        <v>302262090</v>
      </c>
      <c r="J12" s="32"/>
    </row>
    <row r="13" spans="1:10" s="4" customFormat="1" ht="25.5" customHeight="1" outlineLevel="1">
      <c r="A13" s="27" t="str">
        <f t="shared" si="0"/>
        <v>3B.1.3</v>
      </c>
      <c r="B13" s="28" t="s">
        <v>319</v>
      </c>
      <c r="C13" s="28"/>
      <c r="D13" s="29" t="s">
        <v>517</v>
      </c>
      <c r="E13" s="31">
        <v>181.7</v>
      </c>
      <c r="F13" s="31">
        <f>_xlfn.XLOOKUP(B13, Rate_Master!$A:$A, Rate_Master!$C:$C, "")</f>
        <v>3070499.9999999995</v>
      </c>
      <c r="G13" s="31">
        <f>_xlfn.XLOOKUP(B13, Rate_Master!$A:$A, Rate_Master!$D:$D, "")</f>
        <v>1193700</v>
      </c>
      <c r="H13" s="70">
        <f t="shared" si="1"/>
        <v>4264200</v>
      </c>
      <c r="I13" s="32">
        <f t="shared" si="2"/>
        <v>774805140</v>
      </c>
      <c r="J13" s="32"/>
    </row>
    <row r="14" spans="1:10" s="4" customFormat="1" ht="25.5" customHeight="1" outlineLevel="1">
      <c r="A14" s="27" t="str">
        <f t="shared" si="0"/>
        <v>3B.1.4</v>
      </c>
      <c r="B14" s="28" t="s">
        <v>320</v>
      </c>
      <c r="C14" s="28"/>
      <c r="D14" s="29" t="s">
        <v>517</v>
      </c>
      <c r="E14" s="31">
        <v>138.5</v>
      </c>
      <c r="F14" s="31">
        <f>_xlfn.XLOOKUP(B14, Rate_Master!$A:$A, Rate_Master!$C:$C, "")</f>
        <v>3870899.9999999995</v>
      </c>
      <c r="G14" s="31">
        <f>_xlfn.XLOOKUP(B14, Rate_Master!$A:$A, Rate_Master!$D:$D, "")</f>
        <v>1505350</v>
      </c>
      <c r="H14" s="70">
        <f t="shared" si="1"/>
        <v>5376250</v>
      </c>
      <c r="I14" s="32">
        <f t="shared" si="2"/>
        <v>744610625</v>
      </c>
      <c r="J14" s="32"/>
    </row>
    <row r="15" spans="1:10" s="4" customFormat="1" ht="25.5" customHeight="1" outlineLevel="1">
      <c r="A15" s="27" t="str">
        <f t="shared" si="0"/>
        <v>3B.1.5</v>
      </c>
      <c r="B15" s="28" t="s">
        <v>321</v>
      </c>
      <c r="C15" s="28"/>
      <c r="D15" s="29" t="s">
        <v>517</v>
      </c>
      <c r="E15" s="31">
        <v>15</v>
      </c>
      <c r="F15" s="31">
        <f>_xlfn.XLOOKUP(B15, Rate_Master!$A:$A, Rate_Master!$C:$C, "")</f>
        <v>5518850</v>
      </c>
      <c r="G15" s="31">
        <f>_xlfn.XLOOKUP(B15, Rate_Master!$A:$A, Rate_Master!$D:$D, "")</f>
        <v>2145900</v>
      </c>
      <c r="H15" s="70">
        <f t="shared" si="1"/>
        <v>7664750</v>
      </c>
      <c r="I15" s="32">
        <f t="shared" si="2"/>
        <v>114971250</v>
      </c>
      <c r="J15" s="32"/>
    </row>
    <row r="16" spans="1:10" s="4" customFormat="1" ht="25.5" customHeight="1" outlineLevel="1">
      <c r="A16" s="27" t="str">
        <f t="shared" si="0"/>
        <v>3B.1.6</v>
      </c>
      <c r="B16" s="28" t="s">
        <v>322</v>
      </c>
      <c r="C16" s="28"/>
      <c r="D16" s="29" t="s">
        <v>518</v>
      </c>
      <c r="E16" s="31">
        <v>6</v>
      </c>
      <c r="F16" s="31">
        <f>_xlfn.XLOOKUP(B16, Rate_Master!$A:$A, Rate_Master!$C:$C, "")</f>
        <v>359950</v>
      </c>
      <c r="G16" s="31">
        <f>_xlfn.XLOOKUP(B16, Rate_Master!$A:$A, Rate_Master!$D:$D, "")</f>
        <v>140300</v>
      </c>
      <c r="H16" s="70">
        <f t="shared" si="1"/>
        <v>500250</v>
      </c>
      <c r="I16" s="32">
        <f t="shared" si="2"/>
        <v>3001500</v>
      </c>
      <c r="J16" s="32"/>
    </row>
    <row r="17" spans="1:10" s="4" customFormat="1" ht="25.5" customHeight="1" outlineLevel="1">
      <c r="A17" s="27" t="str">
        <f t="shared" si="0"/>
        <v>3B.1.7</v>
      </c>
      <c r="B17" s="28" t="s">
        <v>323</v>
      </c>
      <c r="C17" s="28"/>
      <c r="D17" s="29" t="s">
        <v>518</v>
      </c>
      <c r="E17" s="31">
        <v>8</v>
      </c>
      <c r="F17" s="31">
        <f>_xlfn.XLOOKUP(B17, Rate_Master!$A:$A, Rate_Master!$C:$C, "")</f>
        <v>503699.99999999994</v>
      </c>
      <c r="G17" s="31">
        <f>_xlfn.XLOOKUP(B17, Rate_Master!$A:$A, Rate_Master!$D:$D, "")</f>
        <v>195499.99999999997</v>
      </c>
      <c r="H17" s="70">
        <f t="shared" si="1"/>
        <v>699199.99999999988</v>
      </c>
      <c r="I17" s="32">
        <f t="shared" si="2"/>
        <v>5593599.9999999991</v>
      </c>
      <c r="J17" s="32"/>
    </row>
    <row r="18" spans="1:10" s="4" customFormat="1" ht="25.5" customHeight="1" outlineLevel="1">
      <c r="A18" s="27" t="str">
        <f t="shared" si="0"/>
        <v>3B.1.8</v>
      </c>
      <c r="B18" s="28" t="s">
        <v>324</v>
      </c>
      <c r="C18" s="28"/>
      <c r="D18" s="29" t="s">
        <v>518</v>
      </c>
      <c r="E18" s="31">
        <v>26</v>
      </c>
      <c r="F18" s="31">
        <f>_xlfn.XLOOKUP(B18, Rate_Master!$A:$A, Rate_Master!$C:$C, "")</f>
        <v>719900</v>
      </c>
      <c r="G18" s="31">
        <f>_xlfn.XLOOKUP(B18, Rate_Master!$A:$A, Rate_Master!$D:$D, "")</f>
        <v>279450</v>
      </c>
      <c r="H18" s="70">
        <f t="shared" si="1"/>
        <v>999350</v>
      </c>
      <c r="I18" s="32">
        <f t="shared" si="2"/>
        <v>25983100</v>
      </c>
      <c r="J18" s="32"/>
    </row>
    <row r="19" spans="1:10" s="4" customFormat="1" ht="25.5" customHeight="1" outlineLevel="1">
      <c r="A19" s="27" t="str">
        <f t="shared" si="0"/>
        <v>3B.1.9</v>
      </c>
      <c r="B19" s="28" t="s">
        <v>325</v>
      </c>
      <c r="C19" s="28"/>
      <c r="D19" s="29" t="s">
        <v>518</v>
      </c>
      <c r="E19" s="31">
        <v>16</v>
      </c>
      <c r="F19" s="31">
        <f>_xlfn.XLOOKUP(B19, Rate_Master!$A:$A, Rate_Master!$C:$C, "")</f>
        <v>863649.99999999988</v>
      </c>
      <c r="G19" s="31">
        <f>_xlfn.XLOOKUP(B19, Rate_Master!$A:$A, Rate_Master!$D:$D, "")</f>
        <v>335800</v>
      </c>
      <c r="H19" s="70">
        <f t="shared" si="1"/>
        <v>1199450</v>
      </c>
      <c r="I19" s="32">
        <f t="shared" si="2"/>
        <v>19191200</v>
      </c>
      <c r="J19" s="32"/>
    </row>
    <row r="20" spans="1:10" s="4" customFormat="1" ht="25.5" customHeight="1" outlineLevel="1">
      <c r="A20" s="27" t="str">
        <f t="shared" si="0"/>
        <v>3B.1.10</v>
      </c>
      <c r="B20" s="28" t="s">
        <v>326</v>
      </c>
      <c r="C20" s="28"/>
      <c r="D20" s="29" t="s">
        <v>518</v>
      </c>
      <c r="E20" s="31">
        <v>2</v>
      </c>
      <c r="F20" s="31">
        <f>_xlfn.XLOOKUP(B20, Rate_Master!$A:$A, Rate_Master!$C:$C, "")</f>
        <v>1079850</v>
      </c>
      <c r="G20" s="31">
        <f>_xlfn.XLOOKUP(B20, Rate_Master!$A:$A, Rate_Master!$D:$D, "")</f>
        <v>419749.99999999994</v>
      </c>
      <c r="H20" s="70">
        <f t="shared" si="1"/>
        <v>1499600</v>
      </c>
      <c r="I20" s="32">
        <f t="shared" si="2"/>
        <v>2999200</v>
      </c>
      <c r="J20" s="32"/>
    </row>
    <row r="21" spans="1:10" s="3" customFormat="1" ht="25.5" customHeight="1">
      <c r="A21" s="22" t="str">
        <f>A9&amp;".2"</f>
        <v>3B.2</v>
      </c>
      <c r="B21" s="23" t="s">
        <v>327</v>
      </c>
      <c r="C21" s="23" t="s">
        <v>515</v>
      </c>
      <c r="D21" s="22"/>
      <c r="E21" s="25"/>
      <c r="F21" s="25">
        <f>_xlfn.XLOOKUP(B21, Rate_Master!$A:$A, Rate_Master!$C:$C, "")</f>
        <v>0</v>
      </c>
      <c r="G21" s="25">
        <f>_xlfn.XLOOKUP(B21, Rate_Master!$A:$A, Rate_Master!$D:$D, "")</f>
        <v>0</v>
      </c>
      <c r="H21" s="26"/>
      <c r="I21" s="26">
        <f>SUBTOTAL(9,I22:I26)</f>
        <v>25833067274</v>
      </c>
      <c r="J21" s="26"/>
    </row>
    <row r="22" spans="1:10" s="4" customFormat="1" ht="25.5" customHeight="1" outlineLevel="1">
      <c r="A22" s="27" t="str">
        <f>$A$21&amp;"."&amp;ROW()-ROW($A$21)</f>
        <v>3B.2.1</v>
      </c>
      <c r="B22" s="28" t="s">
        <v>328</v>
      </c>
      <c r="C22" s="28" t="s">
        <v>515</v>
      </c>
      <c r="D22" s="29" t="s">
        <v>517</v>
      </c>
      <c r="E22" s="31">
        <v>1346.05</v>
      </c>
      <c r="F22" s="31">
        <f>_xlfn.XLOOKUP(B22, Rate_Master!$A:$A, Rate_Master!$C:$C, "")</f>
        <v>2664550</v>
      </c>
      <c r="G22" s="31">
        <f>_xlfn.XLOOKUP(B22, Rate_Master!$A:$A, Rate_Master!$D:$D, "")</f>
        <v>1036149.9999999999</v>
      </c>
      <c r="H22" s="70">
        <f>+F22+G22</f>
        <v>3700700</v>
      </c>
      <c r="I22" s="32">
        <f>H22*E22</f>
        <v>4981327235</v>
      </c>
      <c r="J22" s="32"/>
    </row>
    <row r="23" spans="1:10" s="4" customFormat="1" ht="25.5" customHeight="1" outlineLevel="1">
      <c r="A23" s="27" t="str">
        <f>$A$21&amp;"."&amp;ROW()-ROW($A$21)</f>
        <v>3B.2.2</v>
      </c>
      <c r="B23" s="28" t="s">
        <v>329</v>
      </c>
      <c r="C23" s="28" t="s">
        <v>515</v>
      </c>
      <c r="D23" s="29" t="s">
        <v>517</v>
      </c>
      <c r="E23" s="31">
        <v>1139</v>
      </c>
      <c r="F23" s="31">
        <f>_xlfn.XLOOKUP(B23, Rate_Master!$A:$A, Rate_Master!$C:$C, "")</f>
        <v>3455749.9999999995</v>
      </c>
      <c r="G23" s="31">
        <f>_xlfn.XLOOKUP(B23, Rate_Master!$A:$A, Rate_Master!$D:$D, "")</f>
        <v>1344350</v>
      </c>
      <c r="H23" s="70">
        <f>+F23+G23</f>
        <v>4800100</v>
      </c>
      <c r="I23" s="32">
        <f>H23*E23</f>
        <v>5467313900</v>
      </c>
      <c r="J23" s="32"/>
    </row>
    <row r="24" spans="1:10" s="4" customFormat="1" ht="25.5" customHeight="1" outlineLevel="1">
      <c r="A24" s="27" t="str">
        <f>$A$21&amp;"."&amp;ROW()-ROW($A$21)</f>
        <v>3B.2.3</v>
      </c>
      <c r="B24" s="28" t="s">
        <v>330</v>
      </c>
      <c r="C24" s="28"/>
      <c r="D24" s="29" t="s">
        <v>517</v>
      </c>
      <c r="E24" s="31">
        <v>1390.18</v>
      </c>
      <c r="F24" s="31">
        <f>_xlfn.XLOOKUP(B24, Rate_Master!$A:$A, Rate_Master!$C:$C, "")</f>
        <v>3744399.9999999995</v>
      </c>
      <c r="G24" s="31">
        <f>_xlfn.XLOOKUP(B24, Rate_Master!$A:$A, Rate_Master!$D:$D, "")</f>
        <v>1455900</v>
      </c>
      <c r="H24" s="70">
        <f>+F24+G24</f>
        <v>5200300</v>
      </c>
      <c r="I24" s="32">
        <f>H24*E24</f>
        <v>7229353054</v>
      </c>
      <c r="J24" s="32"/>
    </row>
    <row r="25" spans="1:10" s="4" customFormat="1" ht="25.5" customHeight="1" outlineLevel="1">
      <c r="A25" s="27" t="str">
        <f>$A$21&amp;"."&amp;ROW()-ROW($A$21)</f>
        <v>3B.2.4</v>
      </c>
      <c r="B25" s="28" t="s">
        <v>331</v>
      </c>
      <c r="C25" s="28"/>
      <c r="D25" s="29" t="s">
        <v>517</v>
      </c>
      <c r="E25" s="31">
        <v>992.7</v>
      </c>
      <c r="F25" s="31">
        <f>_xlfn.XLOOKUP(B25, Rate_Master!$A:$A, Rate_Master!$C:$C, "")</f>
        <v>4824250</v>
      </c>
      <c r="G25" s="31">
        <f>_xlfn.XLOOKUP(B25, Rate_Master!$A:$A, Rate_Master!$D:$D, "")</f>
        <v>1875649.9999999998</v>
      </c>
      <c r="H25" s="70">
        <f>+F25+G25</f>
        <v>6699900</v>
      </c>
      <c r="I25" s="32">
        <f>H25*E25</f>
        <v>6650990730</v>
      </c>
      <c r="J25" s="32"/>
    </row>
    <row r="26" spans="1:10" s="4" customFormat="1" ht="25.5" customHeight="1" outlineLevel="1">
      <c r="A26" s="27" t="str">
        <f>$A$21&amp;"."&amp;ROW()-ROW($A$21)</f>
        <v>3B.2.5</v>
      </c>
      <c r="B26" s="28" t="s">
        <v>332</v>
      </c>
      <c r="C26" s="28"/>
      <c r="D26" s="29" t="s">
        <v>517</v>
      </c>
      <c r="E26" s="31">
        <v>170.9</v>
      </c>
      <c r="F26" s="31">
        <f>_xlfn.XLOOKUP(B26, Rate_Master!$A:$A, Rate_Master!$C:$C, "")</f>
        <v>6336499.9999999991</v>
      </c>
      <c r="G26" s="31">
        <f>_xlfn.XLOOKUP(B26, Rate_Master!$A:$A, Rate_Master!$D:$D, "")</f>
        <v>2464450</v>
      </c>
      <c r="H26" s="70">
        <f>+F26+G26</f>
        <v>8800950</v>
      </c>
      <c r="I26" s="32">
        <f>H26*E26</f>
        <v>1504082355</v>
      </c>
      <c r="J26" s="32"/>
    </row>
    <row r="27" spans="1:10" s="3" customFormat="1" ht="25.5" customHeight="1">
      <c r="A27" s="22" t="str">
        <f>A9&amp;".3"</f>
        <v>3B.3</v>
      </c>
      <c r="B27" s="23" t="s">
        <v>333</v>
      </c>
      <c r="C27" s="23" t="s">
        <v>515</v>
      </c>
      <c r="D27" s="22"/>
      <c r="E27" s="25"/>
      <c r="F27" s="25">
        <f>_xlfn.XLOOKUP(B27, Rate_Master!$A:$A, Rate_Master!$C:$C, "")</f>
        <v>0</v>
      </c>
      <c r="G27" s="25">
        <f>_xlfn.XLOOKUP(B27, Rate_Master!$A:$A, Rate_Master!$D:$D, "")</f>
        <v>0</v>
      </c>
      <c r="H27" s="26"/>
      <c r="I27" s="26">
        <f>SUBTOTAL(9,I28:I32)</f>
        <v>1399438795</v>
      </c>
      <c r="J27" s="26"/>
    </row>
    <row r="28" spans="1:10" s="4" customFormat="1" ht="25.5" customHeight="1" outlineLevel="1">
      <c r="A28" s="27" t="str">
        <f>$A$27&amp;"."&amp;ROW()-ROW($A$27)</f>
        <v>3B.3.1</v>
      </c>
      <c r="B28" s="28" t="s">
        <v>334</v>
      </c>
      <c r="C28" s="28" t="s">
        <v>515</v>
      </c>
      <c r="D28" s="29" t="s">
        <v>517</v>
      </c>
      <c r="E28" s="31">
        <v>15</v>
      </c>
      <c r="F28" s="31">
        <f>_xlfn.XLOOKUP(B28, Rate_Master!$A:$A, Rate_Master!$C:$C, "")</f>
        <v>2664550</v>
      </c>
      <c r="G28" s="31">
        <f>_xlfn.XLOOKUP(B28, Rate_Master!$A:$A, Rate_Master!$D:$D, "")</f>
        <v>1036149.9999999999</v>
      </c>
      <c r="H28" s="70">
        <f>+F28+G28</f>
        <v>3700700</v>
      </c>
      <c r="I28" s="32">
        <f>H28*E28</f>
        <v>55510500</v>
      </c>
      <c r="J28" s="32"/>
    </row>
    <row r="29" spans="1:10" s="4" customFormat="1" ht="25.5" customHeight="1" outlineLevel="1">
      <c r="A29" s="27" t="str">
        <f>$A$27&amp;"."&amp;ROW()-ROW($A$27)</f>
        <v>3B.3.2</v>
      </c>
      <c r="B29" s="28" t="s">
        <v>335</v>
      </c>
      <c r="C29" s="28" t="s">
        <v>515</v>
      </c>
      <c r="D29" s="29" t="s">
        <v>517</v>
      </c>
      <c r="E29" s="31">
        <v>42.3</v>
      </c>
      <c r="F29" s="31">
        <f>_xlfn.XLOOKUP(B29, Rate_Master!$A:$A, Rate_Master!$C:$C, "")</f>
        <v>3455749.9999999995</v>
      </c>
      <c r="G29" s="31">
        <f>_xlfn.XLOOKUP(B29, Rate_Master!$A:$A, Rate_Master!$D:$D, "")</f>
        <v>1344350</v>
      </c>
      <c r="H29" s="70">
        <f>+F29+G29</f>
        <v>4800100</v>
      </c>
      <c r="I29" s="32">
        <f>H29*E29</f>
        <v>203044230</v>
      </c>
      <c r="J29" s="32"/>
    </row>
    <row r="30" spans="1:10" s="4" customFormat="1" ht="25.5" customHeight="1" outlineLevel="1">
      <c r="A30" s="27" t="str">
        <f>$A$27&amp;"."&amp;ROW()-ROW($A$27)</f>
        <v>3B.3.3</v>
      </c>
      <c r="B30" s="28" t="s">
        <v>336</v>
      </c>
      <c r="C30" s="28"/>
      <c r="D30" s="29" t="s">
        <v>517</v>
      </c>
      <c r="E30" s="31">
        <v>67.3</v>
      </c>
      <c r="F30" s="31">
        <f>_xlfn.XLOOKUP(B30, Rate_Master!$A:$A, Rate_Master!$C:$C, "")</f>
        <v>3744399.9999999995</v>
      </c>
      <c r="G30" s="31">
        <f>_xlfn.XLOOKUP(B30, Rate_Master!$A:$A, Rate_Master!$D:$D, "")</f>
        <v>1455900</v>
      </c>
      <c r="H30" s="70">
        <f>+F30+G30</f>
        <v>5200300</v>
      </c>
      <c r="I30" s="32">
        <f>H30*E30</f>
        <v>349980190</v>
      </c>
      <c r="J30" s="32"/>
    </row>
    <row r="31" spans="1:10" s="4" customFormat="1" ht="25.5" customHeight="1" outlineLevel="1">
      <c r="A31" s="27" t="str">
        <f>$A$27&amp;"."&amp;ROW()-ROW($A$27)</f>
        <v>3B.3.4</v>
      </c>
      <c r="B31" s="28" t="s">
        <v>337</v>
      </c>
      <c r="C31" s="28"/>
      <c r="D31" s="29" t="s">
        <v>517</v>
      </c>
      <c r="E31" s="31">
        <v>99</v>
      </c>
      <c r="F31" s="31">
        <f>_xlfn.XLOOKUP(B31, Rate_Master!$A:$A, Rate_Master!$C:$C, "")</f>
        <v>4824250</v>
      </c>
      <c r="G31" s="31">
        <f>_xlfn.XLOOKUP(B31, Rate_Master!$A:$A, Rate_Master!$D:$D, "")</f>
        <v>1875649.9999999998</v>
      </c>
      <c r="H31" s="70">
        <f>+F31+G31</f>
        <v>6699900</v>
      </c>
      <c r="I31" s="32">
        <f>H31*E31</f>
        <v>663290100</v>
      </c>
      <c r="J31" s="32"/>
    </row>
    <row r="32" spans="1:10" s="4" customFormat="1" ht="25.5" customHeight="1" outlineLevel="1">
      <c r="A32" s="27" t="str">
        <f>$A$27&amp;"."&amp;ROW()-ROW($A$27)</f>
        <v>3B.3.5</v>
      </c>
      <c r="B32" s="28" t="s">
        <v>338</v>
      </c>
      <c r="C32" s="28"/>
      <c r="D32" s="29" t="s">
        <v>517</v>
      </c>
      <c r="E32" s="31">
        <v>14.5</v>
      </c>
      <c r="F32" s="31">
        <f>_xlfn.XLOOKUP(B32, Rate_Master!$A:$A, Rate_Master!$C:$C, "")</f>
        <v>6336499.9999999991</v>
      </c>
      <c r="G32" s="31">
        <f>_xlfn.XLOOKUP(B32, Rate_Master!$A:$A, Rate_Master!$D:$D, "")</f>
        <v>2464450</v>
      </c>
      <c r="H32" s="70">
        <f>+F32+G32</f>
        <v>8800950</v>
      </c>
      <c r="I32" s="32">
        <f>H32*E32</f>
        <v>127613775</v>
      </c>
      <c r="J32" s="32"/>
    </row>
    <row r="33" spans="1:10" s="3" customFormat="1" ht="25.5" customHeight="1">
      <c r="A33" s="22" t="str">
        <f>A9&amp;".4"</f>
        <v>3B.4</v>
      </c>
      <c r="B33" s="23" t="s">
        <v>339</v>
      </c>
      <c r="C33" s="23" t="s">
        <v>515</v>
      </c>
      <c r="D33" s="22"/>
      <c r="E33" s="25"/>
      <c r="F33" s="25">
        <f>_xlfn.XLOOKUP(B33, Rate_Master!$A:$A, Rate_Master!$C:$C, "")</f>
        <v>0</v>
      </c>
      <c r="G33" s="25">
        <f>_xlfn.XLOOKUP(B33, Rate_Master!$A:$A, Rate_Master!$D:$D, "")</f>
        <v>0</v>
      </c>
      <c r="H33" s="26"/>
      <c r="I33" s="26">
        <f>SUBTOTAL(9,I34:I38)</f>
        <v>3335550850</v>
      </c>
      <c r="J33" s="26"/>
    </row>
    <row r="34" spans="1:10" s="4" customFormat="1" ht="25.5" customHeight="1" outlineLevel="1">
      <c r="A34" s="27" t="str">
        <f>$A$33&amp;"."&amp;ROW()-ROW($A$33)</f>
        <v>3B.4.1</v>
      </c>
      <c r="B34" s="28" t="s">
        <v>340</v>
      </c>
      <c r="C34" s="28" t="s">
        <v>515</v>
      </c>
      <c r="D34" s="29" t="s">
        <v>517</v>
      </c>
      <c r="E34" s="31">
        <v>86.05</v>
      </c>
      <c r="F34" s="31">
        <f>_xlfn.XLOOKUP(B34, Rate_Master!$A:$A, Rate_Master!$C:$C, "")</f>
        <v>2232150</v>
      </c>
      <c r="G34" s="31">
        <f>_xlfn.XLOOKUP(B34, Rate_Master!$A:$A, Rate_Master!$D:$D, "")</f>
        <v>868249.99999999988</v>
      </c>
      <c r="H34" s="70">
        <f>+F34+G34</f>
        <v>3100400</v>
      </c>
      <c r="I34" s="32">
        <f>H34*E34</f>
        <v>266789420</v>
      </c>
      <c r="J34" s="32"/>
    </row>
    <row r="35" spans="1:10" s="4" customFormat="1" ht="25.5" customHeight="1" outlineLevel="1">
      <c r="A35" s="27" t="str">
        <f>$A$33&amp;"."&amp;ROW()-ROW($A$33)</f>
        <v>3B.4.2</v>
      </c>
      <c r="B35" s="28" t="s">
        <v>341</v>
      </c>
      <c r="C35" s="28" t="s">
        <v>515</v>
      </c>
      <c r="D35" s="29" t="s">
        <v>517</v>
      </c>
      <c r="E35" s="31">
        <v>90.8</v>
      </c>
      <c r="F35" s="31">
        <f>_xlfn.XLOOKUP(B35, Rate_Master!$A:$A, Rate_Master!$C:$C, "")</f>
        <v>2700200</v>
      </c>
      <c r="G35" s="31">
        <f>_xlfn.XLOOKUP(B35, Rate_Master!$A:$A, Rate_Master!$D:$D, "")</f>
        <v>1049950</v>
      </c>
      <c r="H35" s="70">
        <f>+F35+G35</f>
        <v>3750150</v>
      </c>
      <c r="I35" s="32">
        <f>H35*E35</f>
        <v>340513620</v>
      </c>
      <c r="J35" s="32"/>
    </row>
    <row r="36" spans="1:10" s="4" customFormat="1" ht="25.5" customHeight="1" outlineLevel="1">
      <c r="A36" s="27" t="str">
        <f>$A$33&amp;"."&amp;ROW()-ROW($A$33)</f>
        <v>3B.4.3</v>
      </c>
      <c r="B36" s="28" t="s">
        <v>342</v>
      </c>
      <c r="C36" s="28"/>
      <c r="D36" s="29" t="s">
        <v>517</v>
      </c>
      <c r="E36" s="31">
        <v>218.05</v>
      </c>
      <c r="F36" s="31">
        <f>_xlfn.XLOOKUP(B36, Rate_Master!$A:$A, Rate_Master!$C:$C, "")</f>
        <v>3070499.9999999995</v>
      </c>
      <c r="G36" s="31">
        <f>_xlfn.XLOOKUP(B36, Rate_Master!$A:$A, Rate_Master!$D:$D, "")</f>
        <v>1193700</v>
      </c>
      <c r="H36" s="70">
        <f>+F36+G36</f>
        <v>4264200</v>
      </c>
      <c r="I36" s="32">
        <f>H36*E36</f>
        <v>929808810</v>
      </c>
      <c r="J36" s="32"/>
    </row>
    <row r="37" spans="1:10" s="4" customFormat="1" ht="25.5" customHeight="1" outlineLevel="1">
      <c r="A37" s="27" t="str">
        <f>$A$33&amp;"."&amp;ROW()-ROW($A$33)</f>
        <v>3B.4.4</v>
      </c>
      <c r="B37" s="28" t="s">
        <v>343</v>
      </c>
      <c r="C37" s="28"/>
      <c r="D37" s="29" t="s">
        <v>517</v>
      </c>
      <c r="E37" s="31">
        <v>328.1</v>
      </c>
      <c r="F37" s="31">
        <f>_xlfn.XLOOKUP(B37, Rate_Master!$A:$A, Rate_Master!$C:$C, "")</f>
        <v>3870899.9999999995</v>
      </c>
      <c r="G37" s="31">
        <f>_xlfn.XLOOKUP(B37, Rate_Master!$A:$A, Rate_Master!$D:$D, "")</f>
        <v>1505350</v>
      </c>
      <c r="H37" s="70">
        <f>+F37+G37</f>
        <v>5376250</v>
      </c>
      <c r="I37" s="32">
        <f>H37*E37</f>
        <v>1763947625.0000002</v>
      </c>
      <c r="J37" s="32"/>
    </row>
    <row r="38" spans="1:10" s="4" customFormat="1" ht="25.5" customHeight="1" outlineLevel="1">
      <c r="A38" s="27" t="str">
        <f>$A$33&amp;"."&amp;ROW()-ROW($A$33)</f>
        <v>3B.4.5</v>
      </c>
      <c r="B38" s="28" t="s">
        <v>344</v>
      </c>
      <c r="C38" s="28"/>
      <c r="D38" s="29" t="s">
        <v>517</v>
      </c>
      <c r="E38" s="31">
        <v>4.5</v>
      </c>
      <c r="F38" s="31">
        <f>_xlfn.XLOOKUP(B38, Rate_Master!$A:$A, Rate_Master!$C:$C, "")</f>
        <v>5518850</v>
      </c>
      <c r="G38" s="31">
        <f>_xlfn.XLOOKUP(B38, Rate_Master!$A:$A, Rate_Master!$D:$D, "")</f>
        <v>2145900</v>
      </c>
      <c r="H38" s="70">
        <f>+F38+G38</f>
        <v>7664750</v>
      </c>
      <c r="I38" s="32">
        <f>H38*E38</f>
        <v>34491375</v>
      </c>
      <c r="J38" s="32"/>
    </row>
    <row r="39" spans="1:10" s="3" customFormat="1" ht="25.5" customHeight="1">
      <c r="A39" s="22" t="str">
        <f>A9&amp;".5"</f>
        <v>3B.5</v>
      </c>
      <c r="B39" s="23" t="s">
        <v>345</v>
      </c>
      <c r="C39" s="23" t="s">
        <v>515</v>
      </c>
      <c r="D39" s="22"/>
      <c r="E39" s="25"/>
      <c r="F39" s="25">
        <f>_xlfn.XLOOKUP(B39, Rate_Master!$A:$A, Rate_Master!$C:$C, "")</f>
        <v>0</v>
      </c>
      <c r="G39" s="25">
        <f>_xlfn.XLOOKUP(B39, Rate_Master!$A:$A, Rate_Master!$D:$D, "")</f>
        <v>0</v>
      </c>
      <c r="H39" s="26"/>
      <c r="I39" s="26">
        <f>SUBTOTAL(9,I40:I43)</f>
        <v>4767039800</v>
      </c>
      <c r="J39" s="26"/>
    </row>
    <row r="40" spans="1:10" s="4" customFormat="1" ht="25.5" customHeight="1" outlineLevel="1">
      <c r="A40" s="27" t="str">
        <f>$A$39&amp;"."&amp;ROW()-ROW($A$39)</f>
        <v>3B.5.1</v>
      </c>
      <c r="B40" s="28" t="s">
        <v>346</v>
      </c>
      <c r="C40" s="28" t="s">
        <v>515</v>
      </c>
      <c r="D40" s="29" t="s">
        <v>517</v>
      </c>
      <c r="E40" s="31">
        <v>442.4</v>
      </c>
      <c r="F40" s="31">
        <f>_xlfn.XLOOKUP(B40, Rate_Master!$A:$A, Rate_Master!$C:$C, "")</f>
        <v>2088399.9999999998</v>
      </c>
      <c r="G40" s="31">
        <f>_xlfn.XLOOKUP(B40, Rate_Master!$A:$A, Rate_Master!$D:$D, "")</f>
        <v>811899.99999999988</v>
      </c>
      <c r="H40" s="70">
        <f>+F40+G40</f>
        <v>2900299.9999999995</v>
      </c>
      <c r="I40" s="32">
        <f>H40*E40</f>
        <v>1283092719.9999998</v>
      </c>
      <c r="J40" s="32"/>
    </row>
    <row r="41" spans="1:10" s="4" customFormat="1" ht="25.5" customHeight="1" outlineLevel="1">
      <c r="A41" s="27" t="str">
        <f>$A$39&amp;"."&amp;ROW()-ROW($A$39)</f>
        <v>3B.5.2</v>
      </c>
      <c r="B41" s="28" t="s">
        <v>347</v>
      </c>
      <c r="C41" s="28" t="s">
        <v>515</v>
      </c>
      <c r="D41" s="29" t="s">
        <v>517</v>
      </c>
      <c r="E41" s="31">
        <v>530.9</v>
      </c>
      <c r="F41" s="31">
        <f>_xlfn.XLOOKUP(B41, Rate_Master!$A:$A, Rate_Master!$C:$C, "")</f>
        <v>2519650</v>
      </c>
      <c r="G41" s="31">
        <f>_xlfn.XLOOKUP(B41, Rate_Master!$A:$A, Rate_Master!$D:$D, "")</f>
        <v>979799.99999999988</v>
      </c>
      <c r="H41" s="70">
        <f>+F41+G41</f>
        <v>3499450</v>
      </c>
      <c r="I41" s="32">
        <f>H41*E41</f>
        <v>1857858005</v>
      </c>
      <c r="J41" s="32"/>
    </row>
    <row r="42" spans="1:10" s="4" customFormat="1" ht="25.5" customHeight="1" outlineLevel="1">
      <c r="A42" s="27" t="str">
        <f>$A$39&amp;"."&amp;ROW()-ROW($A$39)</f>
        <v>3B.5.3</v>
      </c>
      <c r="B42" s="28" t="s">
        <v>348</v>
      </c>
      <c r="C42" s="28"/>
      <c r="D42" s="29" t="s">
        <v>517</v>
      </c>
      <c r="E42" s="31">
        <v>388</v>
      </c>
      <c r="F42" s="31">
        <f>_xlfn.XLOOKUP(B42, Rate_Master!$A:$A, Rate_Master!$C:$C, "")</f>
        <v>2916400</v>
      </c>
      <c r="G42" s="31">
        <f>_xlfn.XLOOKUP(B42, Rate_Master!$A:$A, Rate_Master!$D:$D, "")</f>
        <v>1133900</v>
      </c>
      <c r="H42" s="70">
        <f>+F42+G42</f>
        <v>4050300</v>
      </c>
      <c r="I42" s="32">
        <f>H42*E42</f>
        <v>1571516400</v>
      </c>
      <c r="J42" s="32"/>
    </row>
    <row r="43" spans="1:10" s="4" customFormat="1" ht="25.5" customHeight="1" outlineLevel="1">
      <c r="A43" s="27" t="str">
        <f>$A$39&amp;"."&amp;ROW()-ROW($A$39)</f>
        <v>3B.5.4</v>
      </c>
      <c r="B43" s="28" t="s">
        <v>349</v>
      </c>
      <c r="C43" s="28"/>
      <c r="D43" s="29" t="s">
        <v>517</v>
      </c>
      <c r="E43" s="31">
        <v>10.7</v>
      </c>
      <c r="F43" s="31">
        <f>_xlfn.XLOOKUP(B43, Rate_Master!$A:$A, Rate_Master!$C:$C, "")</f>
        <v>3671949.9999999995</v>
      </c>
      <c r="G43" s="31">
        <f>_xlfn.XLOOKUP(B43, Rate_Master!$A:$A, Rate_Master!$D:$D, "")</f>
        <v>1428300</v>
      </c>
      <c r="H43" s="70">
        <f>+F43+G43</f>
        <v>5100250</v>
      </c>
      <c r="I43" s="32">
        <f>H43*E43</f>
        <v>54572675</v>
      </c>
      <c r="J43" s="32"/>
    </row>
    <row r="44" spans="1:10" s="3" customFormat="1" ht="25.5" customHeight="1">
      <c r="A44" s="22" t="str">
        <f>A9&amp;".6"</f>
        <v>3B.6</v>
      </c>
      <c r="B44" s="23" t="s">
        <v>350</v>
      </c>
      <c r="C44" s="23" t="s">
        <v>515</v>
      </c>
      <c r="D44" s="22"/>
      <c r="E44" s="25"/>
      <c r="F44" s="25">
        <f>_xlfn.XLOOKUP(B44, Rate_Master!$A:$A, Rate_Master!$C:$C, "")</f>
        <v>0</v>
      </c>
      <c r="G44" s="25">
        <f>_xlfn.XLOOKUP(B44, Rate_Master!$A:$A, Rate_Master!$D:$D, "")</f>
        <v>0</v>
      </c>
      <c r="H44" s="26"/>
      <c r="I44" s="26">
        <f>SUBTOTAL(9,I45:I49)</f>
        <v>246600249.99999997</v>
      </c>
      <c r="J44" s="26"/>
    </row>
    <row r="45" spans="1:10" s="4" customFormat="1" ht="25.5" customHeight="1" outlineLevel="1">
      <c r="A45" s="27" t="str">
        <f>$A$44&amp;"."&amp;ROW()-ROW($A$44)</f>
        <v>3B.6.1</v>
      </c>
      <c r="B45" s="28" t="s">
        <v>351</v>
      </c>
      <c r="C45" s="28" t="s">
        <v>515</v>
      </c>
      <c r="D45" s="29" t="s">
        <v>518</v>
      </c>
      <c r="E45" s="31">
        <v>3</v>
      </c>
      <c r="F45" s="31">
        <f>_xlfn.XLOOKUP(B45, Rate_Master!$A:$A, Rate_Master!$C:$C, "")</f>
        <v>8279999.9999999991</v>
      </c>
      <c r="G45" s="31">
        <f>_xlfn.XLOOKUP(B45, Rate_Master!$A:$A, Rate_Master!$D:$D, "")</f>
        <v>3219999.9999999995</v>
      </c>
      <c r="H45" s="70">
        <f>+F45+G45</f>
        <v>11499999.999999998</v>
      </c>
      <c r="I45" s="32">
        <f>H45*E45</f>
        <v>34499999.999999993</v>
      </c>
      <c r="J45" s="32"/>
    </row>
    <row r="46" spans="1:10" s="4" customFormat="1" ht="25.5" customHeight="1" outlineLevel="1">
      <c r="A46" s="27" t="str">
        <f>$A$44&amp;"."&amp;ROW()-ROW($A$44)</f>
        <v>3B.6.2</v>
      </c>
      <c r="B46" s="28" t="s">
        <v>352</v>
      </c>
      <c r="C46" s="28" t="s">
        <v>515</v>
      </c>
      <c r="D46" s="29" t="s">
        <v>518</v>
      </c>
      <c r="E46" s="31">
        <v>1</v>
      </c>
      <c r="F46" s="31">
        <f>_xlfn.XLOOKUP(B46, Rate_Master!$A:$A, Rate_Master!$C:$C, "")</f>
        <v>17999800</v>
      </c>
      <c r="G46" s="31">
        <f>_xlfn.XLOOKUP(B46, Rate_Master!$A:$A, Rate_Master!$D:$D, "")</f>
        <v>7000049.9999999991</v>
      </c>
      <c r="H46" s="70">
        <f>+F46+G46</f>
        <v>24999850</v>
      </c>
      <c r="I46" s="32">
        <f>H46*E46</f>
        <v>24999850</v>
      </c>
      <c r="J46" s="32"/>
    </row>
    <row r="47" spans="1:10" s="4" customFormat="1" ht="25.5" customHeight="1" outlineLevel="1">
      <c r="A47" s="27" t="str">
        <f>$A$44&amp;"."&amp;ROW()-ROW($A$44)</f>
        <v>3B.6.3</v>
      </c>
      <c r="B47" s="28" t="s">
        <v>353</v>
      </c>
      <c r="C47" s="28"/>
      <c r="D47" s="29" t="s">
        <v>516</v>
      </c>
      <c r="E47" s="31">
        <v>3</v>
      </c>
      <c r="F47" s="31">
        <f>_xlfn.XLOOKUP(B47, Rate_Master!$A:$A, Rate_Master!$C:$C, "")</f>
        <v>863649.99999999988</v>
      </c>
      <c r="G47" s="31">
        <f>_xlfn.XLOOKUP(B47, Rate_Master!$A:$A, Rate_Master!$D:$D, "")</f>
        <v>335800</v>
      </c>
      <c r="H47" s="70">
        <f>+F47+G47</f>
        <v>1199450</v>
      </c>
      <c r="I47" s="32">
        <f>H47*E47</f>
        <v>3598350</v>
      </c>
      <c r="J47" s="32"/>
    </row>
    <row r="48" spans="1:10" s="4" customFormat="1" ht="25.5" customHeight="1" outlineLevel="1">
      <c r="A48" s="27" t="str">
        <f>$A$44&amp;"."&amp;ROW()-ROW($A$44)</f>
        <v>3B.6.4</v>
      </c>
      <c r="B48" s="28" t="s">
        <v>354</v>
      </c>
      <c r="C48" s="28"/>
      <c r="D48" s="29" t="s">
        <v>516</v>
      </c>
      <c r="E48" s="31">
        <v>1</v>
      </c>
      <c r="F48" s="31">
        <f>_xlfn.XLOOKUP(B48, Rate_Master!$A:$A, Rate_Master!$C:$C, "")</f>
        <v>2519650</v>
      </c>
      <c r="G48" s="31">
        <f>_xlfn.XLOOKUP(B48, Rate_Master!$A:$A, Rate_Master!$D:$D, "")</f>
        <v>979799.99999999988</v>
      </c>
      <c r="H48" s="70">
        <f>+F48+G48</f>
        <v>3499450</v>
      </c>
      <c r="I48" s="32">
        <f>H48*E48</f>
        <v>3499450</v>
      </c>
      <c r="J48" s="32"/>
    </row>
    <row r="49" spans="1:10" s="4" customFormat="1" ht="25.5" customHeight="1" outlineLevel="1">
      <c r="A49" s="27" t="str">
        <f>$A$44&amp;"."&amp;ROW()-ROW($A$44)</f>
        <v>3B.6.5</v>
      </c>
      <c r="B49" s="28" t="s">
        <v>355</v>
      </c>
      <c r="C49" s="28"/>
      <c r="D49" s="29" t="s">
        <v>588</v>
      </c>
      <c r="E49" s="31">
        <v>4</v>
      </c>
      <c r="F49" s="31">
        <f>_xlfn.XLOOKUP(B49, Rate_Master!$A:$A, Rate_Master!$C:$C, "")</f>
        <v>32400099.999999996</v>
      </c>
      <c r="G49" s="31">
        <f>_xlfn.XLOOKUP(B49, Rate_Master!$A:$A, Rate_Master!$D:$D, "")</f>
        <v>12600549.999999998</v>
      </c>
      <c r="H49" s="70">
        <f>+F49+G49</f>
        <v>45000649.999999993</v>
      </c>
      <c r="I49" s="32">
        <f>H49*E49</f>
        <v>180002599.99999997</v>
      </c>
      <c r="J49" s="32"/>
    </row>
    <row r="50" spans="1:10" s="3" customFormat="1" ht="25.5" customHeight="1">
      <c r="A50" s="22" t="str">
        <f>A9&amp;".7"</f>
        <v>3B.7</v>
      </c>
      <c r="B50" s="23" t="s">
        <v>356</v>
      </c>
      <c r="C50" s="23" t="s">
        <v>515</v>
      </c>
      <c r="D50" s="22"/>
      <c r="E50" s="25"/>
      <c r="F50" s="25">
        <f>_xlfn.XLOOKUP(B50, Rate_Master!$A:$A, Rate_Master!$C:$C, "")</f>
        <v>0</v>
      </c>
      <c r="G50" s="25">
        <f>_xlfn.XLOOKUP(B50, Rate_Master!$A:$A, Rate_Master!$D:$D, "")</f>
        <v>0</v>
      </c>
      <c r="H50" s="26"/>
      <c r="I50" s="26">
        <f>SUBTOTAL(9,I51:I52)</f>
        <v>416481700</v>
      </c>
      <c r="J50" s="26"/>
    </row>
    <row r="51" spans="1:10" s="4" customFormat="1" ht="25.5" customHeight="1" outlineLevel="1">
      <c r="A51" s="27" t="str">
        <f>$A$50&amp;"."&amp;ROW()-ROW($A$50)</f>
        <v>3B.7.1</v>
      </c>
      <c r="B51" s="28" t="s">
        <v>357</v>
      </c>
      <c r="C51" s="28" t="s">
        <v>515</v>
      </c>
      <c r="D51" s="29" t="s">
        <v>517</v>
      </c>
      <c r="E51" s="31">
        <v>30</v>
      </c>
      <c r="F51" s="31">
        <f>_xlfn.XLOOKUP(B51, Rate_Master!$A:$A, Rate_Master!$C:$C, "")</f>
        <v>3870899.9999999995</v>
      </c>
      <c r="G51" s="31">
        <f>_xlfn.XLOOKUP(B51, Rate_Master!$A:$A, Rate_Master!$D:$D, "")</f>
        <v>1505350</v>
      </c>
      <c r="H51" s="70">
        <f>+F51+G51</f>
        <v>5376250</v>
      </c>
      <c r="I51" s="32">
        <f>H51*E51</f>
        <v>161287500</v>
      </c>
      <c r="J51" s="32"/>
    </row>
    <row r="52" spans="1:10" s="4" customFormat="1" ht="25.5" customHeight="1" outlineLevel="1">
      <c r="A52" s="27" t="str">
        <f>$A$50&amp;"."&amp;ROW()-ROW($A$50)</f>
        <v>3B.7.2</v>
      </c>
      <c r="B52" s="28" t="s">
        <v>358</v>
      </c>
      <c r="C52" s="28" t="s">
        <v>515</v>
      </c>
      <c r="D52" s="29" t="s">
        <v>517</v>
      </c>
      <c r="E52" s="31">
        <v>14.5</v>
      </c>
      <c r="F52" s="31">
        <f>_xlfn.XLOOKUP(B52, Rate_Master!$A:$A, Rate_Master!$C:$C, "")</f>
        <v>12671849.999999998</v>
      </c>
      <c r="G52" s="31">
        <f>_xlfn.XLOOKUP(B52, Rate_Master!$A:$A, Rate_Master!$D:$D, "")</f>
        <v>4927750</v>
      </c>
      <c r="H52" s="70">
        <f>+F52+G52</f>
        <v>17599600</v>
      </c>
      <c r="I52" s="32">
        <f>H52*E52</f>
        <v>255194200</v>
      </c>
      <c r="J52" s="32"/>
    </row>
  </sheetData>
  <mergeCells count="5">
    <mergeCell ref="C4:J4"/>
    <mergeCell ref="C3:J3"/>
    <mergeCell ref="C7:J7"/>
    <mergeCell ref="C6:J6"/>
    <mergeCell ref="C5:J5"/>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3" tint="0.499984740745262"/>
    <pageSetUpPr fitToPage="1"/>
  </sheetPr>
  <dimension ref="A1:J27"/>
  <sheetViews>
    <sheetView topLeftCell="A8" workbookViewId="0">
      <pane ySplit="1" topLeftCell="A9" activePane="bottomLeft" state="frozen"/>
      <selection activeCell="A8" sqref="A8"/>
      <selection pane="bottomLeft" activeCell="I9" sqref="I9"/>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8" customWidth="1"/>
    <col min="6" max="7" width="14" style="8" customWidth="1" outlineLevel="1"/>
    <col min="8" max="10" width="14" style="9" customWidth="1"/>
    <col min="11" max="232" width="8.875" style="6" customWidth="1"/>
    <col min="233" max="233" width="6.375" style="6" customWidth="1"/>
    <col min="234" max="234" width="34.25" style="6" customWidth="1"/>
    <col min="235" max="235" width="7.375" style="6" customWidth="1"/>
    <col min="236" max="236" width="6.375" style="6" customWidth="1"/>
    <col min="237" max="237" width="13.125" style="6" customWidth="1"/>
    <col min="238" max="238" width="15.375" style="6" customWidth="1"/>
    <col min="239" max="239" width="21.25" style="6" customWidth="1"/>
    <col min="240" max="488" width="8.875" style="6" customWidth="1"/>
    <col min="489" max="489" width="6.375" style="6" customWidth="1"/>
    <col min="490" max="490" width="34.25" style="6" customWidth="1"/>
    <col min="491" max="491" width="7.375" style="6" customWidth="1"/>
    <col min="492" max="492" width="6.375" style="6" customWidth="1"/>
    <col min="493" max="493" width="13.125" style="6" customWidth="1"/>
    <col min="494" max="494" width="15.375" style="6" customWidth="1"/>
    <col min="495" max="495" width="21.25" style="6" customWidth="1"/>
    <col min="496" max="744" width="8.875" style="6" customWidth="1"/>
    <col min="745" max="745" width="6.375" style="6" customWidth="1"/>
    <col min="746" max="746" width="34.25" style="6" customWidth="1"/>
    <col min="747" max="747" width="7.375" style="6" customWidth="1"/>
    <col min="748" max="748" width="6.375" style="6" customWidth="1"/>
    <col min="749" max="749" width="13.125" style="6" customWidth="1"/>
    <col min="750" max="750" width="15.375" style="6" customWidth="1"/>
    <col min="751" max="751" width="21.25" style="6" customWidth="1"/>
    <col min="752" max="1000" width="8.875" style="6" customWidth="1"/>
    <col min="1001" max="1001" width="6.375" style="6" customWidth="1"/>
    <col min="1002" max="1002" width="34.25" style="6" customWidth="1"/>
    <col min="1003" max="1003" width="7.375" style="6" customWidth="1"/>
    <col min="1004" max="1004" width="6.375" style="6" customWidth="1"/>
    <col min="1005" max="1005" width="13.125" style="6" customWidth="1"/>
    <col min="1006" max="1006" width="15.375" style="6" customWidth="1"/>
    <col min="1007" max="1007" width="21.25" style="6" customWidth="1"/>
    <col min="1008" max="1256" width="8.875" style="6" customWidth="1"/>
    <col min="1257" max="1257" width="6.375" style="6" customWidth="1"/>
    <col min="1258" max="1258" width="34.25" style="6" customWidth="1"/>
    <col min="1259" max="1259" width="7.375" style="6" customWidth="1"/>
    <col min="1260" max="1260" width="6.375" style="6" customWidth="1"/>
    <col min="1261" max="1261" width="13.125" style="6" customWidth="1"/>
    <col min="1262" max="1262" width="15.375" style="6" customWidth="1"/>
    <col min="1263" max="1263" width="21.25" style="6" customWidth="1"/>
    <col min="1264" max="1512" width="8.875" style="6" customWidth="1"/>
    <col min="1513" max="1513" width="6.375" style="6" customWidth="1"/>
    <col min="1514" max="1514" width="34.25" style="6" customWidth="1"/>
    <col min="1515" max="1515" width="7.375" style="6" customWidth="1"/>
    <col min="1516" max="1516" width="6.375" style="6" customWidth="1"/>
    <col min="1517" max="1517" width="13.125" style="6" customWidth="1"/>
    <col min="1518" max="1518" width="15.375" style="6" customWidth="1"/>
    <col min="1519" max="1519" width="21.25" style="6" customWidth="1"/>
    <col min="1520" max="1768" width="8.875" style="6" customWidth="1"/>
    <col min="1769" max="1769" width="6.375" style="6" customWidth="1"/>
    <col min="1770" max="1770" width="34.25" style="6" customWidth="1"/>
    <col min="1771" max="1771" width="7.375" style="6" customWidth="1"/>
    <col min="1772" max="1772" width="6.375" style="6" customWidth="1"/>
    <col min="1773" max="1773" width="13.125" style="6" customWidth="1"/>
    <col min="1774" max="1774" width="15.375" style="6" customWidth="1"/>
    <col min="1775" max="1775" width="21.25" style="6" customWidth="1"/>
    <col min="1776" max="2024" width="8.875" style="6" customWidth="1"/>
    <col min="2025" max="2025" width="6.375" style="6" customWidth="1"/>
    <col min="2026" max="2026" width="34.25" style="6" customWidth="1"/>
    <col min="2027" max="2027" width="7.375" style="6" customWidth="1"/>
    <col min="2028" max="2028" width="6.375" style="6" customWidth="1"/>
    <col min="2029" max="2029" width="13.125" style="6" customWidth="1"/>
    <col min="2030" max="2030" width="15.375" style="6" customWidth="1"/>
    <col min="2031" max="2031" width="21.25" style="6" customWidth="1"/>
    <col min="2032" max="2280" width="8.875" style="6" customWidth="1"/>
    <col min="2281" max="2281" width="6.375" style="6" customWidth="1"/>
    <col min="2282" max="2282" width="34.25" style="6" customWidth="1"/>
    <col min="2283" max="2283" width="7.375" style="6" customWidth="1"/>
    <col min="2284" max="2284" width="6.375" style="6" customWidth="1"/>
    <col min="2285" max="2285" width="13.125" style="6" customWidth="1"/>
    <col min="2286" max="2286" width="15.375" style="6" customWidth="1"/>
    <col min="2287" max="2287" width="21.25" style="6" customWidth="1"/>
    <col min="2288" max="2536" width="8.875" style="6" customWidth="1"/>
    <col min="2537" max="2537" width="6.375" style="6" customWidth="1"/>
    <col min="2538" max="2538" width="34.25" style="6" customWidth="1"/>
    <col min="2539" max="2539" width="7.375" style="6" customWidth="1"/>
    <col min="2540" max="2540" width="6.375" style="6" customWidth="1"/>
    <col min="2541" max="2541" width="13.125" style="6" customWidth="1"/>
    <col min="2542" max="2542" width="15.375" style="6" customWidth="1"/>
    <col min="2543" max="2543" width="21.25" style="6" customWidth="1"/>
    <col min="2544" max="2792" width="8.875" style="6" customWidth="1"/>
    <col min="2793" max="2793" width="6.375" style="6" customWidth="1"/>
    <col min="2794" max="2794" width="34.25" style="6" customWidth="1"/>
    <col min="2795" max="2795" width="7.375" style="6" customWidth="1"/>
    <col min="2796" max="2796" width="6.375" style="6" customWidth="1"/>
    <col min="2797" max="2797" width="13.125" style="6" customWidth="1"/>
    <col min="2798" max="2798" width="15.375" style="6" customWidth="1"/>
    <col min="2799" max="2799" width="21.25" style="6" customWidth="1"/>
    <col min="2800" max="3048" width="8.875" style="6" customWidth="1"/>
    <col min="3049" max="3049" width="6.375" style="6" customWidth="1"/>
    <col min="3050" max="3050" width="34.25" style="6" customWidth="1"/>
    <col min="3051" max="3051" width="7.375" style="6" customWidth="1"/>
    <col min="3052" max="3052" width="6.375" style="6" customWidth="1"/>
    <col min="3053" max="3053" width="13.125" style="6" customWidth="1"/>
    <col min="3054" max="3054" width="15.375" style="6" customWidth="1"/>
    <col min="3055" max="3055" width="21.25" style="6" customWidth="1"/>
    <col min="3056" max="3304" width="8.875" style="6" customWidth="1"/>
    <col min="3305" max="3305" width="6.375" style="6" customWidth="1"/>
    <col min="3306" max="3306" width="34.25" style="6" customWidth="1"/>
    <col min="3307" max="3307" width="7.375" style="6" customWidth="1"/>
    <col min="3308" max="3308" width="6.375" style="6" customWidth="1"/>
    <col min="3309" max="3309" width="13.125" style="6" customWidth="1"/>
    <col min="3310" max="3310" width="15.375" style="6" customWidth="1"/>
    <col min="3311" max="3311" width="21.25" style="6" customWidth="1"/>
    <col min="3312" max="3560" width="8.875" style="6" customWidth="1"/>
    <col min="3561" max="3561" width="6.375" style="6" customWidth="1"/>
    <col min="3562" max="3562" width="34.25" style="6" customWidth="1"/>
    <col min="3563" max="3563" width="7.375" style="6" customWidth="1"/>
    <col min="3564" max="3564" width="6.375" style="6" customWidth="1"/>
    <col min="3565" max="3565" width="13.125" style="6" customWidth="1"/>
    <col min="3566" max="3566" width="15.375" style="6" customWidth="1"/>
    <col min="3567" max="3567" width="21.25" style="6" customWidth="1"/>
    <col min="3568" max="3816" width="8.875" style="6" customWidth="1"/>
    <col min="3817" max="3817" width="6.375" style="6" customWidth="1"/>
    <col min="3818" max="3818" width="34.25" style="6" customWidth="1"/>
    <col min="3819" max="3819" width="7.375" style="6" customWidth="1"/>
    <col min="3820" max="3820" width="6.375" style="6" customWidth="1"/>
    <col min="3821" max="3821" width="13.125" style="6" customWidth="1"/>
    <col min="3822" max="3822" width="15.375" style="6" customWidth="1"/>
    <col min="3823" max="3823" width="21.25" style="6" customWidth="1"/>
    <col min="3824" max="4072" width="8.875" style="6" customWidth="1"/>
    <col min="4073" max="4073" width="6.375" style="6" customWidth="1"/>
    <col min="4074" max="4074" width="34.25" style="6" customWidth="1"/>
    <col min="4075" max="4075" width="7.375" style="6" customWidth="1"/>
    <col min="4076" max="4076" width="6.375" style="6" customWidth="1"/>
    <col min="4077" max="4077" width="13.125" style="6" customWidth="1"/>
    <col min="4078" max="4078" width="15.375" style="6" customWidth="1"/>
    <col min="4079" max="4079" width="21.25" style="6" customWidth="1"/>
    <col min="4080" max="4328" width="8.875" style="6" customWidth="1"/>
    <col min="4329" max="4329" width="6.375" style="6" customWidth="1"/>
    <col min="4330" max="4330" width="34.25" style="6" customWidth="1"/>
    <col min="4331" max="4331" width="7.375" style="6" customWidth="1"/>
    <col min="4332" max="4332" width="6.375" style="6" customWidth="1"/>
    <col min="4333" max="4333" width="13.125" style="6" customWidth="1"/>
    <col min="4334" max="4334" width="15.375" style="6" customWidth="1"/>
    <col min="4335" max="4335" width="21.25" style="6" customWidth="1"/>
    <col min="4336" max="4584" width="8.875" style="6" customWidth="1"/>
    <col min="4585" max="4585" width="6.375" style="6" customWidth="1"/>
    <col min="4586" max="4586" width="34.25" style="6" customWidth="1"/>
    <col min="4587" max="4587" width="7.375" style="6" customWidth="1"/>
    <col min="4588" max="4588" width="6.375" style="6" customWidth="1"/>
    <col min="4589" max="4589" width="13.125" style="6" customWidth="1"/>
    <col min="4590" max="4590" width="15.375" style="6" customWidth="1"/>
    <col min="4591" max="4591" width="21.25" style="6" customWidth="1"/>
    <col min="4592" max="4840" width="8.875" style="6" customWidth="1"/>
    <col min="4841" max="4841" width="6.375" style="6" customWidth="1"/>
    <col min="4842" max="4842" width="34.25" style="6" customWidth="1"/>
    <col min="4843" max="4843" width="7.375" style="6" customWidth="1"/>
    <col min="4844" max="4844" width="6.375" style="6" customWidth="1"/>
    <col min="4845" max="4845" width="13.125" style="6" customWidth="1"/>
    <col min="4846" max="4846" width="15.375" style="6" customWidth="1"/>
    <col min="4847" max="4847" width="21.25" style="6" customWidth="1"/>
    <col min="4848" max="5096" width="8.875" style="6" customWidth="1"/>
    <col min="5097" max="5097" width="6.375" style="6" customWidth="1"/>
    <col min="5098" max="5098" width="34.25" style="6" customWidth="1"/>
    <col min="5099" max="5099" width="7.375" style="6" customWidth="1"/>
    <col min="5100" max="5100" width="6.375" style="6" customWidth="1"/>
    <col min="5101" max="5101" width="13.125" style="6" customWidth="1"/>
    <col min="5102" max="5102" width="15.375" style="6" customWidth="1"/>
    <col min="5103" max="5103" width="21.25" style="6" customWidth="1"/>
    <col min="5104" max="5352" width="8.875" style="6" customWidth="1"/>
    <col min="5353" max="5353" width="6.375" style="6" customWidth="1"/>
    <col min="5354" max="5354" width="34.25" style="6" customWidth="1"/>
    <col min="5355" max="5355" width="7.375" style="6" customWidth="1"/>
    <col min="5356" max="5356" width="6.375" style="6" customWidth="1"/>
    <col min="5357" max="5357" width="13.125" style="6" customWidth="1"/>
    <col min="5358" max="5358" width="15.375" style="6" customWidth="1"/>
    <col min="5359" max="5359" width="21.25" style="6" customWidth="1"/>
    <col min="5360" max="5608" width="8.875" style="6" customWidth="1"/>
    <col min="5609" max="5609" width="6.375" style="6" customWidth="1"/>
    <col min="5610" max="5610" width="34.25" style="6" customWidth="1"/>
    <col min="5611" max="5611" width="7.375" style="6" customWidth="1"/>
    <col min="5612" max="5612" width="6.375" style="6" customWidth="1"/>
    <col min="5613" max="5613" width="13.125" style="6" customWidth="1"/>
    <col min="5614" max="5614" width="15.375" style="6" customWidth="1"/>
    <col min="5615" max="5615" width="21.25" style="6" customWidth="1"/>
    <col min="5616" max="5864" width="8.875" style="6" customWidth="1"/>
    <col min="5865" max="5865" width="6.375" style="6" customWidth="1"/>
    <col min="5866" max="5866" width="34.25" style="6" customWidth="1"/>
    <col min="5867" max="5867" width="7.375" style="6" customWidth="1"/>
    <col min="5868" max="5868" width="6.375" style="6" customWidth="1"/>
    <col min="5869" max="5869" width="13.125" style="6" customWidth="1"/>
    <col min="5870" max="5870" width="15.375" style="6" customWidth="1"/>
    <col min="5871" max="5871" width="21.25" style="6" customWidth="1"/>
    <col min="5872" max="6120" width="8.875" style="6" customWidth="1"/>
    <col min="6121" max="6121" width="6.375" style="6" customWidth="1"/>
    <col min="6122" max="6122" width="34.25" style="6" customWidth="1"/>
    <col min="6123" max="6123" width="7.375" style="6" customWidth="1"/>
    <col min="6124" max="6124" width="6.375" style="6" customWidth="1"/>
    <col min="6125" max="6125" width="13.125" style="6" customWidth="1"/>
    <col min="6126" max="6126" width="15.375" style="6" customWidth="1"/>
    <col min="6127" max="6127" width="21.25" style="6" customWidth="1"/>
    <col min="6128" max="6376" width="8.875" style="6" customWidth="1"/>
    <col min="6377" max="6377" width="6.375" style="6" customWidth="1"/>
    <col min="6378" max="6378" width="34.25" style="6" customWidth="1"/>
    <col min="6379" max="6379" width="7.375" style="6" customWidth="1"/>
    <col min="6380" max="6380" width="6.375" style="6" customWidth="1"/>
    <col min="6381" max="6381" width="13.125" style="6" customWidth="1"/>
    <col min="6382" max="6382" width="15.375" style="6" customWidth="1"/>
    <col min="6383" max="6383" width="21.25" style="6" customWidth="1"/>
    <col min="6384" max="6632" width="8.875" style="6" customWidth="1"/>
    <col min="6633" max="6633" width="6.375" style="6" customWidth="1"/>
    <col min="6634" max="6634" width="34.25" style="6" customWidth="1"/>
    <col min="6635" max="6635" width="7.375" style="6" customWidth="1"/>
    <col min="6636" max="6636" width="6.375" style="6" customWidth="1"/>
    <col min="6637" max="6637" width="13.125" style="6" customWidth="1"/>
    <col min="6638" max="6638" width="15.375" style="6" customWidth="1"/>
    <col min="6639" max="6639" width="21.25" style="6" customWidth="1"/>
    <col min="6640" max="6888" width="8.875" style="6" customWidth="1"/>
    <col min="6889" max="6889" width="6.375" style="6" customWidth="1"/>
    <col min="6890" max="6890" width="34.25" style="6" customWidth="1"/>
    <col min="6891" max="6891" width="7.375" style="6" customWidth="1"/>
    <col min="6892" max="6892" width="6.375" style="6" customWidth="1"/>
    <col min="6893" max="6893" width="13.125" style="6" customWidth="1"/>
    <col min="6894" max="6894" width="15.375" style="6" customWidth="1"/>
    <col min="6895" max="6895" width="21.25" style="6" customWidth="1"/>
    <col min="6896" max="7144" width="8.875" style="6" customWidth="1"/>
    <col min="7145" max="7145" width="6.375" style="6" customWidth="1"/>
    <col min="7146" max="7146" width="34.25" style="6" customWidth="1"/>
    <col min="7147" max="7147" width="7.375" style="6" customWidth="1"/>
    <col min="7148" max="7148" width="6.375" style="6" customWidth="1"/>
    <col min="7149" max="7149" width="13.125" style="6" customWidth="1"/>
    <col min="7150" max="7150" width="15.375" style="6" customWidth="1"/>
    <col min="7151" max="7151" width="21.25" style="6" customWidth="1"/>
    <col min="7152" max="7400" width="8.875" style="6" customWidth="1"/>
    <col min="7401" max="7401" width="6.375" style="6" customWidth="1"/>
    <col min="7402" max="7402" width="34.25" style="6" customWidth="1"/>
    <col min="7403" max="7403" width="7.375" style="6" customWidth="1"/>
    <col min="7404" max="7404" width="6.375" style="6" customWidth="1"/>
    <col min="7405" max="7405" width="13.125" style="6" customWidth="1"/>
    <col min="7406" max="7406" width="15.375" style="6" customWidth="1"/>
    <col min="7407" max="7407" width="21.25" style="6" customWidth="1"/>
    <col min="7408" max="7656" width="8.875" style="6" customWidth="1"/>
    <col min="7657" max="7657" width="6.375" style="6" customWidth="1"/>
    <col min="7658" max="7658" width="34.25" style="6" customWidth="1"/>
    <col min="7659" max="7659" width="7.375" style="6" customWidth="1"/>
    <col min="7660" max="7660" width="6.375" style="6" customWidth="1"/>
    <col min="7661" max="7661" width="13.125" style="6" customWidth="1"/>
    <col min="7662" max="7662" width="15.375" style="6" customWidth="1"/>
    <col min="7663" max="7663" width="21.25" style="6" customWidth="1"/>
    <col min="7664" max="7912" width="8.875" style="6" customWidth="1"/>
    <col min="7913" max="7913" width="6.375" style="6" customWidth="1"/>
    <col min="7914" max="7914" width="34.25" style="6" customWidth="1"/>
    <col min="7915" max="7915" width="7.375" style="6" customWidth="1"/>
    <col min="7916" max="7916" width="6.375" style="6" customWidth="1"/>
    <col min="7917" max="7917" width="13.125" style="6" customWidth="1"/>
    <col min="7918" max="7918" width="15.375" style="6" customWidth="1"/>
    <col min="7919" max="7919" width="21.25" style="6" customWidth="1"/>
    <col min="7920" max="8168" width="8.875" style="6" customWidth="1"/>
    <col min="8169" max="8169" width="6.375" style="6" customWidth="1"/>
    <col min="8170" max="8170" width="34.25" style="6" customWidth="1"/>
    <col min="8171" max="8171" width="7.375" style="6" customWidth="1"/>
    <col min="8172" max="8172" width="6.375" style="6" customWidth="1"/>
    <col min="8173" max="8173" width="13.125" style="6" customWidth="1"/>
    <col min="8174" max="8174" width="15.375" style="6" customWidth="1"/>
    <col min="8175" max="8175" width="21.25" style="6" customWidth="1"/>
    <col min="8176" max="8424" width="8.875" style="6" customWidth="1"/>
    <col min="8425" max="8425" width="6.375" style="6" customWidth="1"/>
    <col min="8426" max="8426" width="34.25" style="6" customWidth="1"/>
    <col min="8427" max="8427" width="7.375" style="6" customWidth="1"/>
    <col min="8428" max="8428" width="6.375" style="6" customWidth="1"/>
    <col min="8429" max="8429" width="13.125" style="6" customWidth="1"/>
    <col min="8430" max="8430" width="15.375" style="6" customWidth="1"/>
    <col min="8431" max="8431" width="21.25" style="6" customWidth="1"/>
    <col min="8432" max="8680" width="8.875" style="6" customWidth="1"/>
    <col min="8681" max="8681" width="6.375" style="6" customWidth="1"/>
    <col min="8682" max="8682" width="34.25" style="6" customWidth="1"/>
    <col min="8683" max="8683" width="7.375" style="6" customWidth="1"/>
    <col min="8684" max="8684" width="6.375" style="6" customWidth="1"/>
    <col min="8685" max="8685" width="13.125" style="6" customWidth="1"/>
    <col min="8686" max="8686" width="15.375" style="6" customWidth="1"/>
    <col min="8687" max="8687" width="21.25" style="6" customWidth="1"/>
    <col min="8688" max="8936" width="8.875" style="6" customWidth="1"/>
    <col min="8937" max="8937" width="6.375" style="6" customWidth="1"/>
    <col min="8938" max="8938" width="34.25" style="6" customWidth="1"/>
    <col min="8939" max="8939" width="7.375" style="6" customWidth="1"/>
    <col min="8940" max="8940" width="6.375" style="6" customWidth="1"/>
    <col min="8941" max="8941" width="13.125" style="6" customWidth="1"/>
    <col min="8942" max="8942" width="15.375" style="6" customWidth="1"/>
    <col min="8943" max="8943" width="21.25" style="6" customWidth="1"/>
    <col min="8944" max="9192" width="8.875" style="6" customWidth="1"/>
    <col min="9193" max="9193" width="6.375" style="6" customWidth="1"/>
    <col min="9194" max="9194" width="34.25" style="6" customWidth="1"/>
    <col min="9195" max="9195" width="7.375" style="6" customWidth="1"/>
    <col min="9196" max="9196" width="6.375" style="6" customWidth="1"/>
    <col min="9197" max="9197" width="13.125" style="6" customWidth="1"/>
    <col min="9198" max="9198" width="15.375" style="6" customWidth="1"/>
    <col min="9199" max="9199" width="21.25" style="6" customWidth="1"/>
    <col min="9200" max="9448" width="8.875" style="6" customWidth="1"/>
    <col min="9449" max="9449" width="6.375" style="6" customWidth="1"/>
    <col min="9450" max="9450" width="34.25" style="6" customWidth="1"/>
    <col min="9451" max="9451" width="7.375" style="6" customWidth="1"/>
    <col min="9452" max="9452" width="6.375" style="6" customWidth="1"/>
    <col min="9453" max="9453" width="13.125" style="6" customWidth="1"/>
    <col min="9454" max="9454" width="15.375" style="6" customWidth="1"/>
    <col min="9455" max="9455" width="21.25" style="6" customWidth="1"/>
    <col min="9456" max="9704" width="8.875" style="6" customWidth="1"/>
    <col min="9705" max="9705" width="6.375" style="6" customWidth="1"/>
    <col min="9706" max="9706" width="34.25" style="6" customWidth="1"/>
    <col min="9707" max="9707" width="7.375" style="6" customWidth="1"/>
    <col min="9708" max="9708" width="6.375" style="6" customWidth="1"/>
    <col min="9709" max="9709" width="13.125" style="6" customWidth="1"/>
    <col min="9710" max="9710" width="15.375" style="6" customWidth="1"/>
    <col min="9711" max="9711" width="21.25" style="6" customWidth="1"/>
    <col min="9712" max="9960" width="8.875" style="6" customWidth="1"/>
    <col min="9961" max="9961" width="6.375" style="6" customWidth="1"/>
    <col min="9962" max="9962" width="34.25" style="6" customWidth="1"/>
    <col min="9963" max="9963" width="7.375" style="6" customWidth="1"/>
    <col min="9964" max="9964" width="6.375" style="6" customWidth="1"/>
    <col min="9965" max="9965" width="13.125" style="6" customWidth="1"/>
    <col min="9966" max="9966" width="15.375" style="6" customWidth="1"/>
    <col min="9967" max="9967" width="21.25" style="6" customWidth="1"/>
    <col min="9968" max="10216" width="8.875" style="6" customWidth="1"/>
    <col min="10217" max="10217" width="6.375" style="6" customWidth="1"/>
    <col min="10218" max="10218" width="34.25" style="6" customWidth="1"/>
    <col min="10219" max="10219" width="7.375" style="6" customWidth="1"/>
    <col min="10220" max="10220" width="6.375" style="6" customWidth="1"/>
    <col min="10221" max="10221" width="13.125" style="6" customWidth="1"/>
    <col min="10222" max="10222" width="15.375" style="6" customWidth="1"/>
    <col min="10223" max="10223" width="21.25" style="6" customWidth="1"/>
    <col min="10224" max="10472" width="8.875" style="6" customWidth="1"/>
    <col min="10473" max="10473" width="6.375" style="6" customWidth="1"/>
    <col min="10474" max="10474" width="34.25" style="6" customWidth="1"/>
    <col min="10475" max="10475" width="7.375" style="6" customWidth="1"/>
    <col min="10476" max="10476" width="6.375" style="6" customWidth="1"/>
    <col min="10477" max="10477" width="13.125" style="6" customWidth="1"/>
    <col min="10478" max="10478" width="15.375" style="6" customWidth="1"/>
    <col min="10479" max="10479" width="21.25" style="6" customWidth="1"/>
    <col min="10480" max="10728" width="8.875" style="6" customWidth="1"/>
    <col min="10729" max="10729" width="6.375" style="6" customWidth="1"/>
    <col min="10730" max="10730" width="34.25" style="6" customWidth="1"/>
    <col min="10731" max="10731" width="7.375" style="6" customWidth="1"/>
    <col min="10732" max="10732" width="6.375" style="6" customWidth="1"/>
    <col min="10733" max="10733" width="13.125" style="6" customWidth="1"/>
    <col min="10734" max="10734" width="15.375" style="6" customWidth="1"/>
    <col min="10735" max="10735" width="21.25" style="6" customWidth="1"/>
    <col min="10736" max="10984" width="8.875" style="6" customWidth="1"/>
    <col min="10985" max="10985" width="6.375" style="6" customWidth="1"/>
    <col min="10986" max="10986" width="34.25" style="6" customWidth="1"/>
    <col min="10987" max="10987" width="7.375" style="6" customWidth="1"/>
    <col min="10988" max="10988" width="6.375" style="6" customWidth="1"/>
    <col min="10989" max="10989" width="13.125" style="6" customWidth="1"/>
    <col min="10990" max="10990" width="15.375" style="6" customWidth="1"/>
    <col min="10991" max="10991" width="21.25" style="6" customWidth="1"/>
    <col min="10992" max="11240" width="8.875" style="6" customWidth="1"/>
    <col min="11241" max="11241" width="6.375" style="6" customWidth="1"/>
    <col min="11242" max="11242" width="34.25" style="6" customWidth="1"/>
    <col min="11243" max="11243" width="7.375" style="6" customWidth="1"/>
    <col min="11244" max="11244" width="6.375" style="6" customWidth="1"/>
    <col min="11245" max="11245" width="13.125" style="6" customWidth="1"/>
    <col min="11246" max="11246" width="15.375" style="6" customWidth="1"/>
    <col min="11247" max="11247" width="21.25" style="6" customWidth="1"/>
    <col min="11248" max="11496" width="8.875" style="6" customWidth="1"/>
    <col min="11497" max="11497" width="6.375" style="6" customWidth="1"/>
    <col min="11498" max="11498" width="34.25" style="6" customWidth="1"/>
    <col min="11499" max="11499" width="7.375" style="6" customWidth="1"/>
    <col min="11500" max="11500" width="6.375" style="6" customWidth="1"/>
    <col min="11501" max="11501" width="13.125" style="6" customWidth="1"/>
    <col min="11502" max="11502" width="15.375" style="6" customWidth="1"/>
    <col min="11503" max="11503" width="21.25" style="6" customWidth="1"/>
    <col min="11504" max="11752" width="8.875" style="6" customWidth="1"/>
    <col min="11753" max="11753" width="6.375" style="6" customWidth="1"/>
    <col min="11754" max="11754" width="34.25" style="6" customWidth="1"/>
    <col min="11755" max="11755" width="7.375" style="6" customWidth="1"/>
    <col min="11756" max="11756" width="6.375" style="6" customWidth="1"/>
    <col min="11757" max="11757" width="13.125" style="6" customWidth="1"/>
    <col min="11758" max="11758" width="15.375" style="6" customWidth="1"/>
    <col min="11759" max="11759" width="21.25" style="6" customWidth="1"/>
    <col min="11760" max="12008" width="8.875" style="6" customWidth="1"/>
    <col min="12009" max="12009" width="6.375" style="6" customWidth="1"/>
    <col min="12010" max="12010" width="34.25" style="6" customWidth="1"/>
    <col min="12011" max="12011" width="7.375" style="6" customWidth="1"/>
    <col min="12012" max="12012" width="6.375" style="6" customWidth="1"/>
    <col min="12013" max="12013" width="13.125" style="6" customWidth="1"/>
    <col min="12014" max="12014" width="15.375" style="6" customWidth="1"/>
    <col min="12015" max="12015" width="21.25" style="6" customWidth="1"/>
    <col min="12016" max="12264" width="8.875" style="6" customWidth="1"/>
    <col min="12265" max="12265" width="6.375" style="6" customWidth="1"/>
    <col min="12266" max="12266" width="34.25" style="6" customWidth="1"/>
    <col min="12267" max="12267" width="7.375" style="6" customWidth="1"/>
    <col min="12268" max="12268" width="6.375" style="6" customWidth="1"/>
    <col min="12269" max="12269" width="13.125" style="6" customWidth="1"/>
    <col min="12270" max="12270" width="15.375" style="6" customWidth="1"/>
    <col min="12271" max="12271" width="21.25" style="6" customWidth="1"/>
    <col min="12272" max="12520" width="8.875" style="6" customWidth="1"/>
    <col min="12521" max="12521" width="6.375" style="6" customWidth="1"/>
    <col min="12522" max="12522" width="34.25" style="6" customWidth="1"/>
    <col min="12523" max="12523" width="7.375" style="6" customWidth="1"/>
    <col min="12524" max="12524" width="6.375" style="6" customWidth="1"/>
    <col min="12525" max="12525" width="13.125" style="6" customWidth="1"/>
    <col min="12526" max="12526" width="15.375" style="6" customWidth="1"/>
    <col min="12527" max="12527" width="21.25" style="6" customWidth="1"/>
    <col min="12528" max="12776" width="8.875" style="6" customWidth="1"/>
    <col min="12777" max="12777" width="6.375" style="6" customWidth="1"/>
    <col min="12778" max="12778" width="34.25" style="6" customWidth="1"/>
    <col min="12779" max="12779" width="7.375" style="6" customWidth="1"/>
    <col min="12780" max="12780" width="6.375" style="6" customWidth="1"/>
    <col min="12781" max="12781" width="13.125" style="6" customWidth="1"/>
    <col min="12782" max="12782" width="15.375" style="6" customWidth="1"/>
    <col min="12783" max="12783" width="21.25" style="6" customWidth="1"/>
    <col min="12784" max="13032" width="8.875" style="6" customWidth="1"/>
    <col min="13033" max="13033" width="6.375" style="6" customWidth="1"/>
    <col min="13034" max="13034" width="34.25" style="6" customWidth="1"/>
    <col min="13035" max="13035" width="7.375" style="6" customWidth="1"/>
    <col min="13036" max="13036" width="6.375" style="6" customWidth="1"/>
    <col min="13037" max="13037" width="13.125" style="6" customWidth="1"/>
    <col min="13038" max="13038" width="15.375" style="6" customWidth="1"/>
    <col min="13039" max="13039" width="21.25" style="6" customWidth="1"/>
    <col min="13040" max="13288" width="8.875" style="6" customWidth="1"/>
    <col min="13289" max="13289" width="6.375" style="6" customWidth="1"/>
    <col min="13290" max="13290" width="34.25" style="6" customWidth="1"/>
    <col min="13291" max="13291" width="7.375" style="6" customWidth="1"/>
    <col min="13292" max="13292" width="6.375" style="6" customWidth="1"/>
    <col min="13293" max="13293" width="13.125" style="6" customWidth="1"/>
    <col min="13294" max="13294" width="15.375" style="6" customWidth="1"/>
    <col min="13295" max="13295" width="21.25" style="6" customWidth="1"/>
    <col min="13296" max="13544" width="8.875" style="6" customWidth="1"/>
    <col min="13545" max="13545" width="6.375" style="6" customWidth="1"/>
    <col min="13546" max="13546" width="34.25" style="6" customWidth="1"/>
    <col min="13547" max="13547" width="7.375" style="6" customWidth="1"/>
    <col min="13548" max="13548" width="6.375" style="6" customWidth="1"/>
    <col min="13549" max="13549" width="13.125" style="6" customWidth="1"/>
    <col min="13550" max="13550" width="15.375" style="6" customWidth="1"/>
    <col min="13551" max="13551" width="21.25" style="6" customWidth="1"/>
    <col min="13552" max="13800" width="8.875" style="6" customWidth="1"/>
    <col min="13801" max="13801" width="6.375" style="6" customWidth="1"/>
    <col min="13802" max="13802" width="34.25" style="6" customWidth="1"/>
    <col min="13803" max="13803" width="7.375" style="6" customWidth="1"/>
    <col min="13804" max="13804" width="6.375" style="6" customWidth="1"/>
    <col min="13805" max="13805" width="13.125" style="6" customWidth="1"/>
    <col min="13806" max="13806" width="15.375" style="6" customWidth="1"/>
    <col min="13807" max="13807" width="21.25" style="6" customWidth="1"/>
    <col min="13808" max="14056" width="8.875" style="6" customWidth="1"/>
    <col min="14057" max="14057" width="6.375" style="6" customWidth="1"/>
    <col min="14058" max="14058" width="34.25" style="6" customWidth="1"/>
    <col min="14059" max="14059" width="7.375" style="6" customWidth="1"/>
    <col min="14060" max="14060" width="6.375" style="6" customWidth="1"/>
    <col min="14061" max="14061" width="13.125" style="6" customWidth="1"/>
    <col min="14062" max="14062" width="15.375" style="6" customWidth="1"/>
    <col min="14063" max="14063" width="21.25" style="6" customWidth="1"/>
    <col min="14064" max="14312" width="8.875" style="6" customWidth="1"/>
    <col min="14313" max="14313" width="6.375" style="6" customWidth="1"/>
    <col min="14314" max="14314" width="34.25" style="6" customWidth="1"/>
    <col min="14315" max="14315" width="7.375" style="6" customWidth="1"/>
    <col min="14316" max="14316" width="6.375" style="6" customWidth="1"/>
    <col min="14317" max="14317" width="13.125" style="6" customWidth="1"/>
    <col min="14318" max="14318" width="15.375" style="6" customWidth="1"/>
    <col min="14319" max="14319" width="21.25" style="6" customWidth="1"/>
    <col min="14320" max="14568" width="8.875" style="6" customWidth="1"/>
    <col min="14569" max="14569" width="6.375" style="6" customWidth="1"/>
    <col min="14570" max="14570" width="34.25" style="6" customWidth="1"/>
    <col min="14571" max="14571" width="7.375" style="6" customWidth="1"/>
    <col min="14572" max="14572" width="6.375" style="6" customWidth="1"/>
    <col min="14573" max="14573" width="13.125" style="6" customWidth="1"/>
    <col min="14574" max="14574" width="15.375" style="6" customWidth="1"/>
    <col min="14575" max="14575" width="21.25" style="6" customWidth="1"/>
    <col min="14576" max="14824" width="8.875" style="6" customWidth="1"/>
    <col min="14825" max="14825" width="6.375" style="6" customWidth="1"/>
    <col min="14826" max="14826" width="34.25" style="6" customWidth="1"/>
    <col min="14827" max="14827" width="7.375" style="6" customWidth="1"/>
    <col min="14828" max="14828" width="6.375" style="6" customWidth="1"/>
    <col min="14829" max="14829" width="13.125" style="6" customWidth="1"/>
    <col min="14830" max="14830" width="15.375" style="6" customWidth="1"/>
    <col min="14831" max="14831" width="21.25" style="6" customWidth="1"/>
    <col min="14832" max="15080" width="8.875" style="6" customWidth="1"/>
    <col min="15081" max="15081" width="6.375" style="6" customWidth="1"/>
    <col min="15082" max="15082" width="34.25" style="6" customWidth="1"/>
    <col min="15083" max="15083" width="7.375" style="6" customWidth="1"/>
    <col min="15084" max="15084" width="6.375" style="6" customWidth="1"/>
    <col min="15085" max="15085" width="13.125" style="6" customWidth="1"/>
    <col min="15086" max="15086" width="15.375" style="6" customWidth="1"/>
    <col min="15087" max="15087" width="21.25" style="6" customWidth="1"/>
    <col min="15088" max="15336" width="8.875" style="6" customWidth="1"/>
    <col min="15337" max="15337" width="6.375" style="6" customWidth="1"/>
    <col min="15338" max="15338" width="34.25" style="6" customWidth="1"/>
    <col min="15339" max="15339" width="7.375" style="6" customWidth="1"/>
    <col min="15340" max="15340" width="6.375" style="6" customWidth="1"/>
    <col min="15341" max="15341" width="13.125" style="6" customWidth="1"/>
    <col min="15342" max="15342" width="15.375" style="6" customWidth="1"/>
    <col min="15343" max="15343" width="21.25" style="6" customWidth="1"/>
    <col min="15344" max="15592" width="8.875" style="6" customWidth="1"/>
    <col min="15593" max="15593" width="6.375" style="6" customWidth="1"/>
    <col min="15594" max="15594" width="34.25" style="6" customWidth="1"/>
    <col min="15595" max="15595" width="7.375" style="6" customWidth="1"/>
    <col min="15596" max="15596" width="6.375" style="6" customWidth="1"/>
    <col min="15597" max="15597" width="13.125" style="6" customWidth="1"/>
    <col min="15598" max="15598" width="15.375" style="6" customWidth="1"/>
    <col min="15599" max="15599" width="21.25" style="6" customWidth="1"/>
    <col min="15600" max="15848" width="8.875" style="6" customWidth="1"/>
    <col min="15849" max="15849" width="6.375" style="6" customWidth="1"/>
    <col min="15850" max="15850" width="34.25" style="6" customWidth="1"/>
    <col min="15851" max="15851" width="7.375" style="6" customWidth="1"/>
    <col min="15852" max="15852" width="6.375" style="6" customWidth="1"/>
    <col min="15853" max="15853" width="13.125" style="6" customWidth="1"/>
    <col min="15854" max="15854" width="15.375" style="6" customWidth="1"/>
    <col min="15855" max="15855" width="21.25" style="6" customWidth="1"/>
    <col min="15856" max="16104" width="8.875" style="6" customWidth="1"/>
    <col min="16105" max="16105" width="6.375" style="6" customWidth="1"/>
    <col min="16106" max="16106" width="34.25" style="6" customWidth="1"/>
    <col min="16107" max="16107" width="7.375" style="6" customWidth="1"/>
    <col min="16108" max="16108" width="6.375" style="6" customWidth="1"/>
    <col min="16109" max="16109" width="13.125" style="6" customWidth="1"/>
    <col min="16110" max="16110" width="15.375" style="6" customWidth="1"/>
    <col min="16111" max="16111" width="21.25" style="6" customWidth="1"/>
    <col min="16112" max="16384" width="8.875" style="6" customWidth="1"/>
  </cols>
  <sheetData>
    <row r="1" spans="1:10" ht="48" customHeight="1"/>
    <row r="2" spans="1:10" s="1" customFormat="1" ht="51" customHeight="1">
      <c r="A2" s="10" t="s">
        <v>507</v>
      </c>
      <c r="B2" s="11"/>
      <c r="C2" s="12"/>
      <c r="D2" s="11"/>
      <c r="E2" s="14"/>
      <c r="F2" s="14"/>
      <c r="G2" s="14"/>
      <c r="H2" s="15"/>
      <c r="I2" s="15"/>
      <c r="J2" s="15"/>
    </row>
    <row r="3" spans="1:10" ht="26.25" customHeight="1">
      <c r="A3" s="16"/>
      <c r="B3" s="17" t="s">
        <v>440</v>
      </c>
      <c r="C3" s="213"/>
      <c r="D3" s="217"/>
      <c r="E3" s="214"/>
      <c r="F3" s="214"/>
      <c r="G3" s="214"/>
      <c r="H3" s="220"/>
      <c r="I3" s="220"/>
      <c r="J3" s="220"/>
    </row>
    <row r="4" spans="1:10" ht="26.25" customHeight="1">
      <c r="A4" s="18"/>
      <c r="B4" s="5" t="s">
        <v>441</v>
      </c>
      <c r="C4" s="222"/>
      <c r="D4" s="217"/>
      <c r="E4" s="214"/>
      <c r="F4" s="214"/>
      <c r="G4" s="214"/>
      <c r="H4" s="220"/>
      <c r="I4" s="220"/>
      <c r="J4" s="220"/>
    </row>
    <row r="5" spans="1:10" ht="26.25" customHeight="1">
      <c r="A5" s="18"/>
      <c r="B5" s="5" t="s">
        <v>442</v>
      </c>
      <c r="C5" s="216"/>
      <c r="D5" s="217"/>
      <c r="E5" s="214"/>
      <c r="F5" s="214"/>
      <c r="G5" s="214"/>
      <c r="H5" s="220"/>
      <c r="I5" s="220"/>
      <c r="J5" s="220"/>
    </row>
    <row r="6" spans="1:10" ht="26.25" customHeight="1">
      <c r="A6" s="18"/>
      <c r="B6" s="5" t="s">
        <v>443</v>
      </c>
      <c r="C6" s="213" t="str">
        <f>INDEX(總表!$B$9:$B$47,MATCH('4B'!A9,總表!$A$9:$A$48,0))</f>
        <v>Hệ thống thoát nước thải
廢水排水系統</v>
      </c>
      <c r="D6" s="217"/>
      <c r="E6" s="214"/>
      <c r="F6" s="214"/>
      <c r="G6" s="214"/>
      <c r="H6" s="220"/>
      <c r="I6" s="220"/>
      <c r="J6" s="220"/>
    </row>
    <row r="7" spans="1:10" ht="26.25" customHeight="1">
      <c r="A7" s="18"/>
      <c r="B7" s="5" t="s">
        <v>444</v>
      </c>
      <c r="C7" s="223" t="s">
        <v>445</v>
      </c>
      <c r="D7" s="224"/>
      <c r="E7" s="224"/>
      <c r="F7" s="224"/>
      <c r="G7" s="224"/>
      <c r="H7" s="224"/>
      <c r="I7" s="224"/>
      <c r="J7" s="224"/>
    </row>
    <row r="8" spans="1:10" s="2" customFormat="1" ht="41.25" customHeight="1">
      <c r="A8" s="19" t="s">
        <v>446</v>
      </c>
      <c r="B8" s="19" t="s">
        <v>508</v>
      </c>
      <c r="C8" s="19" t="s">
        <v>509</v>
      </c>
      <c r="D8" s="19" t="s">
        <v>448</v>
      </c>
      <c r="E8" s="19" t="s">
        <v>449</v>
      </c>
      <c r="F8" s="19" t="s">
        <v>511</v>
      </c>
      <c r="G8" s="19" t="s">
        <v>512</v>
      </c>
      <c r="H8" s="21" t="s">
        <v>450</v>
      </c>
      <c r="I8" s="21" t="s">
        <v>452</v>
      </c>
      <c r="J8" s="21" t="s">
        <v>514</v>
      </c>
    </row>
    <row r="9" spans="1:10" s="3" customFormat="1" ht="25.5" customHeight="1">
      <c r="A9" s="22" t="s">
        <v>490</v>
      </c>
      <c r="B9" s="23" t="str">
        <f>C6</f>
        <v>Hệ thống thoát nước thải
廢水排水系統</v>
      </c>
      <c r="C9" s="23" t="s">
        <v>515</v>
      </c>
      <c r="D9" s="22"/>
      <c r="E9" s="25"/>
      <c r="F9" s="25">
        <f>_xlfn.XLOOKUP(B9, Rate_Master!$A:$A, Rate_Master!$C:$C, "")</f>
        <v>0</v>
      </c>
      <c r="G9" s="25">
        <f>_xlfn.XLOOKUP(B9, Rate_Master!$A:$A, Rate_Master!$D:$D, "")</f>
        <v>0</v>
      </c>
      <c r="H9" s="26"/>
      <c r="I9" s="26">
        <f>SUBTOTAL(9,I10:I26)</f>
        <v>3370437250</v>
      </c>
      <c r="J9" s="26"/>
    </row>
    <row r="10" spans="1:10" s="3" customFormat="1" ht="25.5" customHeight="1">
      <c r="A10" s="22" t="str">
        <f>A9&amp;".1"</f>
        <v>4B.1</v>
      </c>
      <c r="B10" s="23" t="s">
        <v>360</v>
      </c>
      <c r="C10" s="23" t="s">
        <v>515</v>
      </c>
      <c r="D10" s="22"/>
      <c r="E10" s="25"/>
      <c r="F10" s="25">
        <f>_xlfn.XLOOKUP(B10, Rate_Master!$A:$A, Rate_Master!$C:$C, "")</f>
        <v>0</v>
      </c>
      <c r="G10" s="25">
        <f>_xlfn.XLOOKUP(B10, Rate_Master!$A:$A, Rate_Master!$D:$D, "")</f>
        <v>0</v>
      </c>
      <c r="H10" s="26"/>
      <c r="I10" s="26">
        <f>SUBTOTAL(9,I11:I18)</f>
        <v>2274919650</v>
      </c>
      <c r="J10" s="26"/>
    </row>
    <row r="11" spans="1:10" s="4" customFormat="1" ht="25.5" hidden="1" customHeight="1" outlineLevel="1">
      <c r="A11" s="27" t="str">
        <f t="shared" ref="A11:A18" si="0">$A$10&amp;"."&amp;ROW()-ROW($A$10)</f>
        <v>4B.1.1</v>
      </c>
      <c r="B11" s="28" t="s">
        <v>361</v>
      </c>
      <c r="C11" s="28" t="s">
        <v>515</v>
      </c>
      <c r="D11" s="29" t="s">
        <v>517</v>
      </c>
      <c r="E11" s="31">
        <v>1113</v>
      </c>
      <c r="F11" s="31">
        <f>_xlfn.XLOOKUP(B11, Rate_Master!$A:$A, Rate_Master!$C:$C, "")</f>
        <v>277150</v>
      </c>
      <c r="G11" s="31">
        <f>_xlfn.XLOOKUP(B11, Rate_Master!$A:$A, Rate_Master!$D:$D, "")</f>
        <v>108099.99999999999</v>
      </c>
      <c r="H11" s="32">
        <f t="shared" ref="H11:H18" si="1">+F11+G11</f>
        <v>385250</v>
      </c>
      <c r="I11" s="32">
        <f t="shared" ref="I11:I18" si="2">H11*E11</f>
        <v>428783250</v>
      </c>
      <c r="J11" s="32"/>
    </row>
    <row r="12" spans="1:10" s="4" customFormat="1" ht="25.5" hidden="1" customHeight="1" outlineLevel="1">
      <c r="A12" s="27" t="str">
        <f t="shared" si="0"/>
        <v>4B.1.2</v>
      </c>
      <c r="B12" s="28" t="s">
        <v>362</v>
      </c>
      <c r="C12" s="28" t="s">
        <v>515</v>
      </c>
      <c r="D12" s="29" t="s">
        <v>517</v>
      </c>
      <c r="E12" s="31">
        <v>357.8</v>
      </c>
      <c r="F12" s="31">
        <f>_xlfn.XLOOKUP(B12, Rate_Master!$A:$A, Rate_Master!$C:$C, "")</f>
        <v>519799.99999999994</v>
      </c>
      <c r="G12" s="31">
        <f>_xlfn.XLOOKUP(B12, Rate_Master!$A:$A, Rate_Master!$D:$D, "")</f>
        <v>202399.99999999997</v>
      </c>
      <c r="H12" s="32">
        <f t="shared" si="1"/>
        <v>722199.99999999988</v>
      </c>
      <c r="I12" s="32">
        <f t="shared" si="2"/>
        <v>258403159.99999997</v>
      </c>
      <c r="J12" s="32"/>
    </row>
    <row r="13" spans="1:10" s="4" customFormat="1" ht="25.5" hidden="1" customHeight="1" outlineLevel="1">
      <c r="A13" s="27" t="str">
        <f t="shared" si="0"/>
        <v>4B.1.3</v>
      </c>
      <c r="B13" s="28" t="s">
        <v>363</v>
      </c>
      <c r="C13" s="28"/>
      <c r="D13" s="29" t="s">
        <v>517</v>
      </c>
      <c r="E13" s="31">
        <v>558.6</v>
      </c>
      <c r="F13" s="31">
        <f>_xlfn.XLOOKUP(B13, Rate_Master!$A:$A, Rate_Master!$C:$C, "")</f>
        <v>894699.99999999988</v>
      </c>
      <c r="G13" s="31">
        <f>_xlfn.XLOOKUP(B13, Rate_Master!$A:$A, Rate_Master!$D:$D, "")</f>
        <v>348450</v>
      </c>
      <c r="H13" s="32">
        <f t="shared" si="1"/>
        <v>1243150</v>
      </c>
      <c r="I13" s="32">
        <f t="shared" si="2"/>
        <v>694423590</v>
      </c>
      <c r="J13" s="32"/>
    </row>
    <row r="14" spans="1:10" s="4" customFormat="1" ht="25.5" hidden="1" customHeight="1" outlineLevel="1">
      <c r="A14" s="27" t="str">
        <f t="shared" si="0"/>
        <v>4B.1.4</v>
      </c>
      <c r="B14" s="28" t="s">
        <v>364</v>
      </c>
      <c r="C14" s="28"/>
      <c r="D14" s="29" t="s">
        <v>518</v>
      </c>
      <c r="E14" s="31">
        <v>927</v>
      </c>
      <c r="F14" s="31">
        <f>_xlfn.XLOOKUP(B14, Rate_Master!$A:$A, Rate_Master!$C:$C, "")</f>
        <v>75900</v>
      </c>
      <c r="G14" s="31">
        <f>_xlfn.XLOOKUP(B14, Rate_Master!$A:$A, Rate_Master!$D:$D, "")</f>
        <v>29899.999999999996</v>
      </c>
      <c r="H14" s="32">
        <f t="shared" si="1"/>
        <v>105800</v>
      </c>
      <c r="I14" s="32">
        <f t="shared" si="2"/>
        <v>98076600</v>
      </c>
      <c r="J14" s="32"/>
    </row>
    <row r="15" spans="1:10" s="4" customFormat="1" ht="25.5" hidden="1" customHeight="1" outlineLevel="1">
      <c r="A15" s="27" t="str">
        <f t="shared" si="0"/>
        <v>4B.1.5</v>
      </c>
      <c r="B15" s="28" t="s">
        <v>365</v>
      </c>
      <c r="C15" s="28"/>
      <c r="D15" s="29" t="s">
        <v>518</v>
      </c>
      <c r="E15" s="31">
        <v>298</v>
      </c>
      <c r="F15" s="31">
        <f>_xlfn.XLOOKUP(B15, Rate_Master!$A:$A, Rate_Master!$C:$C, "")</f>
        <v>89700</v>
      </c>
      <c r="G15" s="31">
        <f>_xlfn.XLOOKUP(B15, Rate_Master!$A:$A, Rate_Master!$D:$D, "")</f>
        <v>34500</v>
      </c>
      <c r="H15" s="32">
        <f t="shared" si="1"/>
        <v>124200</v>
      </c>
      <c r="I15" s="32">
        <f t="shared" si="2"/>
        <v>37011600</v>
      </c>
      <c r="J15" s="32"/>
    </row>
    <row r="16" spans="1:10" s="4" customFormat="1" ht="25.5" hidden="1" customHeight="1" outlineLevel="1">
      <c r="A16" s="27" t="str">
        <f t="shared" si="0"/>
        <v>4B.1.6</v>
      </c>
      <c r="B16" s="28" t="s">
        <v>366</v>
      </c>
      <c r="C16" s="28"/>
      <c r="D16" s="29" t="s">
        <v>518</v>
      </c>
      <c r="E16" s="31">
        <v>465</v>
      </c>
      <c r="F16" s="31">
        <f>_xlfn.XLOOKUP(B16, Rate_Master!$A:$A, Rate_Master!$C:$C, "")</f>
        <v>104649.99999999999</v>
      </c>
      <c r="G16" s="31">
        <f>_xlfn.XLOOKUP(B16, Rate_Master!$A:$A, Rate_Master!$D:$D, "")</f>
        <v>40250</v>
      </c>
      <c r="H16" s="32">
        <f t="shared" si="1"/>
        <v>144900</v>
      </c>
      <c r="I16" s="32">
        <f t="shared" si="2"/>
        <v>67378500</v>
      </c>
      <c r="J16" s="32"/>
    </row>
    <row r="17" spans="1:10" s="4" customFormat="1" ht="25.5" hidden="1" customHeight="1" outlineLevel="1">
      <c r="A17" s="27" t="str">
        <f t="shared" si="0"/>
        <v>4B.1.7</v>
      </c>
      <c r="B17" s="28" t="s">
        <v>367</v>
      </c>
      <c r="C17" s="28"/>
      <c r="D17" s="29" t="s">
        <v>588</v>
      </c>
      <c r="E17" s="31">
        <v>1</v>
      </c>
      <c r="F17" s="31">
        <f>_xlfn.XLOOKUP(B17, Rate_Master!$A:$A, Rate_Master!$C:$C, "")</f>
        <v>72000350</v>
      </c>
      <c r="G17" s="31">
        <f>_xlfn.XLOOKUP(B17, Rate_Master!$A:$A, Rate_Master!$D:$D, "")</f>
        <v>28000199.999999996</v>
      </c>
      <c r="H17" s="32">
        <f t="shared" si="1"/>
        <v>100000550</v>
      </c>
      <c r="I17" s="32">
        <f t="shared" si="2"/>
        <v>100000550</v>
      </c>
      <c r="J17" s="32"/>
    </row>
    <row r="18" spans="1:10" s="4" customFormat="1" ht="25.5" hidden="1" customHeight="1" outlineLevel="1">
      <c r="A18" s="27" t="str">
        <f t="shared" si="0"/>
        <v>4B.1.8</v>
      </c>
      <c r="B18" s="28" t="s">
        <v>368</v>
      </c>
      <c r="C18" s="28"/>
      <c r="D18" s="29" t="s">
        <v>517</v>
      </c>
      <c r="E18" s="31">
        <v>394</v>
      </c>
      <c r="F18" s="31">
        <f>_xlfn.XLOOKUP(B18, Rate_Master!$A:$A, Rate_Master!$C:$C, "")</f>
        <v>1079850</v>
      </c>
      <c r="G18" s="31">
        <f>_xlfn.XLOOKUP(B18, Rate_Master!$A:$A, Rate_Master!$D:$D, "")</f>
        <v>419749.99999999994</v>
      </c>
      <c r="H18" s="32">
        <f t="shared" si="1"/>
        <v>1499600</v>
      </c>
      <c r="I18" s="32">
        <f t="shared" si="2"/>
        <v>590842400</v>
      </c>
      <c r="J18" s="32"/>
    </row>
    <row r="19" spans="1:10" s="3" customFormat="1" ht="25.5" customHeight="1" collapsed="1">
      <c r="A19" s="22" t="str">
        <f>A9&amp;".2"</f>
        <v>4B.2</v>
      </c>
      <c r="B19" s="23" t="s">
        <v>369</v>
      </c>
      <c r="C19" s="23" t="s">
        <v>515</v>
      </c>
      <c r="D19" s="22"/>
      <c r="E19" s="25"/>
      <c r="F19" s="25">
        <f>_xlfn.XLOOKUP(B19, Rate_Master!$A:$A, Rate_Master!$C:$C, "")</f>
        <v>0</v>
      </c>
      <c r="G19" s="25">
        <f>_xlfn.XLOOKUP(B19, Rate_Master!$A:$A, Rate_Master!$D:$D, "")</f>
        <v>0</v>
      </c>
      <c r="H19" s="26"/>
      <c r="I19" s="26">
        <f>SUBTOTAL(9,I20:I26)</f>
        <v>1095517600</v>
      </c>
      <c r="J19" s="26"/>
    </row>
    <row r="20" spans="1:10" s="4" customFormat="1" ht="51" hidden="1" customHeight="1" outlineLevel="1">
      <c r="A20" s="27" t="str">
        <f t="shared" ref="A20:A26" si="3">$A$19&amp;"."&amp;ROW()-ROW($A$19)</f>
        <v>4B.2.1</v>
      </c>
      <c r="B20" s="28" t="s">
        <v>370</v>
      </c>
      <c r="C20" s="28" t="s">
        <v>515</v>
      </c>
      <c r="D20" s="29" t="s">
        <v>518</v>
      </c>
      <c r="E20" s="31">
        <v>6</v>
      </c>
      <c r="F20" s="31">
        <f>_xlfn.XLOOKUP(B20, Rate_Master!$A:$A, Rate_Master!$C:$C, "")</f>
        <v>9359850</v>
      </c>
      <c r="G20" s="31">
        <f>_xlfn.XLOOKUP(B20, Rate_Master!$A:$A, Rate_Master!$D:$D, "")</f>
        <v>3639749.9999999995</v>
      </c>
      <c r="H20" s="32">
        <f t="shared" ref="H20:H26" si="4">+F20+G20</f>
        <v>12999600</v>
      </c>
      <c r="I20" s="32">
        <f t="shared" ref="I20:I26" si="5">H20*E20</f>
        <v>77997600</v>
      </c>
      <c r="J20" s="32"/>
    </row>
    <row r="21" spans="1:10" s="4" customFormat="1" ht="51" hidden="1" customHeight="1" outlineLevel="1">
      <c r="A21" s="27" t="str">
        <f t="shared" si="3"/>
        <v>4B.2.2</v>
      </c>
      <c r="B21" s="28" t="s">
        <v>371</v>
      </c>
      <c r="C21" s="28" t="s">
        <v>515</v>
      </c>
      <c r="D21" s="29" t="s">
        <v>518</v>
      </c>
      <c r="E21" s="31">
        <v>51</v>
      </c>
      <c r="F21" s="31">
        <f>_xlfn.XLOOKUP(B21, Rate_Master!$A:$A, Rate_Master!$C:$C, "")</f>
        <v>8639950</v>
      </c>
      <c r="G21" s="31">
        <f>_xlfn.XLOOKUP(B21, Rate_Master!$A:$A, Rate_Master!$D:$D, "")</f>
        <v>3360299.9999999995</v>
      </c>
      <c r="H21" s="32">
        <f t="shared" si="4"/>
        <v>12000250</v>
      </c>
      <c r="I21" s="32">
        <f t="shared" si="5"/>
        <v>612012750</v>
      </c>
      <c r="J21" s="32"/>
    </row>
    <row r="22" spans="1:10" s="4" customFormat="1" ht="25.5" hidden="1" customHeight="1" outlineLevel="1">
      <c r="A22" s="27" t="str">
        <f t="shared" si="3"/>
        <v>4B.2.3</v>
      </c>
      <c r="B22" s="28" t="s">
        <v>372</v>
      </c>
      <c r="C22" s="28"/>
      <c r="D22" s="29" t="s">
        <v>518</v>
      </c>
      <c r="E22" s="31">
        <v>1</v>
      </c>
      <c r="F22" s="31">
        <f>_xlfn.XLOOKUP(B22, Rate_Master!$A:$A, Rate_Master!$C:$C, "")</f>
        <v>8999900</v>
      </c>
      <c r="G22" s="31">
        <f>_xlfn.XLOOKUP(B22, Rate_Master!$A:$A, Rate_Master!$D:$D, "")</f>
        <v>3499449.9999999995</v>
      </c>
      <c r="H22" s="32">
        <f t="shared" si="4"/>
        <v>12499350</v>
      </c>
      <c r="I22" s="32">
        <f t="shared" si="5"/>
        <v>12499350</v>
      </c>
      <c r="J22" s="32"/>
    </row>
    <row r="23" spans="1:10" s="4" customFormat="1" ht="25.5" hidden="1" customHeight="1" outlineLevel="1">
      <c r="A23" s="27" t="str">
        <f t="shared" si="3"/>
        <v>4B.2.4</v>
      </c>
      <c r="B23" s="28" t="s">
        <v>373</v>
      </c>
      <c r="C23" s="28"/>
      <c r="D23" s="29" t="s">
        <v>518</v>
      </c>
      <c r="E23" s="31">
        <v>1</v>
      </c>
      <c r="F23" s="31">
        <f>_xlfn.XLOOKUP(B23, Rate_Master!$A:$A, Rate_Master!$C:$C, "")</f>
        <v>10799650</v>
      </c>
      <c r="G23" s="31">
        <f>_xlfn.XLOOKUP(B23, Rate_Master!$A:$A, Rate_Master!$D:$D, "")</f>
        <v>4199800</v>
      </c>
      <c r="H23" s="32">
        <f t="shared" si="4"/>
        <v>14999450</v>
      </c>
      <c r="I23" s="32">
        <f t="shared" si="5"/>
        <v>14999450</v>
      </c>
      <c r="J23" s="32"/>
    </row>
    <row r="24" spans="1:10" s="4" customFormat="1" ht="25.5" hidden="1" customHeight="1" outlineLevel="1">
      <c r="A24" s="27" t="str">
        <f t="shared" si="3"/>
        <v>4B.2.5</v>
      </c>
      <c r="B24" s="28" t="s">
        <v>374</v>
      </c>
      <c r="C24" s="28"/>
      <c r="D24" s="29" t="s">
        <v>518</v>
      </c>
      <c r="E24" s="31">
        <v>14</v>
      </c>
      <c r="F24" s="31">
        <f>_xlfn.XLOOKUP(B24, Rate_Master!$A:$A, Rate_Master!$C:$C, "")</f>
        <v>14040349.999999998</v>
      </c>
      <c r="G24" s="31">
        <f>_xlfn.XLOOKUP(B24, Rate_Master!$A:$A, Rate_Master!$D:$D, "")</f>
        <v>5460200</v>
      </c>
      <c r="H24" s="32">
        <f t="shared" si="4"/>
        <v>19500550</v>
      </c>
      <c r="I24" s="32">
        <f t="shared" si="5"/>
        <v>273007700</v>
      </c>
      <c r="J24" s="32"/>
    </row>
    <row r="25" spans="1:10" s="4" customFormat="1" ht="25.5" hidden="1" customHeight="1" outlineLevel="1">
      <c r="A25" s="27" t="str">
        <f t="shared" si="3"/>
        <v>4B.2.6</v>
      </c>
      <c r="B25" s="28" t="s">
        <v>375</v>
      </c>
      <c r="C25" s="28"/>
      <c r="D25" s="29" t="s">
        <v>518</v>
      </c>
      <c r="E25" s="31">
        <v>1</v>
      </c>
      <c r="F25" s="31">
        <f>_xlfn.XLOOKUP(B25, Rate_Master!$A:$A, Rate_Master!$C:$C, "")</f>
        <v>32400099.999999996</v>
      </c>
      <c r="G25" s="31">
        <f>_xlfn.XLOOKUP(B25, Rate_Master!$A:$A, Rate_Master!$D:$D, "")</f>
        <v>12600549.999999998</v>
      </c>
      <c r="H25" s="32">
        <f t="shared" si="4"/>
        <v>45000649.999999993</v>
      </c>
      <c r="I25" s="32">
        <f t="shared" si="5"/>
        <v>45000649.999999993</v>
      </c>
      <c r="J25" s="32"/>
    </row>
    <row r="26" spans="1:10" s="4" customFormat="1" ht="25.5" hidden="1" customHeight="1" outlineLevel="1">
      <c r="A26" s="27" t="str">
        <f t="shared" si="3"/>
        <v>4B.2.7</v>
      </c>
      <c r="B26" s="28" t="s">
        <v>376</v>
      </c>
      <c r="C26" s="28"/>
      <c r="D26" s="29" t="s">
        <v>518</v>
      </c>
      <c r="E26" s="31">
        <v>1</v>
      </c>
      <c r="F26" s="31">
        <f>_xlfn.XLOOKUP(B26, Rate_Master!$A:$A, Rate_Master!$C:$C, "")</f>
        <v>43199750</v>
      </c>
      <c r="G26" s="31">
        <f>_xlfn.XLOOKUP(B26, Rate_Master!$A:$A, Rate_Master!$D:$D, "")</f>
        <v>16800350</v>
      </c>
      <c r="H26" s="32">
        <f t="shared" si="4"/>
        <v>60000100</v>
      </c>
      <c r="I26" s="32">
        <f t="shared" si="5"/>
        <v>60000100</v>
      </c>
      <c r="J26" s="32"/>
    </row>
    <row r="27" spans="1:10" collapsed="1"/>
  </sheetData>
  <mergeCells count="5">
    <mergeCell ref="C4:J4"/>
    <mergeCell ref="C3:J3"/>
    <mergeCell ref="C7:J7"/>
    <mergeCell ref="C6:J6"/>
    <mergeCell ref="C5:J5"/>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tint="0.499984740745262"/>
    <pageSetUpPr fitToPage="1"/>
  </sheetPr>
  <dimension ref="A1:J112"/>
  <sheetViews>
    <sheetView topLeftCell="A8" workbookViewId="0">
      <pane ySplit="1" topLeftCell="A105" activePane="bottomLeft" state="frozen"/>
      <selection activeCell="A8" sqref="A8"/>
      <selection pane="bottomLeft" activeCell="I9" sqref="I9"/>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7" customWidth="1"/>
    <col min="6" max="7" width="14" style="8" customWidth="1" outlineLevel="1"/>
    <col min="8" max="10" width="14" style="9" customWidth="1"/>
    <col min="11" max="232" width="8.875" style="6" customWidth="1"/>
    <col min="233" max="233" width="6.375" style="6" customWidth="1"/>
    <col min="234" max="234" width="34.25" style="6" customWidth="1"/>
    <col min="235" max="235" width="7.375" style="6" customWidth="1"/>
    <col min="236" max="236" width="6.375" style="6" customWidth="1"/>
    <col min="237" max="237" width="13.125" style="6" customWidth="1"/>
    <col min="238" max="238" width="15.375" style="6" customWidth="1"/>
    <col min="239" max="239" width="21.25" style="6" customWidth="1"/>
    <col min="240" max="488" width="8.875" style="6" customWidth="1"/>
    <col min="489" max="489" width="6.375" style="6" customWidth="1"/>
    <col min="490" max="490" width="34.25" style="6" customWidth="1"/>
    <col min="491" max="491" width="7.375" style="6" customWidth="1"/>
    <col min="492" max="492" width="6.375" style="6" customWidth="1"/>
    <col min="493" max="493" width="13.125" style="6" customWidth="1"/>
    <col min="494" max="494" width="15.375" style="6" customWidth="1"/>
    <col min="495" max="495" width="21.25" style="6" customWidth="1"/>
    <col min="496" max="744" width="8.875" style="6" customWidth="1"/>
    <col min="745" max="745" width="6.375" style="6" customWidth="1"/>
    <col min="746" max="746" width="34.25" style="6" customWidth="1"/>
    <col min="747" max="747" width="7.375" style="6" customWidth="1"/>
    <col min="748" max="748" width="6.375" style="6" customWidth="1"/>
    <col min="749" max="749" width="13.125" style="6" customWidth="1"/>
    <col min="750" max="750" width="15.375" style="6" customWidth="1"/>
    <col min="751" max="751" width="21.25" style="6" customWidth="1"/>
    <col min="752" max="1000" width="8.875" style="6" customWidth="1"/>
    <col min="1001" max="1001" width="6.375" style="6" customWidth="1"/>
    <col min="1002" max="1002" width="34.25" style="6" customWidth="1"/>
    <col min="1003" max="1003" width="7.375" style="6" customWidth="1"/>
    <col min="1004" max="1004" width="6.375" style="6" customWidth="1"/>
    <col min="1005" max="1005" width="13.125" style="6" customWidth="1"/>
    <col min="1006" max="1006" width="15.375" style="6" customWidth="1"/>
    <col min="1007" max="1007" width="21.25" style="6" customWidth="1"/>
    <col min="1008" max="1256" width="8.875" style="6" customWidth="1"/>
    <col min="1257" max="1257" width="6.375" style="6" customWidth="1"/>
    <col min="1258" max="1258" width="34.25" style="6" customWidth="1"/>
    <col min="1259" max="1259" width="7.375" style="6" customWidth="1"/>
    <col min="1260" max="1260" width="6.375" style="6" customWidth="1"/>
    <col min="1261" max="1261" width="13.125" style="6" customWidth="1"/>
    <col min="1262" max="1262" width="15.375" style="6" customWidth="1"/>
    <col min="1263" max="1263" width="21.25" style="6" customWidth="1"/>
    <col min="1264" max="1512" width="8.875" style="6" customWidth="1"/>
    <col min="1513" max="1513" width="6.375" style="6" customWidth="1"/>
    <col min="1514" max="1514" width="34.25" style="6" customWidth="1"/>
    <col min="1515" max="1515" width="7.375" style="6" customWidth="1"/>
    <col min="1516" max="1516" width="6.375" style="6" customWidth="1"/>
    <col min="1517" max="1517" width="13.125" style="6" customWidth="1"/>
    <col min="1518" max="1518" width="15.375" style="6" customWidth="1"/>
    <col min="1519" max="1519" width="21.25" style="6" customWidth="1"/>
    <col min="1520" max="1768" width="8.875" style="6" customWidth="1"/>
    <col min="1769" max="1769" width="6.375" style="6" customWidth="1"/>
    <col min="1770" max="1770" width="34.25" style="6" customWidth="1"/>
    <col min="1771" max="1771" width="7.375" style="6" customWidth="1"/>
    <col min="1772" max="1772" width="6.375" style="6" customWidth="1"/>
    <col min="1773" max="1773" width="13.125" style="6" customWidth="1"/>
    <col min="1774" max="1774" width="15.375" style="6" customWidth="1"/>
    <col min="1775" max="1775" width="21.25" style="6" customWidth="1"/>
    <col min="1776" max="2024" width="8.875" style="6" customWidth="1"/>
    <col min="2025" max="2025" width="6.375" style="6" customWidth="1"/>
    <col min="2026" max="2026" width="34.25" style="6" customWidth="1"/>
    <col min="2027" max="2027" width="7.375" style="6" customWidth="1"/>
    <col min="2028" max="2028" width="6.375" style="6" customWidth="1"/>
    <col min="2029" max="2029" width="13.125" style="6" customWidth="1"/>
    <col min="2030" max="2030" width="15.375" style="6" customWidth="1"/>
    <col min="2031" max="2031" width="21.25" style="6" customWidth="1"/>
    <col min="2032" max="2280" width="8.875" style="6" customWidth="1"/>
    <col min="2281" max="2281" width="6.375" style="6" customWidth="1"/>
    <col min="2282" max="2282" width="34.25" style="6" customWidth="1"/>
    <col min="2283" max="2283" width="7.375" style="6" customWidth="1"/>
    <col min="2284" max="2284" width="6.375" style="6" customWidth="1"/>
    <col min="2285" max="2285" width="13.125" style="6" customWidth="1"/>
    <col min="2286" max="2286" width="15.375" style="6" customWidth="1"/>
    <col min="2287" max="2287" width="21.25" style="6" customWidth="1"/>
    <col min="2288" max="2536" width="8.875" style="6" customWidth="1"/>
    <col min="2537" max="2537" width="6.375" style="6" customWidth="1"/>
    <col min="2538" max="2538" width="34.25" style="6" customWidth="1"/>
    <col min="2539" max="2539" width="7.375" style="6" customWidth="1"/>
    <col min="2540" max="2540" width="6.375" style="6" customWidth="1"/>
    <col min="2541" max="2541" width="13.125" style="6" customWidth="1"/>
    <col min="2542" max="2542" width="15.375" style="6" customWidth="1"/>
    <col min="2543" max="2543" width="21.25" style="6" customWidth="1"/>
    <col min="2544" max="2792" width="8.875" style="6" customWidth="1"/>
    <col min="2793" max="2793" width="6.375" style="6" customWidth="1"/>
    <col min="2794" max="2794" width="34.25" style="6" customWidth="1"/>
    <col min="2795" max="2795" width="7.375" style="6" customWidth="1"/>
    <col min="2796" max="2796" width="6.375" style="6" customWidth="1"/>
    <col min="2797" max="2797" width="13.125" style="6" customWidth="1"/>
    <col min="2798" max="2798" width="15.375" style="6" customWidth="1"/>
    <col min="2799" max="2799" width="21.25" style="6" customWidth="1"/>
    <col min="2800" max="3048" width="8.875" style="6" customWidth="1"/>
    <col min="3049" max="3049" width="6.375" style="6" customWidth="1"/>
    <col min="3050" max="3050" width="34.25" style="6" customWidth="1"/>
    <col min="3051" max="3051" width="7.375" style="6" customWidth="1"/>
    <col min="3052" max="3052" width="6.375" style="6" customWidth="1"/>
    <col min="3053" max="3053" width="13.125" style="6" customWidth="1"/>
    <col min="3054" max="3054" width="15.375" style="6" customWidth="1"/>
    <col min="3055" max="3055" width="21.25" style="6" customWidth="1"/>
    <col min="3056" max="3304" width="8.875" style="6" customWidth="1"/>
    <col min="3305" max="3305" width="6.375" style="6" customWidth="1"/>
    <col min="3306" max="3306" width="34.25" style="6" customWidth="1"/>
    <col min="3307" max="3307" width="7.375" style="6" customWidth="1"/>
    <col min="3308" max="3308" width="6.375" style="6" customWidth="1"/>
    <col min="3309" max="3309" width="13.125" style="6" customWidth="1"/>
    <col min="3310" max="3310" width="15.375" style="6" customWidth="1"/>
    <col min="3311" max="3311" width="21.25" style="6" customWidth="1"/>
    <col min="3312" max="3560" width="8.875" style="6" customWidth="1"/>
    <col min="3561" max="3561" width="6.375" style="6" customWidth="1"/>
    <col min="3562" max="3562" width="34.25" style="6" customWidth="1"/>
    <col min="3563" max="3563" width="7.375" style="6" customWidth="1"/>
    <col min="3564" max="3564" width="6.375" style="6" customWidth="1"/>
    <col min="3565" max="3565" width="13.125" style="6" customWidth="1"/>
    <col min="3566" max="3566" width="15.375" style="6" customWidth="1"/>
    <col min="3567" max="3567" width="21.25" style="6" customWidth="1"/>
    <col min="3568" max="3816" width="8.875" style="6" customWidth="1"/>
    <col min="3817" max="3817" width="6.375" style="6" customWidth="1"/>
    <col min="3818" max="3818" width="34.25" style="6" customWidth="1"/>
    <col min="3819" max="3819" width="7.375" style="6" customWidth="1"/>
    <col min="3820" max="3820" width="6.375" style="6" customWidth="1"/>
    <col min="3821" max="3821" width="13.125" style="6" customWidth="1"/>
    <col min="3822" max="3822" width="15.375" style="6" customWidth="1"/>
    <col min="3823" max="3823" width="21.25" style="6" customWidth="1"/>
    <col min="3824" max="4072" width="8.875" style="6" customWidth="1"/>
    <col min="4073" max="4073" width="6.375" style="6" customWidth="1"/>
    <col min="4074" max="4074" width="34.25" style="6" customWidth="1"/>
    <col min="4075" max="4075" width="7.375" style="6" customWidth="1"/>
    <col min="4076" max="4076" width="6.375" style="6" customWidth="1"/>
    <col min="4077" max="4077" width="13.125" style="6" customWidth="1"/>
    <col min="4078" max="4078" width="15.375" style="6" customWidth="1"/>
    <col min="4079" max="4079" width="21.25" style="6" customWidth="1"/>
    <col min="4080" max="4328" width="8.875" style="6" customWidth="1"/>
    <col min="4329" max="4329" width="6.375" style="6" customWidth="1"/>
    <col min="4330" max="4330" width="34.25" style="6" customWidth="1"/>
    <col min="4331" max="4331" width="7.375" style="6" customWidth="1"/>
    <col min="4332" max="4332" width="6.375" style="6" customWidth="1"/>
    <col min="4333" max="4333" width="13.125" style="6" customWidth="1"/>
    <col min="4334" max="4334" width="15.375" style="6" customWidth="1"/>
    <col min="4335" max="4335" width="21.25" style="6" customWidth="1"/>
    <col min="4336" max="4584" width="8.875" style="6" customWidth="1"/>
    <col min="4585" max="4585" width="6.375" style="6" customWidth="1"/>
    <col min="4586" max="4586" width="34.25" style="6" customWidth="1"/>
    <col min="4587" max="4587" width="7.375" style="6" customWidth="1"/>
    <col min="4588" max="4588" width="6.375" style="6" customWidth="1"/>
    <col min="4589" max="4589" width="13.125" style="6" customWidth="1"/>
    <col min="4590" max="4590" width="15.375" style="6" customWidth="1"/>
    <col min="4591" max="4591" width="21.25" style="6" customWidth="1"/>
    <col min="4592" max="4840" width="8.875" style="6" customWidth="1"/>
    <col min="4841" max="4841" width="6.375" style="6" customWidth="1"/>
    <col min="4842" max="4842" width="34.25" style="6" customWidth="1"/>
    <col min="4843" max="4843" width="7.375" style="6" customWidth="1"/>
    <col min="4844" max="4844" width="6.375" style="6" customWidth="1"/>
    <col min="4845" max="4845" width="13.125" style="6" customWidth="1"/>
    <col min="4846" max="4846" width="15.375" style="6" customWidth="1"/>
    <col min="4847" max="4847" width="21.25" style="6" customWidth="1"/>
    <col min="4848" max="5096" width="8.875" style="6" customWidth="1"/>
    <col min="5097" max="5097" width="6.375" style="6" customWidth="1"/>
    <col min="5098" max="5098" width="34.25" style="6" customWidth="1"/>
    <col min="5099" max="5099" width="7.375" style="6" customWidth="1"/>
    <col min="5100" max="5100" width="6.375" style="6" customWidth="1"/>
    <col min="5101" max="5101" width="13.125" style="6" customWidth="1"/>
    <col min="5102" max="5102" width="15.375" style="6" customWidth="1"/>
    <col min="5103" max="5103" width="21.25" style="6" customWidth="1"/>
    <col min="5104" max="5352" width="8.875" style="6" customWidth="1"/>
    <col min="5353" max="5353" width="6.375" style="6" customWidth="1"/>
    <col min="5354" max="5354" width="34.25" style="6" customWidth="1"/>
    <col min="5355" max="5355" width="7.375" style="6" customWidth="1"/>
    <col min="5356" max="5356" width="6.375" style="6" customWidth="1"/>
    <col min="5357" max="5357" width="13.125" style="6" customWidth="1"/>
    <col min="5358" max="5358" width="15.375" style="6" customWidth="1"/>
    <col min="5359" max="5359" width="21.25" style="6" customWidth="1"/>
    <col min="5360" max="5608" width="8.875" style="6" customWidth="1"/>
    <col min="5609" max="5609" width="6.375" style="6" customWidth="1"/>
    <col min="5610" max="5610" width="34.25" style="6" customWidth="1"/>
    <col min="5611" max="5611" width="7.375" style="6" customWidth="1"/>
    <col min="5612" max="5612" width="6.375" style="6" customWidth="1"/>
    <col min="5613" max="5613" width="13.125" style="6" customWidth="1"/>
    <col min="5614" max="5614" width="15.375" style="6" customWidth="1"/>
    <col min="5615" max="5615" width="21.25" style="6" customWidth="1"/>
    <col min="5616" max="5864" width="8.875" style="6" customWidth="1"/>
    <col min="5865" max="5865" width="6.375" style="6" customWidth="1"/>
    <col min="5866" max="5866" width="34.25" style="6" customWidth="1"/>
    <col min="5867" max="5867" width="7.375" style="6" customWidth="1"/>
    <col min="5868" max="5868" width="6.375" style="6" customWidth="1"/>
    <col min="5869" max="5869" width="13.125" style="6" customWidth="1"/>
    <col min="5870" max="5870" width="15.375" style="6" customWidth="1"/>
    <col min="5871" max="5871" width="21.25" style="6" customWidth="1"/>
    <col min="5872" max="6120" width="8.875" style="6" customWidth="1"/>
    <col min="6121" max="6121" width="6.375" style="6" customWidth="1"/>
    <col min="6122" max="6122" width="34.25" style="6" customWidth="1"/>
    <col min="6123" max="6123" width="7.375" style="6" customWidth="1"/>
    <col min="6124" max="6124" width="6.375" style="6" customWidth="1"/>
    <col min="6125" max="6125" width="13.125" style="6" customWidth="1"/>
    <col min="6126" max="6126" width="15.375" style="6" customWidth="1"/>
    <col min="6127" max="6127" width="21.25" style="6" customWidth="1"/>
    <col min="6128" max="6376" width="8.875" style="6" customWidth="1"/>
    <col min="6377" max="6377" width="6.375" style="6" customWidth="1"/>
    <col min="6378" max="6378" width="34.25" style="6" customWidth="1"/>
    <col min="6379" max="6379" width="7.375" style="6" customWidth="1"/>
    <col min="6380" max="6380" width="6.375" style="6" customWidth="1"/>
    <col min="6381" max="6381" width="13.125" style="6" customWidth="1"/>
    <col min="6382" max="6382" width="15.375" style="6" customWidth="1"/>
    <col min="6383" max="6383" width="21.25" style="6" customWidth="1"/>
    <col min="6384" max="6632" width="8.875" style="6" customWidth="1"/>
    <col min="6633" max="6633" width="6.375" style="6" customWidth="1"/>
    <col min="6634" max="6634" width="34.25" style="6" customWidth="1"/>
    <col min="6635" max="6635" width="7.375" style="6" customWidth="1"/>
    <col min="6636" max="6636" width="6.375" style="6" customWidth="1"/>
    <col min="6637" max="6637" width="13.125" style="6" customWidth="1"/>
    <col min="6638" max="6638" width="15.375" style="6" customWidth="1"/>
    <col min="6639" max="6639" width="21.25" style="6" customWidth="1"/>
    <col min="6640" max="6888" width="8.875" style="6" customWidth="1"/>
    <col min="6889" max="6889" width="6.375" style="6" customWidth="1"/>
    <col min="6890" max="6890" width="34.25" style="6" customWidth="1"/>
    <col min="6891" max="6891" width="7.375" style="6" customWidth="1"/>
    <col min="6892" max="6892" width="6.375" style="6" customWidth="1"/>
    <col min="6893" max="6893" width="13.125" style="6" customWidth="1"/>
    <col min="6894" max="6894" width="15.375" style="6" customWidth="1"/>
    <col min="6895" max="6895" width="21.25" style="6" customWidth="1"/>
    <col min="6896" max="7144" width="8.875" style="6" customWidth="1"/>
    <col min="7145" max="7145" width="6.375" style="6" customWidth="1"/>
    <col min="7146" max="7146" width="34.25" style="6" customWidth="1"/>
    <col min="7147" max="7147" width="7.375" style="6" customWidth="1"/>
    <col min="7148" max="7148" width="6.375" style="6" customWidth="1"/>
    <col min="7149" max="7149" width="13.125" style="6" customWidth="1"/>
    <col min="7150" max="7150" width="15.375" style="6" customWidth="1"/>
    <col min="7151" max="7151" width="21.25" style="6" customWidth="1"/>
    <col min="7152" max="7400" width="8.875" style="6" customWidth="1"/>
    <col min="7401" max="7401" width="6.375" style="6" customWidth="1"/>
    <col min="7402" max="7402" width="34.25" style="6" customWidth="1"/>
    <col min="7403" max="7403" width="7.375" style="6" customWidth="1"/>
    <col min="7404" max="7404" width="6.375" style="6" customWidth="1"/>
    <col min="7405" max="7405" width="13.125" style="6" customWidth="1"/>
    <col min="7406" max="7406" width="15.375" style="6" customWidth="1"/>
    <col min="7407" max="7407" width="21.25" style="6" customWidth="1"/>
    <col min="7408" max="7656" width="8.875" style="6" customWidth="1"/>
    <col min="7657" max="7657" width="6.375" style="6" customWidth="1"/>
    <col min="7658" max="7658" width="34.25" style="6" customWidth="1"/>
    <col min="7659" max="7659" width="7.375" style="6" customWidth="1"/>
    <col min="7660" max="7660" width="6.375" style="6" customWidth="1"/>
    <col min="7661" max="7661" width="13.125" style="6" customWidth="1"/>
    <col min="7662" max="7662" width="15.375" style="6" customWidth="1"/>
    <col min="7663" max="7663" width="21.25" style="6" customWidth="1"/>
    <col min="7664" max="7912" width="8.875" style="6" customWidth="1"/>
    <col min="7913" max="7913" width="6.375" style="6" customWidth="1"/>
    <col min="7914" max="7914" width="34.25" style="6" customWidth="1"/>
    <col min="7915" max="7915" width="7.375" style="6" customWidth="1"/>
    <col min="7916" max="7916" width="6.375" style="6" customWidth="1"/>
    <col min="7917" max="7917" width="13.125" style="6" customWidth="1"/>
    <col min="7918" max="7918" width="15.375" style="6" customWidth="1"/>
    <col min="7919" max="7919" width="21.25" style="6" customWidth="1"/>
    <col min="7920" max="8168" width="8.875" style="6" customWidth="1"/>
    <col min="8169" max="8169" width="6.375" style="6" customWidth="1"/>
    <col min="8170" max="8170" width="34.25" style="6" customWidth="1"/>
    <col min="8171" max="8171" width="7.375" style="6" customWidth="1"/>
    <col min="8172" max="8172" width="6.375" style="6" customWidth="1"/>
    <col min="8173" max="8173" width="13.125" style="6" customWidth="1"/>
    <col min="8174" max="8174" width="15.375" style="6" customWidth="1"/>
    <col min="8175" max="8175" width="21.25" style="6" customWidth="1"/>
    <col min="8176" max="8424" width="8.875" style="6" customWidth="1"/>
    <col min="8425" max="8425" width="6.375" style="6" customWidth="1"/>
    <col min="8426" max="8426" width="34.25" style="6" customWidth="1"/>
    <col min="8427" max="8427" width="7.375" style="6" customWidth="1"/>
    <col min="8428" max="8428" width="6.375" style="6" customWidth="1"/>
    <col min="8429" max="8429" width="13.125" style="6" customWidth="1"/>
    <col min="8430" max="8430" width="15.375" style="6" customWidth="1"/>
    <col min="8431" max="8431" width="21.25" style="6" customWidth="1"/>
    <col min="8432" max="8680" width="8.875" style="6" customWidth="1"/>
    <col min="8681" max="8681" width="6.375" style="6" customWidth="1"/>
    <col min="8682" max="8682" width="34.25" style="6" customWidth="1"/>
    <col min="8683" max="8683" width="7.375" style="6" customWidth="1"/>
    <col min="8684" max="8684" width="6.375" style="6" customWidth="1"/>
    <col min="8685" max="8685" width="13.125" style="6" customWidth="1"/>
    <col min="8686" max="8686" width="15.375" style="6" customWidth="1"/>
    <col min="8687" max="8687" width="21.25" style="6" customWidth="1"/>
    <col min="8688" max="8936" width="8.875" style="6" customWidth="1"/>
    <col min="8937" max="8937" width="6.375" style="6" customWidth="1"/>
    <col min="8938" max="8938" width="34.25" style="6" customWidth="1"/>
    <col min="8939" max="8939" width="7.375" style="6" customWidth="1"/>
    <col min="8940" max="8940" width="6.375" style="6" customWidth="1"/>
    <col min="8941" max="8941" width="13.125" style="6" customWidth="1"/>
    <col min="8942" max="8942" width="15.375" style="6" customWidth="1"/>
    <col min="8943" max="8943" width="21.25" style="6" customWidth="1"/>
    <col min="8944" max="9192" width="8.875" style="6" customWidth="1"/>
    <col min="9193" max="9193" width="6.375" style="6" customWidth="1"/>
    <col min="9194" max="9194" width="34.25" style="6" customWidth="1"/>
    <col min="9195" max="9195" width="7.375" style="6" customWidth="1"/>
    <col min="9196" max="9196" width="6.375" style="6" customWidth="1"/>
    <col min="9197" max="9197" width="13.125" style="6" customWidth="1"/>
    <col min="9198" max="9198" width="15.375" style="6" customWidth="1"/>
    <col min="9199" max="9199" width="21.25" style="6" customWidth="1"/>
    <col min="9200" max="9448" width="8.875" style="6" customWidth="1"/>
    <col min="9449" max="9449" width="6.375" style="6" customWidth="1"/>
    <col min="9450" max="9450" width="34.25" style="6" customWidth="1"/>
    <col min="9451" max="9451" width="7.375" style="6" customWidth="1"/>
    <col min="9452" max="9452" width="6.375" style="6" customWidth="1"/>
    <col min="9453" max="9453" width="13.125" style="6" customWidth="1"/>
    <col min="9454" max="9454" width="15.375" style="6" customWidth="1"/>
    <col min="9455" max="9455" width="21.25" style="6" customWidth="1"/>
    <col min="9456" max="9704" width="8.875" style="6" customWidth="1"/>
    <col min="9705" max="9705" width="6.375" style="6" customWidth="1"/>
    <col min="9706" max="9706" width="34.25" style="6" customWidth="1"/>
    <col min="9707" max="9707" width="7.375" style="6" customWidth="1"/>
    <col min="9708" max="9708" width="6.375" style="6" customWidth="1"/>
    <col min="9709" max="9709" width="13.125" style="6" customWidth="1"/>
    <col min="9710" max="9710" width="15.375" style="6" customWidth="1"/>
    <col min="9711" max="9711" width="21.25" style="6" customWidth="1"/>
    <col min="9712" max="9960" width="8.875" style="6" customWidth="1"/>
    <col min="9961" max="9961" width="6.375" style="6" customWidth="1"/>
    <col min="9962" max="9962" width="34.25" style="6" customWidth="1"/>
    <col min="9963" max="9963" width="7.375" style="6" customWidth="1"/>
    <col min="9964" max="9964" width="6.375" style="6" customWidth="1"/>
    <col min="9965" max="9965" width="13.125" style="6" customWidth="1"/>
    <col min="9966" max="9966" width="15.375" style="6" customWidth="1"/>
    <col min="9967" max="9967" width="21.25" style="6" customWidth="1"/>
    <col min="9968" max="10216" width="8.875" style="6" customWidth="1"/>
    <col min="10217" max="10217" width="6.375" style="6" customWidth="1"/>
    <col min="10218" max="10218" width="34.25" style="6" customWidth="1"/>
    <col min="10219" max="10219" width="7.375" style="6" customWidth="1"/>
    <col min="10220" max="10220" width="6.375" style="6" customWidth="1"/>
    <col min="10221" max="10221" width="13.125" style="6" customWidth="1"/>
    <col min="10222" max="10222" width="15.375" style="6" customWidth="1"/>
    <col min="10223" max="10223" width="21.25" style="6" customWidth="1"/>
    <col min="10224" max="10472" width="8.875" style="6" customWidth="1"/>
    <col min="10473" max="10473" width="6.375" style="6" customWidth="1"/>
    <col min="10474" max="10474" width="34.25" style="6" customWidth="1"/>
    <col min="10475" max="10475" width="7.375" style="6" customWidth="1"/>
    <col min="10476" max="10476" width="6.375" style="6" customWidth="1"/>
    <col min="10477" max="10477" width="13.125" style="6" customWidth="1"/>
    <col min="10478" max="10478" width="15.375" style="6" customWidth="1"/>
    <col min="10479" max="10479" width="21.25" style="6" customWidth="1"/>
    <col min="10480" max="10728" width="8.875" style="6" customWidth="1"/>
    <col min="10729" max="10729" width="6.375" style="6" customWidth="1"/>
    <col min="10730" max="10730" width="34.25" style="6" customWidth="1"/>
    <col min="10731" max="10731" width="7.375" style="6" customWidth="1"/>
    <col min="10732" max="10732" width="6.375" style="6" customWidth="1"/>
    <col min="10733" max="10733" width="13.125" style="6" customWidth="1"/>
    <col min="10734" max="10734" width="15.375" style="6" customWidth="1"/>
    <col min="10735" max="10735" width="21.25" style="6" customWidth="1"/>
    <col min="10736" max="10984" width="8.875" style="6" customWidth="1"/>
    <col min="10985" max="10985" width="6.375" style="6" customWidth="1"/>
    <col min="10986" max="10986" width="34.25" style="6" customWidth="1"/>
    <col min="10987" max="10987" width="7.375" style="6" customWidth="1"/>
    <col min="10988" max="10988" width="6.375" style="6" customWidth="1"/>
    <col min="10989" max="10989" width="13.125" style="6" customWidth="1"/>
    <col min="10990" max="10990" width="15.375" style="6" customWidth="1"/>
    <col min="10991" max="10991" width="21.25" style="6" customWidth="1"/>
    <col min="10992" max="11240" width="8.875" style="6" customWidth="1"/>
    <col min="11241" max="11241" width="6.375" style="6" customWidth="1"/>
    <col min="11242" max="11242" width="34.25" style="6" customWidth="1"/>
    <col min="11243" max="11243" width="7.375" style="6" customWidth="1"/>
    <col min="11244" max="11244" width="6.375" style="6" customWidth="1"/>
    <col min="11245" max="11245" width="13.125" style="6" customWidth="1"/>
    <col min="11246" max="11246" width="15.375" style="6" customWidth="1"/>
    <col min="11247" max="11247" width="21.25" style="6" customWidth="1"/>
    <col min="11248" max="11496" width="8.875" style="6" customWidth="1"/>
    <col min="11497" max="11497" width="6.375" style="6" customWidth="1"/>
    <col min="11498" max="11498" width="34.25" style="6" customWidth="1"/>
    <col min="11499" max="11499" width="7.375" style="6" customWidth="1"/>
    <col min="11500" max="11500" width="6.375" style="6" customWidth="1"/>
    <col min="11501" max="11501" width="13.125" style="6" customWidth="1"/>
    <col min="11502" max="11502" width="15.375" style="6" customWidth="1"/>
    <col min="11503" max="11503" width="21.25" style="6" customWidth="1"/>
    <col min="11504" max="11752" width="8.875" style="6" customWidth="1"/>
    <col min="11753" max="11753" width="6.375" style="6" customWidth="1"/>
    <col min="11754" max="11754" width="34.25" style="6" customWidth="1"/>
    <col min="11755" max="11755" width="7.375" style="6" customWidth="1"/>
    <col min="11756" max="11756" width="6.375" style="6" customWidth="1"/>
    <col min="11757" max="11757" width="13.125" style="6" customWidth="1"/>
    <col min="11758" max="11758" width="15.375" style="6" customWidth="1"/>
    <col min="11759" max="11759" width="21.25" style="6" customWidth="1"/>
    <col min="11760" max="12008" width="8.875" style="6" customWidth="1"/>
    <col min="12009" max="12009" width="6.375" style="6" customWidth="1"/>
    <col min="12010" max="12010" width="34.25" style="6" customWidth="1"/>
    <col min="12011" max="12011" width="7.375" style="6" customWidth="1"/>
    <col min="12012" max="12012" width="6.375" style="6" customWidth="1"/>
    <col min="12013" max="12013" width="13.125" style="6" customWidth="1"/>
    <col min="12014" max="12014" width="15.375" style="6" customWidth="1"/>
    <col min="12015" max="12015" width="21.25" style="6" customWidth="1"/>
    <col min="12016" max="12264" width="8.875" style="6" customWidth="1"/>
    <col min="12265" max="12265" width="6.375" style="6" customWidth="1"/>
    <col min="12266" max="12266" width="34.25" style="6" customWidth="1"/>
    <col min="12267" max="12267" width="7.375" style="6" customWidth="1"/>
    <col min="12268" max="12268" width="6.375" style="6" customWidth="1"/>
    <col min="12269" max="12269" width="13.125" style="6" customWidth="1"/>
    <col min="12270" max="12270" width="15.375" style="6" customWidth="1"/>
    <col min="12271" max="12271" width="21.25" style="6" customWidth="1"/>
    <col min="12272" max="12520" width="8.875" style="6" customWidth="1"/>
    <col min="12521" max="12521" width="6.375" style="6" customWidth="1"/>
    <col min="12522" max="12522" width="34.25" style="6" customWidth="1"/>
    <col min="12523" max="12523" width="7.375" style="6" customWidth="1"/>
    <col min="12524" max="12524" width="6.375" style="6" customWidth="1"/>
    <col min="12525" max="12525" width="13.125" style="6" customWidth="1"/>
    <col min="12526" max="12526" width="15.375" style="6" customWidth="1"/>
    <col min="12527" max="12527" width="21.25" style="6" customWidth="1"/>
    <col min="12528" max="12776" width="8.875" style="6" customWidth="1"/>
    <col min="12777" max="12777" width="6.375" style="6" customWidth="1"/>
    <col min="12778" max="12778" width="34.25" style="6" customWidth="1"/>
    <col min="12779" max="12779" width="7.375" style="6" customWidth="1"/>
    <col min="12780" max="12780" width="6.375" style="6" customWidth="1"/>
    <col min="12781" max="12781" width="13.125" style="6" customWidth="1"/>
    <col min="12782" max="12782" width="15.375" style="6" customWidth="1"/>
    <col min="12783" max="12783" width="21.25" style="6" customWidth="1"/>
    <col min="12784" max="13032" width="8.875" style="6" customWidth="1"/>
    <col min="13033" max="13033" width="6.375" style="6" customWidth="1"/>
    <col min="13034" max="13034" width="34.25" style="6" customWidth="1"/>
    <col min="13035" max="13035" width="7.375" style="6" customWidth="1"/>
    <col min="13036" max="13036" width="6.375" style="6" customWidth="1"/>
    <col min="13037" max="13037" width="13.125" style="6" customWidth="1"/>
    <col min="13038" max="13038" width="15.375" style="6" customWidth="1"/>
    <col min="13039" max="13039" width="21.25" style="6" customWidth="1"/>
    <col min="13040" max="13288" width="8.875" style="6" customWidth="1"/>
    <col min="13289" max="13289" width="6.375" style="6" customWidth="1"/>
    <col min="13290" max="13290" width="34.25" style="6" customWidth="1"/>
    <col min="13291" max="13291" width="7.375" style="6" customWidth="1"/>
    <col min="13292" max="13292" width="6.375" style="6" customWidth="1"/>
    <col min="13293" max="13293" width="13.125" style="6" customWidth="1"/>
    <col min="13294" max="13294" width="15.375" style="6" customWidth="1"/>
    <col min="13295" max="13295" width="21.25" style="6" customWidth="1"/>
    <col min="13296" max="13544" width="8.875" style="6" customWidth="1"/>
    <col min="13545" max="13545" width="6.375" style="6" customWidth="1"/>
    <col min="13546" max="13546" width="34.25" style="6" customWidth="1"/>
    <col min="13547" max="13547" width="7.375" style="6" customWidth="1"/>
    <col min="13548" max="13548" width="6.375" style="6" customWidth="1"/>
    <col min="13549" max="13549" width="13.125" style="6" customWidth="1"/>
    <col min="13550" max="13550" width="15.375" style="6" customWidth="1"/>
    <col min="13551" max="13551" width="21.25" style="6" customWidth="1"/>
    <col min="13552" max="13800" width="8.875" style="6" customWidth="1"/>
    <col min="13801" max="13801" width="6.375" style="6" customWidth="1"/>
    <col min="13802" max="13802" width="34.25" style="6" customWidth="1"/>
    <col min="13803" max="13803" width="7.375" style="6" customWidth="1"/>
    <col min="13804" max="13804" width="6.375" style="6" customWidth="1"/>
    <col min="13805" max="13805" width="13.125" style="6" customWidth="1"/>
    <col min="13806" max="13806" width="15.375" style="6" customWidth="1"/>
    <col min="13807" max="13807" width="21.25" style="6" customWidth="1"/>
    <col min="13808" max="14056" width="8.875" style="6" customWidth="1"/>
    <col min="14057" max="14057" width="6.375" style="6" customWidth="1"/>
    <col min="14058" max="14058" width="34.25" style="6" customWidth="1"/>
    <col min="14059" max="14059" width="7.375" style="6" customWidth="1"/>
    <col min="14060" max="14060" width="6.375" style="6" customWidth="1"/>
    <col min="14061" max="14061" width="13.125" style="6" customWidth="1"/>
    <col min="14062" max="14062" width="15.375" style="6" customWidth="1"/>
    <col min="14063" max="14063" width="21.25" style="6" customWidth="1"/>
    <col min="14064" max="14312" width="8.875" style="6" customWidth="1"/>
    <col min="14313" max="14313" width="6.375" style="6" customWidth="1"/>
    <col min="14314" max="14314" width="34.25" style="6" customWidth="1"/>
    <col min="14315" max="14315" width="7.375" style="6" customWidth="1"/>
    <col min="14316" max="14316" width="6.375" style="6" customWidth="1"/>
    <col min="14317" max="14317" width="13.125" style="6" customWidth="1"/>
    <col min="14318" max="14318" width="15.375" style="6" customWidth="1"/>
    <col min="14319" max="14319" width="21.25" style="6" customWidth="1"/>
    <col min="14320" max="14568" width="8.875" style="6" customWidth="1"/>
    <col min="14569" max="14569" width="6.375" style="6" customWidth="1"/>
    <col min="14570" max="14570" width="34.25" style="6" customWidth="1"/>
    <col min="14571" max="14571" width="7.375" style="6" customWidth="1"/>
    <col min="14572" max="14572" width="6.375" style="6" customWidth="1"/>
    <col min="14573" max="14573" width="13.125" style="6" customWidth="1"/>
    <col min="14574" max="14574" width="15.375" style="6" customWidth="1"/>
    <col min="14575" max="14575" width="21.25" style="6" customWidth="1"/>
    <col min="14576" max="14824" width="8.875" style="6" customWidth="1"/>
    <col min="14825" max="14825" width="6.375" style="6" customWidth="1"/>
    <col min="14826" max="14826" width="34.25" style="6" customWidth="1"/>
    <col min="14827" max="14827" width="7.375" style="6" customWidth="1"/>
    <col min="14828" max="14828" width="6.375" style="6" customWidth="1"/>
    <col min="14829" max="14829" width="13.125" style="6" customWidth="1"/>
    <col min="14830" max="14830" width="15.375" style="6" customWidth="1"/>
    <col min="14831" max="14831" width="21.25" style="6" customWidth="1"/>
    <col min="14832" max="15080" width="8.875" style="6" customWidth="1"/>
    <col min="15081" max="15081" width="6.375" style="6" customWidth="1"/>
    <col min="15082" max="15082" width="34.25" style="6" customWidth="1"/>
    <col min="15083" max="15083" width="7.375" style="6" customWidth="1"/>
    <col min="15084" max="15084" width="6.375" style="6" customWidth="1"/>
    <col min="15085" max="15085" width="13.125" style="6" customWidth="1"/>
    <col min="15086" max="15086" width="15.375" style="6" customWidth="1"/>
    <col min="15087" max="15087" width="21.25" style="6" customWidth="1"/>
    <col min="15088" max="15336" width="8.875" style="6" customWidth="1"/>
    <col min="15337" max="15337" width="6.375" style="6" customWidth="1"/>
    <col min="15338" max="15338" width="34.25" style="6" customWidth="1"/>
    <col min="15339" max="15339" width="7.375" style="6" customWidth="1"/>
    <col min="15340" max="15340" width="6.375" style="6" customWidth="1"/>
    <col min="15341" max="15341" width="13.125" style="6" customWidth="1"/>
    <col min="15342" max="15342" width="15.375" style="6" customWidth="1"/>
    <col min="15343" max="15343" width="21.25" style="6" customWidth="1"/>
    <col min="15344" max="15592" width="8.875" style="6" customWidth="1"/>
    <col min="15593" max="15593" width="6.375" style="6" customWidth="1"/>
    <col min="15594" max="15594" width="34.25" style="6" customWidth="1"/>
    <col min="15595" max="15595" width="7.375" style="6" customWidth="1"/>
    <col min="15596" max="15596" width="6.375" style="6" customWidth="1"/>
    <col min="15597" max="15597" width="13.125" style="6" customWidth="1"/>
    <col min="15598" max="15598" width="15.375" style="6" customWidth="1"/>
    <col min="15599" max="15599" width="21.25" style="6" customWidth="1"/>
    <col min="15600" max="15848" width="8.875" style="6" customWidth="1"/>
    <col min="15849" max="15849" width="6.375" style="6" customWidth="1"/>
    <col min="15850" max="15850" width="34.25" style="6" customWidth="1"/>
    <col min="15851" max="15851" width="7.375" style="6" customWidth="1"/>
    <col min="15852" max="15852" width="6.375" style="6" customWidth="1"/>
    <col min="15853" max="15853" width="13.125" style="6" customWidth="1"/>
    <col min="15854" max="15854" width="15.375" style="6" customWidth="1"/>
    <col min="15855" max="15855" width="21.25" style="6" customWidth="1"/>
    <col min="15856" max="16104" width="8.875" style="6" customWidth="1"/>
    <col min="16105" max="16105" width="6.375" style="6" customWidth="1"/>
    <col min="16106" max="16106" width="34.25" style="6" customWidth="1"/>
    <col min="16107" max="16107" width="7.375" style="6" customWidth="1"/>
    <col min="16108" max="16108" width="6.375" style="6" customWidth="1"/>
    <col min="16109" max="16109" width="13.125" style="6" customWidth="1"/>
    <col min="16110" max="16110" width="15.375" style="6" customWidth="1"/>
    <col min="16111" max="16111" width="21.25" style="6" customWidth="1"/>
    <col min="16112" max="16384" width="8.875" style="6" customWidth="1"/>
  </cols>
  <sheetData>
    <row r="1" spans="1:10" ht="48" customHeight="1"/>
    <row r="2" spans="1:10" s="1" customFormat="1" ht="51" customHeight="1">
      <c r="A2" s="10" t="s">
        <v>507</v>
      </c>
      <c r="B2" s="11"/>
      <c r="C2" s="12"/>
      <c r="D2" s="11"/>
      <c r="E2" s="13"/>
      <c r="F2" s="14"/>
      <c r="G2" s="14"/>
      <c r="H2" s="15"/>
      <c r="I2" s="15"/>
      <c r="J2" s="15"/>
    </row>
    <row r="3" spans="1:10" ht="26.25" customHeight="1">
      <c r="A3" s="16"/>
      <c r="B3" s="17" t="s">
        <v>440</v>
      </c>
      <c r="C3" s="213"/>
      <c r="D3" s="217"/>
      <c r="E3" s="228"/>
      <c r="F3" s="214"/>
      <c r="G3" s="214"/>
      <c r="H3" s="220"/>
      <c r="I3" s="220"/>
      <c r="J3" s="220"/>
    </row>
    <row r="4" spans="1:10" ht="26.25" customHeight="1">
      <c r="A4" s="18"/>
      <c r="B4" s="5" t="s">
        <v>441</v>
      </c>
      <c r="C4" s="222"/>
      <c r="D4" s="217"/>
      <c r="E4" s="228"/>
      <c r="F4" s="214"/>
      <c r="G4" s="214"/>
      <c r="H4" s="220"/>
      <c r="I4" s="220"/>
      <c r="J4" s="220"/>
    </row>
    <row r="5" spans="1:10" ht="26.25" customHeight="1">
      <c r="A5" s="18"/>
      <c r="B5" s="5" t="s">
        <v>442</v>
      </c>
      <c r="C5" s="216"/>
      <c r="D5" s="217"/>
      <c r="E5" s="228"/>
      <c r="F5" s="214"/>
      <c r="G5" s="214"/>
      <c r="H5" s="220"/>
      <c r="I5" s="220"/>
      <c r="J5" s="220"/>
    </row>
    <row r="6" spans="1:10" ht="26.25" customHeight="1">
      <c r="A6" s="18"/>
      <c r="B6" s="5" t="s">
        <v>443</v>
      </c>
      <c r="C6" s="213" t="str">
        <f>INDEX(總表!$B$9:$B$47,MATCH('5B'!A9,總表!$A$9:$A$48,0))</f>
        <v>Đường nội bộ
內部道路</v>
      </c>
      <c r="D6" s="217"/>
      <c r="E6" s="228"/>
      <c r="F6" s="214"/>
      <c r="G6" s="214"/>
      <c r="H6" s="220"/>
      <c r="I6" s="220"/>
      <c r="J6" s="220"/>
    </row>
    <row r="7" spans="1:10" ht="26.25" customHeight="1">
      <c r="A7" s="18"/>
      <c r="B7" s="5" t="s">
        <v>444</v>
      </c>
      <c r="C7" s="223" t="s">
        <v>445</v>
      </c>
      <c r="D7" s="224"/>
      <c r="E7" s="224"/>
      <c r="F7" s="224"/>
      <c r="G7" s="224"/>
      <c r="H7" s="224"/>
      <c r="I7" s="224"/>
      <c r="J7" s="224"/>
    </row>
    <row r="8" spans="1:10" s="2" customFormat="1" ht="41.25" customHeight="1">
      <c r="A8" s="19" t="s">
        <v>446</v>
      </c>
      <c r="B8" s="19" t="s">
        <v>508</v>
      </c>
      <c r="C8" s="19" t="s">
        <v>509</v>
      </c>
      <c r="D8" s="19" t="s">
        <v>448</v>
      </c>
      <c r="E8" s="20" t="s">
        <v>449</v>
      </c>
      <c r="F8" s="19" t="s">
        <v>511</v>
      </c>
      <c r="G8" s="19" t="s">
        <v>512</v>
      </c>
      <c r="H8" s="21" t="s">
        <v>450</v>
      </c>
      <c r="I8" s="21" t="s">
        <v>452</v>
      </c>
      <c r="J8" s="21" t="s">
        <v>514</v>
      </c>
    </row>
    <row r="9" spans="1:10" s="3" customFormat="1" ht="25.5" customHeight="1">
      <c r="A9" s="22" t="s">
        <v>491</v>
      </c>
      <c r="B9" s="23" t="str">
        <f>C6</f>
        <v>Đường nội bộ
內部道路</v>
      </c>
      <c r="C9" s="23" t="s">
        <v>515</v>
      </c>
      <c r="D9" s="22"/>
      <c r="E9" s="24"/>
      <c r="F9" s="25">
        <f>_xlfn.XLOOKUP(B9, Rate_Master!$A:$A, Rate_Master!$C:$C, "")</f>
        <v>0</v>
      </c>
      <c r="G9" s="25">
        <f>_xlfn.XLOOKUP(B9, Rate_Master!$A:$A, Rate_Master!$D:$D, "")</f>
        <v>0</v>
      </c>
      <c r="H9" s="26"/>
      <c r="I9" s="26">
        <f>SUBTOTAL(9,I10:I112)</f>
        <v>33705493876.545181</v>
      </c>
      <c r="J9" s="26"/>
    </row>
    <row r="10" spans="1:10" s="3" customFormat="1" ht="51" customHeight="1">
      <c r="A10" s="22" t="str">
        <f>A9&amp;".1"</f>
        <v>5B.1</v>
      </c>
      <c r="B10" s="23" t="s">
        <v>378</v>
      </c>
      <c r="C10" s="23" t="s">
        <v>515</v>
      </c>
      <c r="D10" s="22"/>
      <c r="E10" s="24"/>
      <c r="F10" s="25">
        <f>_xlfn.XLOOKUP(B10, Rate_Master!$A:$A, Rate_Master!$C:$C, "")</f>
        <v>0</v>
      </c>
      <c r="G10" s="25">
        <f>_xlfn.XLOOKUP(B10, Rate_Master!$A:$A, Rate_Master!$D:$D, "")</f>
        <v>0</v>
      </c>
      <c r="H10" s="26"/>
      <c r="I10" s="26">
        <f>SUBTOTAL(9,I11:I24)</f>
        <v>15623655512.995888</v>
      </c>
      <c r="J10" s="26"/>
    </row>
    <row r="11" spans="1:10" s="4" customFormat="1" ht="25.5" customHeight="1" outlineLevel="1">
      <c r="A11" s="27" t="str">
        <f t="shared" ref="A11:A24" si="0">$A$10&amp;"."&amp;ROW()-ROW($A$10)</f>
        <v>5B.1.1</v>
      </c>
      <c r="B11" s="28" t="s">
        <v>379</v>
      </c>
      <c r="C11" s="28" t="s">
        <v>515</v>
      </c>
      <c r="D11" s="29" t="s">
        <v>589</v>
      </c>
      <c r="E11" s="30">
        <v>17257.8796</v>
      </c>
      <c r="F11" s="31">
        <f>_xlfn.XLOOKUP(B11, Rate_Master!$A:$A, Rate_Master!$C:$C, "")</f>
        <v>0</v>
      </c>
      <c r="G11" s="31">
        <f>_xlfn.XLOOKUP(B11, Rate_Master!$A:$A, Rate_Master!$D:$D, "")</f>
        <v>52899.999999999993</v>
      </c>
      <c r="H11" s="32">
        <f t="shared" ref="H11:H24" si="1">+F11+G11</f>
        <v>52899.999999999993</v>
      </c>
      <c r="I11" s="32">
        <f t="shared" ref="I11:I24" si="2">H11*E11</f>
        <v>912941830.83999991</v>
      </c>
      <c r="J11" s="32"/>
    </row>
    <row r="12" spans="1:10" s="4" customFormat="1" ht="25.5" customHeight="1" outlineLevel="1">
      <c r="A12" s="27" t="str">
        <f t="shared" si="0"/>
        <v>5B.1.2</v>
      </c>
      <c r="B12" s="28" t="s">
        <v>380</v>
      </c>
      <c r="C12" s="28" t="s">
        <v>515</v>
      </c>
      <c r="D12" s="29" t="s">
        <v>589</v>
      </c>
      <c r="E12" s="30">
        <v>17257.8796</v>
      </c>
      <c r="F12" s="31">
        <f>_xlfn.XLOOKUP(B12, Rate_Master!$A:$A, Rate_Master!$C:$C, "")</f>
        <v>0</v>
      </c>
      <c r="G12" s="31">
        <f>_xlfn.XLOOKUP(B12, Rate_Master!$A:$A, Rate_Master!$D:$D, "")</f>
        <v>52899.999999999993</v>
      </c>
      <c r="H12" s="32">
        <f t="shared" si="1"/>
        <v>52899.999999999993</v>
      </c>
      <c r="I12" s="32">
        <f t="shared" si="2"/>
        <v>912941830.83999991</v>
      </c>
      <c r="J12" s="32"/>
    </row>
    <row r="13" spans="1:10" s="4" customFormat="1" ht="25.5" customHeight="1" outlineLevel="1">
      <c r="A13" s="27" t="str">
        <f t="shared" si="0"/>
        <v>5B.1.3</v>
      </c>
      <c r="B13" s="28" t="s">
        <v>381</v>
      </c>
      <c r="C13" s="28"/>
      <c r="D13" s="29" t="s">
        <v>590</v>
      </c>
      <c r="E13" s="30">
        <v>10992.28</v>
      </c>
      <c r="F13" s="31">
        <f>_xlfn.XLOOKUP(B13, Rate_Master!$A:$A, Rate_Master!$C:$C, "")</f>
        <v>0</v>
      </c>
      <c r="G13" s="31">
        <f>_xlfn.XLOOKUP(B13, Rate_Master!$A:$A, Rate_Master!$D:$D, "")</f>
        <v>14949.999999999998</v>
      </c>
      <c r="H13" s="32">
        <f t="shared" si="1"/>
        <v>14949.999999999998</v>
      </c>
      <c r="I13" s="32">
        <f t="shared" si="2"/>
        <v>164334586</v>
      </c>
      <c r="J13" s="32"/>
    </row>
    <row r="14" spans="1:10" s="4" customFormat="1" ht="25.5" customHeight="1" outlineLevel="1">
      <c r="A14" s="27" t="str">
        <f t="shared" si="0"/>
        <v>5B.1.4</v>
      </c>
      <c r="B14" s="28" t="s">
        <v>382</v>
      </c>
      <c r="C14" s="28"/>
      <c r="D14" s="29" t="s">
        <v>590</v>
      </c>
      <c r="E14" s="30">
        <v>12071.28</v>
      </c>
      <c r="F14" s="31">
        <f>_xlfn.XLOOKUP(B14, Rate_Master!$A:$A, Rate_Master!$C:$C, "")</f>
        <v>13799.999999999998</v>
      </c>
      <c r="G14" s="31">
        <f>_xlfn.XLOOKUP(B14, Rate_Master!$A:$A, Rate_Master!$D:$D, "")</f>
        <v>5750</v>
      </c>
      <c r="H14" s="32">
        <f t="shared" si="1"/>
        <v>19550</v>
      </c>
      <c r="I14" s="32">
        <f t="shared" si="2"/>
        <v>235993524</v>
      </c>
      <c r="J14" s="32"/>
    </row>
    <row r="15" spans="1:10" s="4" customFormat="1" ht="25.5" customHeight="1" outlineLevel="1">
      <c r="A15" s="27" t="str">
        <f t="shared" si="0"/>
        <v>5B.1.5</v>
      </c>
      <c r="B15" s="28" t="s">
        <v>383</v>
      </c>
      <c r="C15" s="28"/>
      <c r="D15" s="29" t="s">
        <v>589</v>
      </c>
      <c r="E15" s="30">
        <v>3297.6840000000002</v>
      </c>
      <c r="F15" s="31">
        <f>_xlfn.XLOOKUP(B15, Rate_Master!$A:$A, Rate_Master!$C:$C, "")</f>
        <v>353050</v>
      </c>
      <c r="G15" s="31">
        <f>_xlfn.XLOOKUP(B15, Rate_Master!$A:$A, Rate_Master!$D:$D, "")</f>
        <v>131100</v>
      </c>
      <c r="H15" s="66">
        <f t="shared" si="1"/>
        <v>484150</v>
      </c>
      <c r="I15" s="32">
        <f t="shared" si="2"/>
        <v>1596573708.6000001</v>
      </c>
      <c r="J15" s="32"/>
    </row>
    <row r="16" spans="1:10" s="4" customFormat="1" ht="25.5" customHeight="1" outlineLevel="1">
      <c r="A16" s="27" t="str">
        <f t="shared" si="0"/>
        <v>5B.1.6</v>
      </c>
      <c r="B16" s="28" t="s">
        <v>384</v>
      </c>
      <c r="C16" s="28"/>
      <c r="D16" s="29" t="s">
        <v>589</v>
      </c>
      <c r="E16" s="30">
        <v>2198.4560000000001</v>
      </c>
      <c r="F16" s="31">
        <f>_xlfn.XLOOKUP(B16, Rate_Master!$A:$A, Rate_Master!$C:$C, "")</f>
        <v>412849.99999999994</v>
      </c>
      <c r="G16" s="31">
        <f>_xlfn.XLOOKUP(B16, Rate_Master!$A:$A, Rate_Master!$D:$D, "")</f>
        <v>131100</v>
      </c>
      <c r="H16" s="32">
        <f t="shared" si="1"/>
        <v>543950</v>
      </c>
      <c r="I16" s="32">
        <f t="shared" si="2"/>
        <v>1195850141.2</v>
      </c>
      <c r="J16" s="32"/>
    </row>
    <row r="17" spans="1:10" s="4" customFormat="1" ht="25.5" customHeight="1" outlineLevel="1">
      <c r="A17" s="27" t="str">
        <f t="shared" si="0"/>
        <v>5B.1.7</v>
      </c>
      <c r="B17" s="28" t="s">
        <v>385</v>
      </c>
      <c r="C17" s="28"/>
      <c r="D17" s="29" t="s">
        <v>590</v>
      </c>
      <c r="E17" s="30">
        <v>10992.28</v>
      </c>
      <c r="F17" s="31">
        <f>_xlfn.XLOOKUP(B17, Rate_Master!$A:$A, Rate_Master!$C:$C, "")</f>
        <v>47149.999999999993</v>
      </c>
      <c r="G17" s="31">
        <f>_xlfn.XLOOKUP(B17, Rate_Master!$A:$A, Rate_Master!$D:$D, "")</f>
        <v>18400</v>
      </c>
      <c r="H17" s="66">
        <f t="shared" si="1"/>
        <v>65550</v>
      </c>
      <c r="I17" s="32">
        <f t="shared" si="2"/>
        <v>720543954</v>
      </c>
      <c r="J17" s="32"/>
    </row>
    <row r="18" spans="1:10" s="4" customFormat="1" ht="25.5" customHeight="1" outlineLevel="1">
      <c r="A18" s="27" t="str">
        <f t="shared" si="0"/>
        <v>5B.1.8</v>
      </c>
      <c r="B18" s="28" t="s">
        <v>386</v>
      </c>
      <c r="C18" s="28"/>
      <c r="D18" s="29" t="s">
        <v>523</v>
      </c>
      <c r="E18" s="33">
        <v>165974.89799072</v>
      </c>
      <c r="F18" s="31">
        <f>_xlfn.XLOOKUP(B18, Rate_Master!$A:$A, Rate_Master!$C:$C, "")</f>
        <v>19550</v>
      </c>
      <c r="G18" s="31">
        <f>_xlfn.XLOOKUP(B18, Rate_Master!$A:$A, Rate_Master!$D:$D, "")</f>
        <v>4600</v>
      </c>
      <c r="H18" s="66">
        <f t="shared" si="1"/>
        <v>24150</v>
      </c>
      <c r="I18" s="32">
        <f t="shared" si="2"/>
        <v>4008293786.4758878</v>
      </c>
      <c r="J18" s="32"/>
    </row>
    <row r="19" spans="1:10" s="4" customFormat="1" ht="25.5" customHeight="1" outlineLevel="1">
      <c r="A19" s="27" t="str">
        <f t="shared" si="0"/>
        <v>5B.1.9</v>
      </c>
      <c r="B19" s="28" t="s">
        <v>387</v>
      </c>
      <c r="C19" s="28"/>
      <c r="D19" s="29" t="s">
        <v>589</v>
      </c>
      <c r="E19" s="30">
        <v>2748.07</v>
      </c>
      <c r="F19" s="31">
        <f>_xlfn.XLOOKUP(B19, Rate_Master!$A:$A, Rate_Master!$C:$C, "")</f>
        <v>1524899.9999999998</v>
      </c>
      <c r="G19" s="31">
        <f>_xlfn.XLOOKUP(B19, Rate_Master!$A:$A, Rate_Master!$D:$D, "")</f>
        <v>379499.99999999994</v>
      </c>
      <c r="H19" s="66">
        <f t="shared" si="1"/>
        <v>1904399.9999999998</v>
      </c>
      <c r="I19" s="32">
        <f t="shared" si="2"/>
        <v>5233424508</v>
      </c>
      <c r="J19" s="32"/>
    </row>
    <row r="20" spans="1:10" s="4" customFormat="1" ht="25.5" customHeight="1" outlineLevel="1">
      <c r="A20" s="27" t="str">
        <f t="shared" si="0"/>
        <v>5B.1.10</v>
      </c>
      <c r="B20" s="28" t="s">
        <v>388</v>
      </c>
      <c r="C20" s="28"/>
      <c r="D20" s="29" t="s">
        <v>590</v>
      </c>
      <c r="E20" s="30">
        <v>10992.28</v>
      </c>
      <c r="F20" s="31">
        <f>_xlfn.XLOOKUP(B20, Rate_Master!$A:$A, Rate_Master!$C:$C, "")</f>
        <v>0</v>
      </c>
      <c r="G20" s="31">
        <f>_xlfn.XLOOKUP(B20, Rate_Master!$A:$A, Rate_Master!$D:$D, "")</f>
        <v>34500</v>
      </c>
      <c r="H20" s="32">
        <f t="shared" si="1"/>
        <v>34500</v>
      </c>
      <c r="I20" s="32">
        <f t="shared" si="2"/>
        <v>379233660</v>
      </c>
      <c r="J20" s="32"/>
    </row>
    <row r="21" spans="1:10" s="4" customFormat="1" ht="25.5" customHeight="1" outlineLevel="1">
      <c r="A21" s="27" t="str">
        <f t="shared" si="0"/>
        <v>5B.1.11</v>
      </c>
      <c r="B21" s="28" t="s">
        <v>389</v>
      </c>
      <c r="C21" s="28"/>
      <c r="D21" s="29" t="s">
        <v>517</v>
      </c>
      <c r="E21" s="30">
        <v>196</v>
      </c>
      <c r="F21" s="31">
        <f>_xlfn.XLOOKUP(B21, Rate_Master!$A:$A, Rate_Master!$C:$C, "")</f>
        <v>0</v>
      </c>
      <c r="G21" s="31">
        <f>_xlfn.XLOOKUP(B21, Rate_Master!$A:$A, Rate_Master!$D:$D, "")</f>
        <v>14949.999999999998</v>
      </c>
      <c r="H21" s="32">
        <f t="shared" si="1"/>
        <v>14949.999999999998</v>
      </c>
      <c r="I21" s="32">
        <f t="shared" si="2"/>
        <v>2930199.9999999995</v>
      </c>
      <c r="J21" s="32"/>
    </row>
    <row r="22" spans="1:10" s="4" customFormat="1" ht="25.5" customHeight="1" outlineLevel="1">
      <c r="A22" s="27" t="str">
        <f t="shared" si="0"/>
        <v>5B.1.12</v>
      </c>
      <c r="B22" s="28" t="s">
        <v>390</v>
      </c>
      <c r="C22" s="28"/>
      <c r="D22" s="29" t="s">
        <v>517</v>
      </c>
      <c r="E22" s="30">
        <v>2100</v>
      </c>
      <c r="F22" s="31">
        <f>_xlfn.XLOOKUP(B22, Rate_Master!$A:$A, Rate_Master!$C:$C, "")</f>
        <v>0</v>
      </c>
      <c r="G22" s="31">
        <f>_xlfn.XLOOKUP(B22, Rate_Master!$A:$A, Rate_Master!$D:$D, "")</f>
        <v>14949.999999999998</v>
      </c>
      <c r="H22" s="32">
        <f t="shared" si="1"/>
        <v>14949.999999999998</v>
      </c>
      <c r="I22" s="32">
        <f t="shared" si="2"/>
        <v>31394999.999999996</v>
      </c>
      <c r="J22" s="32"/>
    </row>
    <row r="23" spans="1:10" s="4" customFormat="1" ht="25.5" customHeight="1" outlineLevel="1">
      <c r="A23" s="27" t="str">
        <f t="shared" si="0"/>
        <v>5B.1.13</v>
      </c>
      <c r="B23" s="28" t="s">
        <v>391</v>
      </c>
      <c r="C23" s="28"/>
      <c r="D23" s="29" t="s">
        <v>517</v>
      </c>
      <c r="E23" s="30">
        <v>1772</v>
      </c>
      <c r="F23" s="31">
        <f>_xlfn.XLOOKUP(B23, Rate_Master!$A:$A, Rate_Master!$C:$C, "")</f>
        <v>0</v>
      </c>
      <c r="G23" s="31">
        <f>_xlfn.XLOOKUP(B23, Rate_Master!$A:$A, Rate_Master!$D:$D, "")</f>
        <v>14949.999999999998</v>
      </c>
      <c r="H23" s="32">
        <f t="shared" si="1"/>
        <v>14949.999999999998</v>
      </c>
      <c r="I23" s="32">
        <f t="shared" si="2"/>
        <v>26491399.999999996</v>
      </c>
      <c r="J23" s="32"/>
    </row>
    <row r="24" spans="1:10" s="4" customFormat="1" ht="25.5" customHeight="1" outlineLevel="1">
      <c r="A24" s="27" t="str">
        <f t="shared" si="0"/>
        <v>5B.1.14</v>
      </c>
      <c r="B24" s="28" t="s">
        <v>392</v>
      </c>
      <c r="C24" s="28"/>
      <c r="D24" s="29" t="s">
        <v>523</v>
      </c>
      <c r="E24" s="33">
        <v>6078.1823999999997</v>
      </c>
      <c r="F24" s="31">
        <f>_xlfn.XLOOKUP(B24, Rate_Master!$A:$A, Rate_Master!$C:$C, "")</f>
        <v>28749.999999999996</v>
      </c>
      <c r="G24" s="31">
        <f>_xlfn.XLOOKUP(B24, Rate_Master!$A:$A, Rate_Master!$D:$D, "")</f>
        <v>4600</v>
      </c>
      <c r="H24" s="66">
        <f t="shared" si="1"/>
        <v>33350</v>
      </c>
      <c r="I24" s="32">
        <f t="shared" si="2"/>
        <v>202707383.03999999</v>
      </c>
      <c r="J24" s="32"/>
    </row>
    <row r="25" spans="1:10" s="3" customFormat="1" ht="25.5" customHeight="1">
      <c r="A25" s="22" t="str">
        <f>A9&amp;".2"</f>
        <v>5B.2</v>
      </c>
      <c r="B25" s="23" t="s">
        <v>393</v>
      </c>
      <c r="C25" s="23" t="s">
        <v>515</v>
      </c>
      <c r="D25" s="22"/>
      <c r="E25" s="24"/>
      <c r="F25" s="25">
        <f>_xlfn.XLOOKUP(B25, Rate_Master!$A:$A, Rate_Master!$C:$C, "")</f>
        <v>0</v>
      </c>
      <c r="G25" s="25">
        <f>_xlfn.XLOOKUP(B25, Rate_Master!$A:$A, Rate_Master!$D:$D, "")</f>
        <v>0</v>
      </c>
      <c r="H25" s="26"/>
      <c r="I25" s="26">
        <f>SUBTOTAL(9,I26:I38)</f>
        <v>13550383402.292957</v>
      </c>
      <c r="J25" s="26"/>
    </row>
    <row r="26" spans="1:10" s="4" customFormat="1" ht="25.5" customHeight="1" outlineLevel="1">
      <c r="A26" s="27" t="str">
        <f t="shared" ref="A26:A38" si="3">$A$25&amp;"."&amp;ROW()-ROW($A$25)</f>
        <v>5B.2.1</v>
      </c>
      <c r="B26" s="28" t="s">
        <v>394</v>
      </c>
      <c r="C26" s="28" t="s">
        <v>515</v>
      </c>
      <c r="D26" s="29" t="s">
        <v>589</v>
      </c>
      <c r="E26" s="30">
        <v>2617.05599999997</v>
      </c>
      <c r="F26" s="31">
        <f>_xlfn.XLOOKUP(B26, Rate_Master!$A:$A, Rate_Master!$C:$C, "")</f>
        <v>0</v>
      </c>
      <c r="G26" s="31">
        <f>_xlfn.XLOOKUP(B26, Rate_Master!$A:$A, Rate_Master!$D:$D, "")</f>
        <v>40250</v>
      </c>
      <c r="H26" s="66">
        <f t="shared" ref="H26:H38" si="4">+F26+G26</f>
        <v>40250</v>
      </c>
      <c r="I26" s="32">
        <f t="shared" ref="I26:I38" si="5">H26*E26</f>
        <v>105336503.99999879</v>
      </c>
      <c r="J26" s="32"/>
    </row>
    <row r="27" spans="1:10" s="4" customFormat="1" ht="25.5" customHeight="1" outlineLevel="1">
      <c r="A27" s="27" t="str">
        <f t="shared" si="3"/>
        <v>5B.2.2</v>
      </c>
      <c r="B27" s="28" t="s">
        <v>381</v>
      </c>
      <c r="C27" s="28" t="s">
        <v>515</v>
      </c>
      <c r="D27" s="29" t="s">
        <v>590</v>
      </c>
      <c r="E27" s="30">
        <v>14539.2</v>
      </c>
      <c r="F27" s="31">
        <f>_xlfn.XLOOKUP(B27, Rate_Master!$A:$A, Rate_Master!$C:$C, "")</f>
        <v>0</v>
      </c>
      <c r="G27" s="31">
        <f>_xlfn.XLOOKUP(B27, Rate_Master!$A:$A, Rate_Master!$D:$D, "")</f>
        <v>14949.999999999998</v>
      </c>
      <c r="H27" s="32">
        <f t="shared" si="4"/>
        <v>14949.999999999998</v>
      </c>
      <c r="I27" s="32">
        <f t="shared" si="5"/>
        <v>217361039.99999997</v>
      </c>
      <c r="J27" s="32"/>
    </row>
    <row r="28" spans="1:10" s="4" customFormat="1" ht="25.5" customHeight="1" outlineLevel="1">
      <c r="A28" s="27" t="str">
        <f t="shared" si="3"/>
        <v>5B.2.3</v>
      </c>
      <c r="B28" s="28" t="s">
        <v>382</v>
      </c>
      <c r="C28" s="28"/>
      <c r="D28" s="29" t="s">
        <v>590</v>
      </c>
      <c r="E28" s="30">
        <v>22178.400000000001</v>
      </c>
      <c r="F28" s="31">
        <f>_xlfn.XLOOKUP(B28, Rate_Master!$A:$A, Rate_Master!$C:$C, "")</f>
        <v>13799.999999999998</v>
      </c>
      <c r="G28" s="31">
        <f>_xlfn.XLOOKUP(B28, Rate_Master!$A:$A, Rate_Master!$D:$D, "")</f>
        <v>5750</v>
      </c>
      <c r="H28" s="32">
        <f t="shared" si="4"/>
        <v>19550</v>
      </c>
      <c r="I28" s="32">
        <f t="shared" si="5"/>
        <v>433587720</v>
      </c>
      <c r="J28" s="32"/>
    </row>
    <row r="29" spans="1:10" s="4" customFormat="1" ht="25.5" customHeight="1" outlineLevel="1">
      <c r="A29" s="27" t="str">
        <f t="shared" si="3"/>
        <v>5B.2.4</v>
      </c>
      <c r="B29" s="28" t="s">
        <v>395</v>
      </c>
      <c r="C29" s="28"/>
      <c r="D29" s="29" t="s">
        <v>589</v>
      </c>
      <c r="E29" s="30">
        <v>2907.84</v>
      </c>
      <c r="F29" s="31">
        <f>_xlfn.XLOOKUP(B29, Rate_Master!$A:$A, Rate_Master!$C:$C, "")</f>
        <v>353050</v>
      </c>
      <c r="G29" s="31">
        <f>_xlfn.XLOOKUP(B29, Rate_Master!$A:$A, Rate_Master!$D:$D, "")</f>
        <v>131100</v>
      </c>
      <c r="H29" s="66">
        <f t="shared" si="4"/>
        <v>484150</v>
      </c>
      <c r="I29" s="32">
        <f t="shared" si="5"/>
        <v>1407830736</v>
      </c>
      <c r="J29" s="32"/>
    </row>
    <row r="30" spans="1:10" s="4" customFormat="1" ht="25.5" customHeight="1" outlineLevel="1">
      <c r="A30" s="27" t="str">
        <f t="shared" si="3"/>
        <v>5B.2.5</v>
      </c>
      <c r="B30" s="28" t="s">
        <v>396</v>
      </c>
      <c r="C30" s="28"/>
      <c r="D30" s="29" t="s">
        <v>589</v>
      </c>
      <c r="E30" s="30">
        <v>2907.84</v>
      </c>
      <c r="F30" s="31">
        <f>_xlfn.XLOOKUP(B30, Rate_Master!$A:$A, Rate_Master!$C:$C, "")</f>
        <v>412849.99999999994</v>
      </c>
      <c r="G30" s="31">
        <f>_xlfn.XLOOKUP(B30, Rate_Master!$A:$A, Rate_Master!$D:$D, "")</f>
        <v>131100</v>
      </c>
      <c r="H30" s="32">
        <f t="shared" si="4"/>
        <v>543950</v>
      </c>
      <c r="I30" s="32">
        <f t="shared" si="5"/>
        <v>1581719568</v>
      </c>
      <c r="J30" s="32"/>
    </row>
    <row r="31" spans="1:10" s="4" customFormat="1" ht="25.5" customHeight="1" outlineLevel="1">
      <c r="A31" s="27" t="str">
        <f t="shared" si="3"/>
        <v>5B.2.6</v>
      </c>
      <c r="B31" s="28" t="s">
        <v>397</v>
      </c>
      <c r="C31" s="28"/>
      <c r="D31" s="29" t="s">
        <v>590</v>
      </c>
      <c r="E31" s="30">
        <v>14539.2</v>
      </c>
      <c r="F31" s="31">
        <f>_xlfn.XLOOKUP(B31, Rate_Master!$A:$A, Rate_Master!$C:$C, "")</f>
        <v>6899.9999999999991</v>
      </c>
      <c r="G31" s="31">
        <f>_xlfn.XLOOKUP(B31, Rate_Master!$A:$A, Rate_Master!$D:$D, "")</f>
        <v>1724.9999999999998</v>
      </c>
      <c r="H31" s="66">
        <f t="shared" si="4"/>
        <v>8624.9999999999982</v>
      </c>
      <c r="I31" s="32">
        <f t="shared" si="5"/>
        <v>125400599.99999999</v>
      </c>
      <c r="J31" s="32"/>
    </row>
    <row r="32" spans="1:10" s="4" customFormat="1" ht="25.5" customHeight="1" outlineLevel="1">
      <c r="A32" s="27" t="str">
        <f t="shared" si="3"/>
        <v>5B.2.7</v>
      </c>
      <c r="B32" s="28" t="s">
        <v>398</v>
      </c>
      <c r="C32" s="28"/>
      <c r="D32" s="29" t="s">
        <v>523</v>
      </c>
      <c r="E32" s="33">
        <v>145185.13626239999</v>
      </c>
      <c r="F32" s="31">
        <f>_xlfn.XLOOKUP(B32, Rate_Master!$A:$A, Rate_Master!$C:$C, "")</f>
        <v>19550</v>
      </c>
      <c r="G32" s="31">
        <f>_xlfn.XLOOKUP(B32, Rate_Master!$A:$A, Rate_Master!$D:$D, "")</f>
        <v>4600</v>
      </c>
      <c r="H32" s="66">
        <f t="shared" si="4"/>
        <v>24150</v>
      </c>
      <c r="I32" s="32">
        <f t="shared" si="5"/>
        <v>3506221040.7369599</v>
      </c>
      <c r="J32" s="32"/>
    </row>
    <row r="33" spans="1:10" s="4" customFormat="1" ht="25.5" customHeight="1" outlineLevel="1">
      <c r="A33" s="27" t="str">
        <f t="shared" si="3"/>
        <v>5B.2.8</v>
      </c>
      <c r="B33" s="28" t="s">
        <v>399</v>
      </c>
      <c r="C33" s="28"/>
      <c r="D33" s="29" t="s">
        <v>589</v>
      </c>
      <c r="E33" s="30">
        <v>2617.056</v>
      </c>
      <c r="F33" s="31">
        <f>_xlfn.XLOOKUP(B33, Rate_Master!$A:$A, Rate_Master!$C:$C, "")</f>
        <v>1520555.5555555553</v>
      </c>
      <c r="G33" s="31">
        <f>_xlfn.XLOOKUP(B33, Rate_Master!$A:$A, Rate_Master!$D:$D, "")</f>
        <v>195499.99999999997</v>
      </c>
      <c r="H33" s="66">
        <f t="shared" si="4"/>
        <v>1716055.5555555553</v>
      </c>
      <c r="I33" s="32">
        <f t="shared" si="5"/>
        <v>4491013487.999999</v>
      </c>
      <c r="J33" s="32"/>
    </row>
    <row r="34" spans="1:10" s="4" customFormat="1" ht="25.5" customHeight="1" outlineLevel="1">
      <c r="A34" s="27" t="str">
        <f t="shared" si="3"/>
        <v>5B.2.9</v>
      </c>
      <c r="B34" s="28" t="s">
        <v>388</v>
      </c>
      <c r="C34" s="28"/>
      <c r="D34" s="29" t="s">
        <v>590</v>
      </c>
      <c r="E34" s="30">
        <v>14539.2</v>
      </c>
      <c r="F34" s="31">
        <f>_xlfn.XLOOKUP(B34, Rate_Master!$A:$A, Rate_Master!$C:$C, "")</f>
        <v>0</v>
      </c>
      <c r="G34" s="31">
        <f>_xlfn.XLOOKUP(B34, Rate_Master!$A:$A, Rate_Master!$D:$D, "")</f>
        <v>34500</v>
      </c>
      <c r="H34" s="32">
        <f t="shared" si="4"/>
        <v>34500</v>
      </c>
      <c r="I34" s="32">
        <f t="shared" si="5"/>
        <v>501602400</v>
      </c>
      <c r="J34" s="32"/>
    </row>
    <row r="35" spans="1:10" s="4" customFormat="1" ht="25.5" customHeight="1" outlineLevel="1">
      <c r="A35" s="27" t="str">
        <f t="shared" si="3"/>
        <v>5B.2.10</v>
      </c>
      <c r="B35" s="28" t="s">
        <v>389</v>
      </c>
      <c r="C35" s="28"/>
      <c r="D35" s="29" t="s">
        <v>517</v>
      </c>
      <c r="E35" s="30">
        <v>254.46</v>
      </c>
      <c r="F35" s="31">
        <f>_xlfn.XLOOKUP(B35, Rate_Master!$A:$A, Rate_Master!$C:$C, "")</f>
        <v>0</v>
      </c>
      <c r="G35" s="31">
        <f>_xlfn.XLOOKUP(B35, Rate_Master!$A:$A, Rate_Master!$D:$D, "")</f>
        <v>14949.999999999998</v>
      </c>
      <c r="H35" s="32">
        <f t="shared" si="4"/>
        <v>14949.999999999998</v>
      </c>
      <c r="I35" s="32">
        <f t="shared" si="5"/>
        <v>3804176.9999999995</v>
      </c>
      <c r="J35" s="32"/>
    </row>
    <row r="36" spans="1:10" s="4" customFormat="1" ht="25.5" customHeight="1" outlineLevel="1">
      <c r="A36" s="27" t="str">
        <f t="shared" si="3"/>
        <v>5B.2.11</v>
      </c>
      <c r="B36" s="28" t="s">
        <v>390</v>
      </c>
      <c r="C36" s="28"/>
      <c r="D36" s="29" t="s">
        <v>517</v>
      </c>
      <c r="E36" s="30">
        <v>3082.48</v>
      </c>
      <c r="F36" s="31">
        <f>_xlfn.XLOOKUP(B36, Rate_Master!$A:$A, Rate_Master!$C:$C, "")</f>
        <v>0</v>
      </c>
      <c r="G36" s="31">
        <f>_xlfn.XLOOKUP(B36, Rate_Master!$A:$A, Rate_Master!$D:$D, "")</f>
        <v>14949.999999999998</v>
      </c>
      <c r="H36" s="32">
        <f t="shared" si="4"/>
        <v>14949.999999999998</v>
      </c>
      <c r="I36" s="32">
        <f t="shared" si="5"/>
        <v>46083075.999999993</v>
      </c>
      <c r="J36" s="32"/>
    </row>
    <row r="37" spans="1:10" s="4" customFormat="1" ht="25.5" customHeight="1" outlineLevel="1">
      <c r="A37" s="27" t="str">
        <f t="shared" si="3"/>
        <v>5B.2.12</v>
      </c>
      <c r="B37" s="28" t="s">
        <v>391</v>
      </c>
      <c r="C37" s="28"/>
      <c r="D37" s="29" t="s">
        <v>517</v>
      </c>
      <c r="E37" s="30">
        <v>682.75</v>
      </c>
      <c r="F37" s="31">
        <f>_xlfn.XLOOKUP(B37, Rate_Master!$A:$A, Rate_Master!$C:$C, "")</f>
        <v>0</v>
      </c>
      <c r="G37" s="31">
        <f>_xlfn.XLOOKUP(B37, Rate_Master!$A:$A, Rate_Master!$D:$D, "")</f>
        <v>14949.999999999998</v>
      </c>
      <c r="H37" s="32">
        <f t="shared" si="4"/>
        <v>14949.999999999998</v>
      </c>
      <c r="I37" s="32">
        <f t="shared" si="5"/>
        <v>10207112.499999998</v>
      </c>
      <c r="J37" s="32"/>
    </row>
    <row r="38" spans="1:10" s="4" customFormat="1" ht="25.5" customHeight="1" outlineLevel="1">
      <c r="A38" s="27" t="str">
        <f t="shared" si="3"/>
        <v>5B.2.13</v>
      </c>
      <c r="B38" s="28" t="s">
        <v>392</v>
      </c>
      <c r="C38" s="28"/>
      <c r="D38" s="29" t="s">
        <v>523</v>
      </c>
      <c r="E38" s="33">
        <v>33589.683360000003</v>
      </c>
      <c r="F38" s="31">
        <f>_xlfn.XLOOKUP(B38, Rate_Master!$A:$A, Rate_Master!$C:$C, "")</f>
        <v>28749.999999999996</v>
      </c>
      <c r="G38" s="31">
        <f>_xlfn.XLOOKUP(B38, Rate_Master!$A:$A, Rate_Master!$D:$D, "")</f>
        <v>4600</v>
      </c>
      <c r="H38" s="66">
        <f t="shared" si="4"/>
        <v>33350</v>
      </c>
      <c r="I38" s="32">
        <f t="shared" si="5"/>
        <v>1120215940.056</v>
      </c>
      <c r="J38" s="32"/>
    </row>
    <row r="39" spans="1:10" s="3" customFormat="1" ht="25.5" customHeight="1">
      <c r="A39" s="22" t="str">
        <f>A9&amp;".3"</f>
        <v>5B.3</v>
      </c>
      <c r="B39" s="23" t="s">
        <v>400</v>
      </c>
      <c r="C39" s="23" t="s">
        <v>515</v>
      </c>
      <c r="D39" s="22"/>
      <c r="E39" s="24"/>
      <c r="F39" s="25">
        <f>_xlfn.XLOOKUP(B39, Rate_Master!$A:$A, Rate_Master!$C:$C, "")</f>
        <v>0</v>
      </c>
      <c r="G39" s="25">
        <f>_xlfn.XLOOKUP(B39, Rate_Master!$A:$A, Rate_Master!$D:$D, "")</f>
        <v>0</v>
      </c>
      <c r="H39" s="26"/>
      <c r="I39" s="26">
        <f>SUBTOTAL(9,I40:I52)</f>
        <v>2381776852.4180512</v>
      </c>
      <c r="J39" s="26"/>
    </row>
    <row r="40" spans="1:10" s="4" customFormat="1" ht="25.5" customHeight="1" outlineLevel="1">
      <c r="A40" s="27" t="str">
        <f t="shared" ref="A40:A52" si="6">$A$39&amp;"."&amp;ROW()-ROW($A$39)</f>
        <v>5B.3.1</v>
      </c>
      <c r="B40" s="28" t="s">
        <v>401</v>
      </c>
      <c r="C40" s="28" t="s">
        <v>515</v>
      </c>
      <c r="D40" s="29" t="s">
        <v>589</v>
      </c>
      <c r="E40" s="30">
        <v>1093.6068</v>
      </c>
      <c r="F40" s="31">
        <f>_xlfn.XLOOKUP(B40, Rate_Master!$A:$A, Rate_Master!$C:$C, "")</f>
        <v>0</v>
      </c>
      <c r="G40" s="31">
        <f>_xlfn.XLOOKUP(B40, Rate_Master!$A:$A, Rate_Master!$D:$D, "")</f>
        <v>52899.999999999993</v>
      </c>
      <c r="H40" s="32">
        <f t="shared" ref="H40:H52" si="7">+F40+G40</f>
        <v>52899.999999999993</v>
      </c>
      <c r="I40" s="32">
        <f t="shared" ref="I40:I52" si="8">H40*E40</f>
        <v>57851799.719999991</v>
      </c>
      <c r="J40" s="32"/>
    </row>
    <row r="41" spans="1:10" s="4" customFormat="1" ht="25.5" customHeight="1" outlineLevel="1">
      <c r="A41" s="27" t="str">
        <f t="shared" si="6"/>
        <v>5B.3.2</v>
      </c>
      <c r="B41" s="28" t="s">
        <v>380</v>
      </c>
      <c r="C41" s="28" t="s">
        <v>515</v>
      </c>
      <c r="D41" s="29" t="s">
        <v>589</v>
      </c>
      <c r="E41" s="30">
        <v>1093.6068</v>
      </c>
      <c r="F41" s="31">
        <f>_xlfn.XLOOKUP(B41, Rate_Master!$A:$A, Rate_Master!$C:$C, "")</f>
        <v>0</v>
      </c>
      <c r="G41" s="31">
        <f>_xlfn.XLOOKUP(B41, Rate_Master!$A:$A, Rate_Master!$D:$D, "")</f>
        <v>52899.999999999993</v>
      </c>
      <c r="H41" s="32">
        <f t="shared" si="7"/>
        <v>52899.999999999993</v>
      </c>
      <c r="I41" s="32">
        <f t="shared" si="8"/>
        <v>57851799.719999991</v>
      </c>
      <c r="J41" s="32"/>
    </row>
    <row r="42" spans="1:10" s="4" customFormat="1" ht="25.5" customHeight="1" outlineLevel="1">
      <c r="A42" s="27" t="str">
        <f t="shared" si="6"/>
        <v>5B.3.3</v>
      </c>
      <c r="B42" s="28" t="s">
        <v>402</v>
      </c>
      <c r="C42" s="28"/>
      <c r="D42" s="29" t="s">
        <v>590</v>
      </c>
      <c r="E42" s="30">
        <v>1720.37</v>
      </c>
      <c r="F42" s="31">
        <f>_xlfn.XLOOKUP(B42, Rate_Master!$A:$A, Rate_Master!$C:$C, "")</f>
        <v>0</v>
      </c>
      <c r="G42" s="31">
        <f>_xlfn.XLOOKUP(B42, Rate_Master!$A:$A, Rate_Master!$D:$D, "")</f>
        <v>14949.999999999998</v>
      </c>
      <c r="H42" s="32">
        <f t="shared" si="7"/>
        <v>14949.999999999998</v>
      </c>
      <c r="I42" s="32">
        <f t="shared" si="8"/>
        <v>25719531.499999996</v>
      </c>
      <c r="J42" s="32"/>
    </row>
    <row r="43" spans="1:10" s="4" customFormat="1" ht="25.5" customHeight="1" outlineLevel="1">
      <c r="A43" s="27" t="str">
        <f t="shared" si="6"/>
        <v>5B.3.4</v>
      </c>
      <c r="B43" s="28" t="s">
        <v>381</v>
      </c>
      <c r="C43" s="28"/>
      <c r="D43" s="29" t="s">
        <v>590</v>
      </c>
      <c r="E43" s="30">
        <v>1720.37</v>
      </c>
      <c r="F43" s="31">
        <f>_xlfn.XLOOKUP(B43, Rate_Master!$A:$A, Rate_Master!$C:$C, "")</f>
        <v>0</v>
      </c>
      <c r="G43" s="31">
        <f>_xlfn.XLOOKUP(B43, Rate_Master!$A:$A, Rate_Master!$D:$D, "")</f>
        <v>14949.999999999998</v>
      </c>
      <c r="H43" s="32">
        <f t="shared" si="7"/>
        <v>14949.999999999998</v>
      </c>
      <c r="I43" s="32">
        <f t="shared" si="8"/>
        <v>25719531.499999996</v>
      </c>
      <c r="J43" s="32"/>
    </row>
    <row r="44" spans="1:10" s="4" customFormat="1" ht="25.5" customHeight="1" outlineLevel="1">
      <c r="A44" s="27" t="str">
        <f t="shared" si="6"/>
        <v>5B.3.5</v>
      </c>
      <c r="B44" s="28" t="s">
        <v>403</v>
      </c>
      <c r="C44" s="28"/>
      <c r="D44" s="29" t="s">
        <v>590</v>
      </c>
      <c r="E44" s="30">
        <v>2590.3820000000001</v>
      </c>
      <c r="F44" s="31">
        <f>_xlfn.XLOOKUP(B44, Rate_Master!$A:$A, Rate_Master!$C:$C, "")</f>
        <v>5750</v>
      </c>
      <c r="G44" s="31">
        <f>_xlfn.XLOOKUP(B44, Rate_Master!$A:$A, Rate_Master!$D:$D, "")</f>
        <v>3449.9999999999995</v>
      </c>
      <c r="H44" s="32">
        <f t="shared" si="7"/>
        <v>9200</v>
      </c>
      <c r="I44" s="32">
        <f t="shared" si="8"/>
        <v>23831514.400000002</v>
      </c>
      <c r="J44" s="32"/>
    </row>
    <row r="45" spans="1:10" s="4" customFormat="1" ht="25.5" customHeight="1" outlineLevel="1">
      <c r="A45" s="27" t="str">
        <f t="shared" si="6"/>
        <v>5B.3.6</v>
      </c>
      <c r="B45" s="28" t="s">
        <v>383</v>
      </c>
      <c r="C45" s="28"/>
      <c r="D45" s="29" t="s">
        <v>589</v>
      </c>
      <c r="E45" s="30">
        <v>516.11099999999999</v>
      </c>
      <c r="F45" s="31">
        <f>_xlfn.XLOOKUP(B45, Rate_Master!$A:$A, Rate_Master!$C:$C, "")</f>
        <v>353050</v>
      </c>
      <c r="G45" s="31">
        <f>_xlfn.XLOOKUP(B45, Rate_Master!$A:$A, Rate_Master!$D:$D, "")</f>
        <v>131100</v>
      </c>
      <c r="H45" s="66">
        <f t="shared" si="7"/>
        <v>484150</v>
      </c>
      <c r="I45" s="32">
        <f t="shared" si="8"/>
        <v>249875140.65000001</v>
      </c>
      <c r="J45" s="32"/>
    </row>
    <row r="46" spans="1:10" s="4" customFormat="1" ht="25.5" customHeight="1" outlineLevel="1">
      <c r="A46" s="27" t="str">
        <f t="shared" si="6"/>
        <v>5B.3.7</v>
      </c>
      <c r="B46" s="28" t="s">
        <v>396</v>
      </c>
      <c r="C46" s="28"/>
      <c r="D46" s="29" t="s">
        <v>589</v>
      </c>
      <c r="E46" s="30">
        <v>344.07400000000001</v>
      </c>
      <c r="F46" s="31">
        <f>_xlfn.XLOOKUP(B46, Rate_Master!$A:$A, Rate_Master!$C:$C, "")</f>
        <v>412849.99999999994</v>
      </c>
      <c r="G46" s="31">
        <f>_xlfn.XLOOKUP(B46, Rate_Master!$A:$A, Rate_Master!$D:$D, "")</f>
        <v>131100</v>
      </c>
      <c r="H46" s="32">
        <f t="shared" si="7"/>
        <v>543950</v>
      </c>
      <c r="I46" s="32">
        <f t="shared" si="8"/>
        <v>187159052.30000001</v>
      </c>
      <c r="J46" s="32"/>
    </row>
    <row r="47" spans="1:10" s="4" customFormat="1" ht="25.5" customHeight="1" outlineLevel="1">
      <c r="A47" s="27" t="str">
        <f t="shared" si="6"/>
        <v>5B.3.8</v>
      </c>
      <c r="B47" s="28" t="s">
        <v>404</v>
      </c>
      <c r="C47" s="28"/>
      <c r="D47" s="29" t="s">
        <v>590</v>
      </c>
      <c r="E47" s="30">
        <v>1720.37</v>
      </c>
      <c r="F47" s="31">
        <f>_xlfn.XLOOKUP(B47, Rate_Master!$A:$A, Rate_Master!$C:$C, "")</f>
        <v>47149.999999999993</v>
      </c>
      <c r="G47" s="31">
        <f>_xlfn.XLOOKUP(B47, Rate_Master!$A:$A, Rate_Master!$D:$D, "")</f>
        <v>18400</v>
      </c>
      <c r="H47" s="66">
        <f t="shared" si="7"/>
        <v>65550</v>
      </c>
      <c r="I47" s="32">
        <f t="shared" si="8"/>
        <v>112770253.5</v>
      </c>
      <c r="J47" s="32"/>
    </row>
    <row r="48" spans="1:10" s="4" customFormat="1" ht="25.5" customHeight="1" outlineLevel="1">
      <c r="A48" s="27" t="str">
        <f t="shared" si="6"/>
        <v>5B.3.9</v>
      </c>
      <c r="B48" s="28" t="s">
        <v>386</v>
      </c>
      <c r="C48" s="28"/>
      <c r="D48" s="29" t="s">
        <v>523</v>
      </c>
      <c r="E48" s="33">
        <v>26591.195326213299</v>
      </c>
      <c r="F48" s="31">
        <f>_xlfn.XLOOKUP(B48, Rate_Master!$A:$A, Rate_Master!$C:$C, "")</f>
        <v>19550</v>
      </c>
      <c r="G48" s="31">
        <f>_xlfn.XLOOKUP(B48, Rate_Master!$A:$A, Rate_Master!$D:$D, "")</f>
        <v>4600</v>
      </c>
      <c r="H48" s="66">
        <f t="shared" si="7"/>
        <v>24150</v>
      </c>
      <c r="I48" s="32">
        <f t="shared" si="8"/>
        <v>642177367.12805116</v>
      </c>
      <c r="J48" s="32"/>
    </row>
    <row r="49" spans="1:10" s="4" customFormat="1" ht="25.5" customHeight="1" outlineLevel="1">
      <c r="A49" s="27" t="str">
        <f t="shared" si="6"/>
        <v>5B.3.10</v>
      </c>
      <c r="B49" s="28" t="s">
        <v>387</v>
      </c>
      <c r="C49" s="28"/>
      <c r="D49" s="29" t="s">
        <v>589</v>
      </c>
      <c r="E49" s="30">
        <v>445.6925</v>
      </c>
      <c r="F49" s="31">
        <f>_xlfn.XLOOKUP(B49, Rate_Master!$A:$A, Rate_Master!$C:$C, "")</f>
        <v>1524899.9999999998</v>
      </c>
      <c r="G49" s="31">
        <f>_xlfn.XLOOKUP(B49, Rate_Master!$A:$A, Rate_Master!$D:$D, "")</f>
        <v>379499.99999999994</v>
      </c>
      <c r="H49" s="66">
        <f t="shared" si="7"/>
        <v>1904399.9999999998</v>
      </c>
      <c r="I49" s="32">
        <f t="shared" si="8"/>
        <v>848776796.99999988</v>
      </c>
      <c r="J49" s="32"/>
    </row>
    <row r="50" spans="1:10" s="4" customFormat="1" ht="25.5" customHeight="1" outlineLevel="1">
      <c r="A50" s="27" t="str">
        <f t="shared" si="6"/>
        <v>5B.3.11</v>
      </c>
      <c r="B50" s="28" t="s">
        <v>405</v>
      </c>
      <c r="C50" s="28"/>
      <c r="D50" s="29" t="s">
        <v>590</v>
      </c>
      <c r="E50" s="30">
        <v>1720.37</v>
      </c>
      <c r="F50" s="31">
        <f>_xlfn.XLOOKUP(B50, Rate_Master!$A:$A, Rate_Master!$C:$C, "")</f>
        <v>0</v>
      </c>
      <c r="G50" s="31">
        <f>_xlfn.XLOOKUP(B50, Rate_Master!$A:$A, Rate_Master!$D:$D, "")</f>
        <v>34500</v>
      </c>
      <c r="H50" s="32">
        <f t="shared" si="7"/>
        <v>34500</v>
      </c>
      <c r="I50" s="32">
        <f t="shared" si="8"/>
        <v>59352764.999999993</v>
      </c>
      <c r="J50" s="32"/>
    </row>
    <row r="51" spans="1:10" s="4" customFormat="1" ht="25.5" customHeight="1" outlineLevel="1">
      <c r="A51" s="27" t="str">
        <f t="shared" si="6"/>
        <v>5B.3.12</v>
      </c>
      <c r="B51" s="28" t="s">
        <v>406</v>
      </c>
      <c r="C51" s="28"/>
      <c r="D51" s="29" t="s">
        <v>517</v>
      </c>
      <c r="E51" s="30">
        <v>0</v>
      </c>
      <c r="F51" s="31">
        <f>_xlfn.XLOOKUP(B51, Rate_Master!$A:$A, Rate_Master!$C:$C, "")</f>
        <v>0</v>
      </c>
      <c r="G51" s="31">
        <f>_xlfn.XLOOKUP(B51, Rate_Master!$A:$A, Rate_Master!$D:$D, "")</f>
        <v>0</v>
      </c>
      <c r="H51" s="32">
        <f t="shared" si="7"/>
        <v>0</v>
      </c>
      <c r="I51" s="32">
        <f t="shared" si="8"/>
        <v>0</v>
      </c>
      <c r="J51" s="32"/>
    </row>
    <row r="52" spans="1:10" s="4" customFormat="1" ht="25.5" customHeight="1" outlineLevel="1">
      <c r="A52" s="27" t="str">
        <f t="shared" si="6"/>
        <v>5B.3.13</v>
      </c>
      <c r="B52" s="28" t="s">
        <v>407</v>
      </c>
      <c r="C52" s="28"/>
      <c r="D52" s="29" t="s">
        <v>517</v>
      </c>
      <c r="E52" s="30">
        <v>602</v>
      </c>
      <c r="F52" s="31">
        <f>_xlfn.XLOOKUP(B52, Rate_Master!$A:$A, Rate_Master!$C:$C, "")</f>
        <v>108099.99999999999</v>
      </c>
      <c r="G52" s="31">
        <f>_xlfn.XLOOKUP(B52, Rate_Master!$A:$A, Rate_Master!$D:$D, "")</f>
        <v>42550</v>
      </c>
      <c r="H52" s="32">
        <f t="shared" si="7"/>
        <v>150650</v>
      </c>
      <c r="I52" s="32">
        <f t="shared" si="8"/>
        <v>90691300</v>
      </c>
      <c r="J52" s="32"/>
    </row>
    <row r="53" spans="1:10" s="3" customFormat="1" ht="25.5" customHeight="1">
      <c r="A53" s="22" t="str">
        <f>A9&amp;".4"</f>
        <v>5B.4</v>
      </c>
      <c r="B53" s="23" t="s">
        <v>408</v>
      </c>
      <c r="C53" s="23" t="s">
        <v>515</v>
      </c>
      <c r="D53" s="22"/>
      <c r="E53" s="24"/>
      <c r="F53" s="25">
        <f>_xlfn.XLOOKUP(B53, Rate_Master!$A:$A, Rate_Master!$C:$C, "")</f>
        <v>0</v>
      </c>
      <c r="G53" s="25">
        <f>_xlfn.XLOOKUP(B53, Rate_Master!$A:$A, Rate_Master!$D:$D, "")</f>
        <v>0</v>
      </c>
      <c r="H53" s="26"/>
      <c r="I53" s="26">
        <f>SUBTOTAL(9,I54:I60)</f>
        <v>112552540.17801601</v>
      </c>
      <c r="J53" s="26"/>
    </row>
    <row r="54" spans="1:10" s="4" customFormat="1" ht="25.5" customHeight="1" outlineLevel="1">
      <c r="A54" s="27" t="str">
        <f t="shared" ref="A54:A60" si="9">$A$53&amp;"."&amp;ROW()-ROW($A$53)</f>
        <v>5B.4.1</v>
      </c>
      <c r="B54" s="28" t="s">
        <v>381</v>
      </c>
      <c r="C54" s="28" t="s">
        <v>515</v>
      </c>
      <c r="D54" s="29" t="s">
        <v>590</v>
      </c>
      <c r="E54" s="30">
        <v>202.71</v>
      </c>
      <c r="F54" s="31">
        <f>_xlfn.XLOOKUP(B54, Rate_Master!$A:$A, Rate_Master!$C:$C, "")</f>
        <v>0</v>
      </c>
      <c r="G54" s="31">
        <f>_xlfn.XLOOKUP(B54, Rate_Master!$A:$A, Rate_Master!$D:$D, "")</f>
        <v>14949.999999999998</v>
      </c>
      <c r="H54" s="32">
        <f t="shared" ref="H54:H60" si="10">+F54+G54</f>
        <v>14949.999999999998</v>
      </c>
      <c r="I54" s="32">
        <f t="shared" ref="I54:I60" si="11">H54*E54</f>
        <v>3030514.4999999995</v>
      </c>
      <c r="J54" s="32"/>
    </row>
    <row r="55" spans="1:10" s="4" customFormat="1" ht="25.5" customHeight="1" outlineLevel="1">
      <c r="A55" s="27" t="str">
        <f t="shared" si="9"/>
        <v>5B.4.2</v>
      </c>
      <c r="B55" s="28" t="s">
        <v>396</v>
      </c>
      <c r="C55" s="28" t="s">
        <v>515</v>
      </c>
      <c r="D55" s="29" t="s">
        <v>589</v>
      </c>
      <c r="E55" s="30">
        <v>40.542000000000002</v>
      </c>
      <c r="F55" s="31">
        <f>_xlfn.XLOOKUP(B55, Rate_Master!$A:$A, Rate_Master!$C:$C, "")</f>
        <v>412849.99999999994</v>
      </c>
      <c r="G55" s="31">
        <f>_xlfn.XLOOKUP(B55, Rate_Master!$A:$A, Rate_Master!$D:$D, "")</f>
        <v>131100</v>
      </c>
      <c r="H55" s="32">
        <f t="shared" si="10"/>
        <v>543950</v>
      </c>
      <c r="I55" s="32">
        <f t="shared" si="11"/>
        <v>22052820.900000002</v>
      </c>
      <c r="J55" s="32"/>
    </row>
    <row r="56" spans="1:10" s="4" customFormat="1" ht="25.5" customHeight="1" outlineLevel="1">
      <c r="A56" s="27" t="str">
        <f t="shared" si="9"/>
        <v>5B.4.3</v>
      </c>
      <c r="B56" s="28" t="s">
        <v>385</v>
      </c>
      <c r="C56" s="28"/>
      <c r="D56" s="29" t="s">
        <v>590</v>
      </c>
      <c r="E56" s="30">
        <v>202.71</v>
      </c>
      <c r="F56" s="31">
        <f>_xlfn.XLOOKUP(B56, Rate_Master!$A:$A, Rate_Master!$C:$C, "")</f>
        <v>47149.999999999993</v>
      </c>
      <c r="G56" s="31">
        <f>_xlfn.XLOOKUP(B56, Rate_Master!$A:$A, Rate_Master!$D:$D, "")</f>
        <v>18400</v>
      </c>
      <c r="H56" s="66">
        <f t="shared" si="10"/>
        <v>65550</v>
      </c>
      <c r="I56" s="32">
        <f t="shared" si="11"/>
        <v>13287640.5</v>
      </c>
      <c r="J56" s="32"/>
    </row>
    <row r="57" spans="1:10" s="4" customFormat="1" ht="25.5" customHeight="1" outlineLevel="1">
      <c r="A57" s="27" t="str">
        <f t="shared" si="9"/>
        <v>5B.4.4</v>
      </c>
      <c r="B57" s="28" t="s">
        <v>409</v>
      </c>
      <c r="C57" s="28"/>
      <c r="D57" s="29" t="s">
        <v>523</v>
      </c>
      <c r="E57" s="33">
        <v>1251.17152704</v>
      </c>
      <c r="F57" s="31">
        <f>_xlfn.XLOOKUP(B57, Rate_Master!$A:$A, Rate_Master!$C:$C, "")</f>
        <v>19550</v>
      </c>
      <c r="G57" s="31">
        <f>_xlfn.XLOOKUP(B57, Rate_Master!$A:$A, Rate_Master!$D:$D, "")</f>
        <v>4600</v>
      </c>
      <c r="H57" s="66">
        <f t="shared" si="10"/>
        <v>24150</v>
      </c>
      <c r="I57" s="32">
        <f t="shared" si="11"/>
        <v>30215792.378015999</v>
      </c>
      <c r="J57" s="32"/>
    </row>
    <row r="58" spans="1:10" s="4" customFormat="1" ht="25.5" customHeight="1" outlineLevel="1">
      <c r="A58" s="27" t="str">
        <f t="shared" si="9"/>
        <v>5B.4.5</v>
      </c>
      <c r="B58" s="28" t="s">
        <v>410</v>
      </c>
      <c r="C58" s="28"/>
      <c r="D58" s="29" t="s">
        <v>589</v>
      </c>
      <c r="E58" s="30">
        <v>20.271000000000001</v>
      </c>
      <c r="F58" s="31">
        <f>_xlfn.XLOOKUP(B58, Rate_Master!$A:$A, Rate_Master!$C:$C, "")</f>
        <v>1444400</v>
      </c>
      <c r="G58" s="31">
        <f>_xlfn.XLOOKUP(B58, Rate_Master!$A:$A, Rate_Master!$D:$D, "")</f>
        <v>379499.99999999994</v>
      </c>
      <c r="H58" s="66">
        <f t="shared" si="10"/>
        <v>1823900</v>
      </c>
      <c r="I58" s="32">
        <f t="shared" si="11"/>
        <v>36972276.899999999</v>
      </c>
      <c r="J58" s="32"/>
    </row>
    <row r="59" spans="1:10" s="4" customFormat="1" ht="25.5" customHeight="1" outlineLevel="1">
      <c r="A59" s="27" t="str">
        <f t="shared" si="9"/>
        <v>5B.4.6</v>
      </c>
      <c r="B59" s="28" t="s">
        <v>388</v>
      </c>
      <c r="C59" s="28"/>
      <c r="D59" s="29" t="s">
        <v>590</v>
      </c>
      <c r="E59" s="30">
        <v>202.71</v>
      </c>
      <c r="F59" s="31">
        <f>_xlfn.XLOOKUP(B59, Rate_Master!$A:$A, Rate_Master!$C:$C, "")</f>
        <v>0</v>
      </c>
      <c r="G59" s="31">
        <f>_xlfn.XLOOKUP(B59, Rate_Master!$A:$A, Rate_Master!$D:$D, "")</f>
        <v>34500</v>
      </c>
      <c r="H59" s="32">
        <f t="shared" si="10"/>
        <v>34500</v>
      </c>
      <c r="I59" s="32">
        <f t="shared" si="11"/>
        <v>6993495</v>
      </c>
      <c r="J59" s="32"/>
    </row>
    <row r="60" spans="1:10" s="4" customFormat="1" ht="25.5" customHeight="1" outlineLevel="1">
      <c r="A60" s="27" t="str">
        <f t="shared" si="9"/>
        <v>5B.4.7</v>
      </c>
      <c r="B60" s="28" t="s">
        <v>406</v>
      </c>
      <c r="C60" s="28"/>
      <c r="D60" s="29" t="s">
        <v>517</v>
      </c>
      <c r="E60" s="30">
        <v>0</v>
      </c>
      <c r="F60" s="31">
        <f>_xlfn.XLOOKUP(B60, Rate_Master!$A:$A, Rate_Master!$C:$C, "")</f>
        <v>0</v>
      </c>
      <c r="G60" s="31">
        <f>_xlfn.XLOOKUP(B60, Rate_Master!$A:$A, Rate_Master!$D:$D, "")</f>
        <v>0</v>
      </c>
      <c r="H60" s="32">
        <f t="shared" si="10"/>
        <v>0</v>
      </c>
      <c r="I60" s="32">
        <f t="shared" si="11"/>
        <v>0</v>
      </c>
      <c r="J60" s="32"/>
    </row>
    <row r="61" spans="1:10" s="3" customFormat="1" ht="25.5" customHeight="1">
      <c r="A61" s="22" t="str">
        <f>A9&amp;".5"</f>
        <v>5B.5</v>
      </c>
      <c r="B61" s="23" t="s">
        <v>411</v>
      </c>
      <c r="C61" s="23" t="s">
        <v>515</v>
      </c>
      <c r="D61" s="22"/>
      <c r="E61" s="24"/>
      <c r="F61" s="25">
        <f>_xlfn.XLOOKUP(B61, Rate_Master!$A:$A, Rate_Master!$C:$C, "")</f>
        <v>0</v>
      </c>
      <c r="G61" s="25">
        <f>_xlfn.XLOOKUP(B61, Rate_Master!$A:$A, Rate_Master!$D:$D, "")</f>
        <v>0</v>
      </c>
      <c r="H61" s="26"/>
      <c r="I61" s="26">
        <f>SUBTOTAL(9,I62:I66)</f>
        <v>261616250.79999998</v>
      </c>
      <c r="J61" s="26"/>
    </row>
    <row r="62" spans="1:10" s="4" customFormat="1" ht="25.5" customHeight="1" outlineLevel="1">
      <c r="A62" s="27" t="str">
        <f>$A$61&amp;"."&amp;ROW()-ROW($A$61)</f>
        <v>5B.5.1</v>
      </c>
      <c r="B62" s="28" t="s">
        <v>381</v>
      </c>
      <c r="C62" s="28" t="s">
        <v>515</v>
      </c>
      <c r="D62" s="29" t="s">
        <v>590</v>
      </c>
      <c r="E62" s="30">
        <v>436.42</v>
      </c>
      <c r="F62" s="31">
        <f>_xlfn.XLOOKUP(B62, Rate_Master!$A:$A, Rate_Master!$C:$C, "")</f>
        <v>0</v>
      </c>
      <c r="G62" s="31">
        <f>_xlfn.XLOOKUP(B62, Rate_Master!$A:$A, Rate_Master!$D:$D, "")</f>
        <v>14949.999999999998</v>
      </c>
      <c r="H62" s="32">
        <f>+F62+G62</f>
        <v>14949.999999999998</v>
      </c>
      <c r="I62" s="32">
        <f>H62*E62</f>
        <v>6524478.9999999991</v>
      </c>
      <c r="J62" s="32"/>
    </row>
    <row r="63" spans="1:10" s="4" customFormat="1" ht="25.5" customHeight="1" outlineLevel="1">
      <c r="A63" s="27" t="str">
        <f>$A$61&amp;"."&amp;ROW()-ROW($A$61)</f>
        <v>5B.5.2</v>
      </c>
      <c r="B63" s="28" t="s">
        <v>382</v>
      </c>
      <c r="C63" s="28" t="s">
        <v>515</v>
      </c>
      <c r="D63" s="29" t="s">
        <v>590</v>
      </c>
      <c r="E63" s="30">
        <v>530.62</v>
      </c>
      <c r="F63" s="31">
        <f>_xlfn.XLOOKUP(B63, Rate_Master!$A:$A, Rate_Master!$C:$C, "")</f>
        <v>13799.999999999998</v>
      </c>
      <c r="G63" s="31">
        <f>_xlfn.XLOOKUP(B63, Rate_Master!$A:$A, Rate_Master!$D:$D, "")</f>
        <v>5750</v>
      </c>
      <c r="H63" s="32">
        <f>+F63+G63</f>
        <v>19550</v>
      </c>
      <c r="I63" s="32">
        <f>H63*E63</f>
        <v>10373621</v>
      </c>
      <c r="J63" s="32"/>
    </row>
    <row r="64" spans="1:10" s="4" customFormat="1" ht="25.5" customHeight="1" outlineLevel="1">
      <c r="A64" s="27" t="str">
        <f>$A$61&amp;"."&amp;ROW()-ROW($A$61)</f>
        <v>5B.5.3</v>
      </c>
      <c r="B64" s="28" t="s">
        <v>396</v>
      </c>
      <c r="C64" s="28"/>
      <c r="D64" s="29" t="s">
        <v>589</v>
      </c>
      <c r="E64" s="30">
        <v>87.284000000000006</v>
      </c>
      <c r="F64" s="31">
        <f>_xlfn.XLOOKUP(B64, Rate_Master!$A:$A, Rate_Master!$C:$C, "")</f>
        <v>412849.99999999994</v>
      </c>
      <c r="G64" s="31">
        <f>_xlfn.XLOOKUP(B64, Rate_Master!$A:$A, Rate_Master!$D:$D, "")</f>
        <v>131100</v>
      </c>
      <c r="H64" s="32">
        <f>+F64+G64</f>
        <v>543950</v>
      </c>
      <c r="I64" s="32">
        <f>H64*E64</f>
        <v>47478131.800000004</v>
      </c>
      <c r="J64" s="32"/>
    </row>
    <row r="65" spans="1:10" s="4" customFormat="1" ht="25.5" customHeight="1" outlineLevel="1">
      <c r="A65" s="27" t="str">
        <f>$A$61&amp;"."&amp;ROW()-ROW($A$61)</f>
        <v>5B.5.4</v>
      </c>
      <c r="B65" s="28" t="s">
        <v>412</v>
      </c>
      <c r="C65" s="28"/>
      <c r="D65" s="29" t="s">
        <v>590</v>
      </c>
      <c r="E65" s="30">
        <v>436.42</v>
      </c>
      <c r="F65" s="31">
        <f>_xlfn.XLOOKUP(B65, Rate_Master!$A:$A, Rate_Master!$C:$C, "")</f>
        <v>74750</v>
      </c>
      <c r="G65" s="31">
        <f>_xlfn.XLOOKUP(B65, Rate_Master!$A:$A, Rate_Master!$D:$D, "")</f>
        <v>27599.999999999996</v>
      </c>
      <c r="H65" s="32">
        <f>+F65+G65</f>
        <v>102350</v>
      </c>
      <c r="I65" s="32">
        <f>H65*E65</f>
        <v>44667587</v>
      </c>
      <c r="J65" s="32"/>
    </row>
    <row r="66" spans="1:10" s="4" customFormat="1" ht="25.5" customHeight="1" outlineLevel="1">
      <c r="A66" s="27" t="str">
        <f>$A$61&amp;"."&amp;ROW()-ROW($A$61)</f>
        <v>5B.5.5</v>
      </c>
      <c r="B66" s="28" t="s">
        <v>413</v>
      </c>
      <c r="C66" s="28"/>
      <c r="D66" s="29" t="s">
        <v>590</v>
      </c>
      <c r="E66" s="30">
        <v>436.42</v>
      </c>
      <c r="F66" s="31">
        <f>_xlfn.XLOOKUP(B66, Rate_Master!$A:$A, Rate_Master!$C:$C, "")</f>
        <v>251849.99999999997</v>
      </c>
      <c r="G66" s="31">
        <f>_xlfn.XLOOKUP(B66, Rate_Master!$A:$A, Rate_Master!$D:$D, "")</f>
        <v>97749.999999999985</v>
      </c>
      <c r="H66" s="32">
        <f>+F66+G66</f>
        <v>349599.99999999994</v>
      </c>
      <c r="I66" s="32">
        <f>H66*E66</f>
        <v>152572431.99999997</v>
      </c>
      <c r="J66" s="32"/>
    </row>
    <row r="67" spans="1:10" s="3" customFormat="1" ht="25.5" customHeight="1">
      <c r="A67" s="22" t="str">
        <f>A9&amp;".6"</f>
        <v>5B.6</v>
      </c>
      <c r="B67" s="23" t="s">
        <v>414</v>
      </c>
      <c r="C67" s="23" t="s">
        <v>515</v>
      </c>
      <c r="D67" s="22"/>
      <c r="E67" s="24"/>
      <c r="F67" s="25">
        <f>_xlfn.XLOOKUP(B67, Rate_Master!$A:$A, Rate_Master!$C:$C, "")</f>
        <v>0</v>
      </c>
      <c r="G67" s="25">
        <f>_xlfn.XLOOKUP(B67, Rate_Master!$A:$A, Rate_Master!$D:$D, "")</f>
        <v>0</v>
      </c>
      <c r="H67" s="26"/>
      <c r="I67" s="26">
        <f>SUBTOTAL(9,I68:I89)</f>
        <v>998676626.44865608</v>
      </c>
      <c r="J67" s="26"/>
    </row>
    <row r="68" spans="1:10" s="4" customFormat="1" ht="25.5" customHeight="1" outlineLevel="1">
      <c r="A68" s="27" t="str">
        <f t="shared" ref="A68:A89" si="12">$A$67&amp;"."&amp;ROW()-ROW($A$67)</f>
        <v>5B.6.1</v>
      </c>
      <c r="B68" s="28" t="s">
        <v>415</v>
      </c>
      <c r="C68" s="28" t="s">
        <v>515</v>
      </c>
      <c r="D68" s="29" t="s">
        <v>517</v>
      </c>
      <c r="E68" s="30">
        <v>42</v>
      </c>
      <c r="F68" s="31">
        <f>_xlfn.XLOOKUP(B68, Rate_Master!$A:$A, Rate_Master!$C:$C, "")</f>
        <v>0</v>
      </c>
      <c r="G68" s="31">
        <f>_xlfn.XLOOKUP(B68, Rate_Master!$A:$A, Rate_Master!$D:$D, "")</f>
        <v>164450</v>
      </c>
      <c r="H68" s="32">
        <f t="shared" ref="H68:H89" si="13">+F68+G68</f>
        <v>164450</v>
      </c>
      <c r="I68" s="32">
        <f t="shared" ref="I68:I89" si="14">H68*E68</f>
        <v>6906900</v>
      </c>
      <c r="J68" s="32"/>
    </row>
    <row r="69" spans="1:10" s="4" customFormat="1" ht="25.5" customHeight="1" outlineLevel="1">
      <c r="A69" s="27" t="str">
        <f t="shared" si="12"/>
        <v>5B.6.2</v>
      </c>
      <c r="B69" s="28" t="s">
        <v>416</v>
      </c>
      <c r="C69" s="28" t="s">
        <v>515</v>
      </c>
      <c r="D69" s="29" t="s">
        <v>590</v>
      </c>
      <c r="E69" s="30">
        <v>506.26</v>
      </c>
      <c r="F69" s="31">
        <f>_xlfn.XLOOKUP(B69, Rate_Master!$A:$A, Rate_Master!$C:$C, "")</f>
        <v>0</v>
      </c>
      <c r="G69" s="31">
        <f>_xlfn.XLOOKUP(B69, Rate_Master!$A:$A, Rate_Master!$D:$D, "")</f>
        <v>25299.999999999996</v>
      </c>
      <c r="H69" s="32">
        <f t="shared" si="13"/>
        <v>25299.999999999996</v>
      </c>
      <c r="I69" s="32">
        <f t="shared" si="14"/>
        <v>12808377.999999998</v>
      </c>
      <c r="J69" s="32"/>
    </row>
    <row r="70" spans="1:10" s="4" customFormat="1" ht="38.25" customHeight="1" outlineLevel="1">
      <c r="A70" s="27" t="str">
        <f t="shared" si="12"/>
        <v>5B.6.3</v>
      </c>
      <c r="B70" s="28" t="s">
        <v>417</v>
      </c>
      <c r="C70" s="28"/>
      <c r="D70" s="29" t="s">
        <v>517</v>
      </c>
      <c r="E70" s="30">
        <v>26</v>
      </c>
      <c r="F70" s="31">
        <f>_xlfn.XLOOKUP(B70, Rate_Master!$A:$A, Rate_Master!$C:$C, "")</f>
        <v>359950</v>
      </c>
      <c r="G70" s="31">
        <f>_xlfn.XLOOKUP(B70, Rate_Master!$A:$A, Rate_Master!$D:$D, "")</f>
        <v>140300</v>
      </c>
      <c r="H70" s="32">
        <f t="shared" si="13"/>
        <v>500250</v>
      </c>
      <c r="I70" s="32">
        <f t="shared" si="14"/>
        <v>13006500</v>
      </c>
      <c r="J70" s="32"/>
    </row>
    <row r="71" spans="1:10" s="4" customFormat="1" ht="38.25" customHeight="1" outlineLevel="1">
      <c r="A71" s="27" t="str">
        <f t="shared" si="12"/>
        <v>5B.6.4</v>
      </c>
      <c r="B71" s="28" t="s">
        <v>418</v>
      </c>
      <c r="C71" s="28"/>
      <c r="D71" s="29" t="s">
        <v>517</v>
      </c>
      <c r="E71" s="30">
        <v>30</v>
      </c>
      <c r="F71" s="31">
        <f>_xlfn.XLOOKUP(B71, Rate_Master!$A:$A, Rate_Master!$C:$C, "")</f>
        <v>186300</v>
      </c>
      <c r="G71" s="31">
        <f>_xlfn.XLOOKUP(B71, Rate_Master!$A:$A, Rate_Master!$D:$D, "")</f>
        <v>72450</v>
      </c>
      <c r="H71" s="32">
        <f t="shared" si="13"/>
        <v>258750</v>
      </c>
      <c r="I71" s="32">
        <f t="shared" si="14"/>
        <v>7762500</v>
      </c>
      <c r="J71" s="32"/>
    </row>
    <row r="72" spans="1:10" s="4" customFormat="1" ht="38.25" customHeight="1" outlineLevel="1">
      <c r="A72" s="27" t="str">
        <f t="shared" si="12"/>
        <v>5B.6.5</v>
      </c>
      <c r="B72" s="28" t="s">
        <v>419</v>
      </c>
      <c r="C72" s="28" t="s">
        <v>515</v>
      </c>
      <c r="D72" s="29" t="s">
        <v>517</v>
      </c>
      <c r="E72" s="30">
        <v>60</v>
      </c>
      <c r="F72" s="31">
        <f>_xlfn.XLOOKUP(B72, Rate_Master!$A:$A, Rate_Master!$C:$C, "")</f>
        <v>284050</v>
      </c>
      <c r="G72" s="31">
        <f>_xlfn.XLOOKUP(B72, Rate_Master!$A:$A, Rate_Master!$D:$D, "")</f>
        <v>110399.99999999999</v>
      </c>
      <c r="H72" s="32">
        <f t="shared" si="13"/>
        <v>394450</v>
      </c>
      <c r="I72" s="32">
        <f t="shared" si="14"/>
        <v>23667000</v>
      </c>
      <c r="J72" s="32"/>
    </row>
    <row r="73" spans="1:10" s="4" customFormat="1" ht="25.5" customHeight="1" outlineLevel="1">
      <c r="A73" s="27" t="str">
        <f t="shared" si="12"/>
        <v>5B.6.6</v>
      </c>
      <c r="B73" s="28" t="s">
        <v>420</v>
      </c>
      <c r="C73" s="28"/>
      <c r="D73" s="29" t="s">
        <v>517</v>
      </c>
      <c r="E73" s="30">
        <v>41.36</v>
      </c>
      <c r="F73" s="31">
        <f>_xlfn.XLOOKUP(B73, Rate_Master!$A:$A, Rate_Master!$C:$C, "")</f>
        <v>611800</v>
      </c>
      <c r="G73" s="31">
        <f>_xlfn.XLOOKUP(B73, Rate_Master!$A:$A, Rate_Master!$D:$D, "")</f>
        <v>238049.99999999997</v>
      </c>
      <c r="H73" s="32">
        <f t="shared" si="13"/>
        <v>849850</v>
      </c>
      <c r="I73" s="32">
        <f t="shared" si="14"/>
        <v>35149796</v>
      </c>
      <c r="J73" s="32"/>
    </row>
    <row r="74" spans="1:10" s="4" customFormat="1" ht="38.25" customHeight="1" outlineLevel="1">
      <c r="A74" s="27" t="str">
        <f t="shared" si="12"/>
        <v>5B.6.7</v>
      </c>
      <c r="B74" s="28" t="s">
        <v>421</v>
      </c>
      <c r="C74" s="28"/>
      <c r="D74" s="29" t="s">
        <v>517</v>
      </c>
      <c r="E74" s="30">
        <v>13</v>
      </c>
      <c r="F74" s="31">
        <f>_xlfn.XLOOKUP(B74, Rate_Master!$A:$A, Rate_Master!$C:$C, "")</f>
        <v>169050</v>
      </c>
      <c r="G74" s="31">
        <f>_xlfn.XLOOKUP(B74, Rate_Master!$A:$A, Rate_Master!$D:$D, "")</f>
        <v>65550</v>
      </c>
      <c r="H74" s="32">
        <f t="shared" si="13"/>
        <v>234600</v>
      </c>
      <c r="I74" s="32">
        <f t="shared" si="14"/>
        <v>3049800</v>
      </c>
      <c r="J74" s="32"/>
    </row>
    <row r="75" spans="1:10" s="4" customFormat="1" ht="25.5" customHeight="1" outlineLevel="1">
      <c r="A75" s="27" t="str">
        <f t="shared" si="12"/>
        <v>5B.6.8</v>
      </c>
      <c r="B75" s="28" t="s">
        <v>422</v>
      </c>
      <c r="C75" s="28" t="s">
        <v>515</v>
      </c>
      <c r="D75" s="29" t="s">
        <v>588</v>
      </c>
      <c r="E75" s="30">
        <v>2</v>
      </c>
      <c r="F75" s="31">
        <f>_xlfn.XLOOKUP(B75, Rate_Master!$A:$A, Rate_Master!$C:$C, "")</f>
        <v>251849.99999999997</v>
      </c>
      <c r="G75" s="31">
        <f>_xlfn.XLOOKUP(B75, Rate_Master!$A:$A, Rate_Master!$D:$D, "")</f>
        <v>97749.999999999985</v>
      </c>
      <c r="H75" s="32">
        <f t="shared" si="13"/>
        <v>349599.99999999994</v>
      </c>
      <c r="I75" s="32">
        <f t="shared" si="14"/>
        <v>699199.99999999988</v>
      </c>
      <c r="J75" s="32"/>
    </row>
    <row r="76" spans="1:10" s="4" customFormat="1" ht="63.75" customHeight="1" outlineLevel="1">
      <c r="A76" s="27" t="str">
        <f t="shared" si="12"/>
        <v>5B.6.9</v>
      </c>
      <c r="B76" s="28" t="s">
        <v>423</v>
      </c>
      <c r="C76" s="28"/>
      <c r="D76" s="29" t="s">
        <v>517</v>
      </c>
      <c r="E76" s="30">
        <v>26</v>
      </c>
      <c r="F76" s="31">
        <f>_xlfn.XLOOKUP(B76, Rate_Master!$A:$A, Rate_Master!$C:$C, "")</f>
        <v>983249.99999999988</v>
      </c>
      <c r="G76" s="31">
        <f>_xlfn.XLOOKUP(B76, Rate_Master!$A:$A, Rate_Master!$D:$D, "")</f>
        <v>381799.99999999994</v>
      </c>
      <c r="H76" s="32">
        <f t="shared" si="13"/>
        <v>1365049.9999999998</v>
      </c>
      <c r="I76" s="32">
        <f t="shared" si="14"/>
        <v>35491299.999999993</v>
      </c>
      <c r="J76" s="32"/>
    </row>
    <row r="77" spans="1:10" s="4" customFormat="1" ht="25.5" customHeight="1" outlineLevel="1">
      <c r="A77" s="27" t="str">
        <f t="shared" si="12"/>
        <v>5B.6.10</v>
      </c>
      <c r="B77" s="28" t="s">
        <v>424</v>
      </c>
      <c r="C77" s="28"/>
      <c r="D77" s="29" t="s">
        <v>590</v>
      </c>
      <c r="E77" s="30">
        <v>454.26</v>
      </c>
      <c r="F77" s="31">
        <f>_xlfn.XLOOKUP(B77, Rate_Master!$A:$A, Rate_Master!$C:$C, "")</f>
        <v>0</v>
      </c>
      <c r="G77" s="31">
        <f>_xlfn.XLOOKUP(B77, Rate_Master!$A:$A, Rate_Master!$D:$D, "")</f>
        <v>14949.999999999998</v>
      </c>
      <c r="H77" s="32">
        <f t="shared" si="13"/>
        <v>14949.999999999998</v>
      </c>
      <c r="I77" s="32">
        <f t="shared" si="14"/>
        <v>6791186.9999999991</v>
      </c>
      <c r="J77" s="32"/>
    </row>
    <row r="78" spans="1:10" s="4" customFormat="1" ht="25.5" customHeight="1" outlineLevel="1">
      <c r="A78" s="27" t="str">
        <f t="shared" si="12"/>
        <v>5B.6.11</v>
      </c>
      <c r="B78" s="28" t="s">
        <v>403</v>
      </c>
      <c r="C78" s="28" t="s">
        <v>515</v>
      </c>
      <c r="D78" s="29" t="s">
        <v>590</v>
      </c>
      <c r="E78" s="30">
        <v>646.65719999999999</v>
      </c>
      <c r="F78" s="31">
        <f>_xlfn.XLOOKUP(B78, Rate_Master!$A:$A, Rate_Master!$C:$C, "")</f>
        <v>5750</v>
      </c>
      <c r="G78" s="31">
        <f>_xlfn.XLOOKUP(B78, Rate_Master!$A:$A, Rate_Master!$D:$D, "")</f>
        <v>3449.9999999999995</v>
      </c>
      <c r="H78" s="32">
        <f t="shared" si="13"/>
        <v>9200</v>
      </c>
      <c r="I78" s="32">
        <f t="shared" si="14"/>
        <v>5949246.2400000002</v>
      </c>
      <c r="J78" s="32"/>
    </row>
    <row r="79" spans="1:10" s="4" customFormat="1" ht="25.5" customHeight="1" outlineLevel="1">
      <c r="A79" s="27" t="str">
        <f t="shared" si="12"/>
        <v>5B.6.12</v>
      </c>
      <c r="B79" s="28" t="s">
        <v>425</v>
      </c>
      <c r="C79" s="28"/>
      <c r="D79" s="29" t="s">
        <v>589</v>
      </c>
      <c r="E79" s="30">
        <v>90.852000000000004</v>
      </c>
      <c r="F79" s="31">
        <f>_xlfn.XLOOKUP(B79, Rate_Master!$A:$A, Rate_Master!$C:$C, "")</f>
        <v>353050</v>
      </c>
      <c r="G79" s="31">
        <f>_xlfn.XLOOKUP(B79, Rate_Master!$A:$A, Rate_Master!$D:$D, "")</f>
        <v>131100</v>
      </c>
      <c r="H79" s="66">
        <f t="shared" si="13"/>
        <v>484150</v>
      </c>
      <c r="I79" s="32">
        <f t="shared" si="14"/>
        <v>43985995.800000004</v>
      </c>
      <c r="J79" s="32"/>
    </row>
    <row r="80" spans="1:10" s="4" customFormat="1" ht="25.5" customHeight="1" outlineLevel="1">
      <c r="A80" s="27" t="str">
        <f t="shared" si="12"/>
        <v>5B.6.13</v>
      </c>
      <c r="B80" s="28" t="s">
        <v>396</v>
      </c>
      <c r="C80" s="28"/>
      <c r="D80" s="29" t="s">
        <v>589</v>
      </c>
      <c r="E80" s="30">
        <v>90.852000000000004</v>
      </c>
      <c r="F80" s="31">
        <f>_xlfn.XLOOKUP(B80, Rate_Master!$A:$A, Rate_Master!$C:$C, "")</f>
        <v>412849.99999999994</v>
      </c>
      <c r="G80" s="31">
        <f>_xlfn.XLOOKUP(B80, Rate_Master!$A:$A, Rate_Master!$D:$D, "")</f>
        <v>131100</v>
      </c>
      <c r="H80" s="32">
        <f t="shared" si="13"/>
        <v>543950</v>
      </c>
      <c r="I80" s="32">
        <f t="shared" si="14"/>
        <v>49418945.399999999</v>
      </c>
      <c r="J80" s="32"/>
    </row>
    <row r="81" spans="1:10" s="4" customFormat="1" ht="25.5" customHeight="1" outlineLevel="1">
      <c r="A81" s="27" t="str">
        <f t="shared" si="12"/>
        <v>5B.6.14</v>
      </c>
      <c r="B81" s="28" t="s">
        <v>404</v>
      </c>
      <c r="C81" s="28" t="s">
        <v>515</v>
      </c>
      <c r="D81" s="29" t="s">
        <v>590</v>
      </c>
      <c r="E81" s="30">
        <v>506.26</v>
      </c>
      <c r="F81" s="31">
        <f>_xlfn.XLOOKUP(B81, Rate_Master!$A:$A, Rate_Master!$C:$C, "")</f>
        <v>47149.999999999993</v>
      </c>
      <c r="G81" s="31">
        <f>_xlfn.XLOOKUP(B81, Rate_Master!$A:$A, Rate_Master!$D:$D, "")</f>
        <v>18400</v>
      </c>
      <c r="H81" s="66">
        <f t="shared" si="13"/>
        <v>65550</v>
      </c>
      <c r="I81" s="32">
        <f t="shared" si="14"/>
        <v>33185343</v>
      </c>
      <c r="J81" s="32"/>
    </row>
    <row r="82" spans="1:10" s="4" customFormat="1" ht="25.5" customHeight="1" outlineLevel="1">
      <c r="A82" s="27" t="str">
        <f t="shared" si="12"/>
        <v>5B.6.15</v>
      </c>
      <c r="B82" s="28" t="s">
        <v>426</v>
      </c>
      <c r="C82" s="28"/>
      <c r="D82" s="29" t="s">
        <v>523</v>
      </c>
      <c r="E82" s="33">
        <v>13142.94700864</v>
      </c>
      <c r="F82" s="31">
        <f>_xlfn.XLOOKUP(B82, Rate_Master!$A:$A, Rate_Master!$C:$C, "")</f>
        <v>19550</v>
      </c>
      <c r="G82" s="31">
        <f>_xlfn.XLOOKUP(B82, Rate_Master!$A:$A, Rate_Master!$D:$D, "")</f>
        <v>4600</v>
      </c>
      <c r="H82" s="66">
        <f t="shared" si="13"/>
        <v>24150</v>
      </c>
      <c r="I82" s="32">
        <f t="shared" si="14"/>
        <v>317402170.25865597</v>
      </c>
      <c r="J82" s="32"/>
    </row>
    <row r="83" spans="1:10" s="4" customFormat="1" ht="25.5" customHeight="1" outlineLevel="1">
      <c r="A83" s="27" t="str">
        <f t="shared" si="12"/>
        <v>5B.6.16</v>
      </c>
      <c r="B83" s="28" t="s">
        <v>427</v>
      </c>
      <c r="C83" s="28" t="s">
        <v>515</v>
      </c>
      <c r="D83" s="29" t="s">
        <v>589</v>
      </c>
      <c r="E83" s="30">
        <v>126.565</v>
      </c>
      <c r="F83" s="31">
        <f>_xlfn.XLOOKUP(B83, Rate_Master!$A:$A, Rate_Master!$C:$C, "")</f>
        <v>1484650</v>
      </c>
      <c r="G83" s="31">
        <f>_xlfn.XLOOKUP(B83, Rate_Master!$A:$A, Rate_Master!$D:$D, "")</f>
        <v>379499.99999999994</v>
      </c>
      <c r="H83" s="66">
        <f t="shared" si="13"/>
        <v>1864150</v>
      </c>
      <c r="I83" s="32">
        <f t="shared" si="14"/>
        <v>235936144.75</v>
      </c>
      <c r="J83" s="32"/>
    </row>
    <row r="84" spans="1:10" s="4" customFormat="1" ht="25.5" customHeight="1" outlineLevel="1">
      <c r="A84" s="27" t="str">
        <f t="shared" si="12"/>
        <v>5B.6.17</v>
      </c>
      <c r="B84" s="28" t="s">
        <v>405</v>
      </c>
      <c r="C84" s="28"/>
      <c r="D84" s="29" t="s">
        <v>590</v>
      </c>
      <c r="E84" s="30">
        <v>506.26</v>
      </c>
      <c r="F84" s="31">
        <f>_xlfn.XLOOKUP(B84, Rate_Master!$A:$A, Rate_Master!$C:$C, "")</f>
        <v>0</v>
      </c>
      <c r="G84" s="31">
        <f>_xlfn.XLOOKUP(B84, Rate_Master!$A:$A, Rate_Master!$D:$D, "")</f>
        <v>34500</v>
      </c>
      <c r="H84" s="32">
        <f t="shared" si="13"/>
        <v>34500</v>
      </c>
      <c r="I84" s="32">
        <f t="shared" si="14"/>
        <v>17465970</v>
      </c>
      <c r="J84" s="32"/>
    </row>
    <row r="85" spans="1:10" s="4" customFormat="1" ht="25.5" customHeight="1" outlineLevel="1">
      <c r="A85" s="27" t="str">
        <f t="shared" si="12"/>
        <v>5B.6.18</v>
      </c>
      <c r="B85" s="28" t="s">
        <v>389</v>
      </c>
      <c r="C85" s="28"/>
      <c r="D85" s="29" t="s">
        <v>517</v>
      </c>
      <c r="E85" s="30">
        <v>0</v>
      </c>
      <c r="F85" s="31">
        <f>_xlfn.XLOOKUP(B85, Rate_Master!$A:$A, Rate_Master!$C:$C, "")</f>
        <v>0</v>
      </c>
      <c r="G85" s="31">
        <f>_xlfn.XLOOKUP(B85, Rate_Master!$A:$A, Rate_Master!$D:$D, "")</f>
        <v>14949.999999999998</v>
      </c>
      <c r="H85" s="32">
        <f t="shared" si="13"/>
        <v>14949.999999999998</v>
      </c>
      <c r="I85" s="32">
        <f t="shared" si="14"/>
        <v>0</v>
      </c>
      <c r="J85" s="32"/>
    </row>
    <row r="86" spans="1:10" s="4" customFormat="1" ht="25.5" customHeight="1" outlineLevel="1">
      <c r="A86" s="27" t="str">
        <f t="shared" si="12"/>
        <v>5B.6.19</v>
      </c>
      <c r="B86" s="28" t="s">
        <v>390</v>
      </c>
      <c r="C86" s="28" t="s">
        <v>515</v>
      </c>
      <c r="D86" s="29" t="s">
        <v>517</v>
      </c>
      <c r="E86" s="30">
        <v>0</v>
      </c>
      <c r="F86" s="31">
        <f>_xlfn.XLOOKUP(B86, Rate_Master!$A:$A, Rate_Master!$C:$C, "")</f>
        <v>0</v>
      </c>
      <c r="G86" s="31">
        <f>_xlfn.XLOOKUP(B86, Rate_Master!$A:$A, Rate_Master!$D:$D, "")</f>
        <v>14949.999999999998</v>
      </c>
      <c r="H86" s="32">
        <f t="shared" si="13"/>
        <v>14949.999999999998</v>
      </c>
      <c r="I86" s="32">
        <f t="shared" si="14"/>
        <v>0</v>
      </c>
      <c r="J86" s="32"/>
    </row>
    <row r="87" spans="1:10" s="4" customFormat="1" ht="25.5" customHeight="1" outlineLevel="1">
      <c r="A87" s="27" t="str">
        <f t="shared" si="12"/>
        <v>5B.6.20</v>
      </c>
      <c r="B87" s="28" t="s">
        <v>391</v>
      </c>
      <c r="C87" s="28"/>
      <c r="D87" s="29" t="s">
        <v>517</v>
      </c>
      <c r="E87" s="30">
        <v>0</v>
      </c>
      <c r="F87" s="31">
        <f>_xlfn.XLOOKUP(B87, Rate_Master!$A:$A, Rate_Master!$C:$C, "")</f>
        <v>0</v>
      </c>
      <c r="G87" s="31">
        <f>_xlfn.XLOOKUP(B87, Rate_Master!$A:$A, Rate_Master!$D:$D, "")</f>
        <v>14949.999999999998</v>
      </c>
      <c r="H87" s="32">
        <f t="shared" si="13"/>
        <v>14949.999999999998</v>
      </c>
      <c r="I87" s="32">
        <f t="shared" si="14"/>
        <v>0</v>
      </c>
      <c r="J87" s="32"/>
    </row>
    <row r="88" spans="1:10" s="4" customFormat="1" ht="25.5" customHeight="1" outlineLevel="1">
      <c r="A88" s="27" t="str">
        <f t="shared" si="12"/>
        <v>5B.6.21</v>
      </c>
      <c r="B88" s="28" t="s">
        <v>392</v>
      </c>
      <c r="C88" s="28"/>
      <c r="D88" s="29" t="s">
        <v>517</v>
      </c>
      <c r="E88" s="30">
        <v>0</v>
      </c>
      <c r="F88" s="31">
        <f>_xlfn.XLOOKUP(B88, Rate_Master!$A:$A, Rate_Master!$C:$C, "")</f>
        <v>28749.999999999996</v>
      </c>
      <c r="G88" s="31">
        <f>_xlfn.XLOOKUP(B88, Rate_Master!$A:$A, Rate_Master!$D:$D, "")</f>
        <v>4600</v>
      </c>
      <c r="H88" s="32">
        <f t="shared" si="13"/>
        <v>33350</v>
      </c>
      <c r="I88" s="32">
        <f t="shared" si="14"/>
        <v>0</v>
      </c>
      <c r="J88" s="32"/>
    </row>
    <row r="89" spans="1:10" s="4" customFormat="1" ht="38.25" customHeight="1" outlineLevel="1">
      <c r="A89" s="27" t="str">
        <f t="shared" si="12"/>
        <v>5B.6.22</v>
      </c>
      <c r="B89" s="28" t="s">
        <v>428</v>
      </c>
      <c r="C89" s="28"/>
      <c r="D89" s="29" t="s">
        <v>457</v>
      </c>
      <c r="E89" s="30">
        <v>1</v>
      </c>
      <c r="F89" s="31">
        <f>_xlfn.XLOOKUP(B89, Rate_Master!$A:$A, Rate_Master!$C:$C, "")</f>
        <v>107999949.99999999</v>
      </c>
      <c r="G89" s="31">
        <f>_xlfn.XLOOKUP(B89, Rate_Master!$A:$A, Rate_Master!$D:$D, "")</f>
        <v>42000300</v>
      </c>
      <c r="H89" s="32">
        <f t="shared" si="13"/>
        <v>150000250</v>
      </c>
      <c r="I89" s="32">
        <f t="shared" si="14"/>
        <v>150000250</v>
      </c>
      <c r="J89" s="32"/>
    </row>
    <row r="90" spans="1:10" s="3" customFormat="1" ht="25.5" customHeight="1">
      <c r="A90" s="22" t="str">
        <f>A9&amp;".7"</f>
        <v>5B.7</v>
      </c>
      <c r="B90" s="23" t="s">
        <v>429</v>
      </c>
      <c r="C90" s="23" t="s">
        <v>515</v>
      </c>
      <c r="D90" s="22"/>
      <c r="E90" s="24"/>
      <c r="F90" s="25">
        <f>_xlfn.XLOOKUP(B90, Rate_Master!$A:$A, Rate_Master!$C:$C, "")</f>
        <v>0</v>
      </c>
      <c r="G90" s="25">
        <f>_xlfn.XLOOKUP(B90, Rate_Master!$A:$A, Rate_Master!$D:$D, "")</f>
        <v>0</v>
      </c>
      <c r="H90" s="26"/>
      <c r="I90" s="26">
        <f>SUBTOTAL(9,I91:I112)</f>
        <v>776832691.41159999</v>
      </c>
      <c r="J90" s="26"/>
    </row>
    <row r="91" spans="1:10" s="4" customFormat="1" ht="25.5" customHeight="1" outlineLevel="1">
      <c r="A91" s="27" t="str">
        <f t="shared" ref="A91:A112" si="15">$A$90&amp;"."&amp;ROW()-ROW($A$90)</f>
        <v>5B.7.1</v>
      </c>
      <c r="B91" s="28" t="s">
        <v>415</v>
      </c>
      <c r="C91" s="28" t="s">
        <v>515</v>
      </c>
      <c r="D91" s="29" t="s">
        <v>517</v>
      </c>
      <c r="E91" s="30">
        <v>41</v>
      </c>
      <c r="F91" s="31">
        <f>_xlfn.XLOOKUP(B91, Rate_Master!$A:$A, Rate_Master!$C:$C, "")</f>
        <v>0</v>
      </c>
      <c r="G91" s="31">
        <f>_xlfn.XLOOKUP(B91, Rate_Master!$A:$A, Rate_Master!$D:$D, "")</f>
        <v>164450</v>
      </c>
      <c r="H91" s="32">
        <f t="shared" ref="H91:H112" si="16">+F91+G91</f>
        <v>164450</v>
      </c>
      <c r="I91" s="32">
        <f t="shared" ref="I91:I112" si="17">H91*E91</f>
        <v>6742450</v>
      </c>
      <c r="J91" s="32"/>
    </row>
    <row r="92" spans="1:10" s="4" customFormat="1" ht="25.5" customHeight="1" outlineLevel="1">
      <c r="A92" s="27" t="str">
        <f t="shared" si="15"/>
        <v>5B.7.2</v>
      </c>
      <c r="B92" s="28" t="s">
        <v>416</v>
      </c>
      <c r="C92" s="28" t="s">
        <v>515</v>
      </c>
      <c r="D92" s="29" t="s">
        <v>590</v>
      </c>
      <c r="E92" s="30">
        <v>348.5</v>
      </c>
      <c r="F92" s="31">
        <f>_xlfn.XLOOKUP(B92, Rate_Master!$A:$A, Rate_Master!$C:$C, "")</f>
        <v>0</v>
      </c>
      <c r="G92" s="31">
        <f>_xlfn.XLOOKUP(B92, Rate_Master!$A:$A, Rate_Master!$D:$D, "")</f>
        <v>25299.999999999996</v>
      </c>
      <c r="H92" s="32">
        <f t="shared" si="16"/>
        <v>25299.999999999996</v>
      </c>
      <c r="I92" s="32">
        <f t="shared" si="17"/>
        <v>8817049.9999999981</v>
      </c>
      <c r="J92" s="32"/>
    </row>
    <row r="93" spans="1:10" s="4" customFormat="1" ht="38.25" customHeight="1" outlineLevel="1">
      <c r="A93" s="27" t="str">
        <f t="shared" si="15"/>
        <v>5B.7.3</v>
      </c>
      <c r="B93" s="28" t="s">
        <v>417</v>
      </c>
      <c r="C93" s="28"/>
      <c r="D93" s="29" t="s">
        <v>517</v>
      </c>
      <c r="E93" s="30">
        <v>26</v>
      </c>
      <c r="F93" s="31">
        <f>_xlfn.XLOOKUP(B93, Rate_Master!$A:$A, Rate_Master!$C:$C, "")</f>
        <v>359950</v>
      </c>
      <c r="G93" s="31">
        <f>_xlfn.XLOOKUP(B93, Rate_Master!$A:$A, Rate_Master!$D:$D, "")</f>
        <v>140300</v>
      </c>
      <c r="H93" s="32">
        <f t="shared" si="16"/>
        <v>500250</v>
      </c>
      <c r="I93" s="32">
        <f t="shared" si="17"/>
        <v>13006500</v>
      </c>
      <c r="J93" s="32"/>
    </row>
    <row r="94" spans="1:10" s="4" customFormat="1" ht="38.25" customHeight="1" outlineLevel="1">
      <c r="A94" s="27" t="str">
        <f t="shared" si="15"/>
        <v>5B.7.4</v>
      </c>
      <c r="B94" s="28" t="s">
        <v>418</v>
      </c>
      <c r="C94" s="28"/>
      <c r="D94" s="29" t="s">
        <v>517</v>
      </c>
      <c r="E94" s="30">
        <v>30</v>
      </c>
      <c r="F94" s="31">
        <f>_xlfn.XLOOKUP(B94, Rate_Master!$A:$A, Rate_Master!$C:$C, "")</f>
        <v>186300</v>
      </c>
      <c r="G94" s="31">
        <f>_xlfn.XLOOKUP(B94, Rate_Master!$A:$A, Rate_Master!$D:$D, "")</f>
        <v>72450</v>
      </c>
      <c r="H94" s="32">
        <f t="shared" si="16"/>
        <v>258750</v>
      </c>
      <c r="I94" s="32">
        <f t="shared" si="17"/>
        <v>7762500</v>
      </c>
      <c r="J94" s="32"/>
    </row>
    <row r="95" spans="1:10" s="4" customFormat="1" ht="38.25" customHeight="1" outlineLevel="1">
      <c r="A95" s="27" t="str">
        <f t="shared" si="15"/>
        <v>5B.7.5</v>
      </c>
      <c r="B95" s="28" t="s">
        <v>419</v>
      </c>
      <c r="C95" s="28" t="s">
        <v>515</v>
      </c>
      <c r="D95" s="29" t="s">
        <v>517</v>
      </c>
      <c r="E95" s="30">
        <v>60</v>
      </c>
      <c r="F95" s="31">
        <f>_xlfn.XLOOKUP(B95, Rate_Master!$A:$A, Rate_Master!$C:$C, "")</f>
        <v>284050</v>
      </c>
      <c r="G95" s="31">
        <f>_xlfn.XLOOKUP(B95, Rate_Master!$A:$A, Rate_Master!$D:$D, "")</f>
        <v>110399.99999999999</v>
      </c>
      <c r="H95" s="32">
        <f t="shared" si="16"/>
        <v>394450</v>
      </c>
      <c r="I95" s="32">
        <f t="shared" si="17"/>
        <v>23667000</v>
      </c>
      <c r="J95" s="32"/>
    </row>
    <row r="96" spans="1:10" s="4" customFormat="1" ht="25.5" customHeight="1" outlineLevel="1">
      <c r="A96" s="27" t="str">
        <f t="shared" si="15"/>
        <v>5B.7.6</v>
      </c>
      <c r="B96" s="28" t="s">
        <v>420</v>
      </c>
      <c r="C96" s="28"/>
      <c r="D96" s="29" t="s">
        <v>517</v>
      </c>
      <c r="E96" s="30">
        <v>40.36</v>
      </c>
      <c r="F96" s="31">
        <f>_xlfn.XLOOKUP(B96, Rate_Master!$A:$A, Rate_Master!$C:$C, "")</f>
        <v>611800</v>
      </c>
      <c r="G96" s="31">
        <f>_xlfn.XLOOKUP(B96, Rate_Master!$A:$A, Rate_Master!$D:$D, "")</f>
        <v>238049.99999999997</v>
      </c>
      <c r="H96" s="32">
        <f t="shared" si="16"/>
        <v>849850</v>
      </c>
      <c r="I96" s="32">
        <f t="shared" si="17"/>
        <v>34299946</v>
      </c>
      <c r="J96" s="32"/>
    </row>
    <row r="97" spans="1:10" s="4" customFormat="1" ht="38.25" customHeight="1" outlineLevel="1">
      <c r="A97" s="27" t="str">
        <f t="shared" si="15"/>
        <v>5B.7.7</v>
      </c>
      <c r="B97" s="28" t="s">
        <v>421</v>
      </c>
      <c r="C97" s="28"/>
      <c r="D97" s="29" t="s">
        <v>517</v>
      </c>
      <c r="E97" s="30">
        <v>13</v>
      </c>
      <c r="F97" s="31">
        <f>_xlfn.XLOOKUP(B97, Rate_Master!$A:$A, Rate_Master!$C:$C, "")</f>
        <v>169050</v>
      </c>
      <c r="G97" s="31">
        <f>_xlfn.XLOOKUP(B97, Rate_Master!$A:$A, Rate_Master!$D:$D, "")</f>
        <v>65550</v>
      </c>
      <c r="H97" s="32">
        <f t="shared" si="16"/>
        <v>234600</v>
      </c>
      <c r="I97" s="32">
        <f t="shared" si="17"/>
        <v>3049800</v>
      </c>
      <c r="J97" s="32"/>
    </row>
    <row r="98" spans="1:10" s="4" customFormat="1" ht="25.5" customHeight="1" outlineLevel="1">
      <c r="A98" s="27" t="str">
        <f t="shared" si="15"/>
        <v>5B.7.8</v>
      </c>
      <c r="B98" s="28" t="s">
        <v>422</v>
      </c>
      <c r="C98" s="28" t="s">
        <v>515</v>
      </c>
      <c r="D98" s="29" t="s">
        <v>588</v>
      </c>
      <c r="E98" s="30">
        <v>2</v>
      </c>
      <c r="F98" s="31">
        <f>_xlfn.XLOOKUP(B98, Rate_Master!$A:$A, Rate_Master!$C:$C, "")</f>
        <v>251849.99999999997</v>
      </c>
      <c r="G98" s="31">
        <f>_xlfn.XLOOKUP(B98, Rate_Master!$A:$A, Rate_Master!$D:$D, "")</f>
        <v>97749.999999999985</v>
      </c>
      <c r="H98" s="32">
        <f t="shared" si="16"/>
        <v>349599.99999999994</v>
      </c>
      <c r="I98" s="32">
        <f t="shared" si="17"/>
        <v>699199.99999999988</v>
      </c>
      <c r="J98" s="32"/>
    </row>
    <row r="99" spans="1:10" s="4" customFormat="1" ht="63.75" customHeight="1" outlineLevel="1">
      <c r="A99" s="27" t="str">
        <f t="shared" si="15"/>
        <v>5B.7.9</v>
      </c>
      <c r="B99" s="28" t="s">
        <v>423</v>
      </c>
      <c r="C99" s="28"/>
      <c r="D99" s="29" t="s">
        <v>517</v>
      </c>
      <c r="E99" s="30">
        <v>26</v>
      </c>
      <c r="F99" s="31">
        <f>_xlfn.XLOOKUP(B99, Rate_Master!$A:$A, Rate_Master!$C:$C, "")</f>
        <v>983249.99999999988</v>
      </c>
      <c r="G99" s="31">
        <f>_xlfn.XLOOKUP(B99, Rate_Master!$A:$A, Rate_Master!$D:$D, "")</f>
        <v>381799.99999999994</v>
      </c>
      <c r="H99" s="32">
        <f t="shared" si="16"/>
        <v>1365049.9999999998</v>
      </c>
      <c r="I99" s="32">
        <f t="shared" si="17"/>
        <v>35491299.999999993</v>
      </c>
      <c r="J99" s="32"/>
    </row>
    <row r="100" spans="1:10" s="4" customFormat="1" ht="25.5" customHeight="1" outlineLevel="1">
      <c r="A100" s="27" t="str">
        <f t="shared" si="15"/>
        <v>5B.7.10</v>
      </c>
      <c r="B100" s="28" t="s">
        <v>424</v>
      </c>
      <c r="C100" s="28"/>
      <c r="D100" s="29" t="s">
        <v>590</v>
      </c>
      <c r="E100" s="30">
        <v>330.3</v>
      </c>
      <c r="F100" s="31">
        <f>_xlfn.XLOOKUP(B100, Rate_Master!$A:$A, Rate_Master!$C:$C, "")</f>
        <v>0</v>
      </c>
      <c r="G100" s="31">
        <f>_xlfn.XLOOKUP(B100, Rate_Master!$A:$A, Rate_Master!$D:$D, "")</f>
        <v>14949.999999999998</v>
      </c>
      <c r="H100" s="32">
        <f t="shared" si="16"/>
        <v>14949.999999999998</v>
      </c>
      <c r="I100" s="32">
        <f t="shared" si="17"/>
        <v>4937985</v>
      </c>
      <c r="J100" s="32"/>
    </row>
    <row r="101" spans="1:10" s="4" customFormat="1" ht="25.5" customHeight="1" outlineLevel="1">
      <c r="A101" s="27" t="str">
        <f t="shared" si="15"/>
        <v>5B.7.11</v>
      </c>
      <c r="B101" s="28" t="s">
        <v>403</v>
      </c>
      <c r="C101" s="28" t="s">
        <v>515</v>
      </c>
      <c r="D101" s="29" t="s">
        <v>590</v>
      </c>
      <c r="E101" s="30">
        <v>507.3</v>
      </c>
      <c r="F101" s="31">
        <f>_xlfn.XLOOKUP(B101, Rate_Master!$A:$A, Rate_Master!$C:$C, "")</f>
        <v>5750</v>
      </c>
      <c r="G101" s="31">
        <f>_xlfn.XLOOKUP(B101, Rate_Master!$A:$A, Rate_Master!$D:$D, "")</f>
        <v>3449.9999999999995</v>
      </c>
      <c r="H101" s="32">
        <f t="shared" si="16"/>
        <v>9200</v>
      </c>
      <c r="I101" s="32">
        <f t="shared" si="17"/>
        <v>4667160</v>
      </c>
      <c r="J101" s="32"/>
    </row>
    <row r="102" spans="1:10" s="4" customFormat="1" ht="25.5" customHeight="1" outlineLevel="1">
      <c r="A102" s="27" t="str">
        <f t="shared" si="15"/>
        <v>5B.7.12</v>
      </c>
      <c r="B102" s="28" t="s">
        <v>430</v>
      </c>
      <c r="C102" s="28"/>
      <c r="D102" s="29" t="s">
        <v>589</v>
      </c>
      <c r="E102" s="30">
        <v>66.06</v>
      </c>
      <c r="F102" s="31">
        <f>_xlfn.XLOOKUP(B102, Rate_Master!$A:$A, Rate_Master!$C:$C, "")</f>
        <v>353050</v>
      </c>
      <c r="G102" s="31">
        <f>_xlfn.XLOOKUP(B102, Rate_Master!$A:$A, Rate_Master!$D:$D, "")</f>
        <v>131100</v>
      </c>
      <c r="H102" s="66">
        <f t="shared" si="16"/>
        <v>484150</v>
      </c>
      <c r="I102" s="32">
        <f t="shared" si="17"/>
        <v>31982949</v>
      </c>
      <c r="J102" s="32"/>
    </row>
    <row r="103" spans="1:10" s="4" customFormat="1" ht="25.5" customHeight="1" outlineLevel="1">
      <c r="A103" s="27" t="str">
        <f t="shared" si="15"/>
        <v>5B.7.13</v>
      </c>
      <c r="B103" s="28" t="s">
        <v>396</v>
      </c>
      <c r="C103" s="28"/>
      <c r="D103" s="29" t="s">
        <v>589</v>
      </c>
      <c r="E103" s="30">
        <v>66.06</v>
      </c>
      <c r="F103" s="31">
        <f>_xlfn.XLOOKUP(B103, Rate_Master!$A:$A, Rate_Master!$C:$C, "")</f>
        <v>412849.99999999994</v>
      </c>
      <c r="G103" s="31">
        <f>_xlfn.XLOOKUP(B103, Rate_Master!$A:$A, Rate_Master!$D:$D, "")</f>
        <v>131100</v>
      </c>
      <c r="H103" s="32">
        <f t="shared" si="16"/>
        <v>543950</v>
      </c>
      <c r="I103" s="32">
        <f t="shared" si="17"/>
        <v>35933337</v>
      </c>
      <c r="J103" s="32"/>
    </row>
    <row r="104" spans="1:10" s="4" customFormat="1" ht="25.5" customHeight="1" outlineLevel="1">
      <c r="A104" s="27" t="str">
        <f t="shared" si="15"/>
        <v>5B.7.14</v>
      </c>
      <c r="B104" s="28" t="s">
        <v>404</v>
      </c>
      <c r="C104" s="28" t="s">
        <v>515</v>
      </c>
      <c r="D104" s="29" t="s">
        <v>590</v>
      </c>
      <c r="E104" s="30">
        <v>348.5</v>
      </c>
      <c r="F104" s="31">
        <f>_xlfn.XLOOKUP(B104, Rate_Master!$A:$A, Rate_Master!$C:$C, "")</f>
        <v>47149.999999999993</v>
      </c>
      <c r="G104" s="31">
        <f>_xlfn.XLOOKUP(B104, Rate_Master!$A:$A, Rate_Master!$D:$D, "")</f>
        <v>18400</v>
      </c>
      <c r="H104" s="66">
        <f t="shared" si="16"/>
        <v>65550</v>
      </c>
      <c r="I104" s="32">
        <f t="shared" si="17"/>
        <v>22844175</v>
      </c>
      <c r="J104" s="32"/>
    </row>
    <row r="105" spans="1:10" s="4" customFormat="1" ht="25.5" customHeight="1" outlineLevel="1">
      <c r="A105" s="27" t="str">
        <f t="shared" si="15"/>
        <v>5B.7.15</v>
      </c>
      <c r="B105" s="28" t="s">
        <v>426</v>
      </c>
      <c r="C105" s="28"/>
      <c r="D105" s="29" t="s">
        <v>523</v>
      </c>
      <c r="E105" s="33">
        <v>9047.3611039999996</v>
      </c>
      <c r="F105" s="31">
        <f>_xlfn.XLOOKUP(B105, Rate_Master!$A:$A, Rate_Master!$C:$C, "")</f>
        <v>19550</v>
      </c>
      <c r="G105" s="31">
        <f>_xlfn.XLOOKUP(B105, Rate_Master!$A:$A, Rate_Master!$D:$D, "")</f>
        <v>4600</v>
      </c>
      <c r="H105" s="66">
        <f t="shared" si="16"/>
        <v>24150</v>
      </c>
      <c r="I105" s="32">
        <f t="shared" si="17"/>
        <v>218493770.66159999</v>
      </c>
      <c r="J105" s="32"/>
    </row>
    <row r="106" spans="1:10" s="4" customFormat="1" ht="25.5" customHeight="1" outlineLevel="1">
      <c r="A106" s="27" t="str">
        <f t="shared" si="15"/>
        <v>5B.7.16</v>
      </c>
      <c r="B106" s="28" t="s">
        <v>427</v>
      </c>
      <c r="C106" s="28" t="s">
        <v>515</v>
      </c>
      <c r="D106" s="29" t="s">
        <v>589</v>
      </c>
      <c r="E106" s="30">
        <v>87.125</v>
      </c>
      <c r="F106" s="31">
        <f>_xlfn.XLOOKUP(B106, Rate_Master!$A:$A, Rate_Master!$C:$C, "")</f>
        <v>1484650</v>
      </c>
      <c r="G106" s="31">
        <f>_xlfn.XLOOKUP(B106, Rate_Master!$A:$A, Rate_Master!$D:$D, "")</f>
        <v>379499.99999999994</v>
      </c>
      <c r="H106" s="66">
        <f t="shared" si="16"/>
        <v>1864150</v>
      </c>
      <c r="I106" s="32">
        <f t="shared" si="17"/>
        <v>162414068.75</v>
      </c>
      <c r="J106" s="32"/>
    </row>
    <row r="107" spans="1:10" s="4" customFormat="1" ht="25.5" customHeight="1" outlineLevel="1">
      <c r="A107" s="27" t="str">
        <f t="shared" si="15"/>
        <v>5B.7.17</v>
      </c>
      <c r="B107" s="28" t="s">
        <v>405</v>
      </c>
      <c r="C107" s="28"/>
      <c r="D107" s="29" t="s">
        <v>590</v>
      </c>
      <c r="E107" s="30">
        <v>348.5</v>
      </c>
      <c r="F107" s="31">
        <f>_xlfn.XLOOKUP(B107, Rate_Master!$A:$A, Rate_Master!$C:$C, "")</f>
        <v>0</v>
      </c>
      <c r="G107" s="31">
        <f>_xlfn.XLOOKUP(B107, Rate_Master!$A:$A, Rate_Master!$D:$D, "")</f>
        <v>34500</v>
      </c>
      <c r="H107" s="32">
        <f t="shared" si="16"/>
        <v>34500</v>
      </c>
      <c r="I107" s="32">
        <f t="shared" si="17"/>
        <v>12023250</v>
      </c>
      <c r="J107" s="32"/>
    </row>
    <row r="108" spans="1:10" s="4" customFormat="1" ht="25.5" customHeight="1" outlineLevel="1">
      <c r="A108" s="27" t="str">
        <f t="shared" si="15"/>
        <v>5B.7.18</v>
      </c>
      <c r="B108" s="28" t="s">
        <v>389</v>
      </c>
      <c r="C108" s="28"/>
      <c r="D108" s="29" t="s">
        <v>517</v>
      </c>
      <c r="E108" s="30">
        <v>0</v>
      </c>
      <c r="F108" s="31">
        <f>_xlfn.XLOOKUP(B108, Rate_Master!$A:$A, Rate_Master!$C:$C, "")</f>
        <v>0</v>
      </c>
      <c r="G108" s="31">
        <f>_xlfn.XLOOKUP(B108, Rate_Master!$A:$A, Rate_Master!$D:$D, "")</f>
        <v>14949.999999999998</v>
      </c>
      <c r="H108" s="32">
        <f t="shared" si="16"/>
        <v>14949.999999999998</v>
      </c>
      <c r="I108" s="32">
        <f t="shared" si="17"/>
        <v>0</v>
      </c>
      <c r="J108" s="32"/>
    </row>
    <row r="109" spans="1:10" s="4" customFormat="1" ht="25.5" customHeight="1" outlineLevel="1">
      <c r="A109" s="27" t="str">
        <f t="shared" si="15"/>
        <v>5B.7.19</v>
      </c>
      <c r="B109" s="28" t="s">
        <v>390</v>
      </c>
      <c r="C109" s="28" t="s">
        <v>515</v>
      </c>
      <c r="D109" s="29" t="s">
        <v>517</v>
      </c>
      <c r="E109" s="30">
        <v>0</v>
      </c>
      <c r="F109" s="31">
        <f>_xlfn.XLOOKUP(B109, Rate_Master!$A:$A, Rate_Master!$C:$C, "")</f>
        <v>0</v>
      </c>
      <c r="G109" s="31">
        <f>_xlfn.XLOOKUP(B109, Rate_Master!$A:$A, Rate_Master!$D:$D, "")</f>
        <v>14949.999999999998</v>
      </c>
      <c r="H109" s="32">
        <f t="shared" si="16"/>
        <v>14949.999999999998</v>
      </c>
      <c r="I109" s="32">
        <f t="shared" si="17"/>
        <v>0</v>
      </c>
      <c r="J109" s="32"/>
    </row>
    <row r="110" spans="1:10" s="4" customFormat="1" ht="25.5" customHeight="1" outlineLevel="1">
      <c r="A110" s="27" t="str">
        <f t="shared" si="15"/>
        <v>5B.7.20</v>
      </c>
      <c r="B110" s="28" t="s">
        <v>391</v>
      </c>
      <c r="C110" s="28"/>
      <c r="D110" s="29" t="s">
        <v>517</v>
      </c>
      <c r="E110" s="30">
        <v>0</v>
      </c>
      <c r="F110" s="31">
        <f>_xlfn.XLOOKUP(B110, Rate_Master!$A:$A, Rate_Master!$C:$C, "")</f>
        <v>0</v>
      </c>
      <c r="G110" s="31">
        <f>_xlfn.XLOOKUP(B110, Rate_Master!$A:$A, Rate_Master!$D:$D, "")</f>
        <v>14949.999999999998</v>
      </c>
      <c r="H110" s="32">
        <f t="shared" si="16"/>
        <v>14949.999999999998</v>
      </c>
      <c r="I110" s="32">
        <f t="shared" si="17"/>
        <v>0</v>
      </c>
      <c r="J110" s="32"/>
    </row>
    <row r="111" spans="1:10" s="4" customFormat="1" ht="25.5" customHeight="1" outlineLevel="1">
      <c r="A111" s="27" t="str">
        <f t="shared" si="15"/>
        <v>5B.7.21</v>
      </c>
      <c r="B111" s="28" t="s">
        <v>392</v>
      </c>
      <c r="C111" s="28"/>
      <c r="D111" s="29" t="s">
        <v>517</v>
      </c>
      <c r="E111" s="30">
        <v>0</v>
      </c>
      <c r="F111" s="31">
        <f>_xlfn.XLOOKUP(B111, Rate_Master!$A:$A, Rate_Master!$C:$C, "")</f>
        <v>28749.999999999996</v>
      </c>
      <c r="G111" s="31">
        <f>_xlfn.XLOOKUP(B111, Rate_Master!$A:$A, Rate_Master!$D:$D, "")</f>
        <v>4600</v>
      </c>
      <c r="H111" s="32">
        <f t="shared" si="16"/>
        <v>33350</v>
      </c>
      <c r="I111" s="32">
        <f t="shared" si="17"/>
        <v>0</v>
      </c>
      <c r="J111" s="32"/>
    </row>
    <row r="112" spans="1:10" s="4" customFormat="1" ht="38.25" customHeight="1" outlineLevel="1">
      <c r="A112" s="27" t="str">
        <f t="shared" si="15"/>
        <v>5B.7.22</v>
      </c>
      <c r="B112" s="28" t="s">
        <v>428</v>
      </c>
      <c r="C112" s="28"/>
      <c r="D112" s="29" t="s">
        <v>457</v>
      </c>
      <c r="E112" s="30">
        <v>1</v>
      </c>
      <c r="F112" s="31">
        <f>_xlfn.XLOOKUP(B112, Rate_Master!$A:$A, Rate_Master!$C:$C, "")</f>
        <v>107999949.99999999</v>
      </c>
      <c r="G112" s="31">
        <f>_xlfn.XLOOKUP(B112, Rate_Master!$A:$A, Rate_Master!$D:$D, "")</f>
        <v>42000300</v>
      </c>
      <c r="H112" s="32">
        <f t="shared" si="16"/>
        <v>150000250</v>
      </c>
      <c r="I112" s="32">
        <f t="shared" si="17"/>
        <v>150000250</v>
      </c>
      <c r="J112" s="32"/>
    </row>
  </sheetData>
  <mergeCells count="5">
    <mergeCell ref="C4:J4"/>
    <mergeCell ref="C3:J3"/>
    <mergeCell ref="C7:J7"/>
    <mergeCell ref="C6:J6"/>
    <mergeCell ref="C5:J5"/>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rowBreaks count="2" manualBreakCount="2">
    <brk id="15" max="9" man="1"/>
    <brk id="34" max="9" man="1"/>
  </rowBreaks>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tint="0.499984740745262"/>
    <pageSetUpPr fitToPage="1"/>
  </sheetPr>
  <dimension ref="A1:J16"/>
  <sheetViews>
    <sheetView topLeftCell="A8" workbookViewId="0">
      <selection activeCell="H10" sqref="H10"/>
    </sheetView>
  </sheetViews>
  <sheetFormatPr defaultColWidth="9" defaultRowHeight="12.75" outlineLevelRow="1" outlineLevelCol="1"/>
  <cols>
    <col min="1" max="1" width="8.25" style="2" customWidth="1"/>
    <col min="2" max="2" width="40.25" style="5" customWidth="1"/>
    <col min="3" max="3" width="30.875" style="5" customWidth="1"/>
    <col min="4" max="4" width="6.375" style="6" customWidth="1"/>
    <col min="5" max="5" width="14" style="7" customWidth="1"/>
    <col min="6" max="7" width="14" style="8" customWidth="1" outlineLevel="1"/>
    <col min="8" max="10" width="14" style="9" customWidth="1"/>
    <col min="11" max="232" width="9.125" style="6" customWidth="1"/>
    <col min="233" max="233" width="6.375" style="6" customWidth="1"/>
    <col min="234" max="234" width="34.25" style="6" customWidth="1"/>
    <col min="235" max="235" width="7.375" style="6" customWidth="1"/>
    <col min="236" max="236" width="6.375" style="6" customWidth="1"/>
    <col min="237" max="237" width="13.125" style="6" customWidth="1"/>
    <col min="238" max="238" width="15.375" style="6" customWidth="1"/>
    <col min="239" max="239" width="21.25" style="6" customWidth="1"/>
    <col min="240" max="488" width="9.125" style="6" customWidth="1"/>
    <col min="489" max="489" width="6.375" style="6" customWidth="1"/>
    <col min="490" max="490" width="34.25" style="6" customWidth="1"/>
    <col min="491" max="491" width="7.375" style="6" customWidth="1"/>
    <col min="492" max="492" width="6.375" style="6" customWidth="1"/>
    <col min="493" max="493" width="13.125" style="6" customWidth="1"/>
    <col min="494" max="494" width="15.375" style="6" customWidth="1"/>
    <col min="495" max="495" width="21.25" style="6" customWidth="1"/>
    <col min="496" max="744" width="9.125" style="6" customWidth="1"/>
    <col min="745" max="745" width="6.375" style="6" customWidth="1"/>
    <col min="746" max="746" width="34.25" style="6" customWidth="1"/>
    <col min="747" max="747" width="7.375" style="6" customWidth="1"/>
    <col min="748" max="748" width="6.375" style="6" customWidth="1"/>
    <col min="749" max="749" width="13.125" style="6" customWidth="1"/>
    <col min="750" max="750" width="15.375" style="6" customWidth="1"/>
    <col min="751" max="751" width="21.25" style="6" customWidth="1"/>
    <col min="752" max="1000" width="9.125" style="6" customWidth="1"/>
    <col min="1001" max="1001" width="6.375" style="6" customWidth="1"/>
    <col min="1002" max="1002" width="34.25" style="6" customWidth="1"/>
    <col min="1003" max="1003" width="7.375" style="6" customWidth="1"/>
    <col min="1004" max="1004" width="6.375" style="6" customWidth="1"/>
    <col min="1005" max="1005" width="13.125" style="6" customWidth="1"/>
    <col min="1006" max="1006" width="15.375" style="6" customWidth="1"/>
    <col min="1007" max="1007" width="21.25" style="6" customWidth="1"/>
    <col min="1008" max="1256" width="9.125" style="6" customWidth="1"/>
    <col min="1257" max="1257" width="6.375" style="6" customWidth="1"/>
    <col min="1258" max="1258" width="34.25" style="6" customWidth="1"/>
    <col min="1259" max="1259" width="7.375" style="6" customWidth="1"/>
    <col min="1260" max="1260" width="6.375" style="6" customWidth="1"/>
    <col min="1261" max="1261" width="13.125" style="6" customWidth="1"/>
    <col min="1262" max="1262" width="15.375" style="6" customWidth="1"/>
    <col min="1263" max="1263" width="21.25" style="6" customWidth="1"/>
    <col min="1264" max="1512" width="9.125" style="6" customWidth="1"/>
    <col min="1513" max="1513" width="6.375" style="6" customWidth="1"/>
    <col min="1514" max="1514" width="34.25" style="6" customWidth="1"/>
    <col min="1515" max="1515" width="7.375" style="6" customWidth="1"/>
    <col min="1516" max="1516" width="6.375" style="6" customWidth="1"/>
    <col min="1517" max="1517" width="13.125" style="6" customWidth="1"/>
    <col min="1518" max="1518" width="15.375" style="6" customWidth="1"/>
    <col min="1519" max="1519" width="21.25" style="6" customWidth="1"/>
    <col min="1520" max="1768" width="9.125" style="6" customWidth="1"/>
    <col min="1769" max="1769" width="6.375" style="6" customWidth="1"/>
    <col min="1770" max="1770" width="34.25" style="6" customWidth="1"/>
    <col min="1771" max="1771" width="7.375" style="6" customWidth="1"/>
    <col min="1772" max="1772" width="6.375" style="6" customWidth="1"/>
    <col min="1773" max="1773" width="13.125" style="6" customWidth="1"/>
    <col min="1774" max="1774" width="15.375" style="6" customWidth="1"/>
    <col min="1775" max="1775" width="21.25" style="6" customWidth="1"/>
    <col min="1776" max="2024" width="9.125" style="6" customWidth="1"/>
    <col min="2025" max="2025" width="6.375" style="6" customWidth="1"/>
    <col min="2026" max="2026" width="34.25" style="6" customWidth="1"/>
    <col min="2027" max="2027" width="7.375" style="6" customWidth="1"/>
    <col min="2028" max="2028" width="6.375" style="6" customWidth="1"/>
    <col min="2029" max="2029" width="13.125" style="6" customWidth="1"/>
    <col min="2030" max="2030" width="15.375" style="6" customWidth="1"/>
    <col min="2031" max="2031" width="21.25" style="6" customWidth="1"/>
    <col min="2032" max="2280" width="9.125" style="6" customWidth="1"/>
    <col min="2281" max="2281" width="6.375" style="6" customWidth="1"/>
    <col min="2282" max="2282" width="34.25" style="6" customWidth="1"/>
    <col min="2283" max="2283" width="7.375" style="6" customWidth="1"/>
    <col min="2284" max="2284" width="6.375" style="6" customWidth="1"/>
    <col min="2285" max="2285" width="13.125" style="6" customWidth="1"/>
    <col min="2286" max="2286" width="15.375" style="6" customWidth="1"/>
    <col min="2287" max="2287" width="21.25" style="6" customWidth="1"/>
    <col min="2288" max="2536" width="9.125" style="6" customWidth="1"/>
    <col min="2537" max="2537" width="6.375" style="6" customWidth="1"/>
    <col min="2538" max="2538" width="34.25" style="6" customWidth="1"/>
    <col min="2539" max="2539" width="7.375" style="6" customWidth="1"/>
    <col min="2540" max="2540" width="6.375" style="6" customWidth="1"/>
    <col min="2541" max="2541" width="13.125" style="6" customWidth="1"/>
    <col min="2542" max="2542" width="15.375" style="6" customWidth="1"/>
    <col min="2543" max="2543" width="21.25" style="6" customWidth="1"/>
    <col min="2544" max="2792" width="9.125" style="6" customWidth="1"/>
    <col min="2793" max="2793" width="6.375" style="6" customWidth="1"/>
    <col min="2794" max="2794" width="34.25" style="6" customWidth="1"/>
    <col min="2795" max="2795" width="7.375" style="6" customWidth="1"/>
    <col min="2796" max="2796" width="6.375" style="6" customWidth="1"/>
    <col min="2797" max="2797" width="13.125" style="6" customWidth="1"/>
    <col min="2798" max="2798" width="15.375" style="6" customWidth="1"/>
    <col min="2799" max="2799" width="21.25" style="6" customWidth="1"/>
    <col min="2800" max="3048" width="9.125" style="6" customWidth="1"/>
    <col min="3049" max="3049" width="6.375" style="6" customWidth="1"/>
    <col min="3050" max="3050" width="34.25" style="6" customWidth="1"/>
    <col min="3051" max="3051" width="7.375" style="6" customWidth="1"/>
    <col min="3052" max="3052" width="6.375" style="6" customWidth="1"/>
    <col min="3053" max="3053" width="13.125" style="6" customWidth="1"/>
    <col min="3054" max="3054" width="15.375" style="6" customWidth="1"/>
    <col min="3055" max="3055" width="21.25" style="6" customWidth="1"/>
    <col min="3056" max="3304" width="9.125" style="6" customWidth="1"/>
    <col min="3305" max="3305" width="6.375" style="6" customWidth="1"/>
    <col min="3306" max="3306" width="34.25" style="6" customWidth="1"/>
    <col min="3307" max="3307" width="7.375" style="6" customWidth="1"/>
    <col min="3308" max="3308" width="6.375" style="6" customWidth="1"/>
    <col min="3309" max="3309" width="13.125" style="6" customWidth="1"/>
    <col min="3310" max="3310" width="15.375" style="6" customWidth="1"/>
    <col min="3311" max="3311" width="21.25" style="6" customWidth="1"/>
    <col min="3312" max="3560" width="9.125" style="6" customWidth="1"/>
    <col min="3561" max="3561" width="6.375" style="6" customWidth="1"/>
    <col min="3562" max="3562" width="34.25" style="6" customWidth="1"/>
    <col min="3563" max="3563" width="7.375" style="6" customWidth="1"/>
    <col min="3564" max="3564" width="6.375" style="6" customWidth="1"/>
    <col min="3565" max="3565" width="13.125" style="6" customWidth="1"/>
    <col min="3566" max="3566" width="15.375" style="6" customWidth="1"/>
    <col min="3567" max="3567" width="21.25" style="6" customWidth="1"/>
    <col min="3568" max="3816" width="9.125" style="6" customWidth="1"/>
    <col min="3817" max="3817" width="6.375" style="6" customWidth="1"/>
    <col min="3818" max="3818" width="34.25" style="6" customWidth="1"/>
    <col min="3819" max="3819" width="7.375" style="6" customWidth="1"/>
    <col min="3820" max="3820" width="6.375" style="6" customWidth="1"/>
    <col min="3821" max="3821" width="13.125" style="6" customWidth="1"/>
    <col min="3822" max="3822" width="15.375" style="6" customWidth="1"/>
    <col min="3823" max="3823" width="21.25" style="6" customWidth="1"/>
    <col min="3824" max="4072" width="9.125" style="6" customWidth="1"/>
    <col min="4073" max="4073" width="6.375" style="6" customWidth="1"/>
    <col min="4074" max="4074" width="34.25" style="6" customWidth="1"/>
    <col min="4075" max="4075" width="7.375" style="6" customWidth="1"/>
    <col min="4076" max="4076" width="6.375" style="6" customWidth="1"/>
    <col min="4077" max="4077" width="13.125" style="6" customWidth="1"/>
    <col min="4078" max="4078" width="15.375" style="6" customWidth="1"/>
    <col min="4079" max="4079" width="21.25" style="6" customWidth="1"/>
    <col min="4080" max="4328" width="9.125" style="6" customWidth="1"/>
    <col min="4329" max="4329" width="6.375" style="6" customWidth="1"/>
    <col min="4330" max="4330" width="34.25" style="6" customWidth="1"/>
    <col min="4331" max="4331" width="7.375" style="6" customWidth="1"/>
    <col min="4332" max="4332" width="6.375" style="6" customWidth="1"/>
    <col min="4333" max="4333" width="13.125" style="6" customWidth="1"/>
    <col min="4334" max="4334" width="15.375" style="6" customWidth="1"/>
    <col min="4335" max="4335" width="21.25" style="6" customWidth="1"/>
    <col min="4336" max="4584" width="9.125" style="6" customWidth="1"/>
    <col min="4585" max="4585" width="6.375" style="6" customWidth="1"/>
    <col min="4586" max="4586" width="34.25" style="6" customWidth="1"/>
    <col min="4587" max="4587" width="7.375" style="6" customWidth="1"/>
    <col min="4588" max="4588" width="6.375" style="6" customWidth="1"/>
    <col min="4589" max="4589" width="13.125" style="6" customWidth="1"/>
    <col min="4590" max="4590" width="15.375" style="6" customWidth="1"/>
    <col min="4591" max="4591" width="21.25" style="6" customWidth="1"/>
    <col min="4592" max="4840" width="9.125" style="6" customWidth="1"/>
    <col min="4841" max="4841" width="6.375" style="6" customWidth="1"/>
    <col min="4842" max="4842" width="34.25" style="6" customWidth="1"/>
    <col min="4843" max="4843" width="7.375" style="6" customWidth="1"/>
    <col min="4844" max="4844" width="6.375" style="6" customWidth="1"/>
    <col min="4845" max="4845" width="13.125" style="6" customWidth="1"/>
    <col min="4846" max="4846" width="15.375" style="6" customWidth="1"/>
    <col min="4847" max="4847" width="21.25" style="6" customWidth="1"/>
    <col min="4848" max="5096" width="9.125" style="6" customWidth="1"/>
    <col min="5097" max="5097" width="6.375" style="6" customWidth="1"/>
    <col min="5098" max="5098" width="34.25" style="6" customWidth="1"/>
    <col min="5099" max="5099" width="7.375" style="6" customWidth="1"/>
    <col min="5100" max="5100" width="6.375" style="6" customWidth="1"/>
    <col min="5101" max="5101" width="13.125" style="6" customWidth="1"/>
    <col min="5102" max="5102" width="15.375" style="6" customWidth="1"/>
    <col min="5103" max="5103" width="21.25" style="6" customWidth="1"/>
    <col min="5104" max="5352" width="9.125" style="6" customWidth="1"/>
    <col min="5353" max="5353" width="6.375" style="6" customWidth="1"/>
    <col min="5354" max="5354" width="34.25" style="6" customWidth="1"/>
    <col min="5355" max="5355" width="7.375" style="6" customWidth="1"/>
    <col min="5356" max="5356" width="6.375" style="6" customWidth="1"/>
    <col min="5357" max="5357" width="13.125" style="6" customWidth="1"/>
    <col min="5358" max="5358" width="15.375" style="6" customWidth="1"/>
    <col min="5359" max="5359" width="21.25" style="6" customWidth="1"/>
    <col min="5360" max="5608" width="9.125" style="6" customWidth="1"/>
    <col min="5609" max="5609" width="6.375" style="6" customWidth="1"/>
    <col min="5610" max="5610" width="34.25" style="6" customWidth="1"/>
    <col min="5611" max="5611" width="7.375" style="6" customWidth="1"/>
    <col min="5612" max="5612" width="6.375" style="6" customWidth="1"/>
    <col min="5613" max="5613" width="13.125" style="6" customWidth="1"/>
    <col min="5614" max="5614" width="15.375" style="6" customWidth="1"/>
    <col min="5615" max="5615" width="21.25" style="6" customWidth="1"/>
    <col min="5616" max="5864" width="9.125" style="6" customWidth="1"/>
    <col min="5865" max="5865" width="6.375" style="6" customWidth="1"/>
    <col min="5866" max="5866" width="34.25" style="6" customWidth="1"/>
    <col min="5867" max="5867" width="7.375" style="6" customWidth="1"/>
    <col min="5868" max="5868" width="6.375" style="6" customWidth="1"/>
    <col min="5869" max="5869" width="13.125" style="6" customWidth="1"/>
    <col min="5870" max="5870" width="15.375" style="6" customWidth="1"/>
    <col min="5871" max="5871" width="21.25" style="6" customWidth="1"/>
    <col min="5872" max="6120" width="9.125" style="6" customWidth="1"/>
    <col min="6121" max="6121" width="6.375" style="6" customWidth="1"/>
    <col min="6122" max="6122" width="34.25" style="6" customWidth="1"/>
    <col min="6123" max="6123" width="7.375" style="6" customWidth="1"/>
    <col min="6124" max="6124" width="6.375" style="6" customWidth="1"/>
    <col min="6125" max="6125" width="13.125" style="6" customWidth="1"/>
    <col min="6126" max="6126" width="15.375" style="6" customWidth="1"/>
    <col min="6127" max="6127" width="21.25" style="6" customWidth="1"/>
    <col min="6128" max="6376" width="9.125" style="6" customWidth="1"/>
    <col min="6377" max="6377" width="6.375" style="6" customWidth="1"/>
    <col min="6378" max="6378" width="34.25" style="6" customWidth="1"/>
    <col min="6379" max="6379" width="7.375" style="6" customWidth="1"/>
    <col min="6380" max="6380" width="6.375" style="6" customWidth="1"/>
    <col min="6381" max="6381" width="13.125" style="6" customWidth="1"/>
    <col min="6382" max="6382" width="15.375" style="6" customWidth="1"/>
    <col min="6383" max="6383" width="21.25" style="6" customWidth="1"/>
    <col min="6384" max="6632" width="9.125" style="6" customWidth="1"/>
    <col min="6633" max="6633" width="6.375" style="6" customWidth="1"/>
    <col min="6634" max="6634" width="34.25" style="6" customWidth="1"/>
    <col min="6635" max="6635" width="7.375" style="6" customWidth="1"/>
    <col min="6636" max="6636" width="6.375" style="6" customWidth="1"/>
    <col min="6637" max="6637" width="13.125" style="6" customWidth="1"/>
    <col min="6638" max="6638" width="15.375" style="6" customWidth="1"/>
    <col min="6639" max="6639" width="21.25" style="6" customWidth="1"/>
    <col min="6640" max="6888" width="9.125" style="6" customWidth="1"/>
    <col min="6889" max="6889" width="6.375" style="6" customWidth="1"/>
    <col min="6890" max="6890" width="34.25" style="6" customWidth="1"/>
    <col min="6891" max="6891" width="7.375" style="6" customWidth="1"/>
    <col min="6892" max="6892" width="6.375" style="6" customWidth="1"/>
    <col min="6893" max="6893" width="13.125" style="6" customWidth="1"/>
    <col min="6894" max="6894" width="15.375" style="6" customWidth="1"/>
    <col min="6895" max="6895" width="21.25" style="6" customWidth="1"/>
    <col min="6896" max="7144" width="9.125" style="6" customWidth="1"/>
    <col min="7145" max="7145" width="6.375" style="6" customWidth="1"/>
    <col min="7146" max="7146" width="34.25" style="6" customWidth="1"/>
    <col min="7147" max="7147" width="7.375" style="6" customWidth="1"/>
    <col min="7148" max="7148" width="6.375" style="6" customWidth="1"/>
    <col min="7149" max="7149" width="13.125" style="6" customWidth="1"/>
    <col min="7150" max="7150" width="15.375" style="6" customWidth="1"/>
    <col min="7151" max="7151" width="21.25" style="6" customWidth="1"/>
    <col min="7152" max="7400" width="9.125" style="6" customWidth="1"/>
    <col min="7401" max="7401" width="6.375" style="6" customWidth="1"/>
    <col min="7402" max="7402" width="34.25" style="6" customWidth="1"/>
    <col min="7403" max="7403" width="7.375" style="6" customWidth="1"/>
    <col min="7404" max="7404" width="6.375" style="6" customWidth="1"/>
    <col min="7405" max="7405" width="13.125" style="6" customWidth="1"/>
    <col min="7406" max="7406" width="15.375" style="6" customWidth="1"/>
    <col min="7407" max="7407" width="21.25" style="6" customWidth="1"/>
    <col min="7408" max="7656" width="9.125" style="6" customWidth="1"/>
    <col min="7657" max="7657" width="6.375" style="6" customWidth="1"/>
    <col min="7658" max="7658" width="34.25" style="6" customWidth="1"/>
    <col min="7659" max="7659" width="7.375" style="6" customWidth="1"/>
    <col min="7660" max="7660" width="6.375" style="6" customWidth="1"/>
    <col min="7661" max="7661" width="13.125" style="6" customWidth="1"/>
    <col min="7662" max="7662" width="15.375" style="6" customWidth="1"/>
    <col min="7663" max="7663" width="21.25" style="6" customWidth="1"/>
    <col min="7664" max="7912" width="9.125" style="6" customWidth="1"/>
    <col min="7913" max="7913" width="6.375" style="6" customWidth="1"/>
    <col min="7914" max="7914" width="34.25" style="6" customWidth="1"/>
    <col min="7915" max="7915" width="7.375" style="6" customWidth="1"/>
    <col min="7916" max="7916" width="6.375" style="6" customWidth="1"/>
    <col min="7917" max="7917" width="13.125" style="6" customWidth="1"/>
    <col min="7918" max="7918" width="15.375" style="6" customWidth="1"/>
    <col min="7919" max="7919" width="21.25" style="6" customWidth="1"/>
    <col min="7920" max="8168" width="9.125" style="6" customWidth="1"/>
    <col min="8169" max="8169" width="6.375" style="6" customWidth="1"/>
    <col min="8170" max="8170" width="34.25" style="6" customWidth="1"/>
    <col min="8171" max="8171" width="7.375" style="6" customWidth="1"/>
    <col min="8172" max="8172" width="6.375" style="6" customWidth="1"/>
    <col min="8173" max="8173" width="13.125" style="6" customWidth="1"/>
    <col min="8174" max="8174" width="15.375" style="6" customWidth="1"/>
    <col min="8175" max="8175" width="21.25" style="6" customWidth="1"/>
    <col min="8176" max="8424" width="9.125" style="6" customWidth="1"/>
    <col min="8425" max="8425" width="6.375" style="6" customWidth="1"/>
    <col min="8426" max="8426" width="34.25" style="6" customWidth="1"/>
    <col min="8427" max="8427" width="7.375" style="6" customWidth="1"/>
    <col min="8428" max="8428" width="6.375" style="6" customWidth="1"/>
    <col min="8429" max="8429" width="13.125" style="6" customWidth="1"/>
    <col min="8430" max="8430" width="15.375" style="6" customWidth="1"/>
    <col min="8431" max="8431" width="21.25" style="6" customWidth="1"/>
    <col min="8432" max="8680" width="9.125" style="6" customWidth="1"/>
    <col min="8681" max="8681" width="6.375" style="6" customWidth="1"/>
    <col min="8682" max="8682" width="34.25" style="6" customWidth="1"/>
    <col min="8683" max="8683" width="7.375" style="6" customWidth="1"/>
    <col min="8684" max="8684" width="6.375" style="6" customWidth="1"/>
    <col min="8685" max="8685" width="13.125" style="6" customWidth="1"/>
    <col min="8686" max="8686" width="15.375" style="6" customWidth="1"/>
    <col min="8687" max="8687" width="21.25" style="6" customWidth="1"/>
    <col min="8688" max="8936" width="9.125" style="6" customWidth="1"/>
    <col min="8937" max="8937" width="6.375" style="6" customWidth="1"/>
    <col min="8938" max="8938" width="34.25" style="6" customWidth="1"/>
    <col min="8939" max="8939" width="7.375" style="6" customWidth="1"/>
    <col min="8940" max="8940" width="6.375" style="6" customWidth="1"/>
    <col min="8941" max="8941" width="13.125" style="6" customWidth="1"/>
    <col min="8942" max="8942" width="15.375" style="6" customWidth="1"/>
    <col min="8943" max="8943" width="21.25" style="6" customWidth="1"/>
    <col min="8944" max="9192" width="9.125" style="6" customWidth="1"/>
    <col min="9193" max="9193" width="6.375" style="6" customWidth="1"/>
    <col min="9194" max="9194" width="34.25" style="6" customWidth="1"/>
    <col min="9195" max="9195" width="7.375" style="6" customWidth="1"/>
    <col min="9196" max="9196" width="6.375" style="6" customWidth="1"/>
    <col min="9197" max="9197" width="13.125" style="6" customWidth="1"/>
    <col min="9198" max="9198" width="15.375" style="6" customWidth="1"/>
    <col min="9199" max="9199" width="21.25" style="6" customWidth="1"/>
    <col min="9200" max="9448" width="9.125" style="6" customWidth="1"/>
    <col min="9449" max="9449" width="6.375" style="6" customWidth="1"/>
    <col min="9450" max="9450" width="34.25" style="6" customWidth="1"/>
    <col min="9451" max="9451" width="7.375" style="6" customWidth="1"/>
    <col min="9452" max="9452" width="6.375" style="6" customWidth="1"/>
    <col min="9453" max="9453" width="13.125" style="6" customWidth="1"/>
    <col min="9454" max="9454" width="15.375" style="6" customWidth="1"/>
    <col min="9455" max="9455" width="21.25" style="6" customWidth="1"/>
    <col min="9456" max="9704" width="9.125" style="6" customWidth="1"/>
    <col min="9705" max="9705" width="6.375" style="6" customWidth="1"/>
    <col min="9706" max="9706" width="34.25" style="6" customWidth="1"/>
    <col min="9707" max="9707" width="7.375" style="6" customWidth="1"/>
    <col min="9708" max="9708" width="6.375" style="6" customWidth="1"/>
    <col min="9709" max="9709" width="13.125" style="6" customWidth="1"/>
    <col min="9710" max="9710" width="15.375" style="6" customWidth="1"/>
    <col min="9711" max="9711" width="21.25" style="6" customWidth="1"/>
    <col min="9712" max="9960" width="9.125" style="6" customWidth="1"/>
    <col min="9961" max="9961" width="6.375" style="6" customWidth="1"/>
    <col min="9962" max="9962" width="34.25" style="6" customWidth="1"/>
    <col min="9963" max="9963" width="7.375" style="6" customWidth="1"/>
    <col min="9964" max="9964" width="6.375" style="6" customWidth="1"/>
    <col min="9965" max="9965" width="13.125" style="6" customWidth="1"/>
    <col min="9966" max="9966" width="15.375" style="6" customWidth="1"/>
    <col min="9967" max="9967" width="21.25" style="6" customWidth="1"/>
    <col min="9968" max="10216" width="9.125" style="6" customWidth="1"/>
    <col min="10217" max="10217" width="6.375" style="6" customWidth="1"/>
    <col min="10218" max="10218" width="34.25" style="6" customWidth="1"/>
    <col min="10219" max="10219" width="7.375" style="6" customWidth="1"/>
    <col min="10220" max="10220" width="6.375" style="6" customWidth="1"/>
    <col min="10221" max="10221" width="13.125" style="6" customWidth="1"/>
    <col min="10222" max="10222" width="15.375" style="6" customWidth="1"/>
    <col min="10223" max="10223" width="21.25" style="6" customWidth="1"/>
    <col min="10224" max="10472" width="9.125" style="6" customWidth="1"/>
    <col min="10473" max="10473" width="6.375" style="6" customWidth="1"/>
    <col min="10474" max="10474" width="34.25" style="6" customWidth="1"/>
    <col min="10475" max="10475" width="7.375" style="6" customWidth="1"/>
    <col min="10476" max="10476" width="6.375" style="6" customWidth="1"/>
    <col min="10477" max="10477" width="13.125" style="6" customWidth="1"/>
    <col min="10478" max="10478" width="15.375" style="6" customWidth="1"/>
    <col min="10479" max="10479" width="21.25" style="6" customWidth="1"/>
    <col min="10480" max="10728" width="9.125" style="6" customWidth="1"/>
    <col min="10729" max="10729" width="6.375" style="6" customWidth="1"/>
    <col min="10730" max="10730" width="34.25" style="6" customWidth="1"/>
    <col min="10731" max="10731" width="7.375" style="6" customWidth="1"/>
    <col min="10732" max="10732" width="6.375" style="6" customWidth="1"/>
    <col min="10733" max="10733" width="13.125" style="6" customWidth="1"/>
    <col min="10734" max="10734" width="15.375" style="6" customWidth="1"/>
    <col min="10735" max="10735" width="21.25" style="6" customWidth="1"/>
    <col min="10736" max="10984" width="9.125" style="6" customWidth="1"/>
    <col min="10985" max="10985" width="6.375" style="6" customWidth="1"/>
    <col min="10986" max="10986" width="34.25" style="6" customWidth="1"/>
    <col min="10987" max="10987" width="7.375" style="6" customWidth="1"/>
    <col min="10988" max="10988" width="6.375" style="6" customWidth="1"/>
    <col min="10989" max="10989" width="13.125" style="6" customWidth="1"/>
    <col min="10990" max="10990" width="15.375" style="6" customWidth="1"/>
    <col min="10991" max="10991" width="21.25" style="6" customWidth="1"/>
    <col min="10992" max="11240" width="9.125" style="6" customWidth="1"/>
    <col min="11241" max="11241" width="6.375" style="6" customWidth="1"/>
    <col min="11242" max="11242" width="34.25" style="6" customWidth="1"/>
    <col min="11243" max="11243" width="7.375" style="6" customWidth="1"/>
    <col min="11244" max="11244" width="6.375" style="6" customWidth="1"/>
    <col min="11245" max="11245" width="13.125" style="6" customWidth="1"/>
    <col min="11246" max="11246" width="15.375" style="6" customWidth="1"/>
    <col min="11247" max="11247" width="21.25" style="6" customWidth="1"/>
    <col min="11248" max="11496" width="9.125" style="6" customWidth="1"/>
    <col min="11497" max="11497" width="6.375" style="6" customWidth="1"/>
    <col min="11498" max="11498" width="34.25" style="6" customWidth="1"/>
    <col min="11499" max="11499" width="7.375" style="6" customWidth="1"/>
    <col min="11500" max="11500" width="6.375" style="6" customWidth="1"/>
    <col min="11501" max="11501" width="13.125" style="6" customWidth="1"/>
    <col min="11502" max="11502" width="15.375" style="6" customWidth="1"/>
    <col min="11503" max="11503" width="21.25" style="6" customWidth="1"/>
    <col min="11504" max="11752" width="9.125" style="6" customWidth="1"/>
    <col min="11753" max="11753" width="6.375" style="6" customWidth="1"/>
    <col min="11754" max="11754" width="34.25" style="6" customWidth="1"/>
    <col min="11755" max="11755" width="7.375" style="6" customWidth="1"/>
    <col min="11756" max="11756" width="6.375" style="6" customWidth="1"/>
    <col min="11757" max="11757" width="13.125" style="6" customWidth="1"/>
    <col min="11758" max="11758" width="15.375" style="6" customWidth="1"/>
    <col min="11759" max="11759" width="21.25" style="6" customWidth="1"/>
    <col min="11760" max="12008" width="9.125" style="6" customWidth="1"/>
    <col min="12009" max="12009" width="6.375" style="6" customWidth="1"/>
    <col min="12010" max="12010" width="34.25" style="6" customWidth="1"/>
    <col min="12011" max="12011" width="7.375" style="6" customWidth="1"/>
    <col min="12012" max="12012" width="6.375" style="6" customWidth="1"/>
    <col min="12013" max="12013" width="13.125" style="6" customWidth="1"/>
    <col min="12014" max="12014" width="15.375" style="6" customWidth="1"/>
    <col min="12015" max="12015" width="21.25" style="6" customWidth="1"/>
    <col min="12016" max="12264" width="9.125" style="6" customWidth="1"/>
    <col min="12265" max="12265" width="6.375" style="6" customWidth="1"/>
    <col min="12266" max="12266" width="34.25" style="6" customWidth="1"/>
    <col min="12267" max="12267" width="7.375" style="6" customWidth="1"/>
    <col min="12268" max="12268" width="6.375" style="6" customWidth="1"/>
    <col min="12269" max="12269" width="13.125" style="6" customWidth="1"/>
    <col min="12270" max="12270" width="15.375" style="6" customWidth="1"/>
    <col min="12271" max="12271" width="21.25" style="6" customWidth="1"/>
    <col min="12272" max="12520" width="9.125" style="6" customWidth="1"/>
    <col min="12521" max="12521" width="6.375" style="6" customWidth="1"/>
    <col min="12522" max="12522" width="34.25" style="6" customWidth="1"/>
    <col min="12523" max="12523" width="7.375" style="6" customWidth="1"/>
    <col min="12524" max="12524" width="6.375" style="6" customWidth="1"/>
    <col min="12525" max="12525" width="13.125" style="6" customWidth="1"/>
    <col min="12526" max="12526" width="15.375" style="6" customWidth="1"/>
    <col min="12527" max="12527" width="21.25" style="6" customWidth="1"/>
    <col min="12528" max="12776" width="9.125" style="6" customWidth="1"/>
    <col min="12777" max="12777" width="6.375" style="6" customWidth="1"/>
    <col min="12778" max="12778" width="34.25" style="6" customWidth="1"/>
    <col min="12779" max="12779" width="7.375" style="6" customWidth="1"/>
    <col min="12780" max="12780" width="6.375" style="6" customWidth="1"/>
    <col min="12781" max="12781" width="13.125" style="6" customWidth="1"/>
    <col min="12782" max="12782" width="15.375" style="6" customWidth="1"/>
    <col min="12783" max="12783" width="21.25" style="6" customWidth="1"/>
    <col min="12784" max="13032" width="9.125" style="6" customWidth="1"/>
    <col min="13033" max="13033" width="6.375" style="6" customWidth="1"/>
    <col min="13034" max="13034" width="34.25" style="6" customWidth="1"/>
    <col min="13035" max="13035" width="7.375" style="6" customWidth="1"/>
    <col min="13036" max="13036" width="6.375" style="6" customWidth="1"/>
    <col min="13037" max="13037" width="13.125" style="6" customWidth="1"/>
    <col min="13038" max="13038" width="15.375" style="6" customWidth="1"/>
    <col min="13039" max="13039" width="21.25" style="6" customWidth="1"/>
    <col min="13040" max="13288" width="9.125" style="6" customWidth="1"/>
    <col min="13289" max="13289" width="6.375" style="6" customWidth="1"/>
    <col min="13290" max="13290" width="34.25" style="6" customWidth="1"/>
    <col min="13291" max="13291" width="7.375" style="6" customWidth="1"/>
    <col min="13292" max="13292" width="6.375" style="6" customWidth="1"/>
    <col min="13293" max="13293" width="13.125" style="6" customWidth="1"/>
    <col min="13294" max="13294" width="15.375" style="6" customWidth="1"/>
    <col min="13295" max="13295" width="21.25" style="6" customWidth="1"/>
    <col min="13296" max="13544" width="9.125" style="6" customWidth="1"/>
    <col min="13545" max="13545" width="6.375" style="6" customWidth="1"/>
    <col min="13546" max="13546" width="34.25" style="6" customWidth="1"/>
    <col min="13547" max="13547" width="7.375" style="6" customWidth="1"/>
    <col min="13548" max="13548" width="6.375" style="6" customWidth="1"/>
    <col min="13549" max="13549" width="13.125" style="6" customWidth="1"/>
    <col min="13550" max="13550" width="15.375" style="6" customWidth="1"/>
    <col min="13551" max="13551" width="21.25" style="6" customWidth="1"/>
    <col min="13552" max="13800" width="9.125" style="6" customWidth="1"/>
    <col min="13801" max="13801" width="6.375" style="6" customWidth="1"/>
    <col min="13802" max="13802" width="34.25" style="6" customWidth="1"/>
    <col min="13803" max="13803" width="7.375" style="6" customWidth="1"/>
    <col min="13804" max="13804" width="6.375" style="6" customWidth="1"/>
    <col min="13805" max="13805" width="13.125" style="6" customWidth="1"/>
    <col min="13806" max="13806" width="15.375" style="6" customWidth="1"/>
    <col min="13807" max="13807" width="21.25" style="6" customWidth="1"/>
    <col min="13808" max="14056" width="9.125" style="6" customWidth="1"/>
    <col min="14057" max="14057" width="6.375" style="6" customWidth="1"/>
    <col min="14058" max="14058" width="34.25" style="6" customWidth="1"/>
    <col min="14059" max="14059" width="7.375" style="6" customWidth="1"/>
    <col min="14060" max="14060" width="6.375" style="6" customWidth="1"/>
    <col min="14061" max="14061" width="13.125" style="6" customWidth="1"/>
    <col min="14062" max="14062" width="15.375" style="6" customWidth="1"/>
    <col min="14063" max="14063" width="21.25" style="6" customWidth="1"/>
    <col min="14064" max="14312" width="9.125" style="6" customWidth="1"/>
    <col min="14313" max="14313" width="6.375" style="6" customWidth="1"/>
    <col min="14314" max="14314" width="34.25" style="6" customWidth="1"/>
    <col min="14315" max="14315" width="7.375" style="6" customWidth="1"/>
    <col min="14316" max="14316" width="6.375" style="6" customWidth="1"/>
    <col min="14317" max="14317" width="13.125" style="6" customWidth="1"/>
    <col min="14318" max="14318" width="15.375" style="6" customWidth="1"/>
    <col min="14319" max="14319" width="21.25" style="6" customWidth="1"/>
    <col min="14320" max="14568" width="9.125" style="6" customWidth="1"/>
    <col min="14569" max="14569" width="6.375" style="6" customWidth="1"/>
    <col min="14570" max="14570" width="34.25" style="6" customWidth="1"/>
    <col min="14571" max="14571" width="7.375" style="6" customWidth="1"/>
    <col min="14572" max="14572" width="6.375" style="6" customWidth="1"/>
    <col min="14573" max="14573" width="13.125" style="6" customWidth="1"/>
    <col min="14574" max="14574" width="15.375" style="6" customWidth="1"/>
    <col min="14575" max="14575" width="21.25" style="6" customWidth="1"/>
    <col min="14576" max="14824" width="9.125" style="6" customWidth="1"/>
    <col min="14825" max="14825" width="6.375" style="6" customWidth="1"/>
    <col min="14826" max="14826" width="34.25" style="6" customWidth="1"/>
    <col min="14827" max="14827" width="7.375" style="6" customWidth="1"/>
    <col min="14828" max="14828" width="6.375" style="6" customWidth="1"/>
    <col min="14829" max="14829" width="13.125" style="6" customWidth="1"/>
    <col min="14830" max="14830" width="15.375" style="6" customWidth="1"/>
    <col min="14831" max="14831" width="21.25" style="6" customWidth="1"/>
    <col min="14832" max="15080" width="9.125" style="6" customWidth="1"/>
    <col min="15081" max="15081" width="6.375" style="6" customWidth="1"/>
    <col min="15082" max="15082" width="34.25" style="6" customWidth="1"/>
    <col min="15083" max="15083" width="7.375" style="6" customWidth="1"/>
    <col min="15084" max="15084" width="6.375" style="6" customWidth="1"/>
    <col min="15085" max="15085" width="13.125" style="6" customWidth="1"/>
    <col min="15086" max="15086" width="15.375" style="6" customWidth="1"/>
    <col min="15087" max="15087" width="21.25" style="6" customWidth="1"/>
    <col min="15088" max="15336" width="9.125" style="6" customWidth="1"/>
    <col min="15337" max="15337" width="6.375" style="6" customWidth="1"/>
    <col min="15338" max="15338" width="34.25" style="6" customWidth="1"/>
    <col min="15339" max="15339" width="7.375" style="6" customWidth="1"/>
    <col min="15340" max="15340" width="6.375" style="6" customWidth="1"/>
    <col min="15341" max="15341" width="13.125" style="6" customWidth="1"/>
    <col min="15342" max="15342" width="15.375" style="6" customWidth="1"/>
    <col min="15343" max="15343" width="21.25" style="6" customWidth="1"/>
    <col min="15344" max="15592" width="9.125" style="6" customWidth="1"/>
    <col min="15593" max="15593" width="6.375" style="6" customWidth="1"/>
    <col min="15594" max="15594" width="34.25" style="6" customWidth="1"/>
    <col min="15595" max="15595" width="7.375" style="6" customWidth="1"/>
    <col min="15596" max="15596" width="6.375" style="6" customWidth="1"/>
    <col min="15597" max="15597" width="13.125" style="6" customWidth="1"/>
    <col min="15598" max="15598" width="15.375" style="6" customWidth="1"/>
    <col min="15599" max="15599" width="21.25" style="6" customWidth="1"/>
    <col min="15600" max="15848" width="9.125" style="6" customWidth="1"/>
    <col min="15849" max="15849" width="6.375" style="6" customWidth="1"/>
    <col min="15850" max="15850" width="34.25" style="6" customWidth="1"/>
    <col min="15851" max="15851" width="7.375" style="6" customWidth="1"/>
    <col min="15852" max="15852" width="6.375" style="6" customWidth="1"/>
    <col min="15853" max="15853" width="13.125" style="6" customWidth="1"/>
    <col min="15854" max="15854" width="15.375" style="6" customWidth="1"/>
    <col min="15855" max="15855" width="21.25" style="6" customWidth="1"/>
    <col min="15856" max="16104" width="9.125" style="6" customWidth="1"/>
    <col min="16105" max="16105" width="6.375" style="6" customWidth="1"/>
    <col min="16106" max="16106" width="34.25" style="6" customWidth="1"/>
    <col min="16107" max="16107" width="7.375" style="6" customWidth="1"/>
    <col min="16108" max="16108" width="6.375" style="6" customWidth="1"/>
    <col min="16109" max="16109" width="13.125" style="6" customWidth="1"/>
    <col min="16110" max="16110" width="15.375" style="6" customWidth="1"/>
    <col min="16111" max="16111" width="21.25" style="6" customWidth="1"/>
    <col min="16112" max="16384" width="9.125" style="6" customWidth="1"/>
  </cols>
  <sheetData>
    <row r="1" spans="1:10" ht="48" customHeight="1"/>
    <row r="2" spans="1:10" s="1" customFormat="1" ht="51" customHeight="1">
      <c r="A2" s="10" t="s">
        <v>507</v>
      </c>
      <c r="B2" s="11"/>
      <c r="C2" s="12"/>
      <c r="D2" s="11"/>
      <c r="E2" s="13"/>
      <c r="F2" s="14"/>
      <c r="G2" s="14"/>
      <c r="H2" s="15"/>
      <c r="I2" s="15"/>
      <c r="J2" s="15"/>
    </row>
    <row r="3" spans="1:10" ht="26.25" customHeight="1">
      <c r="A3" s="16"/>
      <c r="B3" s="17" t="s">
        <v>440</v>
      </c>
      <c r="C3" s="213"/>
      <c r="D3" s="217"/>
      <c r="E3" s="228"/>
      <c r="F3" s="214"/>
      <c r="G3" s="214"/>
      <c r="H3" s="220"/>
      <c r="I3" s="220"/>
      <c r="J3" s="220"/>
    </row>
    <row r="4" spans="1:10" ht="26.25" customHeight="1">
      <c r="A4" s="18"/>
      <c r="B4" s="5" t="s">
        <v>441</v>
      </c>
      <c r="C4" s="222"/>
      <c r="D4" s="217"/>
      <c r="E4" s="228"/>
      <c r="F4" s="214"/>
      <c r="G4" s="214"/>
      <c r="H4" s="220"/>
      <c r="I4" s="220"/>
      <c r="J4" s="220"/>
    </row>
    <row r="5" spans="1:10" ht="26.25" customHeight="1">
      <c r="A5" s="18"/>
      <c r="B5" s="5" t="s">
        <v>442</v>
      </c>
      <c r="C5" s="216"/>
      <c r="D5" s="217"/>
      <c r="E5" s="228"/>
      <c r="F5" s="214"/>
      <c r="G5" s="214"/>
      <c r="H5" s="220"/>
      <c r="I5" s="220"/>
      <c r="J5" s="220"/>
    </row>
    <row r="6" spans="1:10" ht="26.25" customHeight="1">
      <c r="A6" s="18"/>
      <c r="B6" s="5" t="s">
        <v>443</v>
      </c>
      <c r="C6" s="213" t="str">
        <f>INDEX(總表!$B$9:$B$47,MATCH('6B'!A9,總表!$A$9:$A$48,0))</f>
        <v>Cảnh quan
景觀</v>
      </c>
      <c r="D6" s="217"/>
      <c r="E6" s="228"/>
      <c r="F6" s="214"/>
      <c r="G6" s="214"/>
      <c r="H6" s="220"/>
      <c r="I6" s="220"/>
      <c r="J6" s="220"/>
    </row>
    <row r="7" spans="1:10" ht="26.25" customHeight="1">
      <c r="A7" s="18"/>
      <c r="B7" s="5" t="s">
        <v>444</v>
      </c>
      <c r="C7" s="223" t="s">
        <v>445</v>
      </c>
      <c r="D7" s="224"/>
      <c r="E7" s="224"/>
      <c r="F7" s="224"/>
      <c r="G7" s="224"/>
      <c r="H7" s="224"/>
      <c r="I7" s="224"/>
      <c r="J7" s="224"/>
    </row>
    <row r="8" spans="1:10" s="2" customFormat="1" ht="41.25" customHeight="1">
      <c r="A8" s="19" t="s">
        <v>446</v>
      </c>
      <c r="B8" s="19" t="s">
        <v>508</v>
      </c>
      <c r="C8" s="19" t="s">
        <v>509</v>
      </c>
      <c r="D8" s="19" t="s">
        <v>448</v>
      </c>
      <c r="E8" s="20" t="s">
        <v>449</v>
      </c>
      <c r="F8" s="19" t="s">
        <v>511</v>
      </c>
      <c r="G8" s="19" t="s">
        <v>512</v>
      </c>
      <c r="H8" s="21" t="s">
        <v>450</v>
      </c>
      <c r="I8" s="21" t="s">
        <v>452</v>
      </c>
      <c r="J8" s="21" t="s">
        <v>514</v>
      </c>
    </row>
    <row r="9" spans="1:10" s="3" customFormat="1" ht="25.5" customHeight="1">
      <c r="A9" s="22" t="s">
        <v>492</v>
      </c>
      <c r="B9" s="23" t="str">
        <f>C6</f>
        <v>Cảnh quan
景觀</v>
      </c>
      <c r="C9" s="23" t="s">
        <v>515</v>
      </c>
      <c r="D9" s="22"/>
      <c r="E9" s="24"/>
      <c r="F9" s="25">
        <f>_xlfn.XLOOKUP(B9, Rate_Master!$A:$A, Rate_Master!$C:$C, "")</f>
        <v>0</v>
      </c>
      <c r="G9" s="25">
        <f>_xlfn.XLOOKUP(B9, Rate_Master!$A:$A, Rate_Master!$D:$D, "")</f>
        <v>0</v>
      </c>
      <c r="H9" s="26"/>
      <c r="I9" s="26">
        <f>SUBTOTAL(9,I10:I16)</f>
        <v>10240954858.699999</v>
      </c>
      <c r="J9" s="26"/>
    </row>
    <row r="10" spans="1:10" s="4" customFormat="1" ht="25.5" customHeight="1" outlineLevel="1">
      <c r="A10" s="27" t="str">
        <f t="shared" ref="A10:A16" si="0">$A$9&amp;"."&amp;ROW()-ROW(A9)</f>
        <v>6B.1</v>
      </c>
      <c r="B10" s="28" t="s">
        <v>432</v>
      </c>
      <c r="C10" s="28" t="s">
        <v>515</v>
      </c>
      <c r="D10" s="29" t="s">
        <v>590</v>
      </c>
      <c r="E10" s="30">
        <v>46437.87</v>
      </c>
      <c r="F10" s="144">
        <f>_xlfn.XLOOKUP(B10, Rate_Master!$A:$A, Rate_Master!$C:$C, "")</f>
        <v>0</v>
      </c>
      <c r="G10" s="144">
        <f>_xlfn.XLOOKUP(B10, Rate_Master!$A:$A, Rate_Master!$D:$D, "")</f>
        <v>14949.999999999998</v>
      </c>
      <c r="H10" s="70">
        <f t="shared" ref="H10:H16" si="1">+F10+G10</f>
        <v>14949.999999999998</v>
      </c>
      <c r="I10" s="32">
        <f t="shared" ref="I10:I16" si="2">H10*E10</f>
        <v>694246156.5</v>
      </c>
      <c r="J10" s="32"/>
    </row>
    <row r="11" spans="1:10" s="4" customFormat="1" ht="25.5" customHeight="1" outlineLevel="1">
      <c r="A11" s="27" t="str">
        <f t="shared" si="0"/>
        <v>6B.1</v>
      </c>
      <c r="B11" s="28" t="s">
        <v>433</v>
      </c>
      <c r="C11" s="28" t="s">
        <v>515</v>
      </c>
      <c r="D11" s="29" t="s">
        <v>589</v>
      </c>
      <c r="E11" s="30">
        <v>9287.5740000000005</v>
      </c>
      <c r="F11" s="144">
        <f>_xlfn.XLOOKUP(B11, Rate_Master!$A:$A, Rate_Master!$C:$C, "")</f>
        <v>449649.99999999994</v>
      </c>
      <c r="G11" s="144">
        <f>_xlfn.XLOOKUP(B11, Rate_Master!$A:$A, Rate_Master!$D:$D, "")</f>
        <v>98899.999999999985</v>
      </c>
      <c r="H11" s="70">
        <f t="shared" si="1"/>
        <v>548549.99999999988</v>
      </c>
      <c r="I11" s="32">
        <f t="shared" si="2"/>
        <v>5094698717.6999989</v>
      </c>
      <c r="J11" s="32"/>
    </row>
    <row r="12" spans="1:10" s="4" customFormat="1" ht="38.25" customHeight="1" outlineLevel="1">
      <c r="A12" s="27" t="str">
        <f t="shared" si="0"/>
        <v>6B.1</v>
      </c>
      <c r="B12" s="28" t="s">
        <v>434</v>
      </c>
      <c r="C12" s="28"/>
      <c r="D12" s="29" t="s">
        <v>518</v>
      </c>
      <c r="E12" s="30">
        <v>78</v>
      </c>
      <c r="F12" s="144">
        <f>_xlfn.XLOOKUP(B12, Rate_Master!$A:$A, Rate_Master!$C:$C, "")</f>
        <v>4499950</v>
      </c>
      <c r="G12" s="144">
        <f>_xlfn.XLOOKUP(B12, Rate_Master!$A:$A, Rate_Master!$D:$D, "")</f>
        <v>990149.99999999988</v>
      </c>
      <c r="H12" s="70">
        <f t="shared" si="1"/>
        <v>5490100</v>
      </c>
      <c r="I12" s="32">
        <f t="shared" si="2"/>
        <v>428227800</v>
      </c>
      <c r="J12" s="32"/>
    </row>
    <row r="13" spans="1:10" s="4" customFormat="1" ht="25.5" customHeight="1" outlineLevel="1">
      <c r="A13" s="27" t="str">
        <f t="shared" si="0"/>
        <v>6B.1</v>
      </c>
      <c r="B13" s="28" t="s">
        <v>435</v>
      </c>
      <c r="C13" s="28"/>
      <c r="D13" s="29" t="s">
        <v>518</v>
      </c>
      <c r="E13" s="30">
        <v>98</v>
      </c>
      <c r="F13" s="144">
        <f>_xlfn.XLOOKUP(B13, Rate_Master!$A:$A, Rate_Master!$C:$C, "")</f>
        <v>2500100</v>
      </c>
      <c r="G13" s="144">
        <f>_xlfn.XLOOKUP(B13, Rate_Master!$A:$A, Rate_Master!$D:$D, "")</f>
        <v>549700</v>
      </c>
      <c r="H13" s="70">
        <f t="shared" si="1"/>
        <v>3049800</v>
      </c>
      <c r="I13" s="32">
        <f t="shared" si="2"/>
        <v>298880400</v>
      </c>
      <c r="J13" s="32"/>
    </row>
    <row r="14" spans="1:10" s="4" customFormat="1" ht="25.5" customHeight="1" outlineLevel="1">
      <c r="A14" s="27" t="str">
        <f t="shared" si="0"/>
        <v>6B.1</v>
      </c>
      <c r="B14" s="28" t="s">
        <v>436</v>
      </c>
      <c r="C14" s="28"/>
      <c r="D14" s="29" t="s">
        <v>518</v>
      </c>
      <c r="E14" s="30">
        <v>56</v>
      </c>
      <c r="F14" s="144">
        <f>_xlfn.XLOOKUP(B14, Rate_Master!$A:$A, Rate_Master!$C:$C, "")</f>
        <v>586500</v>
      </c>
      <c r="G14" s="144">
        <f>_xlfn.XLOOKUP(B14, Rate_Master!$A:$A, Rate_Master!$D:$D, "")</f>
        <v>128799.99999999999</v>
      </c>
      <c r="H14" s="70">
        <f t="shared" si="1"/>
        <v>715300</v>
      </c>
      <c r="I14" s="32">
        <f t="shared" si="2"/>
        <v>40056800</v>
      </c>
      <c r="J14" s="32"/>
    </row>
    <row r="15" spans="1:10" s="4" customFormat="1" ht="25.5" customHeight="1" outlineLevel="1">
      <c r="A15" s="27" t="str">
        <f t="shared" si="0"/>
        <v>6B.1</v>
      </c>
      <c r="B15" s="28" t="s">
        <v>437</v>
      </c>
      <c r="C15" s="28"/>
      <c r="D15" s="29" t="s">
        <v>590</v>
      </c>
      <c r="E15" s="30">
        <v>46001.4</v>
      </c>
      <c r="F15" s="144">
        <f>_xlfn.XLOOKUP(B15, Rate_Master!$A:$A, Rate_Master!$C:$C, "")</f>
        <v>65550</v>
      </c>
      <c r="G15" s="144">
        <f>_xlfn.XLOOKUP(B15, Rate_Master!$A:$A, Rate_Master!$D:$D, "")</f>
        <v>13799.999999999998</v>
      </c>
      <c r="H15" s="70">
        <f t="shared" si="1"/>
        <v>79350</v>
      </c>
      <c r="I15" s="32">
        <f t="shared" si="2"/>
        <v>3650211090</v>
      </c>
      <c r="J15" s="32"/>
    </row>
    <row r="16" spans="1:10" s="4" customFormat="1" ht="25.5" customHeight="1" outlineLevel="1">
      <c r="A16" s="27" t="str">
        <f t="shared" si="0"/>
        <v>6B.1</v>
      </c>
      <c r="B16" s="28" t="s">
        <v>438</v>
      </c>
      <c r="C16" s="28"/>
      <c r="D16" s="29" t="s">
        <v>590</v>
      </c>
      <c r="E16" s="30">
        <v>436.47</v>
      </c>
      <c r="F16" s="144">
        <f>_xlfn.XLOOKUP(B16, Rate_Master!$A:$A, Rate_Master!$C:$C, "")</f>
        <v>65550</v>
      </c>
      <c r="G16" s="144">
        <f>_xlfn.XLOOKUP(B16, Rate_Master!$A:$A, Rate_Master!$D:$D, "")</f>
        <v>13799.999999999998</v>
      </c>
      <c r="H16" s="70">
        <f t="shared" si="1"/>
        <v>79350</v>
      </c>
      <c r="I16" s="32">
        <f t="shared" si="2"/>
        <v>34633894.5</v>
      </c>
      <c r="J16" s="32"/>
    </row>
  </sheetData>
  <mergeCells count="5">
    <mergeCell ref="C4:J4"/>
    <mergeCell ref="C3:J3"/>
    <mergeCell ref="C7:J7"/>
    <mergeCell ref="C6:J6"/>
    <mergeCell ref="C5:J5"/>
  </mergeCells>
  <pageMargins left="0.70866141732283505" right="0.70866141732283505" top="0.74803149606299202" bottom="0.74803149606299202" header="0.31496062992126" footer="0.31496062992126"/>
  <pageSetup paperSize="9" scale="92" fitToHeight="0" orientation="landscape"/>
  <headerFooter>
    <oddFooter>&amp;C&amp;A&amp;RPage &amp;P</oddFooter>
  </headerFooter>
  <rowBreaks count="1" manualBreakCount="1">
    <brk id="14" max="9"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30</vt:i4>
      </vt:variant>
    </vt:vector>
  </HeadingPairs>
  <TitlesOfParts>
    <vt:vector size="62" baseType="lpstr">
      <vt:lpstr>Rate_Master</vt:lpstr>
      <vt:lpstr>總表</vt:lpstr>
      <vt:lpstr>1A</vt:lpstr>
      <vt:lpstr>2A</vt:lpstr>
      <vt:lpstr>3A</vt:lpstr>
      <vt:lpstr>4A</vt:lpstr>
      <vt:lpstr>5A</vt:lpstr>
      <vt:lpstr>6A</vt:lpstr>
      <vt:lpstr>7A</vt:lpstr>
      <vt:lpstr>8A</vt:lpstr>
      <vt:lpstr>9A</vt:lpstr>
      <vt:lpstr>10A</vt:lpstr>
      <vt:lpstr>11A</vt:lpstr>
      <vt:lpstr>12A</vt:lpstr>
      <vt:lpstr>13A</vt:lpstr>
      <vt:lpstr>14A</vt:lpstr>
      <vt:lpstr>15A</vt:lpstr>
      <vt:lpstr>16A</vt:lpstr>
      <vt:lpstr>17A</vt:lpstr>
      <vt:lpstr>18A</vt:lpstr>
      <vt:lpstr>19A</vt:lpstr>
      <vt:lpstr>21A</vt:lpstr>
      <vt:lpstr>22A</vt:lpstr>
      <vt:lpstr>23A</vt:lpstr>
      <vt:lpstr>24A</vt:lpstr>
      <vt:lpstr>25A</vt:lpstr>
      <vt:lpstr>1B</vt:lpstr>
      <vt:lpstr>2B</vt:lpstr>
      <vt:lpstr>3B</vt:lpstr>
      <vt:lpstr>4B</vt:lpstr>
      <vt:lpstr>5B</vt:lpstr>
      <vt:lpstr>6B</vt:lpstr>
      <vt:lpstr>'10A'!Print_Area</vt:lpstr>
      <vt:lpstr>'11A'!Print_Area</vt:lpstr>
      <vt:lpstr>'12A'!Print_Area</vt:lpstr>
      <vt:lpstr>'13A'!Print_Area</vt:lpstr>
      <vt:lpstr>'14A'!Print_Area</vt:lpstr>
      <vt:lpstr>'15A'!Print_Area</vt:lpstr>
      <vt:lpstr>'16A'!Print_Area</vt:lpstr>
      <vt:lpstr>'17A'!Print_Area</vt:lpstr>
      <vt:lpstr>'18A'!Print_Area</vt:lpstr>
      <vt:lpstr>'19A'!Print_Area</vt:lpstr>
      <vt:lpstr>'1A'!Print_Area</vt:lpstr>
      <vt:lpstr>'1B'!Print_Area</vt:lpstr>
      <vt:lpstr>'21A'!Print_Area</vt:lpstr>
      <vt:lpstr>'22A'!Print_Area</vt:lpstr>
      <vt:lpstr>'23A'!Print_Area</vt:lpstr>
      <vt:lpstr>'24A'!Print_Area</vt:lpstr>
      <vt:lpstr>'25A'!Print_Area</vt:lpstr>
      <vt:lpstr>'2A'!Print_Area</vt:lpstr>
      <vt:lpstr>'2B'!Print_Area</vt:lpstr>
      <vt:lpstr>'3A'!Print_Area</vt:lpstr>
      <vt:lpstr>'3B'!Print_Area</vt:lpstr>
      <vt:lpstr>'4A'!Print_Area</vt:lpstr>
      <vt:lpstr>'4B'!Print_Area</vt:lpstr>
      <vt:lpstr>'5A'!Print_Area</vt:lpstr>
      <vt:lpstr>'5B'!Print_Area</vt:lpstr>
      <vt:lpstr>'6A'!Print_Area</vt:lpstr>
      <vt:lpstr>'6B'!Print_Area</vt:lpstr>
      <vt:lpstr>'7A'!Print_Area</vt:lpstr>
      <vt:lpstr>'8A'!Print_Area</vt:lpstr>
      <vt:lpstr>'9A'!Print_Area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PC2024</dc:creator>
  <cp:lastModifiedBy>Nguyễn Mạnh Đạt</cp:lastModifiedBy>
  <cp:lastPrinted>2025-03-05T06:41:00Z</cp:lastPrinted>
  <dcterms:created xsi:type="dcterms:W3CDTF">2024-11-13T09:31:00Z</dcterms:created>
  <dcterms:modified xsi:type="dcterms:W3CDTF">2025-08-13T10:33:10Z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67F5715E2AEA4E30B77DBF4EBF196369_12</vt:lpwstr>
  </property>
  <property fmtid="{D5CDD505-2E9C-101B-9397-08002B2CF9AE}" pid="3" name="KSOProductBuildVer">
    <vt:lpwstr>1033-12.2.0.20795</vt:lpwstr>
  </property>
</Properties>
</file>